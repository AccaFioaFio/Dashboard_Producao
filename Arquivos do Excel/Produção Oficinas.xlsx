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Q:\00 - OFICINAS 2026\"/>
    </mc:Choice>
  </mc:AlternateContent>
  <bookViews>
    <workbookView xWindow="-120" yWindow="-120" windowWidth="24240" windowHeight="13140" tabRatio="596" activeTab="3"/>
  </bookViews>
  <sheets>
    <sheet name="Listas" sheetId="2" r:id="rId1"/>
    <sheet name="LISTA_DE_CLIENTES" sheetId="3" state="hidden" r:id="rId2"/>
    <sheet name="Tab_Produtos" sheetId="4" r:id="rId3"/>
    <sheet name="TABELA OFICINAS " sheetId="1" r:id="rId4"/>
  </sheets>
  <definedNames>
    <definedName name="_xlnm._FilterDatabase" localSheetId="3" hidden="1">'TABELA OFICINAS '!$B$4:$AA$14</definedName>
    <definedName name="DadosExternos_1" localSheetId="1" hidden="1">LISTA_DE_CLIENTES!$F$3:$M$5849</definedName>
    <definedName name="DadosExternos_1" localSheetId="2" hidden="1">Tab_Produtos!$A$1:$C$1398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000 - PEDIDOS DE CLIENTES_18f722b9-3a67-4229-8568-7e6f772fc736" name="000 - PEDIDOS DE CLIENTES" connection="Consulta - 000 - PEDIDOS DE CLIENT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25" i="1" l="1"/>
  <c r="N1235" i="1" l="1"/>
  <c r="O1235" i="1" s="1"/>
  <c r="P1235" i="1" s="1"/>
  <c r="I1235" i="1"/>
  <c r="F1235" i="1"/>
  <c r="G1235" i="1"/>
  <c r="Q1235" i="1"/>
  <c r="Z1235" i="1" s="1"/>
  <c r="V1235" i="1"/>
  <c r="W1193" i="1"/>
  <c r="W1004" i="1"/>
  <c r="W1192" i="1" l="1"/>
  <c r="V1071" i="1" l="1"/>
  <c r="Q1189" i="1"/>
  <c r="Q1188" i="1"/>
  <c r="Q1187" i="1"/>
  <c r="Q1186" i="1"/>
  <c r="Q1070" i="1"/>
  <c r="Q1069" i="1"/>
  <c r="Q1182" i="1"/>
  <c r="Q1181" i="1"/>
  <c r="Q1167" i="1"/>
  <c r="Q1166" i="1"/>
  <c r="Q1133" i="1"/>
  <c r="Q1096" i="1"/>
  <c r="Q1071" i="1"/>
  <c r="Q1201" i="1"/>
  <c r="Q1202" i="1"/>
  <c r="Q1203" i="1"/>
  <c r="Q1204" i="1"/>
  <c r="Q1205" i="1"/>
  <c r="Q1199" i="1"/>
  <c r="Q1198" i="1"/>
  <c r="Q1197" i="1"/>
  <c r="Q1196" i="1"/>
  <c r="Q1195" i="1"/>
  <c r="Q1194" i="1"/>
  <c r="Q1191" i="1"/>
  <c r="Q1190" i="1"/>
  <c r="Q1185" i="1"/>
  <c r="Q1184" i="1"/>
  <c r="Q1178" i="1"/>
  <c r="Q1177" i="1"/>
  <c r="Q1176" i="1"/>
  <c r="Q1175" i="1"/>
  <c r="Q1174" i="1"/>
  <c r="Q1173" i="1"/>
  <c r="Q1172" i="1"/>
  <c r="Q1171" i="1"/>
  <c r="Q1170" i="1"/>
  <c r="Q1169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48" i="1"/>
  <c r="Q1147" i="1"/>
  <c r="Q1146" i="1"/>
  <c r="Q1145" i="1"/>
  <c r="Q1144" i="1"/>
  <c r="Q1143" i="1"/>
  <c r="Q1142" i="1"/>
  <c r="Q1141" i="1"/>
  <c r="Q1140" i="1"/>
  <c r="Q1136" i="1"/>
  <c r="Q1135" i="1"/>
  <c r="Q1134" i="1"/>
  <c r="Q1127" i="1"/>
  <c r="Q1126" i="1"/>
  <c r="Q1125" i="1"/>
  <c r="Q1124" i="1"/>
  <c r="Q1123" i="1"/>
  <c r="Q1122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087" i="1"/>
  <c r="Q1086" i="1"/>
  <c r="Q1085" i="1"/>
  <c r="Q1080" i="1"/>
  <c r="Q1079" i="1"/>
  <c r="Q1078" i="1"/>
  <c r="Q1077" i="1"/>
  <c r="Q1076" i="1"/>
  <c r="Q1075" i="1"/>
  <c r="Q1074" i="1"/>
  <c r="Q1073" i="1"/>
  <c r="Q1072" i="1"/>
  <c r="I1058" i="1"/>
  <c r="F1594" i="1" l="1"/>
  <c r="G1594" i="1"/>
  <c r="O1594" i="1"/>
  <c r="W1000" i="1"/>
  <c r="F1593" i="1"/>
  <c r="O1593" i="1"/>
  <c r="Z1593" i="1"/>
  <c r="W1005" i="1"/>
  <c r="W934" i="1"/>
  <c r="W932" i="1" l="1"/>
  <c r="G1592" i="1" l="1"/>
  <c r="O1592" i="1"/>
  <c r="P1592" i="1" s="1"/>
  <c r="Q1592" i="1"/>
  <c r="V1592" i="1"/>
  <c r="Z1592" i="1"/>
  <c r="F992" i="1" l="1"/>
  <c r="G992" i="1"/>
  <c r="O992" i="1"/>
  <c r="P992" i="1" s="1"/>
  <c r="Z992" i="1"/>
  <c r="V992" i="1"/>
  <c r="N967" i="1" l="1"/>
  <c r="W942" i="1"/>
  <c r="W851" i="1" l="1"/>
  <c r="F854" i="1"/>
  <c r="G854" i="1"/>
  <c r="I854" i="1"/>
  <c r="O854" i="1"/>
  <c r="P854" i="1" s="1"/>
  <c r="Q854" i="1"/>
  <c r="V854" i="1"/>
  <c r="Z854" i="1"/>
  <c r="V930" i="1" l="1"/>
  <c r="W903" i="1"/>
  <c r="W922" i="1"/>
  <c r="I913" i="1" l="1"/>
  <c r="I899" i="1"/>
  <c r="O899" i="1"/>
  <c r="P899" i="1" s="1"/>
  <c r="Z899" i="1"/>
  <c r="V899" i="1"/>
  <c r="I900" i="1"/>
  <c r="O900" i="1"/>
  <c r="P900" i="1" s="1"/>
  <c r="V900" i="1"/>
  <c r="Z900" i="1"/>
  <c r="I901" i="1"/>
  <c r="O901" i="1"/>
  <c r="P901" i="1" s="1"/>
  <c r="Z901" i="1"/>
  <c r="V901" i="1"/>
  <c r="O902" i="1"/>
  <c r="P902" i="1" s="1"/>
  <c r="Z902" i="1"/>
  <c r="V902" i="1"/>
  <c r="F903" i="1"/>
  <c r="G903" i="1"/>
  <c r="I903" i="1"/>
  <c r="O903" i="1"/>
  <c r="P903" i="1" s="1"/>
  <c r="Q903" i="1"/>
  <c r="Z903" i="1" s="1"/>
  <c r="V903" i="1"/>
  <c r="F904" i="1"/>
  <c r="G904" i="1"/>
  <c r="I904" i="1"/>
  <c r="O904" i="1"/>
  <c r="P904" i="1" s="1"/>
  <c r="Q904" i="1"/>
  <c r="Z904" i="1" s="1"/>
  <c r="V904" i="1"/>
  <c r="I905" i="1"/>
  <c r="O905" i="1"/>
  <c r="P905" i="1" s="1"/>
  <c r="Q905" i="1"/>
  <c r="Z905" i="1" s="1"/>
  <c r="V905" i="1"/>
  <c r="F906" i="1"/>
  <c r="O906" i="1"/>
  <c r="P906" i="1" s="1"/>
  <c r="Q906" i="1"/>
  <c r="Z906" i="1" s="1"/>
  <c r="V906" i="1"/>
  <c r="F907" i="1"/>
  <c r="O907" i="1"/>
  <c r="P907" i="1" s="1"/>
  <c r="Q907" i="1"/>
  <c r="Z907" i="1" s="1"/>
  <c r="V907" i="1"/>
  <c r="F908" i="1"/>
  <c r="O908" i="1"/>
  <c r="P908" i="1" s="1"/>
  <c r="Q908" i="1"/>
  <c r="Z908" i="1" s="1"/>
  <c r="V908" i="1"/>
  <c r="F909" i="1"/>
  <c r="O909" i="1"/>
  <c r="P909" i="1" s="1"/>
  <c r="Q909" i="1"/>
  <c r="Z909" i="1" s="1"/>
  <c r="V909" i="1"/>
  <c r="F910" i="1"/>
  <c r="I910" i="1"/>
  <c r="O910" i="1"/>
  <c r="P910" i="1" s="1"/>
  <c r="Q910" i="1"/>
  <c r="Z910" i="1" s="1"/>
  <c r="V910" i="1"/>
  <c r="F911" i="1"/>
  <c r="I911" i="1"/>
  <c r="O911" i="1"/>
  <c r="P911" i="1" s="1"/>
  <c r="Q911" i="1"/>
  <c r="Z911" i="1" s="1"/>
  <c r="V911" i="1"/>
  <c r="F912" i="1"/>
  <c r="I912" i="1"/>
  <c r="O912" i="1"/>
  <c r="P912" i="1" s="1"/>
  <c r="Q912" i="1"/>
  <c r="Z912" i="1" s="1"/>
  <c r="V912" i="1"/>
  <c r="F913" i="1"/>
  <c r="O913" i="1"/>
  <c r="P913" i="1" s="1"/>
  <c r="Q913" i="1"/>
  <c r="Z913" i="1" s="1"/>
  <c r="V913" i="1"/>
  <c r="F914" i="1"/>
  <c r="I914" i="1"/>
  <c r="O914" i="1"/>
  <c r="P914" i="1" s="1"/>
  <c r="Q914" i="1"/>
  <c r="Z914" i="1" s="1"/>
  <c r="V914" i="1"/>
  <c r="F915" i="1"/>
  <c r="O915" i="1"/>
  <c r="P915" i="1" s="1"/>
  <c r="Q915" i="1"/>
  <c r="Z915" i="1" s="1"/>
  <c r="V915" i="1"/>
  <c r="F916" i="1"/>
  <c r="O916" i="1"/>
  <c r="P916" i="1" s="1"/>
  <c r="Q916" i="1"/>
  <c r="Z916" i="1" s="1"/>
  <c r="V916" i="1"/>
  <c r="F917" i="1"/>
  <c r="O917" i="1"/>
  <c r="P917" i="1" s="1"/>
  <c r="Q917" i="1"/>
  <c r="Z917" i="1" s="1"/>
  <c r="V917" i="1"/>
  <c r="F918" i="1"/>
  <c r="O918" i="1"/>
  <c r="P918" i="1" s="1"/>
  <c r="Q918" i="1"/>
  <c r="Z918" i="1" s="1"/>
  <c r="V918" i="1"/>
  <c r="F919" i="1"/>
  <c r="I919" i="1"/>
  <c r="O919" i="1"/>
  <c r="P919" i="1" s="1"/>
  <c r="Q919" i="1"/>
  <c r="Z919" i="1" s="1"/>
  <c r="V919" i="1"/>
  <c r="F920" i="1"/>
  <c r="I920" i="1"/>
  <c r="O920" i="1"/>
  <c r="P920" i="1" s="1"/>
  <c r="Q920" i="1"/>
  <c r="Z920" i="1" s="1"/>
  <c r="V920" i="1"/>
  <c r="F921" i="1"/>
  <c r="G921" i="1"/>
  <c r="I921" i="1"/>
  <c r="O921" i="1"/>
  <c r="P921" i="1" s="1"/>
  <c r="Q921" i="1"/>
  <c r="V921" i="1"/>
  <c r="Z921" i="1"/>
  <c r="F922" i="1"/>
  <c r="G922" i="1"/>
  <c r="I922" i="1"/>
  <c r="O922" i="1"/>
  <c r="P922" i="1" s="1"/>
  <c r="Q922" i="1"/>
  <c r="V922" i="1"/>
  <c r="Z922" i="1"/>
  <c r="F923" i="1"/>
  <c r="G923" i="1"/>
  <c r="I923" i="1"/>
  <c r="O923" i="1"/>
  <c r="P923" i="1" s="1"/>
  <c r="Q923" i="1"/>
  <c r="V923" i="1"/>
  <c r="Z923" i="1"/>
  <c r="F924" i="1"/>
  <c r="G924" i="1"/>
  <c r="O924" i="1"/>
  <c r="P924" i="1" s="1"/>
  <c r="Q924" i="1"/>
  <c r="Z924" i="1" s="1"/>
  <c r="V924" i="1"/>
  <c r="F925" i="1"/>
  <c r="G925" i="1"/>
  <c r="N925" i="1"/>
  <c r="O925" i="1" s="1"/>
  <c r="P925" i="1" s="1"/>
  <c r="Q925" i="1"/>
  <c r="V925" i="1"/>
  <c r="Z925" i="1"/>
  <c r="G926" i="1"/>
  <c r="O926" i="1"/>
  <c r="P926" i="1" s="1"/>
  <c r="Q926" i="1"/>
  <c r="Z926" i="1" s="1"/>
  <c r="V926" i="1"/>
  <c r="G927" i="1"/>
  <c r="O927" i="1"/>
  <c r="P927" i="1" s="1"/>
  <c r="Q927" i="1"/>
  <c r="Z927" i="1" s="1"/>
  <c r="V927" i="1"/>
  <c r="G928" i="1"/>
  <c r="O928" i="1"/>
  <c r="P928" i="1" s="1"/>
  <c r="Q928" i="1"/>
  <c r="Z928" i="1" s="1"/>
  <c r="V928" i="1"/>
  <c r="G929" i="1"/>
  <c r="O929" i="1"/>
  <c r="P929" i="1" s="1"/>
  <c r="Q929" i="1"/>
  <c r="Z929" i="1" s="1"/>
  <c r="V929" i="1"/>
  <c r="F930" i="1"/>
  <c r="G930" i="1"/>
  <c r="I930" i="1"/>
  <c r="O930" i="1"/>
  <c r="P930" i="1" s="1"/>
  <c r="Q930" i="1"/>
  <c r="Z930" i="1" s="1"/>
  <c r="F931" i="1"/>
  <c r="G931" i="1"/>
  <c r="I931" i="1"/>
  <c r="O931" i="1"/>
  <c r="P931" i="1" s="1"/>
  <c r="Q931" i="1"/>
  <c r="Z931" i="1" s="1"/>
  <c r="V931" i="1"/>
  <c r="F932" i="1"/>
  <c r="G932" i="1"/>
  <c r="I932" i="1"/>
  <c r="O932" i="1"/>
  <c r="P932" i="1" s="1"/>
  <c r="Q932" i="1"/>
  <c r="Z932" i="1" s="1"/>
  <c r="V932" i="1"/>
  <c r="F933" i="1"/>
  <c r="G933" i="1"/>
  <c r="I933" i="1"/>
  <c r="O933" i="1"/>
  <c r="P933" i="1" s="1"/>
  <c r="Q933" i="1"/>
  <c r="Z933" i="1" s="1"/>
  <c r="V933" i="1"/>
  <c r="F934" i="1"/>
  <c r="G934" i="1"/>
  <c r="I934" i="1"/>
  <c r="O934" i="1"/>
  <c r="P934" i="1" s="1"/>
  <c r="Z934" i="1"/>
  <c r="V934" i="1"/>
  <c r="F935" i="1"/>
  <c r="G935" i="1"/>
  <c r="I935" i="1"/>
  <c r="O935" i="1"/>
  <c r="P935" i="1" s="1"/>
  <c r="Q935" i="1"/>
  <c r="V935" i="1"/>
  <c r="Z935" i="1"/>
  <c r="F936" i="1"/>
  <c r="G936" i="1"/>
  <c r="I936" i="1"/>
  <c r="O936" i="1"/>
  <c r="P936" i="1" s="1"/>
  <c r="Q936" i="1"/>
  <c r="V936" i="1"/>
  <c r="Z936" i="1"/>
  <c r="F937" i="1"/>
  <c r="G937" i="1"/>
  <c r="I937" i="1"/>
  <c r="O937" i="1"/>
  <c r="P937" i="1" s="1"/>
  <c r="Q937" i="1"/>
  <c r="Z937" i="1" s="1"/>
  <c r="V937" i="1"/>
  <c r="F938" i="1"/>
  <c r="G938" i="1"/>
  <c r="I938" i="1"/>
  <c r="O938" i="1"/>
  <c r="P938" i="1" s="1"/>
  <c r="Q938" i="1"/>
  <c r="V938" i="1"/>
  <c r="Z938" i="1"/>
  <c r="F939" i="1"/>
  <c r="G939" i="1"/>
  <c r="I939" i="1"/>
  <c r="O939" i="1"/>
  <c r="P939" i="1" s="1"/>
  <c r="Q939" i="1"/>
  <c r="Z939" i="1" s="1"/>
  <c r="V939" i="1"/>
  <c r="F940" i="1"/>
  <c r="G940" i="1"/>
  <c r="I940" i="1"/>
  <c r="W940" i="1"/>
  <c r="Q940" i="1"/>
  <c r="Z940" i="1" s="1"/>
  <c r="V940" i="1"/>
  <c r="F941" i="1"/>
  <c r="G941" i="1"/>
  <c r="I941" i="1"/>
  <c r="O941" i="1"/>
  <c r="P941" i="1" s="1"/>
  <c r="Q941" i="1"/>
  <c r="V941" i="1"/>
  <c r="Z941" i="1"/>
  <c r="F942" i="1"/>
  <c r="G942" i="1"/>
  <c r="I942" i="1"/>
  <c r="O942" i="1"/>
  <c r="P942" i="1" s="1"/>
  <c r="V942" i="1"/>
  <c r="Z942" i="1"/>
  <c r="F943" i="1"/>
  <c r="G943" i="1"/>
  <c r="I943" i="1"/>
  <c r="O943" i="1"/>
  <c r="P943" i="1" s="1"/>
  <c r="Q943" i="1"/>
  <c r="Z943" i="1" s="1"/>
  <c r="V943" i="1"/>
  <c r="F944" i="1"/>
  <c r="G944" i="1"/>
  <c r="I944" i="1"/>
  <c r="O944" i="1"/>
  <c r="P944" i="1" s="1"/>
  <c r="Q944" i="1"/>
  <c r="V944" i="1"/>
  <c r="Z944" i="1"/>
  <c r="F945" i="1"/>
  <c r="G945" i="1"/>
  <c r="I945" i="1"/>
  <c r="O945" i="1"/>
  <c r="P945" i="1" s="1"/>
  <c r="Q945" i="1"/>
  <c r="V945" i="1"/>
  <c r="Z945" i="1"/>
  <c r="F946" i="1"/>
  <c r="G946" i="1"/>
  <c r="I946" i="1"/>
  <c r="O946" i="1"/>
  <c r="P946" i="1" s="1"/>
  <c r="Q946" i="1"/>
  <c r="Z946" i="1" s="1"/>
  <c r="V946" i="1"/>
  <c r="F947" i="1"/>
  <c r="G947" i="1"/>
  <c r="I947" i="1"/>
  <c r="O947" i="1"/>
  <c r="P947" i="1" s="1"/>
  <c r="Q947" i="1"/>
  <c r="Z947" i="1" s="1"/>
  <c r="V947" i="1"/>
  <c r="F948" i="1"/>
  <c r="G948" i="1"/>
  <c r="I948" i="1"/>
  <c r="O948" i="1"/>
  <c r="P948" i="1" s="1"/>
  <c r="Q948" i="1"/>
  <c r="Z948" i="1" s="1"/>
  <c r="V948" i="1"/>
  <c r="F949" i="1"/>
  <c r="G949" i="1"/>
  <c r="I949" i="1"/>
  <c r="O949" i="1"/>
  <c r="P949" i="1" s="1"/>
  <c r="Q949" i="1"/>
  <c r="Z949" i="1" s="1"/>
  <c r="V949" i="1"/>
  <c r="F950" i="1"/>
  <c r="G950" i="1"/>
  <c r="O950" i="1"/>
  <c r="P950" i="1" s="1"/>
  <c r="Q950" i="1"/>
  <c r="Z950" i="1" s="1"/>
  <c r="V950" i="1"/>
  <c r="F951" i="1"/>
  <c r="G951" i="1"/>
  <c r="O951" i="1"/>
  <c r="P951" i="1" s="1"/>
  <c r="Q951" i="1"/>
  <c r="Z951" i="1" s="1"/>
  <c r="V951" i="1"/>
  <c r="F952" i="1"/>
  <c r="G952" i="1"/>
  <c r="O952" i="1"/>
  <c r="P952" i="1" s="1"/>
  <c r="Q952" i="1"/>
  <c r="Z952" i="1" s="1"/>
  <c r="V952" i="1"/>
  <c r="F953" i="1"/>
  <c r="G953" i="1"/>
  <c r="O953" i="1"/>
  <c r="P953" i="1" s="1"/>
  <c r="Q953" i="1"/>
  <c r="Z953" i="1" s="1"/>
  <c r="V953" i="1"/>
  <c r="F954" i="1"/>
  <c r="G954" i="1"/>
  <c r="O954" i="1"/>
  <c r="P954" i="1" s="1"/>
  <c r="Q954" i="1"/>
  <c r="V954" i="1"/>
  <c r="Z954" i="1"/>
  <c r="F955" i="1"/>
  <c r="G955" i="1"/>
  <c r="O955" i="1"/>
  <c r="P955" i="1" s="1"/>
  <c r="Q955" i="1"/>
  <c r="Z955" i="1" s="1"/>
  <c r="V955" i="1"/>
  <c r="F956" i="1"/>
  <c r="G956" i="1"/>
  <c r="O956" i="1"/>
  <c r="P956" i="1" s="1"/>
  <c r="Q956" i="1"/>
  <c r="Z956" i="1" s="1"/>
  <c r="V956" i="1"/>
  <c r="F957" i="1"/>
  <c r="G957" i="1"/>
  <c r="O957" i="1"/>
  <c r="P957" i="1" s="1"/>
  <c r="Q957" i="1"/>
  <c r="V957" i="1"/>
  <c r="Z957" i="1"/>
  <c r="F958" i="1"/>
  <c r="G958" i="1"/>
  <c r="I958" i="1"/>
  <c r="N958" i="1"/>
  <c r="O958" i="1" s="1"/>
  <c r="P958" i="1" s="1"/>
  <c r="Q958" i="1"/>
  <c r="Z958" i="1" s="1"/>
  <c r="V958" i="1"/>
  <c r="F959" i="1"/>
  <c r="G959" i="1"/>
  <c r="I959" i="1"/>
  <c r="O959" i="1"/>
  <c r="P959" i="1" s="1"/>
  <c r="Q959" i="1"/>
  <c r="Z959" i="1" s="1"/>
  <c r="V959" i="1"/>
  <c r="F960" i="1"/>
  <c r="G960" i="1"/>
  <c r="I960" i="1"/>
  <c r="N960" i="1"/>
  <c r="O960" i="1" s="1"/>
  <c r="P960" i="1" s="1"/>
  <c r="Q960" i="1"/>
  <c r="Z960" i="1" s="1"/>
  <c r="V960" i="1"/>
  <c r="F961" i="1"/>
  <c r="G961" i="1"/>
  <c r="I961" i="1"/>
  <c r="O961" i="1"/>
  <c r="P961" i="1" s="1"/>
  <c r="Z961" i="1"/>
  <c r="V961" i="1"/>
  <c r="F962" i="1"/>
  <c r="G962" i="1"/>
  <c r="I962" i="1"/>
  <c r="N962" i="1"/>
  <c r="Q962" i="1"/>
  <c r="Z962" i="1" s="1"/>
  <c r="V962" i="1"/>
  <c r="F963" i="1"/>
  <c r="G963" i="1"/>
  <c r="I963" i="1"/>
  <c r="N963" i="1"/>
  <c r="Q963" i="1"/>
  <c r="Z963" i="1" s="1"/>
  <c r="V963" i="1"/>
  <c r="F964" i="1"/>
  <c r="G964" i="1"/>
  <c r="I964" i="1"/>
  <c r="O964" i="1"/>
  <c r="P964" i="1" s="1"/>
  <c r="Q964" i="1"/>
  <c r="Z964" i="1" s="1"/>
  <c r="V964" i="1"/>
  <c r="F965" i="1"/>
  <c r="G965" i="1"/>
  <c r="I965" i="1"/>
  <c r="O965" i="1"/>
  <c r="P965" i="1" s="1"/>
  <c r="Q965" i="1"/>
  <c r="Z965" i="1" s="1"/>
  <c r="V965" i="1"/>
  <c r="F966" i="1"/>
  <c r="G966" i="1"/>
  <c r="I966" i="1"/>
  <c r="O966" i="1"/>
  <c r="P966" i="1" s="1"/>
  <c r="Q966" i="1"/>
  <c r="V966" i="1"/>
  <c r="Z966" i="1"/>
  <c r="F967" i="1"/>
  <c r="G967" i="1"/>
  <c r="I967" i="1"/>
  <c r="O967" i="1"/>
  <c r="P967" i="1" s="1"/>
  <c r="Q967" i="1"/>
  <c r="Z967" i="1" s="1"/>
  <c r="V967" i="1"/>
  <c r="F968" i="1"/>
  <c r="G968" i="1"/>
  <c r="I968" i="1"/>
  <c r="N968" i="1"/>
  <c r="O968" i="1" s="1"/>
  <c r="P968" i="1" s="1"/>
  <c r="Q968" i="1"/>
  <c r="Z968" i="1" s="1"/>
  <c r="V968" i="1"/>
  <c r="F969" i="1"/>
  <c r="G969" i="1"/>
  <c r="I969" i="1"/>
  <c r="N969" i="1"/>
  <c r="O969" i="1" s="1"/>
  <c r="P969" i="1" s="1"/>
  <c r="Q969" i="1"/>
  <c r="Z969" i="1" s="1"/>
  <c r="V969" i="1"/>
  <c r="F970" i="1"/>
  <c r="G970" i="1"/>
  <c r="I970" i="1"/>
  <c r="O970" i="1"/>
  <c r="P970" i="1" s="1"/>
  <c r="Q970" i="1"/>
  <c r="V970" i="1"/>
  <c r="Z970" i="1"/>
  <c r="F971" i="1"/>
  <c r="G971" i="1"/>
  <c r="I971" i="1"/>
  <c r="O971" i="1"/>
  <c r="P971" i="1" s="1"/>
  <c r="Q971" i="1"/>
  <c r="V971" i="1"/>
  <c r="Z971" i="1"/>
  <c r="F972" i="1"/>
  <c r="G972" i="1"/>
  <c r="I972" i="1"/>
  <c r="O972" i="1"/>
  <c r="P972" i="1" s="1"/>
  <c r="Q972" i="1"/>
  <c r="V972" i="1"/>
  <c r="Z972" i="1"/>
  <c r="F973" i="1"/>
  <c r="G973" i="1"/>
  <c r="I973" i="1"/>
  <c r="O973" i="1"/>
  <c r="P973" i="1" s="1"/>
  <c r="Q973" i="1"/>
  <c r="V973" i="1"/>
  <c r="Z973" i="1"/>
  <c r="F974" i="1"/>
  <c r="G974" i="1"/>
  <c r="I974" i="1"/>
  <c r="O974" i="1"/>
  <c r="P974" i="1" s="1"/>
  <c r="Q974" i="1"/>
  <c r="V974" i="1"/>
  <c r="Z974" i="1"/>
  <c r="F975" i="1"/>
  <c r="G975" i="1"/>
  <c r="I975" i="1"/>
  <c r="O975" i="1"/>
  <c r="P975" i="1" s="1"/>
  <c r="Q975" i="1"/>
  <c r="V975" i="1"/>
  <c r="Z975" i="1"/>
  <c r="F976" i="1"/>
  <c r="G976" i="1"/>
  <c r="I976" i="1"/>
  <c r="O976" i="1"/>
  <c r="P976" i="1" s="1"/>
  <c r="Q976" i="1"/>
  <c r="V976" i="1"/>
  <c r="Z976" i="1"/>
  <c r="F977" i="1"/>
  <c r="G977" i="1"/>
  <c r="O977" i="1"/>
  <c r="P977" i="1" s="1"/>
  <c r="Q977" i="1"/>
  <c r="V977" i="1"/>
  <c r="Z977" i="1"/>
  <c r="F978" i="1"/>
  <c r="G978" i="1"/>
  <c r="O978" i="1"/>
  <c r="P978" i="1" s="1"/>
  <c r="Q978" i="1"/>
  <c r="V978" i="1"/>
  <c r="Z978" i="1"/>
  <c r="F979" i="1"/>
  <c r="G979" i="1"/>
  <c r="O979" i="1"/>
  <c r="P979" i="1" s="1"/>
  <c r="Q979" i="1"/>
  <c r="V979" i="1"/>
  <c r="Z979" i="1"/>
  <c r="F980" i="1"/>
  <c r="G980" i="1"/>
  <c r="O980" i="1"/>
  <c r="P980" i="1" s="1"/>
  <c r="Q980" i="1"/>
  <c r="V980" i="1"/>
  <c r="Z980" i="1"/>
  <c r="F981" i="1"/>
  <c r="G981" i="1"/>
  <c r="O981" i="1"/>
  <c r="P981" i="1" s="1"/>
  <c r="Q981" i="1"/>
  <c r="V981" i="1"/>
  <c r="Z981" i="1"/>
  <c r="F982" i="1"/>
  <c r="G982" i="1"/>
  <c r="O982" i="1"/>
  <c r="P982" i="1" s="1"/>
  <c r="Q982" i="1"/>
  <c r="V982" i="1"/>
  <c r="Z982" i="1"/>
  <c r="F983" i="1"/>
  <c r="G983" i="1"/>
  <c r="O983" i="1"/>
  <c r="P983" i="1" s="1"/>
  <c r="Q983" i="1"/>
  <c r="V983" i="1"/>
  <c r="Z983" i="1"/>
  <c r="F984" i="1"/>
  <c r="G984" i="1"/>
  <c r="O984" i="1"/>
  <c r="P984" i="1" s="1"/>
  <c r="Q984" i="1"/>
  <c r="V984" i="1"/>
  <c r="Z984" i="1"/>
  <c r="F985" i="1"/>
  <c r="G985" i="1"/>
  <c r="O985" i="1"/>
  <c r="P985" i="1" s="1"/>
  <c r="Q985" i="1"/>
  <c r="V985" i="1"/>
  <c r="Z985" i="1"/>
  <c r="F986" i="1"/>
  <c r="G986" i="1"/>
  <c r="O986" i="1"/>
  <c r="P986" i="1" s="1"/>
  <c r="Q986" i="1"/>
  <c r="V986" i="1"/>
  <c r="Z986" i="1"/>
  <c r="F987" i="1"/>
  <c r="G987" i="1"/>
  <c r="I987" i="1"/>
  <c r="O987" i="1"/>
  <c r="P987" i="1" s="1"/>
  <c r="Q987" i="1"/>
  <c r="Z987" i="1" s="1"/>
  <c r="V987" i="1"/>
  <c r="F988" i="1"/>
  <c r="G988" i="1"/>
  <c r="I988" i="1"/>
  <c r="O988" i="1"/>
  <c r="P988" i="1" s="1"/>
  <c r="Q988" i="1"/>
  <c r="Z988" i="1" s="1"/>
  <c r="V988" i="1"/>
  <c r="F989" i="1"/>
  <c r="G989" i="1"/>
  <c r="I989" i="1"/>
  <c r="O989" i="1"/>
  <c r="P989" i="1" s="1"/>
  <c r="Q989" i="1"/>
  <c r="Z989" i="1" s="1"/>
  <c r="V989" i="1"/>
  <c r="F990" i="1"/>
  <c r="G990" i="1"/>
  <c r="I990" i="1"/>
  <c r="O990" i="1"/>
  <c r="P990" i="1" s="1"/>
  <c r="Q990" i="1"/>
  <c r="Z990" i="1" s="1"/>
  <c r="V990" i="1"/>
  <c r="F991" i="1"/>
  <c r="G991" i="1"/>
  <c r="I991" i="1"/>
  <c r="O991" i="1"/>
  <c r="P991" i="1" s="1"/>
  <c r="Q991" i="1"/>
  <c r="Z991" i="1" s="1"/>
  <c r="V991" i="1"/>
  <c r="F993" i="1"/>
  <c r="G993" i="1"/>
  <c r="I993" i="1"/>
  <c r="O993" i="1"/>
  <c r="P993" i="1" s="1"/>
  <c r="Q993" i="1"/>
  <c r="Z993" i="1" s="1"/>
  <c r="V993" i="1"/>
  <c r="F994" i="1"/>
  <c r="G994" i="1"/>
  <c r="I994" i="1"/>
  <c r="O994" i="1"/>
  <c r="P994" i="1" s="1"/>
  <c r="Q994" i="1"/>
  <c r="Z994" i="1" s="1"/>
  <c r="V994" i="1"/>
  <c r="F995" i="1"/>
  <c r="G995" i="1"/>
  <c r="I995" i="1"/>
  <c r="O995" i="1"/>
  <c r="P995" i="1" s="1"/>
  <c r="Q995" i="1"/>
  <c r="Z995" i="1" s="1"/>
  <c r="V995" i="1"/>
  <c r="F996" i="1"/>
  <c r="G996" i="1"/>
  <c r="I996" i="1"/>
  <c r="O996" i="1"/>
  <c r="P996" i="1" s="1"/>
  <c r="Q996" i="1"/>
  <c r="Z996" i="1" s="1"/>
  <c r="V996" i="1"/>
  <c r="F997" i="1"/>
  <c r="G997" i="1"/>
  <c r="I997" i="1"/>
  <c r="O997" i="1"/>
  <c r="P997" i="1" s="1"/>
  <c r="Q997" i="1"/>
  <c r="Z997" i="1" s="1"/>
  <c r="V997" i="1"/>
  <c r="F998" i="1"/>
  <c r="G998" i="1"/>
  <c r="I998" i="1"/>
  <c r="O998" i="1"/>
  <c r="P998" i="1" s="1"/>
  <c r="Q998" i="1"/>
  <c r="Z998" i="1" s="1"/>
  <c r="V998" i="1"/>
  <c r="F999" i="1"/>
  <c r="G999" i="1"/>
  <c r="I999" i="1"/>
  <c r="N999" i="1"/>
  <c r="O999" i="1" s="1"/>
  <c r="P999" i="1" s="1"/>
  <c r="Z999" i="1"/>
  <c r="V999" i="1"/>
  <c r="F1000" i="1"/>
  <c r="G1000" i="1"/>
  <c r="I1000" i="1"/>
  <c r="O1000" i="1"/>
  <c r="P1000" i="1" s="1"/>
  <c r="Q1000" i="1"/>
  <c r="Z1000" i="1" s="1"/>
  <c r="V1000" i="1"/>
  <c r="F1001" i="1"/>
  <c r="G1001" i="1"/>
  <c r="I1001" i="1"/>
  <c r="O1001" i="1"/>
  <c r="P1001" i="1" s="1"/>
  <c r="Q1001" i="1"/>
  <c r="Z1001" i="1" s="1"/>
  <c r="V1001" i="1"/>
  <c r="F1002" i="1"/>
  <c r="G1002" i="1"/>
  <c r="I1002" i="1"/>
  <c r="O1002" i="1"/>
  <c r="P1002" i="1" s="1"/>
  <c r="Q1002" i="1"/>
  <c r="Z1002" i="1" s="1"/>
  <c r="V1002" i="1"/>
  <c r="F1003" i="1"/>
  <c r="G1003" i="1"/>
  <c r="I1003" i="1"/>
  <c r="O1003" i="1"/>
  <c r="P1003" i="1" s="1"/>
  <c r="Q1003" i="1"/>
  <c r="Z1003" i="1" s="1"/>
  <c r="V1003" i="1"/>
  <c r="F1004" i="1"/>
  <c r="G1004" i="1"/>
  <c r="I1004" i="1"/>
  <c r="O1004" i="1"/>
  <c r="P1004" i="1" s="1"/>
  <c r="Q1004" i="1"/>
  <c r="Z1004" i="1" s="1"/>
  <c r="V1004" i="1"/>
  <c r="F1005" i="1"/>
  <c r="G1005" i="1"/>
  <c r="I1005" i="1"/>
  <c r="O1005" i="1"/>
  <c r="P1005" i="1" s="1"/>
  <c r="Q1005" i="1"/>
  <c r="Z1005" i="1" s="1"/>
  <c r="V1005" i="1"/>
  <c r="F1006" i="1"/>
  <c r="G1006" i="1"/>
  <c r="I1006" i="1"/>
  <c r="O1006" i="1"/>
  <c r="P1006" i="1" s="1"/>
  <c r="Q1006" i="1"/>
  <c r="V1006" i="1"/>
  <c r="Z1006" i="1"/>
  <c r="F1007" i="1"/>
  <c r="G1007" i="1"/>
  <c r="I1007" i="1"/>
  <c r="O1007" i="1"/>
  <c r="P1007" i="1" s="1"/>
  <c r="Q1007" i="1"/>
  <c r="V1007" i="1"/>
  <c r="Z1007" i="1"/>
  <c r="F1008" i="1"/>
  <c r="G1008" i="1"/>
  <c r="I1008" i="1"/>
  <c r="O1008" i="1"/>
  <c r="P1008" i="1" s="1"/>
  <c r="Q1008" i="1"/>
  <c r="Z1008" i="1" s="1"/>
  <c r="V1008" i="1"/>
  <c r="F1009" i="1"/>
  <c r="G1009" i="1"/>
  <c r="I1009" i="1"/>
  <c r="O1009" i="1"/>
  <c r="P1009" i="1" s="1"/>
  <c r="Q1009" i="1"/>
  <c r="Z1009" i="1" s="1"/>
  <c r="V1009" i="1"/>
  <c r="F1010" i="1"/>
  <c r="G1010" i="1"/>
  <c r="I1010" i="1"/>
  <c r="O1010" i="1"/>
  <c r="P1010" i="1" s="1"/>
  <c r="Q1010" i="1"/>
  <c r="Z1010" i="1" s="1"/>
  <c r="V1010" i="1"/>
  <c r="F1011" i="1"/>
  <c r="G1011" i="1"/>
  <c r="I1011" i="1"/>
  <c r="O1011" i="1"/>
  <c r="P1011" i="1" s="1"/>
  <c r="Q1011" i="1"/>
  <c r="Z1011" i="1" s="1"/>
  <c r="V1011" i="1"/>
  <c r="F1012" i="1"/>
  <c r="G1012" i="1"/>
  <c r="I1012" i="1"/>
  <c r="O1012" i="1"/>
  <c r="P1012" i="1" s="1"/>
  <c r="Q1012" i="1"/>
  <c r="Z1012" i="1" s="1"/>
  <c r="V1012" i="1"/>
  <c r="F1013" i="1"/>
  <c r="G1013" i="1"/>
  <c r="O1013" i="1"/>
  <c r="P1013" i="1" s="1"/>
  <c r="Q1013" i="1"/>
  <c r="Z1013" i="1" s="1"/>
  <c r="V1013" i="1"/>
  <c r="F1014" i="1"/>
  <c r="G1014" i="1"/>
  <c r="I1014" i="1"/>
  <c r="O1014" i="1"/>
  <c r="P1014" i="1" s="1"/>
  <c r="Q1014" i="1"/>
  <c r="Z1014" i="1" s="1"/>
  <c r="V1014" i="1"/>
  <c r="F1015" i="1"/>
  <c r="G1015" i="1"/>
  <c r="O1015" i="1"/>
  <c r="P1015" i="1" s="1"/>
  <c r="Q1015" i="1"/>
  <c r="Z1015" i="1" s="1"/>
  <c r="V1015" i="1"/>
  <c r="F1016" i="1"/>
  <c r="G1016" i="1"/>
  <c r="O1016" i="1"/>
  <c r="P1016" i="1" s="1"/>
  <c r="Q1016" i="1"/>
  <c r="Z1016" i="1" s="1"/>
  <c r="V1016" i="1"/>
  <c r="F1017" i="1"/>
  <c r="G1017" i="1"/>
  <c r="O1017" i="1"/>
  <c r="P1017" i="1" s="1"/>
  <c r="Q1017" i="1"/>
  <c r="Z1017" i="1" s="1"/>
  <c r="V1017" i="1"/>
  <c r="F1018" i="1"/>
  <c r="G1018" i="1"/>
  <c r="I1018" i="1"/>
  <c r="O1018" i="1"/>
  <c r="P1018" i="1" s="1"/>
  <c r="Q1018" i="1"/>
  <c r="Z1018" i="1" s="1"/>
  <c r="V1018" i="1"/>
  <c r="F1019" i="1"/>
  <c r="G1019" i="1"/>
  <c r="I1019" i="1"/>
  <c r="O1019" i="1"/>
  <c r="P1019" i="1" s="1"/>
  <c r="Q1019" i="1"/>
  <c r="Z1019" i="1" s="1"/>
  <c r="V1019" i="1"/>
  <c r="F1020" i="1"/>
  <c r="G1020" i="1"/>
  <c r="O1020" i="1"/>
  <c r="P1020" i="1" s="1"/>
  <c r="Q1020" i="1"/>
  <c r="Z1020" i="1" s="1"/>
  <c r="V1020" i="1"/>
  <c r="F1021" i="1"/>
  <c r="G1021" i="1"/>
  <c r="O1021" i="1"/>
  <c r="P1021" i="1" s="1"/>
  <c r="Q1021" i="1"/>
  <c r="Z1021" i="1" s="1"/>
  <c r="V1021" i="1"/>
  <c r="F1022" i="1"/>
  <c r="G1022" i="1"/>
  <c r="I1022" i="1"/>
  <c r="O1022" i="1"/>
  <c r="P1022" i="1" s="1"/>
  <c r="Q1022" i="1"/>
  <c r="Z1022" i="1" s="1"/>
  <c r="V1022" i="1"/>
  <c r="F1023" i="1"/>
  <c r="G1023" i="1"/>
  <c r="I1023" i="1"/>
  <c r="O1023" i="1"/>
  <c r="P1023" i="1" s="1"/>
  <c r="Q1023" i="1"/>
  <c r="Z1023" i="1" s="1"/>
  <c r="V1023" i="1"/>
  <c r="F1024" i="1"/>
  <c r="G1024" i="1"/>
  <c r="I1024" i="1"/>
  <c r="O1024" i="1"/>
  <c r="P1024" i="1" s="1"/>
  <c r="Q1024" i="1"/>
  <c r="Z1024" i="1" s="1"/>
  <c r="V1024" i="1"/>
  <c r="F1025" i="1"/>
  <c r="G1025" i="1"/>
  <c r="I1025" i="1"/>
  <c r="O1025" i="1"/>
  <c r="P1025" i="1" s="1"/>
  <c r="Q1025" i="1"/>
  <c r="Z1025" i="1" s="1"/>
  <c r="V1025" i="1"/>
  <c r="F1026" i="1"/>
  <c r="G1026" i="1"/>
  <c r="O1026" i="1"/>
  <c r="P1026" i="1" s="1"/>
  <c r="Q1026" i="1"/>
  <c r="Z1026" i="1" s="1"/>
  <c r="V1026" i="1"/>
  <c r="F1027" i="1"/>
  <c r="G1027" i="1"/>
  <c r="I1027" i="1"/>
  <c r="O1027" i="1"/>
  <c r="P1027" i="1" s="1"/>
  <c r="Q1027" i="1"/>
  <c r="Z1027" i="1" s="1"/>
  <c r="V1027" i="1"/>
  <c r="F1028" i="1"/>
  <c r="G1028" i="1"/>
  <c r="I1028" i="1"/>
  <c r="O1028" i="1"/>
  <c r="P1028" i="1" s="1"/>
  <c r="Q1028" i="1"/>
  <c r="Z1028" i="1" s="1"/>
  <c r="V1028" i="1"/>
  <c r="F1029" i="1"/>
  <c r="G1029" i="1"/>
  <c r="I1029" i="1"/>
  <c r="O1029" i="1"/>
  <c r="P1029" i="1" s="1"/>
  <c r="Q1029" i="1"/>
  <c r="Z1029" i="1" s="1"/>
  <c r="V1029" i="1"/>
  <c r="F1030" i="1"/>
  <c r="G1030" i="1"/>
  <c r="O1030" i="1"/>
  <c r="P1030" i="1" s="1"/>
  <c r="Q1030" i="1"/>
  <c r="Z1030" i="1" s="1"/>
  <c r="V1030" i="1"/>
  <c r="F1031" i="1"/>
  <c r="G1031" i="1"/>
  <c r="O1031" i="1"/>
  <c r="P1031" i="1" s="1"/>
  <c r="Q1031" i="1"/>
  <c r="Z1031" i="1" s="1"/>
  <c r="V1031" i="1"/>
  <c r="F1032" i="1"/>
  <c r="G1032" i="1"/>
  <c r="I1032" i="1"/>
  <c r="O1032" i="1"/>
  <c r="P1032" i="1" s="1"/>
  <c r="Q1032" i="1"/>
  <c r="Z1032" i="1" s="1"/>
  <c r="V1032" i="1"/>
  <c r="F1033" i="1"/>
  <c r="G1033" i="1"/>
  <c r="O1033" i="1"/>
  <c r="P1033" i="1" s="1"/>
  <c r="Q1033" i="1"/>
  <c r="Z1033" i="1" s="1"/>
  <c r="V1033" i="1"/>
  <c r="F1034" i="1"/>
  <c r="G1034" i="1"/>
  <c r="O1034" i="1"/>
  <c r="P1034" i="1" s="1"/>
  <c r="Q1034" i="1"/>
  <c r="Z1034" i="1" s="1"/>
  <c r="V1034" i="1"/>
  <c r="F1035" i="1"/>
  <c r="G1035" i="1"/>
  <c r="O1035" i="1"/>
  <c r="P1035" i="1" s="1"/>
  <c r="Q1035" i="1"/>
  <c r="Z1035" i="1" s="1"/>
  <c r="V1035" i="1"/>
  <c r="F1036" i="1"/>
  <c r="G1036" i="1"/>
  <c r="I1036" i="1"/>
  <c r="O1036" i="1"/>
  <c r="P1036" i="1" s="1"/>
  <c r="Q1036" i="1"/>
  <c r="Z1036" i="1" s="1"/>
  <c r="V1036" i="1"/>
  <c r="F1037" i="1"/>
  <c r="G1037" i="1"/>
  <c r="I1037" i="1"/>
  <c r="O1037" i="1"/>
  <c r="P1037" i="1" s="1"/>
  <c r="Q1037" i="1"/>
  <c r="Z1037" i="1" s="1"/>
  <c r="V1037" i="1"/>
  <c r="F1038" i="1"/>
  <c r="G1038" i="1"/>
  <c r="I1038" i="1"/>
  <c r="N1038" i="1"/>
  <c r="O1038" i="1" s="1"/>
  <c r="P1038" i="1" s="1"/>
  <c r="Q1038" i="1"/>
  <c r="Z1038" i="1" s="1"/>
  <c r="V1038" i="1"/>
  <c r="F1039" i="1"/>
  <c r="G1039" i="1"/>
  <c r="I1039" i="1"/>
  <c r="N1039" i="1"/>
  <c r="O1039" i="1" s="1"/>
  <c r="P1039" i="1" s="1"/>
  <c r="Q1039" i="1"/>
  <c r="Z1039" i="1" s="1"/>
  <c r="V1039" i="1"/>
  <c r="F1040" i="1"/>
  <c r="G1040" i="1"/>
  <c r="I1040" i="1"/>
  <c r="N1040" i="1"/>
  <c r="O1040" i="1" s="1"/>
  <c r="P1040" i="1" s="1"/>
  <c r="Q1040" i="1"/>
  <c r="Z1040" i="1" s="1"/>
  <c r="V1040" i="1"/>
  <c r="F1041" i="1"/>
  <c r="G1041" i="1"/>
  <c r="I1041" i="1"/>
  <c r="N1041" i="1"/>
  <c r="O1041" i="1" s="1"/>
  <c r="P1041" i="1" s="1"/>
  <c r="Q1041" i="1"/>
  <c r="Z1041" i="1" s="1"/>
  <c r="V1041" i="1"/>
  <c r="F1042" i="1"/>
  <c r="G1042" i="1"/>
  <c r="I1042" i="1"/>
  <c r="N1042" i="1"/>
  <c r="O1042" i="1" s="1"/>
  <c r="P1042" i="1" s="1"/>
  <c r="Q1042" i="1"/>
  <c r="Z1042" i="1" s="1"/>
  <c r="V1042" i="1"/>
  <c r="O1043" i="1"/>
  <c r="P1043" i="1" s="1"/>
  <c r="Q1043" i="1"/>
  <c r="Z1043" i="1" s="1"/>
  <c r="V1043" i="1"/>
  <c r="F1044" i="1"/>
  <c r="O1044" i="1"/>
  <c r="P1044" i="1" s="1"/>
  <c r="Q1044" i="1"/>
  <c r="Z1044" i="1" s="1"/>
  <c r="V1044" i="1"/>
  <c r="F1045" i="1"/>
  <c r="G1045" i="1"/>
  <c r="O1045" i="1"/>
  <c r="P1045" i="1" s="1"/>
  <c r="Q1045" i="1"/>
  <c r="V1045" i="1"/>
  <c r="Z1045" i="1"/>
  <c r="F1046" i="1"/>
  <c r="G1046" i="1"/>
  <c r="I1046" i="1"/>
  <c r="O1046" i="1"/>
  <c r="P1046" i="1" s="1"/>
  <c r="Z1046" i="1"/>
  <c r="V1046" i="1"/>
  <c r="F1047" i="1"/>
  <c r="G1047" i="1"/>
  <c r="I1047" i="1"/>
  <c r="O1047" i="1"/>
  <c r="P1047" i="1" s="1"/>
  <c r="Z1047" i="1"/>
  <c r="V1047" i="1"/>
  <c r="F1048" i="1"/>
  <c r="G1048" i="1"/>
  <c r="I1048" i="1"/>
  <c r="O1048" i="1"/>
  <c r="P1048" i="1" s="1"/>
  <c r="Z1048" i="1"/>
  <c r="V1048" i="1"/>
  <c r="F1049" i="1"/>
  <c r="G1049" i="1"/>
  <c r="I1049" i="1"/>
  <c r="O1049" i="1"/>
  <c r="P1049" i="1" s="1"/>
  <c r="V1049" i="1"/>
  <c r="Z1049" i="1"/>
  <c r="F1050" i="1"/>
  <c r="G1050" i="1"/>
  <c r="I1050" i="1"/>
  <c r="O1050" i="1"/>
  <c r="P1050" i="1" s="1"/>
  <c r="Z1050" i="1"/>
  <c r="V1050" i="1"/>
  <c r="F1051" i="1"/>
  <c r="G1051" i="1"/>
  <c r="I1051" i="1"/>
  <c r="O1051" i="1"/>
  <c r="P1051" i="1" s="1"/>
  <c r="Z1051" i="1"/>
  <c r="V1051" i="1"/>
  <c r="F1052" i="1"/>
  <c r="G1052" i="1"/>
  <c r="I1052" i="1"/>
  <c r="O1052" i="1"/>
  <c r="P1052" i="1" s="1"/>
  <c r="V1052" i="1"/>
  <c r="Z1052" i="1"/>
  <c r="F1053" i="1"/>
  <c r="G1053" i="1"/>
  <c r="I1053" i="1"/>
  <c r="O1053" i="1"/>
  <c r="P1053" i="1" s="1"/>
  <c r="Z1053" i="1"/>
  <c r="V1053" i="1"/>
  <c r="F1054" i="1"/>
  <c r="G1054" i="1"/>
  <c r="I1054" i="1"/>
  <c r="O1054" i="1"/>
  <c r="P1054" i="1" s="1"/>
  <c r="Z1054" i="1"/>
  <c r="V1054" i="1"/>
  <c r="F1055" i="1"/>
  <c r="G1055" i="1"/>
  <c r="I1055" i="1"/>
  <c r="O1055" i="1"/>
  <c r="P1055" i="1" s="1"/>
  <c r="Z1055" i="1"/>
  <c r="V1055" i="1"/>
  <c r="F1056" i="1"/>
  <c r="G1056" i="1"/>
  <c r="I1056" i="1"/>
  <c r="N1056" i="1"/>
  <c r="O1056" i="1" s="1"/>
  <c r="P1056" i="1" s="1"/>
  <c r="Q1056" i="1"/>
  <c r="Z1056" i="1" s="1"/>
  <c r="V1056" i="1"/>
  <c r="F1057" i="1"/>
  <c r="G1057" i="1"/>
  <c r="I1057" i="1"/>
  <c r="N1057" i="1"/>
  <c r="O1057" i="1" s="1"/>
  <c r="P1057" i="1" s="1"/>
  <c r="Q1057" i="1"/>
  <c r="Z1057" i="1" s="1"/>
  <c r="V1057" i="1"/>
  <c r="F1058" i="1"/>
  <c r="G1058" i="1"/>
  <c r="N1058" i="1"/>
  <c r="O1058" i="1" s="1"/>
  <c r="P1058" i="1" s="1"/>
  <c r="Q1058" i="1"/>
  <c r="Z1058" i="1" s="1"/>
  <c r="V1058" i="1"/>
  <c r="F1059" i="1"/>
  <c r="G1059" i="1"/>
  <c r="I1059" i="1"/>
  <c r="N1059" i="1"/>
  <c r="O1059" i="1" s="1"/>
  <c r="P1059" i="1" s="1"/>
  <c r="Q1059" i="1"/>
  <c r="Z1059" i="1" s="1"/>
  <c r="V1059" i="1"/>
  <c r="F1060" i="1"/>
  <c r="G1060" i="1"/>
  <c r="I1060" i="1"/>
  <c r="N1060" i="1"/>
  <c r="O1060" i="1" s="1"/>
  <c r="P1060" i="1" s="1"/>
  <c r="Q1060" i="1"/>
  <c r="Z1060" i="1" s="1"/>
  <c r="V1060" i="1"/>
  <c r="F1061" i="1"/>
  <c r="G1061" i="1"/>
  <c r="I1061" i="1"/>
  <c r="N1061" i="1"/>
  <c r="O1061" i="1" s="1"/>
  <c r="P1061" i="1" s="1"/>
  <c r="Q1061" i="1"/>
  <c r="Z1061" i="1" s="1"/>
  <c r="V1061" i="1"/>
  <c r="F1062" i="1"/>
  <c r="G1062" i="1"/>
  <c r="I1062" i="1"/>
  <c r="N1062" i="1"/>
  <c r="O1062" i="1" s="1"/>
  <c r="P1062" i="1" s="1"/>
  <c r="Q1062" i="1"/>
  <c r="Z1062" i="1" s="1"/>
  <c r="V1062" i="1"/>
  <c r="F1063" i="1"/>
  <c r="G1063" i="1"/>
  <c r="I1063" i="1"/>
  <c r="N1063" i="1"/>
  <c r="O1063" i="1" s="1"/>
  <c r="P1063" i="1" s="1"/>
  <c r="Q1063" i="1"/>
  <c r="Z1063" i="1" s="1"/>
  <c r="V1063" i="1"/>
  <c r="F1064" i="1"/>
  <c r="G1064" i="1"/>
  <c r="I1064" i="1"/>
  <c r="N1064" i="1"/>
  <c r="O1064" i="1" s="1"/>
  <c r="P1064" i="1" s="1"/>
  <c r="Q1064" i="1"/>
  <c r="Z1064" i="1" s="1"/>
  <c r="V1064" i="1"/>
  <c r="F1065" i="1"/>
  <c r="G1065" i="1"/>
  <c r="I1065" i="1"/>
  <c r="N1065" i="1"/>
  <c r="O1065" i="1" s="1"/>
  <c r="P1065" i="1" s="1"/>
  <c r="Q1065" i="1"/>
  <c r="V1065" i="1"/>
  <c r="Z1065" i="1"/>
  <c r="F1066" i="1"/>
  <c r="G1066" i="1"/>
  <c r="I1066" i="1"/>
  <c r="N1066" i="1"/>
  <c r="O1066" i="1" s="1"/>
  <c r="P1066" i="1" s="1"/>
  <c r="Q1066" i="1"/>
  <c r="Z1066" i="1" s="1"/>
  <c r="V1066" i="1"/>
  <c r="F1067" i="1"/>
  <c r="G1067" i="1"/>
  <c r="I1067" i="1"/>
  <c r="N1067" i="1"/>
  <c r="O1067" i="1" s="1"/>
  <c r="P1067" i="1" s="1"/>
  <c r="Q1067" i="1"/>
  <c r="Z1067" i="1" s="1"/>
  <c r="V1067" i="1"/>
  <c r="I1206" i="1"/>
  <c r="N1206" i="1"/>
  <c r="O1206" i="1" s="1"/>
  <c r="P1206" i="1" s="1"/>
  <c r="Q1206" i="1"/>
  <c r="V1206" i="1"/>
  <c r="Z1206" i="1"/>
  <c r="F1207" i="1"/>
  <c r="G1207" i="1"/>
  <c r="I1207" i="1"/>
  <c r="O1207" i="1"/>
  <c r="P1207" i="1" s="1"/>
  <c r="Q1207" i="1"/>
  <c r="V1207" i="1"/>
  <c r="Z1207" i="1"/>
  <c r="F1208" i="1"/>
  <c r="G1208" i="1"/>
  <c r="N1208" i="1"/>
  <c r="O1208" i="1" s="1"/>
  <c r="P1208" i="1" s="1"/>
  <c r="Q1208" i="1"/>
  <c r="Z1208" i="1" s="1"/>
  <c r="V1208" i="1"/>
  <c r="F1209" i="1"/>
  <c r="G1209" i="1"/>
  <c r="I1209" i="1"/>
  <c r="N1209" i="1"/>
  <c r="O1209" i="1" s="1"/>
  <c r="P1209" i="1" s="1"/>
  <c r="Q1209" i="1"/>
  <c r="Z1209" i="1" s="1"/>
  <c r="V1209" i="1"/>
  <c r="F1210" i="1"/>
  <c r="G1210" i="1"/>
  <c r="I1210" i="1"/>
  <c r="N1210" i="1"/>
  <c r="O1210" i="1" s="1"/>
  <c r="P1210" i="1" s="1"/>
  <c r="Q1210" i="1"/>
  <c r="Z1210" i="1" s="1"/>
  <c r="V1210" i="1"/>
  <c r="F1211" i="1"/>
  <c r="G1211" i="1"/>
  <c r="I1211" i="1"/>
  <c r="N1211" i="1"/>
  <c r="O1211" i="1" s="1"/>
  <c r="P1211" i="1" s="1"/>
  <c r="Q1211" i="1"/>
  <c r="Z1211" i="1" s="1"/>
  <c r="V1211" i="1"/>
  <c r="F1212" i="1"/>
  <c r="G1212" i="1"/>
  <c r="I1212" i="1"/>
  <c r="N1212" i="1"/>
  <c r="O1212" i="1" s="1"/>
  <c r="P1212" i="1" s="1"/>
  <c r="Q1212" i="1"/>
  <c r="Z1212" i="1" s="1"/>
  <c r="V1212" i="1"/>
  <c r="F1213" i="1"/>
  <c r="G1213" i="1"/>
  <c r="N1213" i="1"/>
  <c r="O1213" i="1" s="1"/>
  <c r="P1213" i="1" s="1"/>
  <c r="Q1213" i="1"/>
  <c r="V1213" i="1"/>
  <c r="Z1213" i="1"/>
  <c r="F1214" i="1"/>
  <c r="G1214" i="1"/>
  <c r="N1214" i="1"/>
  <c r="O1214" i="1" s="1"/>
  <c r="P1214" i="1" s="1"/>
  <c r="Q1214" i="1"/>
  <c r="Z1214" i="1" s="1"/>
  <c r="V1214" i="1"/>
  <c r="F1215" i="1"/>
  <c r="G1215" i="1"/>
  <c r="I1215" i="1"/>
  <c r="O1215" i="1"/>
  <c r="P1215" i="1" s="1"/>
  <c r="Q1215" i="1"/>
  <c r="Z1215" i="1" s="1"/>
  <c r="V1215" i="1"/>
  <c r="F1216" i="1"/>
  <c r="G1216" i="1"/>
  <c r="I1216" i="1"/>
  <c r="O1216" i="1"/>
  <c r="P1216" i="1" s="1"/>
  <c r="Q1216" i="1"/>
  <c r="Z1216" i="1" s="1"/>
  <c r="V1216" i="1"/>
  <c r="F1217" i="1"/>
  <c r="G1217" i="1"/>
  <c r="N1217" i="1"/>
  <c r="O1217" i="1" s="1"/>
  <c r="P1217" i="1" s="1"/>
  <c r="Q1217" i="1"/>
  <c r="Z1217" i="1" s="1"/>
  <c r="V1217" i="1"/>
  <c r="F1218" i="1"/>
  <c r="G1218" i="1"/>
  <c r="N1218" i="1"/>
  <c r="O1218" i="1" s="1"/>
  <c r="P1218" i="1" s="1"/>
  <c r="Q1218" i="1"/>
  <c r="Z1218" i="1" s="1"/>
  <c r="V1218" i="1"/>
  <c r="F1219" i="1"/>
  <c r="G1219" i="1"/>
  <c r="N1219" i="1"/>
  <c r="O1219" i="1" s="1"/>
  <c r="P1219" i="1" s="1"/>
  <c r="Q1219" i="1"/>
  <c r="Z1219" i="1" s="1"/>
  <c r="V1219" i="1"/>
  <c r="F1220" i="1"/>
  <c r="G1220" i="1"/>
  <c r="N1220" i="1"/>
  <c r="O1220" i="1" s="1"/>
  <c r="P1220" i="1" s="1"/>
  <c r="Q1220" i="1"/>
  <c r="Z1220" i="1" s="1"/>
  <c r="V1220" i="1"/>
  <c r="F1221" i="1"/>
  <c r="G1221" i="1"/>
  <c r="N1221" i="1"/>
  <c r="O1221" i="1" s="1"/>
  <c r="P1221" i="1" s="1"/>
  <c r="Q1221" i="1"/>
  <c r="Z1221" i="1" s="1"/>
  <c r="V1221" i="1"/>
  <c r="F1222" i="1"/>
  <c r="G1222" i="1"/>
  <c r="N1222" i="1"/>
  <c r="O1222" i="1" s="1"/>
  <c r="P1222" i="1" s="1"/>
  <c r="Q1222" i="1"/>
  <c r="Z1222" i="1" s="1"/>
  <c r="V1222" i="1"/>
  <c r="F1223" i="1"/>
  <c r="G1223" i="1"/>
  <c r="N1223" i="1"/>
  <c r="O1223" i="1" s="1"/>
  <c r="P1223" i="1" s="1"/>
  <c r="Q1223" i="1"/>
  <c r="Z1223" i="1" s="1"/>
  <c r="V1223" i="1"/>
  <c r="F1224" i="1"/>
  <c r="G1224" i="1"/>
  <c r="I1224" i="1"/>
  <c r="N1224" i="1"/>
  <c r="O1224" i="1" s="1"/>
  <c r="P1224" i="1" s="1"/>
  <c r="Q1224" i="1"/>
  <c r="Z1224" i="1" s="1"/>
  <c r="V1224" i="1"/>
  <c r="F1225" i="1"/>
  <c r="G1225" i="1"/>
  <c r="I1225" i="1"/>
  <c r="O1225" i="1"/>
  <c r="P1225" i="1" s="1"/>
  <c r="Z1225" i="1"/>
  <c r="V1225" i="1"/>
  <c r="F1226" i="1"/>
  <c r="G1226" i="1"/>
  <c r="I1226" i="1"/>
  <c r="O1226" i="1"/>
  <c r="P1226" i="1" s="1"/>
  <c r="Q1226" i="1"/>
  <c r="Z1226" i="1" s="1"/>
  <c r="V1226" i="1"/>
  <c r="F1227" i="1"/>
  <c r="G1227" i="1"/>
  <c r="I1227" i="1"/>
  <c r="N1227" i="1"/>
  <c r="O1227" i="1" s="1"/>
  <c r="P1227" i="1" s="1"/>
  <c r="Q1227" i="1"/>
  <c r="Z1227" i="1" s="1"/>
  <c r="V1227" i="1"/>
  <c r="F1228" i="1"/>
  <c r="G1228" i="1"/>
  <c r="I1228" i="1"/>
  <c r="O1228" i="1"/>
  <c r="P1228" i="1" s="1"/>
  <c r="Q1228" i="1"/>
  <c r="Z1228" i="1" s="1"/>
  <c r="V1228" i="1"/>
  <c r="F1229" i="1"/>
  <c r="G1229" i="1"/>
  <c r="I1229" i="1"/>
  <c r="N1229" i="1"/>
  <c r="O1229" i="1" s="1"/>
  <c r="P1229" i="1" s="1"/>
  <c r="Q1229" i="1"/>
  <c r="V1229" i="1"/>
  <c r="Z1229" i="1"/>
  <c r="F1230" i="1"/>
  <c r="G1230" i="1"/>
  <c r="I1230" i="1"/>
  <c r="N1230" i="1"/>
  <c r="O1230" i="1" s="1"/>
  <c r="P1230" i="1" s="1"/>
  <c r="Q1230" i="1"/>
  <c r="Z1230" i="1" s="1"/>
  <c r="V1230" i="1"/>
  <c r="F1231" i="1"/>
  <c r="G1231" i="1"/>
  <c r="I1231" i="1"/>
  <c r="N1231" i="1"/>
  <c r="O1231" i="1" s="1"/>
  <c r="P1231" i="1" s="1"/>
  <c r="Q1231" i="1"/>
  <c r="Z1231" i="1" s="1"/>
  <c r="V1231" i="1"/>
  <c r="F1232" i="1"/>
  <c r="G1232" i="1"/>
  <c r="I1232" i="1"/>
  <c r="N1232" i="1"/>
  <c r="O1232" i="1" s="1"/>
  <c r="P1232" i="1" s="1"/>
  <c r="Q1232" i="1"/>
  <c r="Z1232" i="1" s="1"/>
  <c r="V1232" i="1"/>
  <c r="F1233" i="1"/>
  <c r="G1233" i="1"/>
  <c r="I1233" i="1"/>
  <c r="N1233" i="1"/>
  <c r="O1233" i="1" s="1"/>
  <c r="P1233" i="1" s="1"/>
  <c r="Q1233" i="1"/>
  <c r="Z1233" i="1" s="1"/>
  <c r="V1233" i="1"/>
  <c r="F1234" i="1"/>
  <c r="G1234" i="1"/>
  <c r="I1234" i="1"/>
  <c r="N1234" i="1"/>
  <c r="O1234" i="1" s="1"/>
  <c r="P1234" i="1" s="1"/>
  <c r="Q1234" i="1"/>
  <c r="V1234" i="1"/>
  <c r="Z1234" i="1"/>
  <c r="F1236" i="1"/>
  <c r="G1236" i="1"/>
  <c r="I1236" i="1"/>
  <c r="N1236" i="1"/>
  <c r="O1236" i="1" s="1"/>
  <c r="P1236" i="1" s="1"/>
  <c r="Q1236" i="1"/>
  <c r="Z1236" i="1" s="1"/>
  <c r="V1236" i="1"/>
  <c r="F1237" i="1"/>
  <c r="G1237" i="1"/>
  <c r="I1237" i="1"/>
  <c r="N1237" i="1"/>
  <c r="O1237" i="1" s="1"/>
  <c r="P1237" i="1" s="1"/>
  <c r="Q1237" i="1"/>
  <c r="Z1237" i="1" s="1"/>
  <c r="V1237" i="1"/>
  <c r="F1238" i="1"/>
  <c r="G1238" i="1"/>
  <c r="I1238" i="1"/>
  <c r="N1238" i="1"/>
  <c r="O1238" i="1" s="1"/>
  <c r="P1238" i="1" s="1"/>
  <c r="Q1238" i="1"/>
  <c r="V1238" i="1"/>
  <c r="Z1238" i="1"/>
  <c r="F1239" i="1"/>
  <c r="G1239" i="1"/>
  <c r="I1239" i="1"/>
  <c r="N1239" i="1"/>
  <c r="O1239" i="1" s="1"/>
  <c r="P1239" i="1" s="1"/>
  <c r="Q1239" i="1"/>
  <c r="Z1239" i="1" s="1"/>
  <c r="V1239" i="1"/>
  <c r="F1240" i="1"/>
  <c r="G1240" i="1"/>
  <c r="I1240" i="1"/>
  <c r="N1240" i="1"/>
  <c r="O1240" i="1" s="1"/>
  <c r="P1240" i="1" s="1"/>
  <c r="Q1240" i="1"/>
  <c r="V1240" i="1"/>
  <c r="Z1240" i="1"/>
  <c r="F1241" i="1"/>
  <c r="G1241" i="1"/>
  <c r="I1241" i="1"/>
  <c r="N1241" i="1"/>
  <c r="O1241" i="1" s="1"/>
  <c r="P1241" i="1" s="1"/>
  <c r="Q1241" i="1"/>
  <c r="V1241" i="1"/>
  <c r="Z1241" i="1"/>
  <c r="F1242" i="1"/>
  <c r="G1242" i="1"/>
  <c r="I1242" i="1"/>
  <c r="N1242" i="1"/>
  <c r="O1242" i="1" s="1"/>
  <c r="P1242" i="1" s="1"/>
  <c r="Q1242" i="1"/>
  <c r="V1242" i="1"/>
  <c r="Z1242" i="1"/>
  <c r="F1243" i="1"/>
  <c r="G1243" i="1"/>
  <c r="I1243" i="1"/>
  <c r="N1243" i="1"/>
  <c r="O1243" i="1" s="1"/>
  <c r="P1243" i="1" s="1"/>
  <c r="Q1243" i="1"/>
  <c r="V1243" i="1"/>
  <c r="Z1243" i="1"/>
  <c r="F1244" i="1"/>
  <c r="G1244" i="1"/>
  <c r="I1244" i="1"/>
  <c r="N1244" i="1"/>
  <c r="O1244" i="1" s="1"/>
  <c r="P1244" i="1" s="1"/>
  <c r="Q1244" i="1"/>
  <c r="V1244" i="1"/>
  <c r="Z1244" i="1"/>
  <c r="F1245" i="1"/>
  <c r="G1245" i="1"/>
  <c r="I1245" i="1"/>
  <c r="N1245" i="1"/>
  <c r="O1245" i="1" s="1"/>
  <c r="P1245" i="1" s="1"/>
  <c r="Q1245" i="1"/>
  <c r="V1245" i="1"/>
  <c r="Z1245" i="1"/>
  <c r="F1246" i="1"/>
  <c r="G1246" i="1"/>
  <c r="I1246" i="1"/>
  <c r="N1246" i="1"/>
  <c r="O1246" i="1" s="1"/>
  <c r="P1246" i="1" s="1"/>
  <c r="Q1246" i="1"/>
  <c r="V1246" i="1"/>
  <c r="Z1246" i="1"/>
  <c r="F1247" i="1"/>
  <c r="G1247" i="1"/>
  <c r="I1247" i="1"/>
  <c r="N1247" i="1"/>
  <c r="O1247" i="1" s="1"/>
  <c r="P1247" i="1" s="1"/>
  <c r="Q1247" i="1"/>
  <c r="V1247" i="1"/>
  <c r="Z1247" i="1"/>
  <c r="F1248" i="1"/>
  <c r="G1248" i="1"/>
  <c r="I1248" i="1"/>
  <c r="N1248" i="1"/>
  <c r="O1248" i="1" s="1"/>
  <c r="P1248" i="1" s="1"/>
  <c r="Q1248" i="1"/>
  <c r="V1248" i="1"/>
  <c r="Z1248" i="1"/>
  <c r="F1249" i="1"/>
  <c r="G1249" i="1"/>
  <c r="I1249" i="1"/>
  <c r="N1249" i="1"/>
  <c r="O1249" i="1" s="1"/>
  <c r="P1249" i="1" s="1"/>
  <c r="Q1249" i="1"/>
  <c r="V1249" i="1"/>
  <c r="Z1249" i="1"/>
  <c r="F1250" i="1"/>
  <c r="G1250" i="1"/>
  <c r="I1250" i="1"/>
  <c r="N1250" i="1"/>
  <c r="O1250" i="1" s="1"/>
  <c r="P1250" i="1" s="1"/>
  <c r="Q1250" i="1"/>
  <c r="V1250" i="1"/>
  <c r="Z1250" i="1"/>
  <c r="F1251" i="1"/>
  <c r="G1251" i="1"/>
  <c r="I1251" i="1"/>
  <c r="N1251" i="1"/>
  <c r="O1251" i="1" s="1"/>
  <c r="P1251" i="1" s="1"/>
  <c r="Q1251" i="1"/>
  <c r="V1251" i="1"/>
  <c r="Z1251" i="1"/>
  <c r="F1252" i="1"/>
  <c r="G1252" i="1"/>
  <c r="I1252" i="1"/>
  <c r="N1252" i="1"/>
  <c r="O1252" i="1" s="1"/>
  <c r="P1252" i="1" s="1"/>
  <c r="Q1252" i="1"/>
  <c r="V1252" i="1"/>
  <c r="Z1252" i="1"/>
  <c r="F1253" i="1"/>
  <c r="G1253" i="1"/>
  <c r="I1253" i="1"/>
  <c r="N1253" i="1"/>
  <c r="O1253" i="1" s="1"/>
  <c r="P1253" i="1" s="1"/>
  <c r="Q1253" i="1"/>
  <c r="V1253" i="1"/>
  <c r="Z1253" i="1"/>
  <c r="F1254" i="1"/>
  <c r="G1254" i="1"/>
  <c r="I1254" i="1"/>
  <c r="N1254" i="1"/>
  <c r="O1254" i="1" s="1"/>
  <c r="P1254" i="1" s="1"/>
  <c r="Q1254" i="1"/>
  <c r="V1254" i="1"/>
  <c r="Z1254" i="1"/>
  <c r="F1255" i="1"/>
  <c r="G1255" i="1"/>
  <c r="I1255" i="1"/>
  <c r="N1255" i="1"/>
  <c r="O1255" i="1" s="1"/>
  <c r="P1255" i="1" s="1"/>
  <c r="Q1255" i="1"/>
  <c r="V1255" i="1"/>
  <c r="Z1255" i="1"/>
  <c r="F1256" i="1"/>
  <c r="G1256" i="1"/>
  <c r="I1256" i="1"/>
  <c r="N1256" i="1"/>
  <c r="O1256" i="1" s="1"/>
  <c r="P1256" i="1" s="1"/>
  <c r="Q1256" i="1"/>
  <c r="V1256" i="1"/>
  <c r="Z1256" i="1"/>
  <c r="F1257" i="1"/>
  <c r="G1257" i="1"/>
  <c r="I1257" i="1"/>
  <c r="N1257" i="1"/>
  <c r="O1257" i="1" s="1"/>
  <c r="P1257" i="1" s="1"/>
  <c r="Q1257" i="1"/>
  <c r="V1257" i="1"/>
  <c r="Z1257" i="1"/>
  <c r="F1258" i="1"/>
  <c r="G1258" i="1"/>
  <c r="I1258" i="1"/>
  <c r="N1258" i="1"/>
  <c r="O1258" i="1" s="1"/>
  <c r="P1258" i="1" s="1"/>
  <c r="Q1258" i="1"/>
  <c r="V1258" i="1"/>
  <c r="Z1258" i="1"/>
  <c r="F1259" i="1"/>
  <c r="G1259" i="1"/>
  <c r="I1259" i="1"/>
  <c r="N1259" i="1"/>
  <c r="O1259" i="1" s="1"/>
  <c r="P1259" i="1" s="1"/>
  <c r="Q1259" i="1"/>
  <c r="V1259" i="1"/>
  <c r="Z1259" i="1"/>
  <c r="F1260" i="1"/>
  <c r="G1260" i="1"/>
  <c r="I1260" i="1"/>
  <c r="N1260" i="1"/>
  <c r="O1260" i="1" s="1"/>
  <c r="P1260" i="1" s="1"/>
  <c r="Q1260" i="1"/>
  <c r="V1260" i="1"/>
  <c r="Z1260" i="1"/>
  <c r="F1261" i="1"/>
  <c r="G1261" i="1"/>
  <c r="I1261" i="1"/>
  <c r="N1261" i="1"/>
  <c r="O1261" i="1" s="1"/>
  <c r="P1261" i="1" s="1"/>
  <c r="Q1261" i="1"/>
  <c r="V1261" i="1"/>
  <c r="Z1261" i="1"/>
  <c r="F1262" i="1"/>
  <c r="G1262" i="1"/>
  <c r="I1262" i="1"/>
  <c r="N1262" i="1"/>
  <c r="O1262" i="1" s="1"/>
  <c r="P1262" i="1" s="1"/>
  <c r="Q1262" i="1"/>
  <c r="V1262" i="1"/>
  <c r="Z1262" i="1"/>
  <c r="F1263" i="1"/>
  <c r="G1263" i="1"/>
  <c r="I1263" i="1"/>
  <c r="N1263" i="1"/>
  <c r="O1263" i="1" s="1"/>
  <c r="P1263" i="1" s="1"/>
  <c r="Q1263" i="1"/>
  <c r="V1263" i="1"/>
  <c r="Z1263" i="1"/>
  <c r="F1264" i="1"/>
  <c r="G1264" i="1"/>
  <c r="I1264" i="1"/>
  <c r="N1264" i="1"/>
  <c r="O1264" i="1" s="1"/>
  <c r="P1264" i="1" s="1"/>
  <c r="Q1264" i="1"/>
  <c r="V1264" i="1"/>
  <c r="Z1264" i="1"/>
  <c r="F1265" i="1"/>
  <c r="G1265" i="1"/>
  <c r="I1265" i="1"/>
  <c r="N1265" i="1"/>
  <c r="O1265" i="1" s="1"/>
  <c r="P1265" i="1" s="1"/>
  <c r="Q1265" i="1"/>
  <c r="V1265" i="1"/>
  <c r="Z1265" i="1"/>
  <c r="F1266" i="1"/>
  <c r="G1266" i="1"/>
  <c r="I1266" i="1"/>
  <c r="N1266" i="1"/>
  <c r="O1266" i="1" s="1"/>
  <c r="P1266" i="1" s="1"/>
  <c r="Q1266" i="1"/>
  <c r="V1266" i="1"/>
  <c r="Z1266" i="1"/>
  <c r="F1267" i="1"/>
  <c r="G1267" i="1"/>
  <c r="I1267" i="1"/>
  <c r="N1267" i="1"/>
  <c r="O1267" i="1" s="1"/>
  <c r="P1267" i="1" s="1"/>
  <c r="Q1267" i="1"/>
  <c r="V1267" i="1"/>
  <c r="Z1267" i="1"/>
  <c r="F1268" i="1"/>
  <c r="G1268" i="1"/>
  <c r="I1268" i="1"/>
  <c r="N1268" i="1"/>
  <c r="O1268" i="1" s="1"/>
  <c r="P1268" i="1" s="1"/>
  <c r="Q1268" i="1"/>
  <c r="V1268" i="1"/>
  <c r="Z1268" i="1"/>
  <c r="F1269" i="1"/>
  <c r="G1269" i="1"/>
  <c r="I1269" i="1"/>
  <c r="N1269" i="1"/>
  <c r="O1269" i="1" s="1"/>
  <c r="P1269" i="1" s="1"/>
  <c r="Q1269" i="1"/>
  <c r="V1269" i="1"/>
  <c r="Z1269" i="1"/>
  <c r="F1270" i="1"/>
  <c r="G1270" i="1"/>
  <c r="I1270" i="1"/>
  <c r="N1270" i="1"/>
  <c r="O1270" i="1" s="1"/>
  <c r="P1270" i="1" s="1"/>
  <c r="Q1270" i="1"/>
  <c r="V1270" i="1"/>
  <c r="Z1270" i="1"/>
  <c r="F1271" i="1"/>
  <c r="G1271" i="1"/>
  <c r="I1271" i="1"/>
  <c r="N1271" i="1"/>
  <c r="O1271" i="1" s="1"/>
  <c r="P1271" i="1" s="1"/>
  <c r="Q1271" i="1"/>
  <c r="V1271" i="1"/>
  <c r="Z1271" i="1"/>
  <c r="F1272" i="1"/>
  <c r="G1272" i="1"/>
  <c r="I1272" i="1"/>
  <c r="N1272" i="1"/>
  <c r="O1272" i="1" s="1"/>
  <c r="P1272" i="1" s="1"/>
  <c r="Q1272" i="1"/>
  <c r="V1272" i="1"/>
  <c r="Z1272" i="1"/>
  <c r="F1273" i="1"/>
  <c r="G1273" i="1"/>
  <c r="I1273" i="1"/>
  <c r="N1273" i="1"/>
  <c r="O1273" i="1" s="1"/>
  <c r="P1273" i="1" s="1"/>
  <c r="Q1273" i="1"/>
  <c r="V1273" i="1"/>
  <c r="Z1273" i="1"/>
  <c r="F1274" i="1"/>
  <c r="G1274" i="1"/>
  <c r="I1274" i="1"/>
  <c r="N1274" i="1"/>
  <c r="O1274" i="1" s="1"/>
  <c r="P1274" i="1" s="1"/>
  <c r="Q1274" i="1"/>
  <c r="V1274" i="1"/>
  <c r="Z1274" i="1"/>
  <c r="F1275" i="1"/>
  <c r="G1275" i="1"/>
  <c r="I1275" i="1"/>
  <c r="N1275" i="1"/>
  <c r="O1275" i="1" s="1"/>
  <c r="P1275" i="1" s="1"/>
  <c r="Q1275" i="1"/>
  <c r="V1275" i="1"/>
  <c r="Z1275" i="1"/>
  <c r="F1276" i="1"/>
  <c r="G1276" i="1"/>
  <c r="I1276" i="1"/>
  <c r="N1276" i="1"/>
  <c r="O1276" i="1" s="1"/>
  <c r="P1276" i="1" s="1"/>
  <c r="Q1276" i="1"/>
  <c r="V1276" i="1"/>
  <c r="Z1276" i="1"/>
  <c r="F1277" i="1"/>
  <c r="G1277" i="1"/>
  <c r="I1277" i="1"/>
  <c r="N1277" i="1"/>
  <c r="O1277" i="1" s="1"/>
  <c r="P1277" i="1" s="1"/>
  <c r="Q1277" i="1"/>
  <c r="V1277" i="1"/>
  <c r="Z1277" i="1"/>
  <c r="F1278" i="1"/>
  <c r="G1278" i="1"/>
  <c r="I1278" i="1"/>
  <c r="N1278" i="1"/>
  <c r="O1278" i="1" s="1"/>
  <c r="P1278" i="1" s="1"/>
  <c r="Q1278" i="1"/>
  <c r="V1278" i="1"/>
  <c r="Z1278" i="1"/>
  <c r="F1279" i="1"/>
  <c r="G1279" i="1"/>
  <c r="I1279" i="1"/>
  <c r="N1279" i="1"/>
  <c r="O1279" i="1" s="1"/>
  <c r="P1279" i="1" s="1"/>
  <c r="Q1279" i="1"/>
  <c r="V1279" i="1"/>
  <c r="Z1279" i="1"/>
  <c r="F1280" i="1"/>
  <c r="G1280" i="1"/>
  <c r="I1280" i="1"/>
  <c r="N1280" i="1"/>
  <c r="O1280" i="1" s="1"/>
  <c r="P1280" i="1" s="1"/>
  <c r="Q1280" i="1"/>
  <c r="V1280" i="1"/>
  <c r="Z1280" i="1"/>
  <c r="F1281" i="1"/>
  <c r="G1281" i="1"/>
  <c r="I1281" i="1"/>
  <c r="N1281" i="1"/>
  <c r="O1281" i="1" s="1"/>
  <c r="P1281" i="1" s="1"/>
  <c r="Q1281" i="1"/>
  <c r="V1281" i="1"/>
  <c r="Z1281" i="1"/>
  <c r="F1282" i="1"/>
  <c r="G1282" i="1"/>
  <c r="I1282" i="1"/>
  <c r="N1282" i="1"/>
  <c r="O1282" i="1" s="1"/>
  <c r="P1282" i="1" s="1"/>
  <c r="Q1282" i="1"/>
  <c r="V1282" i="1"/>
  <c r="Z1282" i="1"/>
  <c r="F1283" i="1"/>
  <c r="G1283" i="1"/>
  <c r="I1283" i="1"/>
  <c r="N1283" i="1"/>
  <c r="O1283" i="1" s="1"/>
  <c r="P1283" i="1" s="1"/>
  <c r="Q1283" i="1"/>
  <c r="V1283" i="1"/>
  <c r="Z1283" i="1"/>
  <c r="F1284" i="1"/>
  <c r="G1284" i="1"/>
  <c r="I1284" i="1"/>
  <c r="N1284" i="1"/>
  <c r="O1284" i="1" s="1"/>
  <c r="P1284" i="1" s="1"/>
  <c r="Q1284" i="1"/>
  <c r="V1284" i="1"/>
  <c r="Z1284" i="1"/>
  <c r="F1285" i="1"/>
  <c r="G1285" i="1"/>
  <c r="I1285" i="1"/>
  <c r="N1285" i="1"/>
  <c r="O1285" i="1" s="1"/>
  <c r="P1285" i="1" s="1"/>
  <c r="Q1285" i="1"/>
  <c r="V1285" i="1"/>
  <c r="Z1285" i="1"/>
  <c r="F1286" i="1"/>
  <c r="G1286" i="1"/>
  <c r="I1286" i="1"/>
  <c r="N1286" i="1"/>
  <c r="O1286" i="1" s="1"/>
  <c r="P1286" i="1" s="1"/>
  <c r="Q1286" i="1"/>
  <c r="V1286" i="1"/>
  <c r="Z1286" i="1"/>
  <c r="F1287" i="1"/>
  <c r="G1287" i="1"/>
  <c r="I1287" i="1"/>
  <c r="N1287" i="1"/>
  <c r="O1287" i="1" s="1"/>
  <c r="P1287" i="1" s="1"/>
  <c r="Q1287" i="1"/>
  <c r="V1287" i="1"/>
  <c r="Z1287" i="1"/>
  <c r="F1288" i="1"/>
  <c r="G1288" i="1"/>
  <c r="I1288" i="1"/>
  <c r="N1288" i="1"/>
  <c r="O1288" i="1" s="1"/>
  <c r="P1288" i="1" s="1"/>
  <c r="Q1288" i="1"/>
  <c r="V1288" i="1"/>
  <c r="Z1288" i="1"/>
  <c r="F1289" i="1"/>
  <c r="G1289" i="1"/>
  <c r="I1289" i="1"/>
  <c r="N1289" i="1"/>
  <c r="O1289" i="1" s="1"/>
  <c r="P1289" i="1" s="1"/>
  <c r="Q1289" i="1"/>
  <c r="V1289" i="1"/>
  <c r="Z1289" i="1"/>
  <c r="F1290" i="1"/>
  <c r="G1290" i="1"/>
  <c r="I1290" i="1"/>
  <c r="N1290" i="1"/>
  <c r="O1290" i="1" s="1"/>
  <c r="P1290" i="1" s="1"/>
  <c r="Q1290" i="1"/>
  <c r="V1290" i="1"/>
  <c r="Z1290" i="1"/>
  <c r="F1291" i="1"/>
  <c r="G1291" i="1"/>
  <c r="I1291" i="1"/>
  <c r="N1291" i="1"/>
  <c r="O1291" i="1" s="1"/>
  <c r="P1291" i="1" s="1"/>
  <c r="Q1291" i="1"/>
  <c r="V1291" i="1"/>
  <c r="Z1291" i="1"/>
  <c r="F1292" i="1"/>
  <c r="G1292" i="1"/>
  <c r="I1292" i="1"/>
  <c r="N1292" i="1"/>
  <c r="O1292" i="1" s="1"/>
  <c r="P1292" i="1" s="1"/>
  <c r="Q1292" i="1"/>
  <c r="V1292" i="1"/>
  <c r="Z1292" i="1"/>
  <c r="F1293" i="1"/>
  <c r="G1293" i="1"/>
  <c r="I1293" i="1"/>
  <c r="N1293" i="1"/>
  <c r="O1293" i="1" s="1"/>
  <c r="P1293" i="1" s="1"/>
  <c r="Q1293" i="1"/>
  <c r="V1293" i="1"/>
  <c r="Z1293" i="1"/>
  <c r="F1294" i="1"/>
  <c r="G1294" i="1"/>
  <c r="I1294" i="1"/>
  <c r="N1294" i="1"/>
  <c r="O1294" i="1" s="1"/>
  <c r="P1294" i="1" s="1"/>
  <c r="Q1294" i="1"/>
  <c r="V1294" i="1"/>
  <c r="Z1294" i="1"/>
  <c r="F1295" i="1"/>
  <c r="G1295" i="1"/>
  <c r="I1295" i="1"/>
  <c r="N1295" i="1"/>
  <c r="O1295" i="1" s="1"/>
  <c r="P1295" i="1" s="1"/>
  <c r="Q1295" i="1"/>
  <c r="V1295" i="1"/>
  <c r="Z1295" i="1"/>
  <c r="F1296" i="1"/>
  <c r="G1296" i="1"/>
  <c r="I1296" i="1"/>
  <c r="N1296" i="1"/>
  <c r="O1296" i="1" s="1"/>
  <c r="P1296" i="1" s="1"/>
  <c r="Q1296" i="1"/>
  <c r="V1296" i="1"/>
  <c r="Z1296" i="1"/>
  <c r="F1297" i="1"/>
  <c r="G1297" i="1"/>
  <c r="I1297" i="1"/>
  <c r="N1297" i="1"/>
  <c r="O1297" i="1" s="1"/>
  <c r="P1297" i="1" s="1"/>
  <c r="Q1297" i="1"/>
  <c r="V1297" i="1"/>
  <c r="Z1297" i="1"/>
  <c r="F1298" i="1"/>
  <c r="G1298" i="1"/>
  <c r="I1298" i="1"/>
  <c r="N1298" i="1"/>
  <c r="O1298" i="1" s="1"/>
  <c r="P1298" i="1" s="1"/>
  <c r="Q1298" i="1"/>
  <c r="V1298" i="1"/>
  <c r="Z1298" i="1"/>
  <c r="F1299" i="1"/>
  <c r="G1299" i="1"/>
  <c r="I1299" i="1"/>
  <c r="N1299" i="1"/>
  <c r="O1299" i="1" s="1"/>
  <c r="P1299" i="1" s="1"/>
  <c r="Q1299" i="1"/>
  <c r="V1299" i="1"/>
  <c r="Z1299" i="1"/>
  <c r="F1300" i="1"/>
  <c r="G1300" i="1"/>
  <c r="I1300" i="1"/>
  <c r="N1300" i="1"/>
  <c r="O1300" i="1" s="1"/>
  <c r="P1300" i="1" s="1"/>
  <c r="Q1300" i="1"/>
  <c r="V1300" i="1"/>
  <c r="Z1300" i="1"/>
  <c r="F1301" i="1"/>
  <c r="G1301" i="1"/>
  <c r="I1301" i="1"/>
  <c r="N1301" i="1"/>
  <c r="O1301" i="1" s="1"/>
  <c r="P1301" i="1" s="1"/>
  <c r="Q1301" i="1"/>
  <c r="V1301" i="1"/>
  <c r="Z1301" i="1"/>
  <c r="F1302" i="1"/>
  <c r="G1302" i="1"/>
  <c r="I1302" i="1"/>
  <c r="N1302" i="1"/>
  <c r="O1302" i="1" s="1"/>
  <c r="P1302" i="1" s="1"/>
  <c r="Q1302" i="1"/>
  <c r="V1302" i="1"/>
  <c r="Z1302" i="1"/>
  <c r="F1303" i="1"/>
  <c r="G1303" i="1"/>
  <c r="I1303" i="1"/>
  <c r="N1303" i="1"/>
  <c r="O1303" i="1" s="1"/>
  <c r="P1303" i="1" s="1"/>
  <c r="Q1303" i="1"/>
  <c r="V1303" i="1"/>
  <c r="Z1303" i="1"/>
  <c r="F1304" i="1"/>
  <c r="G1304" i="1"/>
  <c r="I1304" i="1"/>
  <c r="N1304" i="1"/>
  <c r="O1304" i="1" s="1"/>
  <c r="P1304" i="1" s="1"/>
  <c r="Q1304" i="1"/>
  <c r="V1304" i="1"/>
  <c r="Z1304" i="1"/>
  <c r="F1305" i="1"/>
  <c r="G1305" i="1"/>
  <c r="I1305" i="1"/>
  <c r="N1305" i="1"/>
  <c r="O1305" i="1" s="1"/>
  <c r="P1305" i="1" s="1"/>
  <c r="Q1305" i="1"/>
  <c r="V1305" i="1"/>
  <c r="Z1305" i="1"/>
  <c r="F1306" i="1"/>
  <c r="G1306" i="1"/>
  <c r="I1306" i="1"/>
  <c r="N1306" i="1"/>
  <c r="O1306" i="1" s="1"/>
  <c r="P1306" i="1" s="1"/>
  <c r="Q1306" i="1"/>
  <c r="V1306" i="1"/>
  <c r="Z1306" i="1"/>
  <c r="F1307" i="1"/>
  <c r="G1307" i="1"/>
  <c r="I1307" i="1"/>
  <c r="N1307" i="1"/>
  <c r="O1307" i="1" s="1"/>
  <c r="P1307" i="1" s="1"/>
  <c r="Q1307" i="1"/>
  <c r="V1307" i="1"/>
  <c r="Z1307" i="1"/>
  <c r="F1308" i="1"/>
  <c r="G1308" i="1"/>
  <c r="I1308" i="1"/>
  <c r="N1308" i="1"/>
  <c r="O1308" i="1" s="1"/>
  <c r="P1308" i="1" s="1"/>
  <c r="Q1308" i="1"/>
  <c r="V1308" i="1"/>
  <c r="Z1308" i="1"/>
  <c r="F1309" i="1"/>
  <c r="G1309" i="1"/>
  <c r="I1309" i="1"/>
  <c r="N1309" i="1"/>
  <c r="O1309" i="1" s="1"/>
  <c r="P1309" i="1" s="1"/>
  <c r="Q1309" i="1"/>
  <c r="V1309" i="1"/>
  <c r="Z1309" i="1"/>
  <c r="F1310" i="1"/>
  <c r="G1310" i="1"/>
  <c r="I1310" i="1"/>
  <c r="N1310" i="1"/>
  <c r="O1310" i="1" s="1"/>
  <c r="P1310" i="1" s="1"/>
  <c r="Q1310" i="1"/>
  <c r="V1310" i="1"/>
  <c r="Z1310" i="1"/>
  <c r="F1311" i="1"/>
  <c r="G1311" i="1"/>
  <c r="I1311" i="1"/>
  <c r="N1311" i="1"/>
  <c r="O1311" i="1" s="1"/>
  <c r="P1311" i="1" s="1"/>
  <c r="Q1311" i="1"/>
  <c r="V1311" i="1"/>
  <c r="Z1311" i="1"/>
  <c r="F1312" i="1"/>
  <c r="G1312" i="1"/>
  <c r="I1312" i="1"/>
  <c r="N1312" i="1"/>
  <c r="O1312" i="1" s="1"/>
  <c r="P1312" i="1" s="1"/>
  <c r="Q1312" i="1"/>
  <c r="V1312" i="1"/>
  <c r="Z1312" i="1"/>
  <c r="F1313" i="1"/>
  <c r="G1313" i="1"/>
  <c r="I1313" i="1"/>
  <c r="N1313" i="1"/>
  <c r="O1313" i="1" s="1"/>
  <c r="P1313" i="1" s="1"/>
  <c r="Q1313" i="1"/>
  <c r="V1313" i="1"/>
  <c r="Z1313" i="1"/>
  <c r="F1314" i="1"/>
  <c r="G1314" i="1"/>
  <c r="I1314" i="1"/>
  <c r="N1314" i="1"/>
  <c r="O1314" i="1" s="1"/>
  <c r="P1314" i="1" s="1"/>
  <c r="Q1314" i="1"/>
  <c r="V1314" i="1"/>
  <c r="Z1314" i="1"/>
  <c r="F1315" i="1"/>
  <c r="G1315" i="1"/>
  <c r="I1315" i="1"/>
  <c r="N1315" i="1"/>
  <c r="O1315" i="1" s="1"/>
  <c r="P1315" i="1" s="1"/>
  <c r="Q1315" i="1"/>
  <c r="V1315" i="1"/>
  <c r="Z1315" i="1"/>
  <c r="F1316" i="1"/>
  <c r="G1316" i="1"/>
  <c r="I1316" i="1"/>
  <c r="N1316" i="1"/>
  <c r="O1316" i="1" s="1"/>
  <c r="P1316" i="1" s="1"/>
  <c r="Q1316" i="1"/>
  <c r="V1316" i="1"/>
  <c r="Z1316" i="1"/>
  <c r="F1317" i="1"/>
  <c r="G1317" i="1"/>
  <c r="I1317" i="1"/>
  <c r="N1317" i="1"/>
  <c r="O1317" i="1" s="1"/>
  <c r="P1317" i="1" s="1"/>
  <c r="Q1317" i="1"/>
  <c r="V1317" i="1"/>
  <c r="Z1317" i="1"/>
  <c r="F1318" i="1"/>
  <c r="G1318" i="1"/>
  <c r="I1318" i="1"/>
  <c r="N1318" i="1"/>
  <c r="O1318" i="1" s="1"/>
  <c r="P1318" i="1" s="1"/>
  <c r="Q1318" i="1"/>
  <c r="V1318" i="1"/>
  <c r="Z1318" i="1"/>
  <c r="F1319" i="1"/>
  <c r="G1319" i="1"/>
  <c r="I1319" i="1"/>
  <c r="N1319" i="1"/>
  <c r="O1319" i="1" s="1"/>
  <c r="P1319" i="1" s="1"/>
  <c r="Q1319" i="1"/>
  <c r="V1319" i="1"/>
  <c r="Z1319" i="1"/>
  <c r="F1320" i="1"/>
  <c r="G1320" i="1"/>
  <c r="I1320" i="1"/>
  <c r="N1320" i="1"/>
  <c r="O1320" i="1" s="1"/>
  <c r="P1320" i="1" s="1"/>
  <c r="Q1320" i="1"/>
  <c r="V1320" i="1"/>
  <c r="Z1320" i="1"/>
  <c r="F1321" i="1"/>
  <c r="G1321" i="1"/>
  <c r="I1321" i="1"/>
  <c r="N1321" i="1"/>
  <c r="O1321" i="1" s="1"/>
  <c r="P1321" i="1" s="1"/>
  <c r="Q1321" i="1"/>
  <c r="V1321" i="1"/>
  <c r="Z1321" i="1"/>
  <c r="F1322" i="1"/>
  <c r="G1322" i="1"/>
  <c r="I1322" i="1"/>
  <c r="N1322" i="1"/>
  <c r="O1322" i="1" s="1"/>
  <c r="P1322" i="1" s="1"/>
  <c r="Q1322" i="1"/>
  <c r="V1322" i="1"/>
  <c r="Z1322" i="1"/>
  <c r="F1323" i="1"/>
  <c r="G1323" i="1"/>
  <c r="I1323" i="1"/>
  <c r="N1323" i="1"/>
  <c r="O1323" i="1" s="1"/>
  <c r="P1323" i="1" s="1"/>
  <c r="Q1323" i="1"/>
  <c r="V1323" i="1"/>
  <c r="Z1323" i="1"/>
  <c r="F1324" i="1"/>
  <c r="G1324" i="1"/>
  <c r="I1324" i="1"/>
  <c r="N1324" i="1"/>
  <c r="O1324" i="1" s="1"/>
  <c r="P1324" i="1" s="1"/>
  <c r="Q1324" i="1"/>
  <c r="V1324" i="1"/>
  <c r="Z1324" i="1"/>
  <c r="F1325" i="1"/>
  <c r="G1325" i="1"/>
  <c r="I1325" i="1"/>
  <c r="N1325" i="1"/>
  <c r="O1325" i="1" s="1"/>
  <c r="P1325" i="1" s="1"/>
  <c r="Q1325" i="1"/>
  <c r="V1325" i="1"/>
  <c r="Z1325" i="1"/>
  <c r="F1326" i="1"/>
  <c r="G1326" i="1"/>
  <c r="I1326" i="1"/>
  <c r="N1326" i="1"/>
  <c r="O1326" i="1" s="1"/>
  <c r="P1326" i="1" s="1"/>
  <c r="Q1326" i="1"/>
  <c r="V1326" i="1"/>
  <c r="Z1326" i="1"/>
  <c r="F1327" i="1"/>
  <c r="G1327" i="1"/>
  <c r="I1327" i="1"/>
  <c r="N1327" i="1"/>
  <c r="O1327" i="1" s="1"/>
  <c r="P1327" i="1" s="1"/>
  <c r="Q1327" i="1"/>
  <c r="V1327" i="1"/>
  <c r="Z1327" i="1"/>
  <c r="F1328" i="1"/>
  <c r="G1328" i="1"/>
  <c r="I1328" i="1"/>
  <c r="N1328" i="1"/>
  <c r="O1328" i="1" s="1"/>
  <c r="P1328" i="1" s="1"/>
  <c r="Q1328" i="1"/>
  <c r="V1328" i="1"/>
  <c r="Z1328" i="1"/>
  <c r="F1329" i="1"/>
  <c r="G1329" i="1"/>
  <c r="I1329" i="1"/>
  <c r="N1329" i="1"/>
  <c r="O1329" i="1" s="1"/>
  <c r="P1329" i="1" s="1"/>
  <c r="Q1329" i="1"/>
  <c r="V1329" i="1"/>
  <c r="Z1329" i="1"/>
  <c r="F1330" i="1"/>
  <c r="G1330" i="1"/>
  <c r="I1330" i="1"/>
  <c r="N1330" i="1"/>
  <c r="O1330" i="1" s="1"/>
  <c r="P1330" i="1" s="1"/>
  <c r="Q1330" i="1"/>
  <c r="V1330" i="1"/>
  <c r="Z1330" i="1"/>
  <c r="F1331" i="1"/>
  <c r="G1331" i="1"/>
  <c r="I1331" i="1"/>
  <c r="N1331" i="1"/>
  <c r="O1331" i="1" s="1"/>
  <c r="P1331" i="1" s="1"/>
  <c r="Q1331" i="1"/>
  <c r="V1331" i="1"/>
  <c r="Z1331" i="1"/>
  <c r="F1332" i="1"/>
  <c r="G1332" i="1"/>
  <c r="I1332" i="1"/>
  <c r="N1332" i="1"/>
  <c r="O1332" i="1" s="1"/>
  <c r="P1332" i="1" s="1"/>
  <c r="Q1332" i="1"/>
  <c r="V1332" i="1"/>
  <c r="Z1332" i="1"/>
  <c r="F1333" i="1"/>
  <c r="G1333" i="1"/>
  <c r="I1333" i="1"/>
  <c r="N1333" i="1"/>
  <c r="O1333" i="1" s="1"/>
  <c r="P1333" i="1" s="1"/>
  <c r="Q1333" i="1"/>
  <c r="V1333" i="1"/>
  <c r="Z1333" i="1"/>
  <c r="F1334" i="1"/>
  <c r="G1334" i="1"/>
  <c r="I1334" i="1"/>
  <c r="N1334" i="1"/>
  <c r="O1334" i="1" s="1"/>
  <c r="P1334" i="1" s="1"/>
  <c r="Q1334" i="1"/>
  <c r="V1334" i="1"/>
  <c r="Z1334" i="1"/>
  <c r="F1335" i="1"/>
  <c r="G1335" i="1"/>
  <c r="I1335" i="1"/>
  <c r="N1335" i="1"/>
  <c r="O1335" i="1" s="1"/>
  <c r="P1335" i="1" s="1"/>
  <c r="Q1335" i="1"/>
  <c r="V1335" i="1"/>
  <c r="Z1335" i="1"/>
  <c r="F1336" i="1"/>
  <c r="G1336" i="1"/>
  <c r="I1336" i="1"/>
  <c r="N1336" i="1"/>
  <c r="O1336" i="1" s="1"/>
  <c r="P1336" i="1" s="1"/>
  <c r="Q1336" i="1"/>
  <c r="V1336" i="1"/>
  <c r="Z1336" i="1"/>
  <c r="F1337" i="1"/>
  <c r="G1337" i="1"/>
  <c r="I1337" i="1"/>
  <c r="N1337" i="1"/>
  <c r="O1337" i="1" s="1"/>
  <c r="P1337" i="1" s="1"/>
  <c r="Q1337" i="1"/>
  <c r="V1337" i="1"/>
  <c r="Z1337" i="1"/>
  <c r="F1338" i="1"/>
  <c r="G1338" i="1"/>
  <c r="I1338" i="1"/>
  <c r="N1338" i="1"/>
  <c r="O1338" i="1" s="1"/>
  <c r="P1338" i="1" s="1"/>
  <c r="Q1338" i="1"/>
  <c r="V1338" i="1"/>
  <c r="Z1338" i="1"/>
  <c r="F1339" i="1"/>
  <c r="G1339" i="1"/>
  <c r="I1339" i="1"/>
  <c r="N1339" i="1"/>
  <c r="O1339" i="1" s="1"/>
  <c r="P1339" i="1" s="1"/>
  <c r="Q1339" i="1"/>
  <c r="V1339" i="1"/>
  <c r="Z1339" i="1"/>
  <c r="F1340" i="1"/>
  <c r="G1340" i="1"/>
  <c r="I1340" i="1"/>
  <c r="N1340" i="1"/>
  <c r="O1340" i="1" s="1"/>
  <c r="P1340" i="1" s="1"/>
  <c r="Q1340" i="1"/>
  <c r="V1340" i="1"/>
  <c r="Z1340" i="1"/>
  <c r="F1341" i="1"/>
  <c r="G1341" i="1"/>
  <c r="I1341" i="1"/>
  <c r="N1341" i="1"/>
  <c r="O1341" i="1" s="1"/>
  <c r="P1341" i="1" s="1"/>
  <c r="Q1341" i="1"/>
  <c r="V1341" i="1"/>
  <c r="Z1341" i="1"/>
  <c r="F1342" i="1"/>
  <c r="G1342" i="1"/>
  <c r="I1342" i="1"/>
  <c r="N1342" i="1"/>
  <c r="O1342" i="1" s="1"/>
  <c r="P1342" i="1" s="1"/>
  <c r="Q1342" i="1"/>
  <c r="V1342" i="1"/>
  <c r="Z1342" i="1"/>
  <c r="F1343" i="1"/>
  <c r="G1343" i="1"/>
  <c r="I1343" i="1"/>
  <c r="N1343" i="1"/>
  <c r="O1343" i="1" s="1"/>
  <c r="P1343" i="1" s="1"/>
  <c r="Q1343" i="1"/>
  <c r="V1343" i="1"/>
  <c r="Z1343" i="1"/>
  <c r="F1344" i="1"/>
  <c r="G1344" i="1"/>
  <c r="I1344" i="1"/>
  <c r="N1344" i="1"/>
  <c r="O1344" i="1" s="1"/>
  <c r="P1344" i="1" s="1"/>
  <c r="Q1344" i="1"/>
  <c r="V1344" i="1"/>
  <c r="Z1344" i="1"/>
  <c r="F1345" i="1"/>
  <c r="G1345" i="1"/>
  <c r="I1345" i="1"/>
  <c r="N1345" i="1"/>
  <c r="O1345" i="1" s="1"/>
  <c r="P1345" i="1" s="1"/>
  <c r="Q1345" i="1"/>
  <c r="V1345" i="1"/>
  <c r="Z1345" i="1"/>
  <c r="F1346" i="1"/>
  <c r="G1346" i="1"/>
  <c r="I1346" i="1"/>
  <c r="N1346" i="1"/>
  <c r="O1346" i="1" s="1"/>
  <c r="P1346" i="1" s="1"/>
  <c r="Q1346" i="1"/>
  <c r="V1346" i="1"/>
  <c r="Z1346" i="1"/>
  <c r="F1347" i="1"/>
  <c r="G1347" i="1"/>
  <c r="I1347" i="1"/>
  <c r="N1347" i="1"/>
  <c r="O1347" i="1" s="1"/>
  <c r="P1347" i="1" s="1"/>
  <c r="Q1347" i="1"/>
  <c r="V1347" i="1"/>
  <c r="Z1347" i="1"/>
  <c r="F1348" i="1"/>
  <c r="G1348" i="1"/>
  <c r="I1348" i="1"/>
  <c r="N1348" i="1"/>
  <c r="O1348" i="1" s="1"/>
  <c r="P1348" i="1" s="1"/>
  <c r="Q1348" i="1"/>
  <c r="V1348" i="1"/>
  <c r="Z1348" i="1"/>
  <c r="F1349" i="1"/>
  <c r="G1349" i="1"/>
  <c r="I1349" i="1"/>
  <c r="N1349" i="1"/>
  <c r="O1349" i="1" s="1"/>
  <c r="P1349" i="1" s="1"/>
  <c r="Q1349" i="1"/>
  <c r="V1349" i="1"/>
  <c r="Z1349" i="1"/>
  <c r="F1350" i="1"/>
  <c r="G1350" i="1"/>
  <c r="I1350" i="1"/>
  <c r="N1350" i="1"/>
  <c r="O1350" i="1" s="1"/>
  <c r="P1350" i="1" s="1"/>
  <c r="Q1350" i="1"/>
  <c r="V1350" i="1"/>
  <c r="Z1350" i="1"/>
  <c r="F1351" i="1"/>
  <c r="G1351" i="1"/>
  <c r="I1351" i="1"/>
  <c r="N1351" i="1"/>
  <c r="O1351" i="1" s="1"/>
  <c r="P1351" i="1" s="1"/>
  <c r="Q1351" i="1"/>
  <c r="V1351" i="1"/>
  <c r="Z1351" i="1"/>
  <c r="F1352" i="1"/>
  <c r="G1352" i="1"/>
  <c r="I1352" i="1"/>
  <c r="N1352" i="1"/>
  <c r="O1352" i="1" s="1"/>
  <c r="P1352" i="1" s="1"/>
  <c r="Q1352" i="1"/>
  <c r="V1352" i="1"/>
  <c r="Z1352" i="1"/>
  <c r="F1353" i="1"/>
  <c r="G1353" i="1"/>
  <c r="I1353" i="1"/>
  <c r="N1353" i="1"/>
  <c r="O1353" i="1" s="1"/>
  <c r="P1353" i="1" s="1"/>
  <c r="Q1353" i="1"/>
  <c r="V1353" i="1"/>
  <c r="Z1353" i="1"/>
  <c r="F1354" i="1"/>
  <c r="G1354" i="1"/>
  <c r="I1354" i="1"/>
  <c r="N1354" i="1"/>
  <c r="O1354" i="1" s="1"/>
  <c r="P1354" i="1" s="1"/>
  <c r="Q1354" i="1"/>
  <c r="V1354" i="1"/>
  <c r="Z1354" i="1"/>
  <c r="F1355" i="1"/>
  <c r="G1355" i="1"/>
  <c r="I1355" i="1"/>
  <c r="N1355" i="1"/>
  <c r="O1355" i="1" s="1"/>
  <c r="P1355" i="1" s="1"/>
  <c r="Q1355" i="1"/>
  <c r="V1355" i="1"/>
  <c r="Z1355" i="1"/>
  <c r="F1356" i="1"/>
  <c r="G1356" i="1"/>
  <c r="I1356" i="1"/>
  <c r="N1356" i="1"/>
  <c r="O1356" i="1" s="1"/>
  <c r="P1356" i="1" s="1"/>
  <c r="Q1356" i="1"/>
  <c r="V1356" i="1"/>
  <c r="Z1356" i="1"/>
  <c r="F1357" i="1"/>
  <c r="G1357" i="1"/>
  <c r="I1357" i="1"/>
  <c r="N1357" i="1"/>
  <c r="O1357" i="1" s="1"/>
  <c r="P1357" i="1" s="1"/>
  <c r="Q1357" i="1"/>
  <c r="V1357" i="1"/>
  <c r="Z1357" i="1"/>
  <c r="F1358" i="1"/>
  <c r="G1358" i="1"/>
  <c r="I1358" i="1"/>
  <c r="N1358" i="1"/>
  <c r="O1358" i="1" s="1"/>
  <c r="P1358" i="1" s="1"/>
  <c r="Q1358" i="1"/>
  <c r="V1358" i="1"/>
  <c r="Z1358" i="1"/>
  <c r="F1359" i="1"/>
  <c r="G1359" i="1"/>
  <c r="I1359" i="1"/>
  <c r="N1359" i="1"/>
  <c r="O1359" i="1" s="1"/>
  <c r="P1359" i="1" s="1"/>
  <c r="Q1359" i="1"/>
  <c r="V1359" i="1"/>
  <c r="Z1359" i="1"/>
  <c r="F1360" i="1"/>
  <c r="G1360" i="1"/>
  <c r="I1360" i="1"/>
  <c r="N1360" i="1"/>
  <c r="O1360" i="1" s="1"/>
  <c r="P1360" i="1" s="1"/>
  <c r="Q1360" i="1"/>
  <c r="V1360" i="1"/>
  <c r="Z1360" i="1"/>
  <c r="F1361" i="1"/>
  <c r="G1361" i="1"/>
  <c r="I1361" i="1"/>
  <c r="N1361" i="1"/>
  <c r="O1361" i="1" s="1"/>
  <c r="P1361" i="1" s="1"/>
  <c r="Q1361" i="1"/>
  <c r="V1361" i="1"/>
  <c r="Z1361" i="1"/>
  <c r="F1362" i="1"/>
  <c r="G1362" i="1"/>
  <c r="I1362" i="1"/>
  <c r="N1362" i="1"/>
  <c r="O1362" i="1" s="1"/>
  <c r="P1362" i="1" s="1"/>
  <c r="Q1362" i="1"/>
  <c r="V1362" i="1"/>
  <c r="Z1362" i="1"/>
  <c r="F1363" i="1"/>
  <c r="G1363" i="1"/>
  <c r="O1363" i="1"/>
  <c r="P1363" i="1" s="1"/>
  <c r="Q1363" i="1"/>
  <c r="V1363" i="1"/>
  <c r="Z1363" i="1"/>
  <c r="F1364" i="1"/>
  <c r="G1364" i="1"/>
  <c r="O1364" i="1"/>
  <c r="P1364" i="1" s="1"/>
  <c r="Q1364" i="1"/>
  <c r="Z1364" i="1" s="1"/>
  <c r="V1364" i="1"/>
  <c r="F1365" i="1"/>
  <c r="G1365" i="1"/>
  <c r="O1365" i="1"/>
  <c r="P1365" i="1" s="1"/>
  <c r="Q1365" i="1"/>
  <c r="V1365" i="1"/>
  <c r="Z1365" i="1"/>
  <c r="F1366" i="1"/>
  <c r="G1366" i="1"/>
  <c r="O1366" i="1"/>
  <c r="P1366" i="1" s="1"/>
  <c r="Q1366" i="1"/>
  <c r="V1366" i="1"/>
  <c r="Z1366" i="1"/>
  <c r="F1367" i="1"/>
  <c r="G1367" i="1"/>
  <c r="O1367" i="1"/>
  <c r="P1367" i="1" s="1"/>
  <c r="Q1367" i="1"/>
  <c r="V1367" i="1"/>
  <c r="Z1367" i="1"/>
  <c r="F1368" i="1"/>
  <c r="G1368" i="1"/>
  <c r="O1368" i="1"/>
  <c r="P1368" i="1" s="1"/>
  <c r="Q1368" i="1"/>
  <c r="V1368" i="1"/>
  <c r="Z1368" i="1"/>
  <c r="F1369" i="1"/>
  <c r="G1369" i="1"/>
  <c r="O1369" i="1"/>
  <c r="P1369" i="1" s="1"/>
  <c r="Q1369" i="1"/>
  <c r="V1369" i="1"/>
  <c r="Z1369" i="1"/>
  <c r="F1370" i="1"/>
  <c r="G1370" i="1"/>
  <c r="O1370" i="1"/>
  <c r="P1370" i="1" s="1"/>
  <c r="Q1370" i="1"/>
  <c r="V1370" i="1"/>
  <c r="Z1370" i="1"/>
  <c r="G1371" i="1"/>
  <c r="O1371" i="1"/>
  <c r="P1371" i="1" s="1"/>
  <c r="Q1371" i="1"/>
  <c r="V1371" i="1"/>
  <c r="Z1371" i="1"/>
  <c r="F1372" i="1"/>
  <c r="G1372" i="1"/>
  <c r="O1372" i="1"/>
  <c r="P1372" i="1" s="1"/>
  <c r="Q1372" i="1"/>
  <c r="V1372" i="1"/>
  <c r="Z1372" i="1"/>
  <c r="F1373" i="1"/>
  <c r="G1373" i="1"/>
  <c r="O1373" i="1"/>
  <c r="P1373" i="1" s="1"/>
  <c r="Q1373" i="1"/>
  <c r="V1373" i="1"/>
  <c r="Z1373" i="1"/>
  <c r="F1374" i="1"/>
  <c r="G1374" i="1"/>
  <c r="O1374" i="1"/>
  <c r="P1374" i="1" s="1"/>
  <c r="Q1374" i="1"/>
  <c r="V1374" i="1"/>
  <c r="Z1374" i="1"/>
  <c r="F1375" i="1"/>
  <c r="G1375" i="1"/>
  <c r="O1375" i="1"/>
  <c r="P1375" i="1" s="1"/>
  <c r="Q1375" i="1"/>
  <c r="V1375" i="1"/>
  <c r="Z1375" i="1"/>
  <c r="F1376" i="1"/>
  <c r="G1376" i="1"/>
  <c r="O1376" i="1"/>
  <c r="P1376" i="1" s="1"/>
  <c r="Q1376" i="1"/>
  <c r="V1376" i="1"/>
  <c r="Z1376" i="1"/>
  <c r="F1377" i="1"/>
  <c r="G1377" i="1"/>
  <c r="O1377" i="1"/>
  <c r="P1377" i="1" s="1"/>
  <c r="Q1377" i="1"/>
  <c r="V1377" i="1"/>
  <c r="Z1377" i="1"/>
  <c r="F1378" i="1"/>
  <c r="G1378" i="1"/>
  <c r="O1378" i="1"/>
  <c r="P1378" i="1" s="1"/>
  <c r="Q1378" i="1"/>
  <c r="V1378" i="1"/>
  <c r="Z1378" i="1"/>
  <c r="F1379" i="1"/>
  <c r="G1379" i="1"/>
  <c r="O1379" i="1"/>
  <c r="P1379" i="1" s="1"/>
  <c r="Q1379" i="1"/>
  <c r="V1379" i="1"/>
  <c r="Z1379" i="1"/>
  <c r="F1380" i="1"/>
  <c r="G1380" i="1"/>
  <c r="O1380" i="1"/>
  <c r="P1380" i="1" s="1"/>
  <c r="Q1380" i="1"/>
  <c r="V1380" i="1"/>
  <c r="Z1380" i="1"/>
  <c r="F1381" i="1"/>
  <c r="G1381" i="1"/>
  <c r="O1381" i="1"/>
  <c r="P1381" i="1" s="1"/>
  <c r="Q1381" i="1"/>
  <c r="V1381" i="1"/>
  <c r="Z1381" i="1"/>
  <c r="F1382" i="1"/>
  <c r="G1382" i="1"/>
  <c r="O1382" i="1"/>
  <c r="P1382" i="1" s="1"/>
  <c r="Q1382" i="1"/>
  <c r="V1382" i="1"/>
  <c r="Z1382" i="1"/>
  <c r="F1383" i="1"/>
  <c r="G1383" i="1"/>
  <c r="O1383" i="1"/>
  <c r="P1383" i="1" s="1"/>
  <c r="Q1383" i="1"/>
  <c r="V1383" i="1"/>
  <c r="Z1383" i="1"/>
  <c r="F1384" i="1"/>
  <c r="G1384" i="1"/>
  <c r="O1384" i="1"/>
  <c r="P1384" i="1" s="1"/>
  <c r="Q1384" i="1"/>
  <c r="V1384" i="1"/>
  <c r="Z1384" i="1"/>
  <c r="F1385" i="1"/>
  <c r="G1385" i="1"/>
  <c r="O1385" i="1"/>
  <c r="P1385" i="1" s="1"/>
  <c r="Q1385" i="1"/>
  <c r="V1385" i="1"/>
  <c r="Z1385" i="1"/>
  <c r="F1386" i="1"/>
  <c r="G1386" i="1"/>
  <c r="O1386" i="1"/>
  <c r="P1386" i="1" s="1"/>
  <c r="Q1386" i="1"/>
  <c r="V1386" i="1"/>
  <c r="Z1386" i="1"/>
  <c r="F1387" i="1"/>
  <c r="G1387" i="1"/>
  <c r="O1387" i="1"/>
  <c r="P1387" i="1" s="1"/>
  <c r="Q1387" i="1"/>
  <c r="V1387" i="1"/>
  <c r="Z1387" i="1"/>
  <c r="F1388" i="1"/>
  <c r="G1388" i="1"/>
  <c r="O1388" i="1"/>
  <c r="P1388" i="1" s="1"/>
  <c r="Q1388" i="1"/>
  <c r="V1388" i="1"/>
  <c r="Z1388" i="1"/>
  <c r="F1389" i="1"/>
  <c r="G1389" i="1"/>
  <c r="O1389" i="1"/>
  <c r="P1389" i="1" s="1"/>
  <c r="Q1389" i="1"/>
  <c r="V1389" i="1"/>
  <c r="Z1389" i="1"/>
  <c r="F1390" i="1"/>
  <c r="G1390" i="1"/>
  <c r="O1390" i="1"/>
  <c r="P1390" i="1" s="1"/>
  <c r="Q1390" i="1"/>
  <c r="V1390" i="1"/>
  <c r="Z1390" i="1"/>
  <c r="F1391" i="1"/>
  <c r="G1391" i="1"/>
  <c r="O1391" i="1"/>
  <c r="P1391" i="1" s="1"/>
  <c r="Q1391" i="1"/>
  <c r="V1391" i="1"/>
  <c r="Z1391" i="1"/>
  <c r="F1392" i="1"/>
  <c r="G1392" i="1"/>
  <c r="O1392" i="1"/>
  <c r="P1392" i="1" s="1"/>
  <c r="Q1392" i="1"/>
  <c r="V1392" i="1"/>
  <c r="Z1392" i="1"/>
  <c r="F1393" i="1"/>
  <c r="G1393" i="1"/>
  <c r="O1393" i="1"/>
  <c r="P1393" i="1" s="1"/>
  <c r="Q1393" i="1"/>
  <c r="V1393" i="1"/>
  <c r="Z1393" i="1"/>
  <c r="F1394" i="1"/>
  <c r="G1394" i="1"/>
  <c r="O1394" i="1"/>
  <c r="P1394" i="1" s="1"/>
  <c r="Q1394" i="1"/>
  <c r="V1394" i="1"/>
  <c r="Z1394" i="1"/>
  <c r="F1395" i="1"/>
  <c r="G1395" i="1"/>
  <c r="O1395" i="1"/>
  <c r="P1395" i="1" s="1"/>
  <c r="Q1395" i="1"/>
  <c r="V1395" i="1"/>
  <c r="Z1395" i="1"/>
  <c r="F1396" i="1"/>
  <c r="G1396" i="1"/>
  <c r="O1396" i="1"/>
  <c r="P1396" i="1" s="1"/>
  <c r="Q1396" i="1"/>
  <c r="V1396" i="1"/>
  <c r="Z1396" i="1"/>
  <c r="F1397" i="1"/>
  <c r="G1397" i="1"/>
  <c r="O1397" i="1"/>
  <c r="P1397" i="1" s="1"/>
  <c r="Q1397" i="1"/>
  <c r="V1397" i="1"/>
  <c r="Z1397" i="1"/>
  <c r="F1398" i="1"/>
  <c r="G1398" i="1"/>
  <c r="O1398" i="1"/>
  <c r="P1398" i="1" s="1"/>
  <c r="Q1398" i="1"/>
  <c r="V1398" i="1"/>
  <c r="Z1398" i="1"/>
  <c r="F1399" i="1"/>
  <c r="G1399" i="1"/>
  <c r="O1399" i="1"/>
  <c r="P1399" i="1" s="1"/>
  <c r="Q1399" i="1"/>
  <c r="V1399" i="1"/>
  <c r="Z1399" i="1"/>
  <c r="F1400" i="1"/>
  <c r="G1400" i="1"/>
  <c r="O1400" i="1"/>
  <c r="P1400" i="1" s="1"/>
  <c r="Q1400" i="1"/>
  <c r="V1400" i="1"/>
  <c r="Z1400" i="1"/>
  <c r="F1401" i="1"/>
  <c r="G1401" i="1"/>
  <c r="O1401" i="1"/>
  <c r="P1401" i="1" s="1"/>
  <c r="Q1401" i="1"/>
  <c r="V1401" i="1"/>
  <c r="Z1401" i="1"/>
  <c r="F1402" i="1"/>
  <c r="G1402" i="1"/>
  <c r="O1402" i="1"/>
  <c r="P1402" i="1" s="1"/>
  <c r="Q1402" i="1"/>
  <c r="V1402" i="1"/>
  <c r="Z1402" i="1"/>
  <c r="F1403" i="1"/>
  <c r="G1403" i="1"/>
  <c r="O1403" i="1"/>
  <c r="P1403" i="1" s="1"/>
  <c r="Q1403" i="1"/>
  <c r="V1403" i="1"/>
  <c r="Z1403" i="1"/>
  <c r="F1404" i="1"/>
  <c r="G1404" i="1"/>
  <c r="O1404" i="1"/>
  <c r="P1404" i="1" s="1"/>
  <c r="Q1404" i="1"/>
  <c r="V1404" i="1"/>
  <c r="Z1404" i="1"/>
  <c r="F1405" i="1"/>
  <c r="G1405" i="1"/>
  <c r="O1405" i="1"/>
  <c r="P1405" i="1" s="1"/>
  <c r="Q1405" i="1"/>
  <c r="V1405" i="1"/>
  <c r="Z1405" i="1"/>
  <c r="F1406" i="1"/>
  <c r="G1406" i="1"/>
  <c r="O1406" i="1"/>
  <c r="P1406" i="1" s="1"/>
  <c r="Q1406" i="1"/>
  <c r="V1406" i="1"/>
  <c r="Z1406" i="1"/>
  <c r="F1407" i="1"/>
  <c r="G1407" i="1"/>
  <c r="O1407" i="1"/>
  <c r="P1407" i="1" s="1"/>
  <c r="Q1407" i="1"/>
  <c r="V1407" i="1"/>
  <c r="Z1407" i="1"/>
  <c r="F1408" i="1"/>
  <c r="G1408" i="1"/>
  <c r="O1408" i="1"/>
  <c r="P1408" i="1" s="1"/>
  <c r="Q1408" i="1"/>
  <c r="V1408" i="1"/>
  <c r="Z1408" i="1"/>
  <c r="F1409" i="1"/>
  <c r="G1409" i="1"/>
  <c r="O1409" i="1"/>
  <c r="P1409" i="1" s="1"/>
  <c r="Q1409" i="1"/>
  <c r="V1409" i="1"/>
  <c r="Z1409" i="1"/>
  <c r="F1410" i="1"/>
  <c r="G1410" i="1"/>
  <c r="O1410" i="1"/>
  <c r="P1410" i="1" s="1"/>
  <c r="Q1410" i="1"/>
  <c r="V1410" i="1"/>
  <c r="Z1410" i="1"/>
  <c r="F1411" i="1"/>
  <c r="G1411" i="1"/>
  <c r="O1411" i="1"/>
  <c r="P1411" i="1" s="1"/>
  <c r="Q1411" i="1"/>
  <c r="V1411" i="1"/>
  <c r="Z1411" i="1"/>
  <c r="F1412" i="1"/>
  <c r="G1412" i="1"/>
  <c r="O1412" i="1"/>
  <c r="P1412" i="1" s="1"/>
  <c r="Q1412" i="1"/>
  <c r="V1412" i="1"/>
  <c r="Z1412" i="1"/>
  <c r="F1413" i="1"/>
  <c r="G1413" i="1"/>
  <c r="O1413" i="1"/>
  <c r="P1413" i="1" s="1"/>
  <c r="Q1413" i="1"/>
  <c r="V1413" i="1"/>
  <c r="Z1413" i="1"/>
  <c r="F1414" i="1"/>
  <c r="G1414" i="1"/>
  <c r="O1414" i="1"/>
  <c r="P1414" i="1" s="1"/>
  <c r="Q1414" i="1"/>
  <c r="V1414" i="1"/>
  <c r="Z1414" i="1"/>
  <c r="F1415" i="1"/>
  <c r="G1415" i="1"/>
  <c r="O1415" i="1"/>
  <c r="P1415" i="1" s="1"/>
  <c r="Q1415" i="1"/>
  <c r="V1415" i="1"/>
  <c r="Z1415" i="1"/>
  <c r="F1416" i="1"/>
  <c r="G1416" i="1"/>
  <c r="O1416" i="1"/>
  <c r="P1416" i="1" s="1"/>
  <c r="Q1416" i="1"/>
  <c r="V1416" i="1"/>
  <c r="Z1416" i="1"/>
  <c r="F1417" i="1"/>
  <c r="G1417" i="1"/>
  <c r="O1417" i="1"/>
  <c r="P1417" i="1" s="1"/>
  <c r="Q1417" i="1"/>
  <c r="V1417" i="1"/>
  <c r="Z1417" i="1"/>
  <c r="F1418" i="1"/>
  <c r="G1418" i="1"/>
  <c r="O1418" i="1"/>
  <c r="P1418" i="1" s="1"/>
  <c r="Q1418" i="1"/>
  <c r="V1418" i="1"/>
  <c r="Z1418" i="1"/>
  <c r="F1419" i="1"/>
  <c r="G1419" i="1"/>
  <c r="O1419" i="1"/>
  <c r="P1419" i="1" s="1"/>
  <c r="Q1419" i="1"/>
  <c r="V1419" i="1"/>
  <c r="Z1419" i="1"/>
  <c r="F1420" i="1"/>
  <c r="G1420" i="1"/>
  <c r="O1420" i="1"/>
  <c r="P1420" i="1" s="1"/>
  <c r="Q1420" i="1"/>
  <c r="V1420" i="1"/>
  <c r="Z1420" i="1"/>
  <c r="F1421" i="1"/>
  <c r="G1421" i="1"/>
  <c r="O1421" i="1"/>
  <c r="P1421" i="1" s="1"/>
  <c r="Q1421" i="1"/>
  <c r="V1421" i="1"/>
  <c r="Z1421" i="1"/>
  <c r="F1422" i="1"/>
  <c r="G1422" i="1"/>
  <c r="O1422" i="1"/>
  <c r="P1422" i="1" s="1"/>
  <c r="Q1422" i="1"/>
  <c r="V1422" i="1"/>
  <c r="Z1422" i="1"/>
  <c r="F1423" i="1"/>
  <c r="G1423" i="1"/>
  <c r="O1423" i="1"/>
  <c r="P1423" i="1" s="1"/>
  <c r="Q1423" i="1"/>
  <c r="V1423" i="1"/>
  <c r="Z1423" i="1"/>
  <c r="F1424" i="1"/>
  <c r="G1424" i="1"/>
  <c r="O1424" i="1"/>
  <c r="P1424" i="1" s="1"/>
  <c r="Q1424" i="1"/>
  <c r="V1424" i="1"/>
  <c r="Z1424" i="1"/>
  <c r="F1425" i="1"/>
  <c r="G1425" i="1"/>
  <c r="O1425" i="1"/>
  <c r="P1425" i="1" s="1"/>
  <c r="Q1425" i="1"/>
  <c r="V1425" i="1"/>
  <c r="Z1425" i="1"/>
  <c r="F1426" i="1"/>
  <c r="G1426" i="1"/>
  <c r="O1426" i="1"/>
  <c r="P1426" i="1" s="1"/>
  <c r="Q1426" i="1"/>
  <c r="V1426" i="1"/>
  <c r="Z1426" i="1"/>
  <c r="F1427" i="1"/>
  <c r="G1427" i="1"/>
  <c r="O1427" i="1"/>
  <c r="P1427" i="1" s="1"/>
  <c r="Q1427" i="1"/>
  <c r="V1427" i="1"/>
  <c r="Z1427" i="1"/>
  <c r="F1428" i="1"/>
  <c r="G1428" i="1"/>
  <c r="O1428" i="1"/>
  <c r="P1428" i="1" s="1"/>
  <c r="Q1428" i="1"/>
  <c r="V1428" i="1"/>
  <c r="Z1428" i="1"/>
  <c r="F1429" i="1"/>
  <c r="G1429" i="1"/>
  <c r="O1429" i="1"/>
  <c r="P1429" i="1" s="1"/>
  <c r="Q1429" i="1"/>
  <c r="V1429" i="1"/>
  <c r="Z1429" i="1"/>
  <c r="F1430" i="1"/>
  <c r="G1430" i="1"/>
  <c r="O1430" i="1"/>
  <c r="P1430" i="1" s="1"/>
  <c r="Q1430" i="1"/>
  <c r="V1430" i="1"/>
  <c r="Z1430" i="1"/>
  <c r="F1431" i="1"/>
  <c r="G1431" i="1"/>
  <c r="O1431" i="1"/>
  <c r="P1431" i="1" s="1"/>
  <c r="Q1431" i="1"/>
  <c r="V1431" i="1"/>
  <c r="Z1431" i="1"/>
  <c r="F1432" i="1"/>
  <c r="G1432" i="1"/>
  <c r="O1432" i="1"/>
  <c r="P1432" i="1" s="1"/>
  <c r="Q1432" i="1"/>
  <c r="V1432" i="1"/>
  <c r="Z1432" i="1"/>
  <c r="F1433" i="1"/>
  <c r="G1433" i="1"/>
  <c r="O1433" i="1"/>
  <c r="P1433" i="1" s="1"/>
  <c r="Q1433" i="1"/>
  <c r="V1433" i="1"/>
  <c r="Z1433" i="1"/>
  <c r="F1434" i="1"/>
  <c r="G1434" i="1"/>
  <c r="O1434" i="1"/>
  <c r="P1434" i="1" s="1"/>
  <c r="Q1434" i="1"/>
  <c r="V1434" i="1"/>
  <c r="Z1434" i="1"/>
  <c r="F1435" i="1"/>
  <c r="G1435" i="1"/>
  <c r="O1435" i="1"/>
  <c r="P1435" i="1" s="1"/>
  <c r="Q1435" i="1"/>
  <c r="V1435" i="1"/>
  <c r="Z1435" i="1"/>
  <c r="F1436" i="1"/>
  <c r="G1436" i="1"/>
  <c r="O1436" i="1"/>
  <c r="P1436" i="1" s="1"/>
  <c r="Q1436" i="1"/>
  <c r="V1436" i="1"/>
  <c r="Z1436" i="1"/>
  <c r="F1437" i="1"/>
  <c r="G1437" i="1"/>
  <c r="O1437" i="1"/>
  <c r="P1437" i="1" s="1"/>
  <c r="Q1437" i="1"/>
  <c r="V1437" i="1"/>
  <c r="Z1437" i="1"/>
  <c r="F1438" i="1"/>
  <c r="G1438" i="1"/>
  <c r="O1438" i="1"/>
  <c r="P1438" i="1" s="1"/>
  <c r="Q1438" i="1"/>
  <c r="V1438" i="1"/>
  <c r="Z1438" i="1"/>
  <c r="F1439" i="1"/>
  <c r="G1439" i="1"/>
  <c r="O1439" i="1"/>
  <c r="P1439" i="1" s="1"/>
  <c r="Q1439" i="1"/>
  <c r="V1439" i="1"/>
  <c r="Z1439" i="1"/>
  <c r="F1440" i="1"/>
  <c r="G1440" i="1"/>
  <c r="O1440" i="1"/>
  <c r="P1440" i="1" s="1"/>
  <c r="Q1440" i="1"/>
  <c r="V1440" i="1"/>
  <c r="Z1440" i="1"/>
  <c r="F1441" i="1"/>
  <c r="G1441" i="1"/>
  <c r="O1441" i="1"/>
  <c r="P1441" i="1" s="1"/>
  <c r="Q1441" i="1"/>
  <c r="V1441" i="1"/>
  <c r="Z1441" i="1"/>
  <c r="F1442" i="1"/>
  <c r="G1442" i="1"/>
  <c r="O1442" i="1"/>
  <c r="P1442" i="1" s="1"/>
  <c r="Q1442" i="1"/>
  <c r="V1442" i="1"/>
  <c r="Z1442" i="1"/>
  <c r="F1443" i="1"/>
  <c r="G1443" i="1"/>
  <c r="O1443" i="1"/>
  <c r="P1443" i="1" s="1"/>
  <c r="Q1443" i="1"/>
  <c r="V1443" i="1"/>
  <c r="Z1443" i="1"/>
  <c r="F1444" i="1"/>
  <c r="G1444" i="1"/>
  <c r="O1444" i="1"/>
  <c r="P1444" i="1" s="1"/>
  <c r="Q1444" i="1"/>
  <c r="V1444" i="1"/>
  <c r="Z1444" i="1"/>
  <c r="F1445" i="1"/>
  <c r="G1445" i="1"/>
  <c r="O1445" i="1"/>
  <c r="P1445" i="1" s="1"/>
  <c r="Q1445" i="1"/>
  <c r="V1445" i="1"/>
  <c r="Z1445" i="1"/>
  <c r="F1446" i="1"/>
  <c r="G1446" i="1"/>
  <c r="O1446" i="1"/>
  <c r="P1446" i="1" s="1"/>
  <c r="Q1446" i="1"/>
  <c r="V1446" i="1"/>
  <c r="Z1446" i="1"/>
  <c r="F1447" i="1"/>
  <c r="G1447" i="1"/>
  <c r="O1447" i="1"/>
  <c r="P1447" i="1" s="1"/>
  <c r="Q1447" i="1"/>
  <c r="V1447" i="1"/>
  <c r="Z1447" i="1"/>
  <c r="F1448" i="1"/>
  <c r="G1448" i="1"/>
  <c r="O1448" i="1"/>
  <c r="P1448" i="1" s="1"/>
  <c r="Q1448" i="1"/>
  <c r="V1448" i="1"/>
  <c r="Z1448" i="1"/>
  <c r="F1449" i="1"/>
  <c r="G1449" i="1"/>
  <c r="O1449" i="1"/>
  <c r="P1449" i="1" s="1"/>
  <c r="Q1449" i="1"/>
  <c r="V1449" i="1"/>
  <c r="Z1449" i="1"/>
  <c r="F1450" i="1"/>
  <c r="G1450" i="1"/>
  <c r="O1450" i="1"/>
  <c r="P1450" i="1" s="1"/>
  <c r="Q1450" i="1"/>
  <c r="V1450" i="1"/>
  <c r="Z1450" i="1"/>
  <c r="F1451" i="1"/>
  <c r="G1451" i="1"/>
  <c r="O1451" i="1"/>
  <c r="P1451" i="1" s="1"/>
  <c r="Q1451" i="1"/>
  <c r="V1451" i="1"/>
  <c r="Z1451" i="1"/>
  <c r="F1452" i="1"/>
  <c r="G1452" i="1"/>
  <c r="O1452" i="1"/>
  <c r="P1452" i="1" s="1"/>
  <c r="Q1452" i="1"/>
  <c r="V1452" i="1"/>
  <c r="Z1452" i="1"/>
  <c r="F1453" i="1"/>
  <c r="G1453" i="1"/>
  <c r="O1453" i="1"/>
  <c r="P1453" i="1" s="1"/>
  <c r="Q1453" i="1"/>
  <c r="V1453" i="1"/>
  <c r="Z1453" i="1"/>
  <c r="F1454" i="1"/>
  <c r="G1454" i="1"/>
  <c r="O1454" i="1"/>
  <c r="P1454" i="1" s="1"/>
  <c r="Q1454" i="1"/>
  <c r="V1454" i="1"/>
  <c r="Z1454" i="1"/>
  <c r="F1455" i="1"/>
  <c r="G1455" i="1"/>
  <c r="O1455" i="1"/>
  <c r="P1455" i="1" s="1"/>
  <c r="Q1455" i="1"/>
  <c r="V1455" i="1"/>
  <c r="Z1455" i="1"/>
  <c r="F1456" i="1"/>
  <c r="G1456" i="1"/>
  <c r="O1456" i="1"/>
  <c r="P1456" i="1" s="1"/>
  <c r="Q1456" i="1"/>
  <c r="V1456" i="1"/>
  <c r="Z1456" i="1"/>
  <c r="F1457" i="1"/>
  <c r="G1457" i="1"/>
  <c r="O1457" i="1"/>
  <c r="P1457" i="1" s="1"/>
  <c r="Q1457" i="1"/>
  <c r="V1457" i="1"/>
  <c r="Z1457" i="1"/>
  <c r="F1458" i="1"/>
  <c r="G1458" i="1"/>
  <c r="O1458" i="1"/>
  <c r="P1458" i="1" s="1"/>
  <c r="Q1458" i="1"/>
  <c r="V1458" i="1"/>
  <c r="Z1458" i="1"/>
  <c r="F1459" i="1"/>
  <c r="G1459" i="1"/>
  <c r="O1459" i="1"/>
  <c r="P1459" i="1" s="1"/>
  <c r="Q1459" i="1"/>
  <c r="V1459" i="1"/>
  <c r="Z1459" i="1"/>
  <c r="F1460" i="1"/>
  <c r="G1460" i="1"/>
  <c r="O1460" i="1"/>
  <c r="P1460" i="1" s="1"/>
  <c r="Q1460" i="1"/>
  <c r="V1460" i="1"/>
  <c r="Z1460" i="1"/>
  <c r="F1461" i="1"/>
  <c r="G1461" i="1"/>
  <c r="O1461" i="1"/>
  <c r="P1461" i="1" s="1"/>
  <c r="Q1461" i="1"/>
  <c r="V1461" i="1"/>
  <c r="Z1461" i="1"/>
  <c r="F1462" i="1"/>
  <c r="G1462" i="1"/>
  <c r="O1462" i="1"/>
  <c r="P1462" i="1" s="1"/>
  <c r="Q1462" i="1"/>
  <c r="V1462" i="1"/>
  <c r="Z1462" i="1"/>
  <c r="F1463" i="1"/>
  <c r="G1463" i="1"/>
  <c r="O1463" i="1"/>
  <c r="P1463" i="1" s="1"/>
  <c r="Q1463" i="1"/>
  <c r="V1463" i="1"/>
  <c r="Z1463" i="1"/>
  <c r="F1464" i="1"/>
  <c r="G1464" i="1"/>
  <c r="O1464" i="1"/>
  <c r="P1464" i="1" s="1"/>
  <c r="Q1464" i="1"/>
  <c r="V1464" i="1"/>
  <c r="Z1464" i="1"/>
  <c r="F1465" i="1"/>
  <c r="G1465" i="1"/>
  <c r="O1465" i="1"/>
  <c r="P1465" i="1" s="1"/>
  <c r="Q1465" i="1"/>
  <c r="V1465" i="1"/>
  <c r="Z1465" i="1"/>
  <c r="F1466" i="1"/>
  <c r="G1466" i="1"/>
  <c r="O1466" i="1"/>
  <c r="P1466" i="1" s="1"/>
  <c r="Q1466" i="1"/>
  <c r="V1466" i="1"/>
  <c r="Z1466" i="1"/>
  <c r="F1467" i="1"/>
  <c r="G1467" i="1"/>
  <c r="O1467" i="1"/>
  <c r="P1467" i="1" s="1"/>
  <c r="Q1467" i="1"/>
  <c r="V1467" i="1"/>
  <c r="Z1467" i="1"/>
  <c r="F1468" i="1"/>
  <c r="G1468" i="1"/>
  <c r="O1468" i="1"/>
  <c r="P1468" i="1" s="1"/>
  <c r="Q1468" i="1"/>
  <c r="V1468" i="1"/>
  <c r="Z1468" i="1"/>
  <c r="F1469" i="1"/>
  <c r="G1469" i="1"/>
  <c r="O1469" i="1"/>
  <c r="P1469" i="1" s="1"/>
  <c r="Q1469" i="1"/>
  <c r="V1469" i="1"/>
  <c r="Z1469" i="1"/>
  <c r="F1470" i="1"/>
  <c r="G1470" i="1"/>
  <c r="O1470" i="1"/>
  <c r="P1470" i="1" s="1"/>
  <c r="Q1470" i="1"/>
  <c r="V1470" i="1"/>
  <c r="Z1470" i="1"/>
  <c r="F1471" i="1"/>
  <c r="G1471" i="1"/>
  <c r="O1471" i="1"/>
  <c r="P1471" i="1" s="1"/>
  <c r="Q1471" i="1"/>
  <c r="V1471" i="1"/>
  <c r="Z1471" i="1"/>
  <c r="F1472" i="1"/>
  <c r="G1472" i="1"/>
  <c r="O1472" i="1"/>
  <c r="P1472" i="1" s="1"/>
  <c r="Q1472" i="1"/>
  <c r="V1472" i="1"/>
  <c r="Z1472" i="1"/>
  <c r="F1473" i="1"/>
  <c r="G1473" i="1"/>
  <c r="O1473" i="1"/>
  <c r="P1473" i="1" s="1"/>
  <c r="Q1473" i="1"/>
  <c r="V1473" i="1"/>
  <c r="Z1473" i="1"/>
  <c r="F1474" i="1"/>
  <c r="G1474" i="1"/>
  <c r="O1474" i="1"/>
  <c r="P1474" i="1" s="1"/>
  <c r="Q1474" i="1"/>
  <c r="V1474" i="1"/>
  <c r="Z1474" i="1"/>
  <c r="F1475" i="1"/>
  <c r="G1475" i="1"/>
  <c r="O1475" i="1"/>
  <c r="P1475" i="1" s="1"/>
  <c r="Q1475" i="1"/>
  <c r="V1475" i="1"/>
  <c r="Z1475" i="1"/>
  <c r="F1476" i="1"/>
  <c r="G1476" i="1"/>
  <c r="O1476" i="1"/>
  <c r="P1476" i="1" s="1"/>
  <c r="Q1476" i="1"/>
  <c r="V1476" i="1"/>
  <c r="Z1476" i="1"/>
  <c r="F1477" i="1"/>
  <c r="G1477" i="1"/>
  <c r="O1477" i="1"/>
  <c r="P1477" i="1" s="1"/>
  <c r="Q1477" i="1"/>
  <c r="V1477" i="1"/>
  <c r="Z1477" i="1"/>
  <c r="F1478" i="1"/>
  <c r="G1478" i="1"/>
  <c r="O1478" i="1"/>
  <c r="P1478" i="1" s="1"/>
  <c r="Q1478" i="1"/>
  <c r="V1478" i="1"/>
  <c r="Z1478" i="1"/>
  <c r="F1479" i="1"/>
  <c r="G1479" i="1"/>
  <c r="O1479" i="1"/>
  <c r="P1479" i="1" s="1"/>
  <c r="Q1479" i="1"/>
  <c r="V1479" i="1"/>
  <c r="Z1479" i="1"/>
  <c r="F1480" i="1"/>
  <c r="G1480" i="1"/>
  <c r="O1480" i="1"/>
  <c r="P1480" i="1" s="1"/>
  <c r="Q1480" i="1"/>
  <c r="V1480" i="1"/>
  <c r="Z1480" i="1"/>
  <c r="F1481" i="1"/>
  <c r="G1481" i="1"/>
  <c r="O1481" i="1"/>
  <c r="P1481" i="1" s="1"/>
  <c r="Q1481" i="1"/>
  <c r="V1481" i="1"/>
  <c r="Z1481" i="1"/>
  <c r="F1482" i="1"/>
  <c r="G1482" i="1"/>
  <c r="O1482" i="1"/>
  <c r="P1482" i="1" s="1"/>
  <c r="Q1482" i="1"/>
  <c r="V1482" i="1"/>
  <c r="Z1482" i="1"/>
  <c r="F1483" i="1"/>
  <c r="G1483" i="1"/>
  <c r="O1483" i="1"/>
  <c r="P1483" i="1" s="1"/>
  <c r="Q1483" i="1"/>
  <c r="V1483" i="1"/>
  <c r="Z1483" i="1"/>
  <c r="F1484" i="1"/>
  <c r="G1484" i="1"/>
  <c r="O1484" i="1"/>
  <c r="P1484" i="1" s="1"/>
  <c r="Q1484" i="1"/>
  <c r="V1484" i="1"/>
  <c r="Z1484" i="1"/>
  <c r="F1485" i="1"/>
  <c r="G1485" i="1"/>
  <c r="O1485" i="1"/>
  <c r="P1485" i="1" s="1"/>
  <c r="Q1485" i="1"/>
  <c r="V1485" i="1"/>
  <c r="Z1485" i="1"/>
  <c r="F1486" i="1"/>
  <c r="G1486" i="1"/>
  <c r="O1486" i="1"/>
  <c r="P1486" i="1" s="1"/>
  <c r="Q1486" i="1"/>
  <c r="V1486" i="1"/>
  <c r="Z1486" i="1"/>
  <c r="F1487" i="1"/>
  <c r="G1487" i="1"/>
  <c r="O1487" i="1"/>
  <c r="P1487" i="1" s="1"/>
  <c r="Q1487" i="1"/>
  <c r="V1487" i="1"/>
  <c r="Z1487" i="1"/>
  <c r="F1488" i="1"/>
  <c r="G1488" i="1"/>
  <c r="O1488" i="1"/>
  <c r="P1488" i="1" s="1"/>
  <c r="Q1488" i="1"/>
  <c r="V1488" i="1"/>
  <c r="Z1488" i="1"/>
  <c r="F1489" i="1"/>
  <c r="G1489" i="1"/>
  <c r="O1489" i="1"/>
  <c r="P1489" i="1" s="1"/>
  <c r="Q1489" i="1"/>
  <c r="V1489" i="1"/>
  <c r="Z1489" i="1"/>
  <c r="F1490" i="1"/>
  <c r="G1490" i="1"/>
  <c r="O1490" i="1"/>
  <c r="P1490" i="1" s="1"/>
  <c r="Q1490" i="1"/>
  <c r="V1490" i="1"/>
  <c r="Z1490" i="1"/>
  <c r="F1491" i="1"/>
  <c r="G1491" i="1"/>
  <c r="O1491" i="1"/>
  <c r="P1491" i="1" s="1"/>
  <c r="Q1491" i="1"/>
  <c r="V1491" i="1"/>
  <c r="Z1491" i="1"/>
  <c r="F1492" i="1"/>
  <c r="G1492" i="1"/>
  <c r="O1492" i="1"/>
  <c r="P1492" i="1" s="1"/>
  <c r="Q1492" i="1"/>
  <c r="V1492" i="1"/>
  <c r="Z1492" i="1"/>
  <c r="F1493" i="1"/>
  <c r="G1493" i="1"/>
  <c r="O1493" i="1"/>
  <c r="P1493" i="1" s="1"/>
  <c r="Q1493" i="1"/>
  <c r="V1493" i="1"/>
  <c r="Z1493" i="1"/>
  <c r="F1494" i="1"/>
  <c r="G1494" i="1"/>
  <c r="O1494" i="1"/>
  <c r="P1494" i="1" s="1"/>
  <c r="Q1494" i="1"/>
  <c r="V1494" i="1"/>
  <c r="Z1494" i="1"/>
  <c r="F1495" i="1"/>
  <c r="G1495" i="1"/>
  <c r="O1495" i="1"/>
  <c r="P1495" i="1" s="1"/>
  <c r="Q1495" i="1"/>
  <c r="V1495" i="1"/>
  <c r="Z1495" i="1"/>
  <c r="F1496" i="1"/>
  <c r="G1496" i="1"/>
  <c r="O1496" i="1"/>
  <c r="P1496" i="1" s="1"/>
  <c r="Q1496" i="1"/>
  <c r="V1496" i="1"/>
  <c r="Z1496" i="1"/>
  <c r="F1497" i="1"/>
  <c r="G1497" i="1"/>
  <c r="O1497" i="1"/>
  <c r="P1497" i="1" s="1"/>
  <c r="Q1497" i="1"/>
  <c r="V1497" i="1"/>
  <c r="Z1497" i="1"/>
  <c r="F1498" i="1"/>
  <c r="G1498" i="1"/>
  <c r="O1498" i="1"/>
  <c r="P1498" i="1" s="1"/>
  <c r="Q1498" i="1"/>
  <c r="V1498" i="1"/>
  <c r="Z1498" i="1"/>
  <c r="F1499" i="1"/>
  <c r="G1499" i="1"/>
  <c r="O1499" i="1"/>
  <c r="P1499" i="1" s="1"/>
  <c r="Q1499" i="1"/>
  <c r="V1499" i="1"/>
  <c r="Z1499" i="1"/>
  <c r="F1500" i="1"/>
  <c r="G1500" i="1"/>
  <c r="O1500" i="1"/>
  <c r="P1500" i="1" s="1"/>
  <c r="Q1500" i="1"/>
  <c r="V1500" i="1"/>
  <c r="Z1500" i="1"/>
  <c r="F1501" i="1"/>
  <c r="G1501" i="1"/>
  <c r="O1501" i="1"/>
  <c r="P1501" i="1" s="1"/>
  <c r="Q1501" i="1"/>
  <c r="V1501" i="1"/>
  <c r="Z1501" i="1"/>
  <c r="F1502" i="1"/>
  <c r="G1502" i="1"/>
  <c r="O1502" i="1"/>
  <c r="P1502" i="1" s="1"/>
  <c r="Q1502" i="1"/>
  <c r="V1502" i="1"/>
  <c r="Z1502" i="1"/>
  <c r="F1503" i="1"/>
  <c r="G1503" i="1"/>
  <c r="O1503" i="1"/>
  <c r="P1503" i="1" s="1"/>
  <c r="Q1503" i="1"/>
  <c r="V1503" i="1"/>
  <c r="Z1503" i="1"/>
  <c r="F1504" i="1"/>
  <c r="G1504" i="1"/>
  <c r="O1504" i="1"/>
  <c r="P1504" i="1" s="1"/>
  <c r="Q1504" i="1"/>
  <c r="V1504" i="1"/>
  <c r="Z1504" i="1"/>
  <c r="F1505" i="1"/>
  <c r="G1505" i="1"/>
  <c r="O1505" i="1"/>
  <c r="P1505" i="1" s="1"/>
  <c r="Q1505" i="1"/>
  <c r="V1505" i="1"/>
  <c r="Z1505" i="1"/>
  <c r="F1506" i="1"/>
  <c r="G1506" i="1"/>
  <c r="O1506" i="1"/>
  <c r="P1506" i="1" s="1"/>
  <c r="Q1506" i="1"/>
  <c r="V1506" i="1"/>
  <c r="Z1506" i="1"/>
  <c r="F1507" i="1"/>
  <c r="G1507" i="1"/>
  <c r="O1507" i="1"/>
  <c r="P1507" i="1" s="1"/>
  <c r="Q1507" i="1"/>
  <c r="V1507" i="1"/>
  <c r="Z1507" i="1"/>
  <c r="F1508" i="1"/>
  <c r="G1508" i="1"/>
  <c r="O1508" i="1"/>
  <c r="P1508" i="1" s="1"/>
  <c r="Q1508" i="1"/>
  <c r="V1508" i="1"/>
  <c r="Z1508" i="1"/>
  <c r="F1509" i="1"/>
  <c r="G1509" i="1"/>
  <c r="O1509" i="1"/>
  <c r="P1509" i="1" s="1"/>
  <c r="Q1509" i="1"/>
  <c r="V1509" i="1"/>
  <c r="Z1509" i="1"/>
  <c r="F1510" i="1"/>
  <c r="G1510" i="1"/>
  <c r="O1510" i="1"/>
  <c r="P1510" i="1" s="1"/>
  <c r="Q1510" i="1"/>
  <c r="V1510" i="1"/>
  <c r="Z1510" i="1"/>
  <c r="F1511" i="1"/>
  <c r="G1511" i="1"/>
  <c r="O1511" i="1"/>
  <c r="P1511" i="1" s="1"/>
  <c r="Q1511" i="1"/>
  <c r="V1511" i="1"/>
  <c r="Z1511" i="1"/>
  <c r="F1512" i="1"/>
  <c r="G1512" i="1"/>
  <c r="O1512" i="1"/>
  <c r="P1512" i="1" s="1"/>
  <c r="Q1512" i="1"/>
  <c r="V1512" i="1"/>
  <c r="Z1512" i="1"/>
  <c r="F1513" i="1"/>
  <c r="G1513" i="1"/>
  <c r="O1513" i="1"/>
  <c r="P1513" i="1" s="1"/>
  <c r="Q1513" i="1"/>
  <c r="V1513" i="1"/>
  <c r="Z1513" i="1"/>
  <c r="F1514" i="1"/>
  <c r="G1514" i="1"/>
  <c r="O1514" i="1"/>
  <c r="P1514" i="1" s="1"/>
  <c r="Q1514" i="1"/>
  <c r="V1514" i="1"/>
  <c r="Z1514" i="1"/>
  <c r="F1515" i="1"/>
  <c r="G1515" i="1"/>
  <c r="O1515" i="1"/>
  <c r="P1515" i="1" s="1"/>
  <c r="Q1515" i="1"/>
  <c r="V1515" i="1"/>
  <c r="Z1515" i="1"/>
  <c r="F1516" i="1"/>
  <c r="G1516" i="1"/>
  <c r="O1516" i="1"/>
  <c r="P1516" i="1" s="1"/>
  <c r="Q1516" i="1"/>
  <c r="V1516" i="1"/>
  <c r="Z1516" i="1"/>
  <c r="F1517" i="1"/>
  <c r="G1517" i="1"/>
  <c r="O1517" i="1"/>
  <c r="P1517" i="1" s="1"/>
  <c r="Q1517" i="1"/>
  <c r="V1517" i="1"/>
  <c r="Z1517" i="1"/>
  <c r="F1518" i="1"/>
  <c r="G1518" i="1"/>
  <c r="O1518" i="1"/>
  <c r="P1518" i="1" s="1"/>
  <c r="Q1518" i="1"/>
  <c r="V1518" i="1"/>
  <c r="Z1518" i="1"/>
  <c r="F1519" i="1"/>
  <c r="G1519" i="1"/>
  <c r="O1519" i="1"/>
  <c r="P1519" i="1" s="1"/>
  <c r="Q1519" i="1"/>
  <c r="V1519" i="1"/>
  <c r="Z1519" i="1"/>
  <c r="F1520" i="1"/>
  <c r="G1520" i="1"/>
  <c r="O1520" i="1"/>
  <c r="P1520" i="1" s="1"/>
  <c r="Q1520" i="1"/>
  <c r="V1520" i="1"/>
  <c r="Z1520" i="1"/>
  <c r="F1521" i="1"/>
  <c r="G1521" i="1"/>
  <c r="O1521" i="1"/>
  <c r="P1521" i="1" s="1"/>
  <c r="Q1521" i="1"/>
  <c r="V1521" i="1"/>
  <c r="Z1521" i="1"/>
  <c r="F1522" i="1"/>
  <c r="G1522" i="1"/>
  <c r="O1522" i="1"/>
  <c r="P1522" i="1" s="1"/>
  <c r="Q1522" i="1"/>
  <c r="V1522" i="1"/>
  <c r="Z1522" i="1"/>
  <c r="F1523" i="1"/>
  <c r="G1523" i="1"/>
  <c r="O1523" i="1"/>
  <c r="P1523" i="1" s="1"/>
  <c r="Q1523" i="1"/>
  <c r="V1523" i="1"/>
  <c r="Z1523" i="1"/>
  <c r="F1524" i="1"/>
  <c r="G1524" i="1"/>
  <c r="O1524" i="1"/>
  <c r="P1524" i="1" s="1"/>
  <c r="Q1524" i="1"/>
  <c r="V1524" i="1"/>
  <c r="Z1524" i="1"/>
  <c r="F1525" i="1"/>
  <c r="G1525" i="1"/>
  <c r="O1525" i="1"/>
  <c r="P1525" i="1" s="1"/>
  <c r="Q1525" i="1"/>
  <c r="V1525" i="1"/>
  <c r="Z1525" i="1"/>
  <c r="F1526" i="1"/>
  <c r="G1526" i="1"/>
  <c r="O1526" i="1"/>
  <c r="P1526" i="1" s="1"/>
  <c r="Q1526" i="1"/>
  <c r="V1526" i="1"/>
  <c r="Z1526" i="1"/>
  <c r="F1527" i="1"/>
  <c r="G1527" i="1"/>
  <c r="O1527" i="1"/>
  <c r="P1527" i="1" s="1"/>
  <c r="Q1527" i="1"/>
  <c r="V1527" i="1"/>
  <c r="Z1527" i="1"/>
  <c r="F1528" i="1"/>
  <c r="G1528" i="1"/>
  <c r="O1528" i="1"/>
  <c r="P1528" i="1" s="1"/>
  <c r="Q1528" i="1"/>
  <c r="V1528" i="1"/>
  <c r="Z1528" i="1"/>
  <c r="F1529" i="1"/>
  <c r="G1529" i="1"/>
  <c r="O1529" i="1"/>
  <c r="P1529" i="1" s="1"/>
  <c r="Q1529" i="1"/>
  <c r="V1529" i="1"/>
  <c r="Z1529" i="1"/>
  <c r="F1530" i="1"/>
  <c r="G1530" i="1"/>
  <c r="O1530" i="1"/>
  <c r="P1530" i="1" s="1"/>
  <c r="Q1530" i="1"/>
  <c r="V1530" i="1"/>
  <c r="Z1530" i="1"/>
  <c r="F1531" i="1"/>
  <c r="G1531" i="1"/>
  <c r="O1531" i="1"/>
  <c r="P1531" i="1" s="1"/>
  <c r="Q1531" i="1"/>
  <c r="V1531" i="1"/>
  <c r="Z1531" i="1"/>
  <c r="F1532" i="1"/>
  <c r="G1532" i="1"/>
  <c r="O1532" i="1"/>
  <c r="P1532" i="1" s="1"/>
  <c r="Q1532" i="1"/>
  <c r="V1532" i="1"/>
  <c r="Z1532" i="1"/>
  <c r="F1533" i="1"/>
  <c r="G1533" i="1"/>
  <c r="O1533" i="1"/>
  <c r="P1533" i="1" s="1"/>
  <c r="Q1533" i="1"/>
  <c r="V1533" i="1"/>
  <c r="Z1533" i="1"/>
  <c r="F1534" i="1"/>
  <c r="G1534" i="1"/>
  <c r="O1534" i="1"/>
  <c r="P1534" i="1" s="1"/>
  <c r="Q1534" i="1"/>
  <c r="V1534" i="1"/>
  <c r="Z1534" i="1"/>
  <c r="F1535" i="1"/>
  <c r="G1535" i="1"/>
  <c r="O1535" i="1"/>
  <c r="P1535" i="1" s="1"/>
  <c r="Q1535" i="1"/>
  <c r="V1535" i="1"/>
  <c r="Z1535" i="1"/>
  <c r="F1536" i="1"/>
  <c r="G1536" i="1"/>
  <c r="O1536" i="1"/>
  <c r="P1536" i="1" s="1"/>
  <c r="Q1536" i="1"/>
  <c r="V1536" i="1"/>
  <c r="Z1536" i="1"/>
  <c r="F1537" i="1"/>
  <c r="G1537" i="1"/>
  <c r="O1537" i="1"/>
  <c r="P1537" i="1" s="1"/>
  <c r="Q1537" i="1"/>
  <c r="V1537" i="1"/>
  <c r="Z1537" i="1"/>
  <c r="F1538" i="1"/>
  <c r="G1538" i="1"/>
  <c r="O1538" i="1"/>
  <c r="P1538" i="1" s="1"/>
  <c r="Q1538" i="1"/>
  <c r="V1538" i="1"/>
  <c r="Z1538" i="1"/>
  <c r="F1539" i="1"/>
  <c r="G1539" i="1"/>
  <c r="O1539" i="1"/>
  <c r="P1539" i="1" s="1"/>
  <c r="Q1539" i="1"/>
  <c r="V1539" i="1"/>
  <c r="Z1539" i="1"/>
  <c r="F1540" i="1"/>
  <c r="G1540" i="1"/>
  <c r="O1540" i="1"/>
  <c r="P1540" i="1" s="1"/>
  <c r="Q1540" i="1"/>
  <c r="V1540" i="1"/>
  <c r="Z1540" i="1"/>
  <c r="F1541" i="1"/>
  <c r="G1541" i="1"/>
  <c r="O1541" i="1"/>
  <c r="P1541" i="1" s="1"/>
  <c r="Q1541" i="1"/>
  <c r="V1541" i="1"/>
  <c r="Z1541" i="1"/>
  <c r="F1542" i="1"/>
  <c r="G1542" i="1"/>
  <c r="O1542" i="1"/>
  <c r="P1542" i="1" s="1"/>
  <c r="Q1542" i="1"/>
  <c r="V1542" i="1"/>
  <c r="Z1542" i="1"/>
  <c r="F1543" i="1"/>
  <c r="G1543" i="1"/>
  <c r="O1543" i="1"/>
  <c r="P1543" i="1" s="1"/>
  <c r="Q1543" i="1"/>
  <c r="V1543" i="1"/>
  <c r="Z1543" i="1"/>
  <c r="F1544" i="1"/>
  <c r="G1544" i="1"/>
  <c r="O1544" i="1"/>
  <c r="P1544" i="1" s="1"/>
  <c r="Q1544" i="1"/>
  <c r="V1544" i="1"/>
  <c r="Z1544" i="1"/>
  <c r="F1545" i="1"/>
  <c r="G1545" i="1"/>
  <c r="O1545" i="1"/>
  <c r="P1545" i="1" s="1"/>
  <c r="Q1545" i="1"/>
  <c r="V1545" i="1"/>
  <c r="Z1545" i="1"/>
  <c r="F1546" i="1"/>
  <c r="G1546" i="1"/>
  <c r="O1546" i="1"/>
  <c r="P1546" i="1" s="1"/>
  <c r="Q1546" i="1"/>
  <c r="V1546" i="1"/>
  <c r="Z1546" i="1"/>
  <c r="F1547" i="1"/>
  <c r="G1547" i="1"/>
  <c r="O1547" i="1"/>
  <c r="P1547" i="1" s="1"/>
  <c r="Q1547" i="1"/>
  <c r="V1547" i="1"/>
  <c r="Z1547" i="1"/>
  <c r="F1548" i="1"/>
  <c r="G1548" i="1"/>
  <c r="O1548" i="1"/>
  <c r="P1548" i="1" s="1"/>
  <c r="Q1548" i="1"/>
  <c r="V1548" i="1"/>
  <c r="Z1548" i="1"/>
  <c r="F1549" i="1"/>
  <c r="G1549" i="1"/>
  <c r="O1549" i="1"/>
  <c r="P1549" i="1" s="1"/>
  <c r="Q1549" i="1"/>
  <c r="V1549" i="1"/>
  <c r="Z1549" i="1"/>
  <c r="F1550" i="1"/>
  <c r="G1550" i="1"/>
  <c r="O1550" i="1"/>
  <c r="P1550" i="1" s="1"/>
  <c r="Q1550" i="1"/>
  <c r="V1550" i="1"/>
  <c r="Z1550" i="1"/>
  <c r="F1551" i="1"/>
  <c r="G1551" i="1"/>
  <c r="O1551" i="1"/>
  <c r="P1551" i="1" s="1"/>
  <c r="Q1551" i="1"/>
  <c r="V1551" i="1"/>
  <c r="Z1551" i="1"/>
  <c r="F1552" i="1"/>
  <c r="G1552" i="1"/>
  <c r="O1552" i="1"/>
  <c r="P1552" i="1" s="1"/>
  <c r="Q1552" i="1"/>
  <c r="V1552" i="1"/>
  <c r="Z1552" i="1"/>
  <c r="F1553" i="1"/>
  <c r="G1553" i="1"/>
  <c r="O1553" i="1"/>
  <c r="P1553" i="1" s="1"/>
  <c r="Q1553" i="1"/>
  <c r="V1553" i="1"/>
  <c r="Z1553" i="1"/>
  <c r="F1554" i="1"/>
  <c r="G1554" i="1"/>
  <c r="O1554" i="1"/>
  <c r="P1554" i="1" s="1"/>
  <c r="Q1554" i="1"/>
  <c r="V1554" i="1"/>
  <c r="Z1554" i="1"/>
  <c r="F1555" i="1"/>
  <c r="G1555" i="1"/>
  <c r="O1555" i="1"/>
  <c r="P1555" i="1" s="1"/>
  <c r="Q1555" i="1"/>
  <c r="V1555" i="1"/>
  <c r="Z1555" i="1"/>
  <c r="F1556" i="1"/>
  <c r="G1556" i="1"/>
  <c r="O1556" i="1"/>
  <c r="P1556" i="1" s="1"/>
  <c r="Q1556" i="1"/>
  <c r="V1556" i="1"/>
  <c r="Z1556" i="1"/>
  <c r="F1557" i="1"/>
  <c r="G1557" i="1"/>
  <c r="O1557" i="1"/>
  <c r="P1557" i="1" s="1"/>
  <c r="Q1557" i="1"/>
  <c r="V1557" i="1"/>
  <c r="Z1557" i="1"/>
  <c r="F1558" i="1"/>
  <c r="G1558" i="1"/>
  <c r="O1558" i="1"/>
  <c r="P1558" i="1" s="1"/>
  <c r="Q1558" i="1"/>
  <c r="V1558" i="1"/>
  <c r="Z1558" i="1"/>
  <c r="F1559" i="1"/>
  <c r="G1559" i="1"/>
  <c r="O1559" i="1"/>
  <c r="P1559" i="1" s="1"/>
  <c r="Q1559" i="1"/>
  <c r="V1559" i="1"/>
  <c r="Z1559" i="1"/>
  <c r="F1560" i="1"/>
  <c r="G1560" i="1"/>
  <c r="O1560" i="1"/>
  <c r="P1560" i="1" s="1"/>
  <c r="Q1560" i="1"/>
  <c r="V1560" i="1"/>
  <c r="Z1560" i="1"/>
  <c r="F1561" i="1"/>
  <c r="G1561" i="1"/>
  <c r="O1561" i="1"/>
  <c r="P1561" i="1" s="1"/>
  <c r="Q1561" i="1"/>
  <c r="V1561" i="1"/>
  <c r="Z1561" i="1"/>
  <c r="F1562" i="1"/>
  <c r="G1562" i="1"/>
  <c r="O1562" i="1"/>
  <c r="P1562" i="1" s="1"/>
  <c r="Q1562" i="1"/>
  <c r="V1562" i="1"/>
  <c r="Z1562" i="1"/>
  <c r="F1563" i="1"/>
  <c r="G1563" i="1"/>
  <c r="O1563" i="1"/>
  <c r="P1563" i="1" s="1"/>
  <c r="Q1563" i="1"/>
  <c r="V1563" i="1"/>
  <c r="Z1563" i="1"/>
  <c r="F1564" i="1"/>
  <c r="G1564" i="1"/>
  <c r="O1564" i="1"/>
  <c r="P1564" i="1" s="1"/>
  <c r="Q1564" i="1"/>
  <c r="V1564" i="1"/>
  <c r="Z1564" i="1"/>
  <c r="F1565" i="1"/>
  <c r="G1565" i="1"/>
  <c r="O1565" i="1"/>
  <c r="P1565" i="1" s="1"/>
  <c r="Q1565" i="1"/>
  <c r="V1565" i="1"/>
  <c r="Z1565" i="1"/>
  <c r="F1566" i="1"/>
  <c r="G1566" i="1"/>
  <c r="O1566" i="1"/>
  <c r="P1566" i="1" s="1"/>
  <c r="Q1566" i="1"/>
  <c r="V1566" i="1"/>
  <c r="Z1566" i="1"/>
  <c r="F1567" i="1"/>
  <c r="G1567" i="1"/>
  <c r="O1567" i="1"/>
  <c r="P1567" i="1" s="1"/>
  <c r="Q1567" i="1"/>
  <c r="V1567" i="1"/>
  <c r="Z1567" i="1"/>
  <c r="F1568" i="1"/>
  <c r="G1568" i="1"/>
  <c r="O1568" i="1"/>
  <c r="P1568" i="1" s="1"/>
  <c r="Q1568" i="1"/>
  <c r="V1568" i="1"/>
  <c r="Z1568" i="1"/>
  <c r="F1569" i="1"/>
  <c r="G1569" i="1"/>
  <c r="O1569" i="1"/>
  <c r="P1569" i="1" s="1"/>
  <c r="Q1569" i="1"/>
  <c r="V1569" i="1"/>
  <c r="Z1569" i="1"/>
  <c r="F1570" i="1"/>
  <c r="G1570" i="1"/>
  <c r="O1570" i="1"/>
  <c r="P1570" i="1" s="1"/>
  <c r="Q1570" i="1"/>
  <c r="V1570" i="1"/>
  <c r="Z1570" i="1"/>
  <c r="F1571" i="1"/>
  <c r="G1571" i="1"/>
  <c r="O1571" i="1"/>
  <c r="P1571" i="1" s="1"/>
  <c r="Q1571" i="1"/>
  <c r="V1571" i="1"/>
  <c r="Z1571" i="1"/>
  <c r="F1572" i="1"/>
  <c r="G1572" i="1"/>
  <c r="O1572" i="1"/>
  <c r="P1572" i="1" s="1"/>
  <c r="Q1572" i="1"/>
  <c r="V1572" i="1"/>
  <c r="Z1572" i="1"/>
  <c r="F1573" i="1"/>
  <c r="G1573" i="1"/>
  <c r="O1573" i="1"/>
  <c r="P1573" i="1" s="1"/>
  <c r="Q1573" i="1"/>
  <c r="V1573" i="1"/>
  <c r="Z1573" i="1"/>
  <c r="F1574" i="1"/>
  <c r="G1574" i="1"/>
  <c r="O1574" i="1"/>
  <c r="P1574" i="1" s="1"/>
  <c r="Q1574" i="1"/>
  <c r="V1574" i="1"/>
  <c r="Z1574" i="1"/>
  <c r="O963" i="1" l="1"/>
  <c r="P963" i="1" s="1"/>
  <c r="O962" i="1"/>
  <c r="P962" i="1" s="1"/>
  <c r="O940" i="1"/>
  <c r="P940" i="1" s="1"/>
  <c r="Z1591" i="1"/>
  <c r="V844" i="1" l="1"/>
  <c r="Q837" i="1"/>
  <c r="I885" i="1" l="1"/>
  <c r="I886" i="1"/>
  <c r="I887" i="1"/>
  <c r="I888" i="1"/>
  <c r="I889" i="1"/>
  <c r="I890" i="1"/>
  <c r="I891" i="1"/>
  <c r="I863" i="1"/>
  <c r="I864" i="1"/>
  <c r="I866" i="1"/>
  <c r="I867" i="1"/>
  <c r="I868" i="1"/>
  <c r="I869" i="1"/>
  <c r="I892" i="1"/>
  <c r="I893" i="1"/>
  <c r="W834" i="1" l="1"/>
  <c r="W833" i="1"/>
  <c r="W830" i="1" l="1"/>
  <c r="W829" i="1" l="1"/>
  <c r="W828" i="1"/>
  <c r="V827" i="1" l="1"/>
  <c r="Z1580" i="1" l="1"/>
  <c r="Z1581" i="1"/>
  <c r="Z1582" i="1"/>
  <c r="Z1583" i="1"/>
  <c r="Z1584" i="1"/>
  <c r="Z1585" i="1"/>
  <c r="Z1586" i="1"/>
  <c r="Z1587" i="1"/>
  <c r="Z1588" i="1"/>
  <c r="Z1589" i="1"/>
  <c r="Z1575" i="1"/>
  <c r="Z1576" i="1"/>
  <c r="Z1577" i="1"/>
  <c r="Z1578" i="1"/>
  <c r="Z1579" i="1"/>
  <c r="W789" i="1"/>
  <c r="W800" i="1" l="1"/>
  <c r="W799" i="1"/>
  <c r="W798" i="1"/>
  <c r="W797" i="1"/>
  <c r="W796" i="1"/>
  <c r="W795" i="1"/>
  <c r="W794" i="1"/>
  <c r="W793" i="1"/>
  <c r="W790" i="1"/>
  <c r="W767" i="1"/>
  <c r="W517" i="1"/>
  <c r="W516" i="1"/>
  <c r="W333" i="1"/>
  <c r="W824" i="1"/>
  <c r="W812" i="1"/>
  <c r="W781" i="1"/>
  <c r="Q22" i="1" l="1"/>
  <c r="Q427" i="1"/>
  <c r="Q24" i="1"/>
  <c r="Q25" i="1"/>
  <c r="Q26" i="1"/>
  <c r="Q27" i="1"/>
  <c r="Q28" i="1"/>
  <c r="Q29" i="1"/>
  <c r="Q30" i="1"/>
  <c r="Q84" i="1"/>
  <c r="Q32" i="1"/>
  <c r="Q33" i="1"/>
  <c r="Q34" i="1"/>
  <c r="Q805" i="1"/>
  <c r="Q36" i="1"/>
  <c r="Q37" i="1"/>
  <c r="Q455" i="1"/>
  <c r="Q44" i="1"/>
  <c r="Q40" i="1"/>
  <c r="Q253" i="1"/>
  <c r="Q42" i="1"/>
  <c r="Q43" i="1"/>
  <c r="Q770" i="1"/>
  <c r="Q401" i="1"/>
  <c r="Q46" i="1"/>
  <c r="Q227" i="1"/>
  <c r="Q223" i="1"/>
  <c r="Q49" i="1"/>
  <c r="Q50" i="1"/>
  <c r="Q51" i="1"/>
  <c r="Q52" i="1"/>
  <c r="Q53" i="1"/>
  <c r="Q54" i="1"/>
  <c r="Q55" i="1"/>
  <c r="Q56" i="1"/>
  <c r="Q332" i="1"/>
  <c r="Q58" i="1"/>
  <c r="Q59" i="1"/>
  <c r="Q60" i="1"/>
  <c r="Q410" i="1"/>
  <c r="Q411" i="1"/>
  <c r="Q83" i="1"/>
  <c r="Q64" i="1"/>
  <c r="Q65" i="1"/>
  <c r="Q66" i="1"/>
  <c r="Q801" i="1"/>
  <c r="Q68" i="1"/>
  <c r="Q788" i="1"/>
  <c r="Q70" i="1"/>
  <c r="Q133" i="1"/>
  <c r="Q72" i="1"/>
  <c r="Q73" i="1"/>
  <c r="Q74" i="1"/>
  <c r="Q75" i="1"/>
  <c r="Q76" i="1"/>
  <c r="Q77" i="1"/>
  <c r="Q78" i="1"/>
  <c r="Q79" i="1"/>
  <c r="Q807" i="1"/>
  <c r="Q787" i="1"/>
  <c r="Q82" i="1"/>
  <c r="Q414" i="1"/>
  <c r="Q781" i="1"/>
  <c r="Q85" i="1"/>
  <c r="Q61" i="1"/>
  <c r="Q110" i="1"/>
  <c r="Q88" i="1"/>
  <c r="Q89" i="1"/>
  <c r="Q90" i="1"/>
  <c r="Q156" i="1"/>
  <c r="Q71" i="1"/>
  <c r="Q367" i="1"/>
  <c r="Q94" i="1"/>
  <c r="Q313" i="1"/>
  <c r="Q395" i="1"/>
  <c r="Q426" i="1"/>
  <c r="Q98" i="1"/>
  <c r="Q456" i="1"/>
  <c r="Q100" i="1"/>
  <c r="Q101" i="1"/>
  <c r="Q102" i="1"/>
  <c r="Q103" i="1"/>
  <c r="Q451" i="1"/>
  <c r="Q384" i="1"/>
  <c r="Q106" i="1"/>
  <c r="Q107" i="1"/>
  <c r="Q108" i="1"/>
  <c r="Q109" i="1"/>
  <c r="Q218" i="1"/>
  <c r="Q47" i="1"/>
  <c r="Q112" i="1"/>
  <c r="Q299" i="1"/>
  <c r="Q154" i="1"/>
  <c r="Q115" i="1"/>
  <c r="Q116" i="1"/>
  <c r="Q117" i="1"/>
  <c r="Q766" i="1"/>
  <c r="Q396" i="1"/>
  <c r="Q120" i="1"/>
  <c r="Q121" i="1"/>
  <c r="Q122" i="1"/>
  <c r="Q123" i="1"/>
  <c r="Q124" i="1"/>
  <c r="Q125" i="1"/>
  <c r="Q340" i="1"/>
  <c r="Q127" i="1"/>
  <c r="Q474" i="1"/>
  <c r="Q129" i="1"/>
  <c r="Q130" i="1"/>
  <c r="Q145" i="1"/>
  <c r="Q132" i="1"/>
  <c r="Q368" i="1"/>
  <c r="Q134" i="1"/>
  <c r="Q135" i="1"/>
  <c r="Q136" i="1"/>
  <c r="Q62" i="1"/>
  <c r="Q114" i="1"/>
  <c r="Q412" i="1"/>
  <c r="Q140" i="1"/>
  <c r="Q141" i="1"/>
  <c r="Q142" i="1"/>
  <c r="Q143" i="1"/>
  <c r="Q144" i="1"/>
  <c r="Q208" i="1"/>
  <c r="Q238" i="1"/>
  <c r="Q147" i="1"/>
  <c r="Q48" i="1"/>
  <c r="Q149" i="1"/>
  <c r="Q150" i="1"/>
  <c r="Q151" i="1"/>
  <c r="Q152" i="1"/>
  <c r="Q153" i="1"/>
  <c r="Q722" i="1"/>
  <c r="Q155" i="1"/>
  <c r="Q369" i="1"/>
  <c r="Q397" i="1"/>
  <c r="Q158" i="1"/>
  <c r="Q159" i="1"/>
  <c r="Q160" i="1"/>
  <c r="Q161" i="1"/>
  <c r="Q162" i="1"/>
  <c r="Q163" i="1"/>
  <c r="Q164" i="1"/>
  <c r="Q312" i="1"/>
  <c r="Q166" i="1"/>
  <c r="Q167" i="1"/>
  <c r="Q168" i="1"/>
  <c r="Q169" i="1"/>
  <c r="Q404" i="1"/>
  <c r="Q422" i="1"/>
  <c r="Q172" i="1"/>
  <c r="Q173" i="1"/>
  <c r="Q174" i="1"/>
  <c r="Q175" i="1"/>
  <c r="Q176" i="1"/>
  <c r="Q165" i="1"/>
  <c r="Q45" i="1"/>
  <c r="Q179" i="1"/>
  <c r="Q236" i="1"/>
  <c r="Q181" i="1"/>
  <c r="Q182" i="1"/>
  <c r="Q183" i="1"/>
  <c r="Q184" i="1"/>
  <c r="Q119" i="1"/>
  <c r="Q186" i="1"/>
  <c r="Q386" i="1"/>
  <c r="Q188" i="1"/>
  <c r="Q189" i="1"/>
  <c r="Q406" i="1"/>
  <c r="Q191" i="1"/>
  <c r="Q192" i="1"/>
  <c r="Q717" i="1"/>
  <c r="Q194" i="1"/>
  <c r="Q780" i="1"/>
  <c r="Q196" i="1"/>
  <c r="Q349" i="1"/>
  <c r="Q198" i="1"/>
  <c r="Q57" i="1"/>
  <c r="Q200" i="1"/>
  <c r="Q201" i="1"/>
  <c r="Q202" i="1"/>
  <c r="Q203" i="1"/>
  <c r="Q204" i="1"/>
  <c r="Q205" i="1"/>
  <c r="Q783" i="1"/>
  <c r="Q207" i="1"/>
  <c r="Q95" i="1"/>
  <c r="Q779" i="1"/>
  <c r="Q210" i="1"/>
  <c r="Q211" i="1"/>
  <c r="Q21" i="1"/>
  <c r="W810" i="1"/>
  <c r="W808" i="1"/>
  <c r="O372" i="1" l="1"/>
  <c r="P372" i="1" s="1"/>
  <c r="V372" i="1"/>
  <c r="Z372" i="1"/>
  <c r="O430" i="1" l="1"/>
  <c r="P430" i="1" s="1"/>
  <c r="W147" i="1"/>
  <c r="W807" i="1" l="1"/>
  <c r="V807" i="1"/>
  <c r="I507" i="1" l="1"/>
  <c r="W770" i="1"/>
  <c r="W787" i="1" l="1"/>
  <c r="V430" i="1" l="1"/>
  <c r="F422" i="1"/>
  <c r="G422" i="1"/>
  <c r="Z422" i="1"/>
  <c r="N788" i="1"/>
  <c r="W788" i="1" s="1"/>
  <c r="N825" i="1"/>
  <c r="N831" i="1"/>
  <c r="N841" i="1"/>
  <c r="N844" i="1"/>
  <c r="N887" i="1"/>
  <c r="N888" i="1"/>
  <c r="N454" i="1"/>
  <c r="N441" i="1"/>
  <c r="N400" i="1"/>
  <c r="F813" i="1"/>
  <c r="G813" i="1"/>
  <c r="F752" i="1"/>
  <c r="F753" i="1"/>
  <c r="F754" i="1"/>
  <c r="F755" i="1"/>
  <c r="W783" i="1" l="1"/>
  <c r="W785" i="1"/>
  <c r="W786" i="1"/>
  <c r="W784" i="1"/>
  <c r="I787" i="1" l="1"/>
  <c r="I259" i="1"/>
  <c r="I173" i="1"/>
  <c r="I278" i="1"/>
  <c r="I78" i="1"/>
  <c r="I454" i="1"/>
  <c r="I441" i="1"/>
  <c r="I42" i="1"/>
  <c r="I174" i="1"/>
  <c r="I508" i="1"/>
  <c r="I442" i="1"/>
  <c r="I443" i="1"/>
  <c r="I469" i="1"/>
  <c r="I509" i="1"/>
  <c r="I813" i="1"/>
  <c r="I814" i="1"/>
  <c r="I815" i="1"/>
  <c r="I816" i="1"/>
  <c r="I817" i="1"/>
  <c r="I52" i="1"/>
  <c r="I756" i="1"/>
  <c r="I79" i="1"/>
  <c r="I474" i="1"/>
  <c r="I129" i="1"/>
  <c r="I766" i="1"/>
  <c r="I770" i="1"/>
  <c r="I401" i="1"/>
  <c r="I788" i="1"/>
  <c r="I789" i="1"/>
  <c r="I762" i="1"/>
  <c r="I85" i="1"/>
  <c r="I103" i="1"/>
  <c r="I51" i="1"/>
  <c r="I807" i="1"/>
  <c r="I147" i="1"/>
  <c r="I135" i="1"/>
  <c r="I818" i="1"/>
  <c r="I819" i="1"/>
  <c r="I822" i="1"/>
  <c r="I808" i="1"/>
  <c r="I811" i="1"/>
  <c r="I810" i="1"/>
  <c r="I824" i="1"/>
  <c r="I825" i="1"/>
  <c r="I827" i="1"/>
  <c r="I828" i="1"/>
  <c r="I829" i="1"/>
  <c r="I830" i="1"/>
  <c r="I831" i="1"/>
  <c r="I832" i="1"/>
  <c r="I835" i="1"/>
  <c r="I836" i="1"/>
  <c r="I837" i="1"/>
  <c r="I841" i="1"/>
  <c r="I842" i="1"/>
  <c r="I844" i="1"/>
  <c r="I848" i="1"/>
  <c r="I849" i="1"/>
  <c r="I850" i="1"/>
  <c r="I851" i="1"/>
  <c r="I852" i="1"/>
  <c r="I853" i="1"/>
  <c r="I855" i="1"/>
  <c r="I894" i="1"/>
  <c r="I895" i="1"/>
  <c r="I896" i="1"/>
  <c r="I897" i="1"/>
  <c r="I898" i="1"/>
  <c r="I781" i="1"/>
  <c r="I784" i="1"/>
  <c r="I783" i="1"/>
  <c r="I785" i="1"/>
  <c r="I786" i="1"/>
  <c r="F781" i="1"/>
  <c r="F787" i="1"/>
  <c r="F259" i="1"/>
  <c r="F173" i="1"/>
  <c r="F278" i="1"/>
  <c r="F78" i="1"/>
  <c r="F454" i="1"/>
  <c r="F441" i="1"/>
  <c r="F400" i="1"/>
  <c r="F42" i="1"/>
  <c r="F174" i="1"/>
  <c r="F507" i="1"/>
  <c r="F508" i="1"/>
  <c r="F442" i="1"/>
  <c r="F443" i="1"/>
  <c r="F469" i="1"/>
  <c r="F509" i="1"/>
  <c r="F814" i="1"/>
  <c r="F815" i="1"/>
  <c r="F816" i="1"/>
  <c r="F817" i="1"/>
  <c r="F52" i="1"/>
  <c r="F756" i="1"/>
  <c r="F757" i="1"/>
  <c r="F79" i="1"/>
  <c r="F758" i="1"/>
  <c r="F759" i="1"/>
  <c r="F760" i="1"/>
  <c r="F761" i="1"/>
  <c r="F474" i="1"/>
  <c r="F129" i="1"/>
  <c r="F766" i="1"/>
  <c r="F770" i="1"/>
  <c r="F401" i="1"/>
  <c r="F788" i="1"/>
  <c r="F789" i="1"/>
  <c r="F762" i="1"/>
  <c r="F85" i="1"/>
  <c r="F103" i="1"/>
  <c r="F51" i="1"/>
  <c r="F807" i="1"/>
  <c r="F147" i="1"/>
  <c r="F143" i="1"/>
  <c r="F144" i="1"/>
  <c r="F194" i="1"/>
  <c r="F135" i="1"/>
  <c r="F818" i="1"/>
  <c r="F819" i="1"/>
  <c r="F820" i="1"/>
  <c r="F821" i="1"/>
  <c r="F672" i="1"/>
  <c r="F763" i="1"/>
  <c r="F822" i="1"/>
  <c r="F823" i="1"/>
  <c r="F808" i="1"/>
  <c r="F811" i="1"/>
  <c r="F810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G781" i="1"/>
  <c r="G787" i="1"/>
  <c r="G259" i="1"/>
  <c r="G173" i="1"/>
  <c r="G278" i="1"/>
  <c r="G78" i="1"/>
  <c r="G454" i="1"/>
  <c r="G441" i="1"/>
  <c r="G400" i="1"/>
  <c r="G42" i="1"/>
  <c r="G174" i="1"/>
  <c r="G507" i="1"/>
  <c r="G508" i="1"/>
  <c r="G442" i="1"/>
  <c r="G443" i="1"/>
  <c r="G469" i="1"/>
  <c r="G509" i="1"/>
  <c r="G814" i="1"/>
  <c r="G815" i="1"/>
  <c r="G816" i="1"/>
  <c r="G817" i="1"/>
  <c r="G52" i="1"/>
  <c r="G756" i="1"/>
  <c r="G757" i="1"/>
  <c r="G79" i="1"/>
  <c r="G758" i="1"/>
  <c r="G759" i="1"/>
  <c r="G760" i="1"/>
  <c r="G761" i="1"/>
  <c r="G474" i="1"/>
  <c r="G129" i="1"/>
  <c r="G766" i="1"/>
  <c r="G770" i="1"/>
  <c r="G401" i="1"/>
  <c r="G789" i="1"/>
  <c r="G762" i="1"/>
  <c r="G85" i="1"/>
  <c r="G103" i="1"/>
  <c r="G51" i="1"/>
  <c r="G807" i="1"/>
  <c r="G147" i="1"/>
  <c r="G143" i="1"/>
  <c r="G144" i="1"/>
  <c r="G194" i="1"/>
  <c r="G135" i="1"/>
  <c r="G818" i="1"/>
  <c r="G819" i="1"/>
  <c r="G820" i="1"/>
  <c r="G821" i="1"/>
  <c r="G672" i="1"/>
  <c r="G763" i="1"/>
  <c r="G822" i="1"/>
  <c r="G823" i="1"/>
  <c r="G808" i="1"/>
  <c r="G811" i="1"/>
  <c r="G810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O781" i="1"/>
  <c r="O787" i="1"/>
  <c r="P787" i="1" s="1"/>
  <c r="O259" i="1"/>
  <c r="P259" i="1" s="1"/>
  <c r="O173" i="1"/>
  <c r="P173" i="1" s="1"/>
  <c r="O278" i="1"/>
  <c r="O78" i="1"/>
  <c r="P78" i="1" s="1"/>
  <c r="O476" i="1"/>
  <c r="P476" i="1" s="1"/>
  <c r="O477" i="1"/>
  <c r="P477" i="1" s="1"/>
  <c r="O478" i="1"/>
  <c r="P478" i="1" s="1"/>
  <c r="O479" i="1"/>
  <c r="O480" i="1"/>
  <c r="P480" i="1" s="1"/>
  <c r="O454" i="1"/>
  <c r="P454" i="1" s="1"/>
  <c r="O441" i="1"/>
  <c r="P441" i="1" s="1"/>
  <c r="O400" i="1"/>
  <c r="P400" i="1" s="1"/>
  <c r="O42" i="1"/>
  <c r="P42" i="1" s="1"/>
  <c r="O174" i="1"/>
  <c r="P174" i="1" s="1"/>
  <c r="O507" i="1"/>
  <c r="P507" i="1" s="1"/>
  <c r="O508" i="1"/>
  <c r="O442" i="1"/>
  <c r="P442" i="1" s="1"/>
  <c r="O443" i="1"/>
  <c r="P443" i="1" s="1"/>
  <c r="O469" i="1"/>
  <c r="P469" i="1" s="1"/>
  <c r="O509" i="1"/>
  <c r="P509" i="1" s="1"/>
  <c r="O752" i="1"/>
  <c r="P752" i="1" s="1"/>
  <c r="O753" i="1"/>
  <c r="P753" i="1" s="1"/>
  <c r="O754" i="1"/>
  <c r="O755" i="1"/>
  <c r="P755" i="1" s="1"/>
  <c r="O813" i="1"/>
  <c r="P813" i="1" s="1"/>
  <c r="O814" i="1"/>
  <c r="P814" i="1" s="1"/>
  <c r="O815" i="1"/>
  <c r="P815" i="1" s="1"/>
  <c r="O816" i="1"/>
  <c r="P816" i="1" s="1"/>
  <c r="O817" i="1"/>
  <c r="P817" i="1" s="1"/>
  <c r="O52" i="1"/>
  <c r="P52" i="1" s="1"/>
  <c r="O756" i="1"/>
  <c r="P756" i="1" s="1"/>
  <c r="O757" i="1"/>
  <c r="O79" i="1"/>
  <c r="P79" i="1" s="1"/>
  <c r="O758" i="1"/>
  <c r="P758" i="1" s="1"/>
  <c r="O759" i="1"/>
  <c r="P759" i="1" s="1"/>
  <c r="O760" i="1"/>
  <c r="P760" i="1" s="1"/>
  <c r="O761" i="1"/>
  <c r="P761" i="1" s="1"/>
  <c r="O474" i="1"/>
  <c r="P474" i="1" s="1"/>
  <c r="O129" i="1"/>
  <c r="P129" i="1" s="1"/>
  <c r="O766" i="1"/>
  <c r="O770" i="1"/>
  <c r="P770" i="1" s="1"/>
  <c r="O401" i="1"/>
  <c r="P401" i="1" s="1"/>
  <c r="O788" i="1"/>
  <c r="O789" i="1"/>
  <c r="P789" i="1" s="1"/>
  <c r="O762" i="1"/>
  <c r="P762" i="1" s="1"/>
  <c r="O85" i="1"/>
  <c r="P85" i="1" s="1"/>
  <c r="O103" i="1"/>
  <c r="P103" i="1" s="1"/>
  <c r="O51" i="1"/>
  <c r="O807" i="1"/>
  <c r="P807" i="1" s="1"/>
  <c r="O147" i="1"/>
  <c r="P147" i="1" s="1"/>
  <c r="O143" i="1"/>
  <c r="P143" i="1" s="1"/>
  <c r="O144" i="1"/>
  <c r="P144" i="1" s="1"/>
  <c r="O194" i="1"/>
  <c r="P194" i="1" s="1"/>
  <c r="O135" i="1"/>
  <c r="P135" i="1" s="1"/>
  <c r="O818" i="1"/>
  <c r="P818" i="1" s="1"/>
  <c r="O819" i="1"/>
  <c r="P819" i="1" s="1"/>
  <c r="O820" i="1"/>
  <c r="P820" i="1" s="1"/>
  <c r="O821" i="1"/>
  <c r="P821" i="1" s="1"/>
  <c r="O444" i="1"/>
  <c r="P444" i="1" s="1"/>
  <c r="O672" i="1"/>
  <c r="P672" i="1" s="1"/>
  <c r="O763" i="1"/>
  <c r="P763" i="1" s="1"/>
  <c r="O822" i="1"/>
  <c r="P822" i="1" s="1"/>
  <c r="O823" i="1"/>
  <c r="P823" i="1" s="1"/>
  <c r="O808" i="1"/>
  <c r="O811" i="1"/>
  <c r="P811" i="1" s="1"/>
  <c r="O810" i="1"/>
  <c r="P810" i="1" s="1"/>
  <c r="O824" i="1"/>
  <c r="O825" i="1"/>
  <c r="P825" i="1" s="1"/>
  <c r="O826" i="1"/>
  <c r="P826" i="1" s="1"/>
  <c r="O827" i="1"/>
  <c r="P827" i="1" s="1"/>
  <c r="O828" i="1"/>
  <c r="P828" i="1" s="1"/>
  <c r="O829" i="1"/>
  <c r="O830" i="1"/>
  <c r="P830" i="1" s="1"/>
  <c r="O831" i="1"/>
  <c r="P831" i="1" s="1"/>
  <c r="O832" i="1"/>
  <c r="P832" i="1" s="1"/>
  <c r="O833" i="1"/>
  <c r="P833" i="1" s="1"/>
  <c r="O834" i="1"/>
  <c r="P834" i="1" s="1"/>
  <c r="O835" i="1"/>
  <c r="P835" i="1" s="1"/>
  <c r="O836" i="1"/>
  <c r="P836" i="1" s="1"/>
  <c r="O837" i="1"/>
  <c r="O838" i="1"/>
  <c r="P838" i="1" s="1"/>
  <c r="O839" i="1"/>
  <c r="P839" i="1" s="1"/>
  <c r="O840" i="1"/>
  <c r="P840" i="1" s="1"/>
  <c r="O841" i="1"/>
  <c r="P841" i="1" s="1"/>
  <c r="O842" i="1"/>
  <c r="P842" i="1" s="1"/>
  <c r="O843" i="1"/>
  <c r="P843" i="1" s="1"/>
  <c r="O844" i="1"/>
  <c r="O845" i="1"/>
  <c r="P845" i="1" s="1"/>
  <c r="O846" i="1"/>
  <c r="P846" i="1" s="1"/>
  <c r="O847" i="1"/>
  <c r="P847" i="1" s="1"/>
  <c r="O848" i="1"/>
  <c r="P848" i="1" s="1"/>
  <c r="O849" i="1"/>
  <c r="P849" i="1" s="1"/>
  <c r="O850" i="1"/>
  <c r="P850" i="1" s="1"/>
  <c r="O851" i="1"/>
  <c r="P851" i="1" s="1"/>
  <c r="O852" i="1"/>
  <c r="P852" i="1" s="1"/>
  <c r="O853" i="1"/>
  <c r="O855" i="1"/>
  <c r="P855" i="1" s="1"/>
  <c r="O856" i="1"/>
  <c r="P856" i="1" s="1"/>
  <c r="O857" i="1"/>
  <c r="P857" i="1" s="1"/>
  <c r="O858" i="1"/>
  <c r="P858" i="1" s="1"/>
  <c r="O859" i="1"/>
  <c r="P859" i="1" s="1"/>
  <c r="O860" i="1"/>
  <c r="P860" i="1" s="1"/>
  <c r="O861" i="1"/>
  <c r="O862" i="1"/>
  <c r="P862" i="1" s="1"/>
  <c r="O863" i="1"/>
  <c r="P863" i="1" s="1"/>
  <c r="O864" i="1"/>
  <c r="O865" i="1"/>
  <c r="P865" i="1" s="1"/>
  <c r="O866" i="1"/>
  <c r="P866" i="1" s="1"/>
  <c r="O867" i="1"/>
  <c r="P867" i="1" s="1"/>
  <c r="O868" i="1"/>
  <c r="P868" i="1" s="1"/>
  <c r="O869" i="1"/>
  <c r="O870" i="1"/>
  <c r="P870" i="1" s="1"/>
  <c r="O871" i="1"/>
  <c r="P871" i="1" s="1"/>
  <c r="O872" i="1"/>
  <c r="P872" i="1" s="1"/>
  <c r="O873" i="1"/>
  <c r="P873" i="1" s="1"/>
  <c r="O874" i="1"/>
  <c r="P874" i="1" s="1"/>
  <c r="O875" i="1"/>
  <c r="P875" i="1" s="1"/>
  <c r="O876" i="1"/>
  <c r="P876" i="1" s="1"/>
  <c r="O877" i="1"/>
  <c r="P877" i="1" s="1"/>
  <c r="O878" i="1"/>
  <c r="P878" i="1" s="1"/>
  <c r="O879" i="1"/>
  <c r="P879" i="1" s="1"/>
  <c r="O880" i="1"/>
  <c r="P880" i="1" s="1"/>
  <c r="O881" i="1"/>
  <c r="P881" i="1" s="1"/>
  <c r="O882" i="1"/>
  <c r="P882" i="1" s="1"/>
  <c r="O883" i="1"/>
  <c r="P883" i="1" s="1"/>
  <c r="O884" i="1"/>
  <c r="P884" i="1" s="1"/>
  <c r="O885" i="1"/>
  <c r="O886" i="1"/>
  <c r="P886" i="1" s="1"/>
  <c r="O887" i="1"/>
  <c r="P887" i="1" s="1"/>
  <c r="O888" i="1"/>
  <c r="O889" i="1"/>
  <c r="P889" i="1" s="1"/>
  <c r="O890" i="1"/>
  <c r="P890" i="1" s="1"/>
  <c r="O891" i="1"/>
  <c r="P891" i="1" s="1"/>
  <c r="O892" i="1"/>
  <c r="P892" i="1" s="1"/>
  <c r="O893" i="1"/>
  <c r="O894" i="1"/>
  <c r="P894" i="1" s="1"/>
  <c r="O895" i="1"/>
  <c r="P895" i="1" s="1"/>
  <c r="O896" i="1"/>
  <c r="P896" i="1" s="1"/>
  <c r="O897" i="1"/>
  <c r="P897" i="1" s="1"/>
  <c r="O898" i="1"/>
  <c r="P898" i="1" s="1"/>
  <c r="Z781" i="1"/>
  <c r="Z787" i="1"/>
  <c r="Q259" i="1"/>
  <c r="Q278" i="1"/>
  <c r="Q476" i="1"/>
  <c r="Q477" i="1"/>
  <c r="Q478" i="1"/>
  <c r="Q479" i="1"/>
  <c r="Q480" i="1"/>
  <c r="Q454" i="1"/>
  <c r="Q441" i="1"/>
  <c r="Q400" i="1"/>
  <c r="Q507" i="1"/>
  <c r="Q508" i="1"/>
  <c r="Q442" i="1"/>
  <c r="Q443" i="1"/>
  <c r="Q469" i="1"/>
  <c r="Q509" i="1"/>
  <c r="Q752" i="1"/>
  <c r="Q753" i="1"/>
  <c r="Q754" i="1"/>
  <c r="Q755" i="1"/>
  <c r="Q813" i="1"/>
  <c r="Q814" i="1"/>
  <c r="Q815" i="1"/>
  <c r="Q816" i="1"/>
  <c r="Q817" i="1"/>
  <c r="Q756" i="1"/>
  <c r="Q757" i="1"/>
  <c r="Q758" i="1"/>
  <c r="Q759" i="1"/>
  <c r="Q760" i="1"/>
  <c r="Q761" i="1"/>
  <c r="Z766" i="1"/>
  <c r="Z788" i="1"/>
  <c r="Q762" i="1"/>
  <c r="Z85" i="1"/>
  <c r="Z103" i="1"/>
  <c r="Z51" i="1"/>
  <c r="Z147" i="1"/>
  <c r="Z143" i="1"/>
  <c r="Z144" i="1"/>
  <c r="Z194" i="1"/>
  <c r="Q818" i="1"/>
  <c r="Z818" i="1" s="1"/>
  <c r="Q819" i="1"/>
  <c r="Z819" i="1" s="1"/>
  <c r="Q820" i="1"/>
  <c r="Z820" i="1" s="1"/>
  <c r="Q821" i="1"/>
  <c r="Z821" i="1" s="1"/>
  <c r="Q444" i="1"/>
  <c r="Q672" i="1"/>
  <c r="Q763" i="1"/>
  <c r="Q822" i="1"/>
  <c r="Z822" i="1" s="1"/>
  <c r="Q823" i="1"/>
  <c r="Z823" i="1" s="1"/>
  <c r="Q808" i="1"/>
  <c r="Z808" i="1" s="1"/>
  <c r="Q811" i="1"/>
  <c r="Z811" i="1" s="1"/>
  <c r="Q810" i="1"/>
  <c r="Q824" i="1"/>
  <c r="Z824" i="1" s="1"/>
  <c r="Q825" i="1"/>
  <c r="Z825" i="1" s="1"/>
  <c r="Q826" i="1"/>
  <c r="Z826" i="1" s="1"/>
  <c r="Q827" i="1"/>
  <c r="Z827" i="1" s="1"/>
  <c r="Q828" i="1"/>
  <c r="Z828" i="1" s="1"/>
  <c r="Q829" i="1"/>
  <c r="Z829" i="1" s="1"/>
  <c r="Q830" i="1"/>
  <c r="Z830" i="1" s="1"/>
  <c r="Q831" i="1"/>
  <c r="Z831" i="1" s="1"/>
  <c r="Q832" i="1"/>
  <c r="Z832" i="1" s="1"/>
  <c r="Z833" i="1"/>
  <c r="Z834" i="1"/>
  <c r="Q835" i="1"/>
  <c r="Z835" i="1" s="1"/>
  <c r="Q836" i="1"/>
  <c r="Z836" i="1" s="1"/>
  <c r="Z837" i="1"/>
  <c r="Z838" i="1"/>
  <c r="Z839" i="1"/>
  <c r="Z840" i="1"/>
  <c r="Q841" i="1"/>
  <c r="Z841" i="1" s="1"/>
  <c r="Q842" i="1"/>
  <c r="Z842" i="1" s="1"/>
  <c r="Q843" i="1"/>
  <c r="Z843" i="1" s="1"/>
  <c r="Q844" i="1"/>
  <c r="Z844" i="1" s="1"/>
  <c r="Q845" i="1"/>
  <c r="Z845" i="1" s="1"/>
  <c r="Q846" i="1"/>
  <c r="Z846" i="1" s="1"/>
  <c r="Q847" i="1"/>
  <c r="Z847" i="1" s="1"/>
  <c r="Q848" i="1"/>
  <c r="Z848" i="1" s="1"/>
  <c r="Q849" i="1"/>
  <c r="Q850" i="1"/>
  <c r="Q851" i="1"/>
  <c r="Z851" i="1" s="1"/>
  <c r="Q852" i="1"/>
  <c r="Z852" i="1" s="1"/>
  <c r="Q853" i="1"/>
  <c r="Z853" i="1" s="1"/>
  <c r="Q855" i="1"/>
  <c r="Z855" i="1" s="1"/>
  <c r="Q856" i="1"/>
  <c r="Z856" i="1" s="1"/>
  <c r="Q857" i="1"/>
  <c r="Z857" i="1" s="1"/>
  <c r="Q858" i="1"/>
  <c r="Z858" i="1" s="1"/>
  <c r="Q859" i="1"/>
  <c r="Z859" i="1" s="1"/>
  <c r="Q860" i="1"/>
  <c r="Z860" i="1" s="1"/>
  <c r="Q861" i="1"/>
  <c r="Z861" i="1" s="1"/>
  <c r="Q862" i="1"/>
  <c r="Z862" i="1" s="1"/>
  <c r="Q863" i="1"/>
  <c r="Q864" i="1"/>
  <c r="Q865" i="1"/>
  <c r="Z865" i="1" s="1"/>
  <c r="Q866" i="1"/>
  <c r="Z866" i="1" s="1"/>
  <c r="Q867" i="1"/>
  <c r="Z867" i="1" s="1"/>
  <c r="Q868" i="1"/>
  <c r="Z868" i="1" s="1"/>
  <c r="Q869" i="1"/>
  <c r="Z869" i="1" s="1"/>
  <c r="Q870" i="1"/>
  <c r="Q871" i="1"/>
  <c r="Q872" i="1"/>
  <c r="Q873" i="1"/>
  <c r="Q874" i="1"/>
  <c r="Q875" i="1"/>
  <c r="Q876" i="1"/>
  <c r="Z876" i="1" s="1"/>
  <c r="Q877" i="1"/>
  <c r="Z877" i="1" s="1"/>
  <c r="Q878" i="1"/>
  <c r="Z878" i="1" s="1"/>
  <c r="Q879" i="1"/>
  <c r="Z879" i="1" s="1"/>
  <c r="Q880" i="1"/>
  <c r="Z880" i="1" s="1"/>
  <c r="Q881" i="1"/>
  <c r="Z881" i="1" s="1"/>
  <c r="Q882" i="1"/>
  <c r="Q883" i="1"/>
  <c r="Q884" i="1"/>
  <c r="Z884" i="1" s="1"/>
  <c r="Q885" i="1"/>
  <c r="Z885" i="1" s="1"/>
  <c r="Q886" i="1"/>
  <c r="Z886" i="1" s="1"/>
  <c r="Q887" i="1"/>
  <c r="Z887" i="1" s="1"/>
  <c r="Q888" i="1"/>
  <c r="Z888" i="1" s="1"/>
  <c r="Q889" i="1"/>
  <c r="Z889" i="1" s="1"/>
  <c r="Q890" i="1"/>
  <c r="Z890" i="1" s="1"/>
  <c r="Q891" i="1"/>
  <c r="Z891" i="1" s="1"/>
  <c r="Q892" i="1"/>
  <c r="Z892" i="1" s="1"/>
  <c r="Q893" i="1"/>
  <c r="Z893" i="1" s="1"/>
  <c r="Q894" i="1"/>
  <c r="Z894" i="1" s="1"/>
  <c r="Q895" i="1"/>
  <c r="Z895" i="1" s="1"/>
  <c r="Q896" i="1"/>
  <c r="Z896" i="1" s="1"/>
  <c r="Q897" i="1"/>
  <c r="Z897" i="1" s="1"/>
  <c r="Q898" i="1"/>
  <c r="V781" i="1"/>
  <c r="V787" i="1"/>
  <c r="V259" i="1"/>
  <c r="V173" i="1"/>
  <c r="V278" i="1"/>
  <c r="V78" i="1"/>
  <c r="V476" i="1"/>
  <c r="V477" i="1"/>
  <c r="V478" i="1"/>
  <c r="V479" i="1"/>
  <c r="V480" i="1"/>
  <c r="V454" i="1"/>
  <c r="V441" i="1"/>
  <c r="V400" i="1"/>
  <c r="V42" i="1"/>
  <c r="V174" i="1"/>
  <c r="V507" i="1"/>
  <c r="V508" i="1"/>
  <c r="V442" i="1"/>
  <c r="V443" i="1"/>
  <c r="V469" i="1"/>
  <c r="V509" i="1"/>
  <c r="V752" i="1"/>
  <c r="V753" i="1"/>
  <c r="V754" i="1"/>
  <c r="V755" i="1"/>
  <c r="V813" i="1"/>
  <c r="V814" i="1"/>
  <c r="V815" i="1"/>
  <c r="V816" i="1"/>
  <c r="V817" i="1"/>
  <c r="V52" i="1"/>
  <c r="V756" i="1"/>
  <c r="V757" i="1"/>
  <c r="V79" i="1"/>
  <c r="V758" i="1"/>
  <c r="V759" i="1"/>
  <c r="V760" i="1"/>
  <c r="V761" i="1"/>
  <c r="V474" i="1"/>
  <c r="V129" i="1"/>
  <c r="V766" i="1"/>
  <c r="V770" i="1"/>
  <c r="V401" i="1"/>
  <c r="V788" i="1"/>
  <c r="V789" i="1"/>
  <c r="V762" i="1"/>
  <c r="V85" i="1"/>
  <c r="V103" i="1"/>
  <c r="V51" i="1"/>
  <c r="V147" i="1"/>
  <c r="V143" i="1"/>
  <c r="V144" i="1"/>
  <c r="V194" i="1"/>
  <c r="V135" i="1"/>
  <c r="V818" i="1"/>
  <c r="V819" i="1"/>
  <c r="V820" i="1"/>
  <c r="V821" i="1"/>
  <c r="V444" i="1"/>
  <c r="V672" i="1"/>
  <c r="V763" i="1"/>
  <c r="V822" i="1"/>
  <c r="V823" i="1"/>
  <c r="V808" i="1"/>
  <c r="V811" i="1"/>
  <c r="V810" i="1"/>
  <c r="V824" i="1"/>
  <c r="V825" i="1"/>
  <c r="V826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5" i="1"/>
  <c r="V846" i="1"/>
  <c r="V847" i="1"/>
  <c r="V848" i="1"/>
  <c r="V849" i="1"/>
  <c r="V850" i="1"/>
  <c r="V851" i="1"/>
  <c r="V852" i="1"/>
  <c r="V853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Z259" i="1"/>
  <c r="Z173" i="1"/>
  <c r="Z278" i="1"/>
  <c r="Z756" i="1"/>
  <c r="Z757" i="1"/>
  <c r="Z79" i="1"/>
  <c r="Z758" i="1"/>
  <c r="Z759" i="1"/>
  <c r="Z760" i="1"/>
  <c r="Z761" i="1"/>
  <c r="Z770" i="1"/>
  <c r="Z789" i="1"/>
  <c r="Z762" i="1"/>
  <c r="Z807" i="1"/>
  <c r="Z135" i="1"/>
  <c r="Z444" i="1"/>
  <c r="Z672" i="1"/>
  <c r="Z763" i="1"/>
  <c r="Z810" i="1"/>
  <c r="Z849" i="1"/>
  <c r="Z850" i="1"/>
  <c r="Z863" i="1"/>
  <c r="Z864" i="1"/>
  <c r="Z870" i="1"/>
  <c r="Z871" i="1"/>
  <c r="Z872" i="1"/>
  <c r="Z873" i="1"/>
  <c r="Z874" i="1"/>
  <c r="Z875" i="1"/>
  <c r="Z882" i="1"/>
  <c r="Z883" i="1"/>
  <c r="Z898" i="1"/>
  <c r="Z401" i="1" l="1"/>
  <c r="Z129" i="1"/>
  <c r="Z474" i="1"/>
  <c r="Z476" i="1"/>
  <c r="Z477" i="1"/>
  <c r="Z478" i="1"/>
  <c r="Z479" i="1"/>
  <c r="Z480" i="1"/>
  <c r="Z454" i="1"/>
  <c r="Z441" i="1"/>
  <c r="Z400" i="1"/>
  <c r="Z42" i="1"/>
  <c r="Z174" i="1"/>
  <c r="Z507" i="1"/>
  <c r="Z508" i="1"/>
  <c r="Z442" i="1"/>
  <c r="Z443" i="1"/>
  <c r="Z469" i="1"/>
  <c r="Z509" i="1"/>
  <c r="Z752" i="1"/>
  <c r="Z753" i="1"/>
  <c r="Z754" i="1"/>
  <c r="Z755" i="1"/>
  <c r="Z813" i="1"/>
  <c r="Z814" i="1"/>
  <c r="Z815" i="1"/>
  <c r="Z816" i="1"/>
  <c r="Z817" i="1"/>
  <c r="Z52" i="1"/>
  <c r="Z78" i="1"/>
  <c r="P781" i="1"/>
  <c r="P278" i="1"/>
  <c r="P479" i="1"/>
  <c r="P508" i="1"/>
  <c r="P754" i="1"/>
  <c r="P757" i="1"/>
  <c r="P766" i="1"/>
  <c r="P788" i="1"/>
  <c r="P51" i="1"/>
  <c r="P808" i="1"/>
  <c r="P824" i="1"/>
  <c r="P829" i="1"/>
  <c r="P837" i="1"/>
  <c r="P844" i="1"/>
  <c r="P853" i="1"/>
  <c r="P861" i="1"/>
  <c r="P864" i="1"/>
  <c r="P869" i="1"/>
  <c r="P885" i="1"/>
  <c r="P888" i="1"/>
  <c r="P893" i="1"/>
  <c r="W806" i="1"/>
  <c r="F806" i="1"/>
  <c r="G806" i="1"/>
  <c r="O806" i="1"/>
  <c r="P806" i="1" s="1"/>
  <c r="Z806" i="1"/>
  <c r="V806" i="1"/>
  <c r="W809" i="1" l="1"/>
  <c r="Z343" i="1" l="1"/>
  <c r="F501" i="1"/>
  <c r="F502" i="1"/>
  <c r="G501" i="1"/>
  <c r="G502" i="1"/>
  <c r="O501" i="1"/>
  <c r="O502" i="1"/>
  <c r="Q501" i="1"/>
  <c r="Q502" i="1"/>
  <c r="V501" i="1"/>
  <c r="V502" i="1"/>
  <c r="Z501" i="1"/>
  <c r="F666" i="1"/>
  <c r="G666" i="1"/>
  <c r="O666" i="1"/>
  <c r="Q666" i="1"/>
  <c r="V666" i="1"/>
  <c r="Z666" i="1"/>
  <c r="F667" i="1"/>
  <c r="G667" i="1"/>
  <c r="O667" i="1"/>
  <c r="Q667" i="1"/>
  <c r="Z667" i="1" s="1"/>
  <c r="V667" i="1"/>
  <c r="F497" i="1"/>
  <c r="G497" i="1"/>
  <c r="O497" i="1"/>
  <c r="Q497" i="1"/>
  <c r="V497" i="1"/>
  <c r="Z497" i="1"/>
  <c r="F662" i="1"/>
  <c r="G662" i="1"/>
  <c r="O662" i="1"/>
  <c r="Q662" i="1"/>
  <c r="Z662" i="1" s="1"/>
  <c r="V662" i="1"/>
  <c r="F498" i="1"/>
  <c r="G498" i="1"/>
  <c r="O498" i="1"/>
  <c r="Q498" i="1"/>
  <c r="V498" i="1"/>
  <c r="Z498" i="1"/>
  <c r="W82" i="1"/>
  <c r="Z502" i="1" l="1"/>
  <c r="P667" i="1"/>
  <c r="P666" i="1"/>
  <c r="P502" i="1"/>
  <c r="P501" i="1"/>
  <c r="P498" i="1"/>
  <c r="P497" i="1"/>
  <c r="P662" i="1"/>
  <c r="W369" i="1"/>
  <c r="W127" i="1" l="1"/>
  <c r="V191" i="1" l="1"/>
  <c r="W531" i="1" l="1"/>
  <c r="W141" i="1" l="1"/>
  <c r="W801" i="1" l="1"/>
  <c r="W72" i="1" l="1"/>
  <c r="W133" i="1" l="1"/>
  <c r="W470" i="1" l="1"/>
  <c r="W457" i="1" l="1"/>
  <c r="Z239" i="1" l="1"/>
  <c r="W65" i="1"/>
  <c r="F23" i="1"/>
  <c r="G23" i="1"/>
  <c r="O23" i="1"/>
  <c r="P23" i="1" s="1"/>
  <c r="Z23" i="1"/>
  <c r="V23" i="1"/>
  <c r="F39" i="1"/>
  <c r="G39" i="1"/>
  <c r="O39" i="1"/>
  <c r="P39" i="1" s="1"/>
  <c r="V39" i="1"/>
  <c r="W39" i="1"/>
  <c r="Z39" i="1"/>
  <c r="F31" i="1"/>
  <c r="G31" i="1"/>
  <c r="O31" i="1"/>
  <c r="P31" i="1" s="1"/>
  <c r="V31" i="1"/>
  <c r="Z31" i="1"/>
  <c r="F385" i="1"/>
  <c r="G385" i="1"/>
  <c r="O385" i="1"/>
  <c r="P385" i="1" s="1"/>
  <c r="Q385" i="1"/>
  <c r="V385" i="1"/>
  <c r="Z385" i="1"/>
  <c r="F382" i="1"/>
  <c r="G382" i="1"/>
  <c r="O382" i="1"/>
  <c r="P382" i="1" s="1"/>
  <c r="Q382" i="1"/>
  <c r="V382" i="1"/>
  <c r="Z382" i="1"/>
  <c r="F40" i="1"/>
  <c r="G40" i="1"/>
  <c r="O40" i="1"/>
  <c r="P40" i="1" s="1"/>
  <c r="Z40" i="1"/>
  <c r="F88" i="1"/>
  <c r="G88" i="1"/>
  <c r="O88" i="1"/>
  <c r="P88" i="1" s="1"/>
  <c r="Z88" i="1"/>
  <c r="V88" i="1"/>
  <c r="F64" i="1"/>
  <c r="G64" i="1"/>
  <c r="O64" i="1"/>
  <c r="P64" i="1" s="1"/>
  <c r="Z64" i="1"/>
  <c r="V64" i="1"/>
  <c r="F720" i="1"/>
  <c r="G720" i="1"/>
  <c r="O720" i="1"/>
  <c r="P720" i="1" s="1"/>
  <c r="Q720" i="1"/>
  <c r="Z720" i="1" s="1"/>
  <c r="V720" i="1"/>
  <c r="F473" i="1"/>
  <c r="G473" i="1"/>
  <c r="O473" i="1"/>
  <c r="P473" i="1" s="1"/>
  <c r="Q473" i="1"/>
  <c r="Z473" i="1" s="1"/>
  <c r="V473" i="1"/>
  <c r="F721" i="1"/>
  <c r="G721" i="1"/>
  <c r="O721" i="1"/>
  <c r="P721" i="1" s="1"/>
  <c r="Q721" i="1"/>
  <c r="Z721" i="1"/>
  <c r="F166" i="1"/>
  <c r="G166" i="1"/>
  <c r="O166" i="1"/>
  <c r="P166" i="1" s="1"/>
  <c r="Z166" i="1"/>
  <c r="V166" i="1"/>
  <c r="F566" i="1"/>
  <c r="G566" i="1"/>
  <c r="O566" i="1"/>
  <c r="P566" i="1" s="1"/>
  <c r="Q566" i="1"/>
  <c r="V566" i="1"/>
  <c r="Z566" i="1"/>
  <c r="F567" i="1"/>
  <c r="G567" i="1"/>
  <c r="O567" i="1"/>
  <c r="P567" i="1" s="1"/>
  <c r="Q567" i="1"/>
  <c r="Z567" i="1" s="1"/>
  <c r="V567" i="1"/>
  <c r="F450" i="1"/>
  <c r="G450" i="1"/>
  <c r="O450" i="1"/>
  <c r="P450" i="1" s="1"/>
  <c r="Q450" i="1"/>
  <c r="Z450" i="1" s="1"/>
  <c r="V450" i="1"/>
  <c r="F238" i="1"/>
  <c r="G238" i="1"/>
  <c r="O238" i="1"/>
  <c r="P238" i="1" s="1"/>
  <c r="Z238" i="1"/>
  <c r="V238" i="1"/>
  <c r="F44" i="1"/>
  <c r="G44" i="1"/>
  <c r="O44" i="1"/>
  <c r="P44" i="1" s="1"/>
  <c r="V44" i="1"/>
  <c r="Z44" i="1"/>
  <c r="F332" i="1"/>
  <c r="G332" i="1"/>
  <c r="O332" i="1"/>
  <c r="P332" i="1" s="1"/>
  <c r="Z332" i="1"/>
  <c r="V332" i="1"/>
  <c r="W332" i="1"/>
  <c r="F561" i="1"/>
  <c r="G561" i="1"/>
  <c r="O561" i="1"/>
  <c r="P561" i="1" s="1"/>
  <c r="Q561" i="1"/>
  <c r="Z561" i="1" s="1"/>
  <c r="V561" i="1"/>
  <c r="F423" i="1"/>
  <c r="G423" i="1"/>
  <c r="O423" i="1"/>
  <c r="P423" i="1" s="1"/>
  <c r="Q423" i="1"/>
  <c r="V423" i="1"/>
  <c r="Z423" i="1"/>
  <c r="F288" i="1"/>
  <c r="G288" i="1"/>
  <c r="O288" i="1"/>
  <c r="P288" i="1" s="1"/>
  <c r="Q288" i="1"/>
  <c r="V288" i="1"/>
  <c r="W288" i="1"/>
  <c r="Z288" i="1"/>
  <c r="F317" i="1"/>
  <c r="G317" i="1"/>
  <c r="O317" i="1"/>
  <c r="P317" i="1" s="1"/>
  <c r="Q317" i="1"/>
  <c r="Z317" i="1" s="1"/>
  <c r="V317" i="1"/>
  <c r="F308" i="1"/>
  <c r="G308" i="1"/>
  <c r="O308" i="1"/>
  <c r="P308" i="1" s="1"/>
  <c r="Q308" i="1"/>
  <c r="Z308" i="1" s="1"/>
  <c r="V308" i="1"/>
  <c r="F331" i="1"/>
  <c r="G331" i="1"/>
  <c r="O331" i="1"/>
  <c r="P331" i="1" s="1"/>
  <c r="Q331" i="1"/>
  <c r="Z331" i="1" s="1"/>
  <c r="V331" i="1"/>
  <c r="F310" i="1"/>
  <c r="G310" i="1"/>
  <c r="O310" i="1"/>
  <c r="P310" i="1" s="1"/>
  <c r="Q310" i="1"/>
  <c r="V310" i="1"/>
  <c r="Z310" i="1"/>
  <c r="F286" i="1"/>
  <c r="G286" i="1"/>
  <c r="O286" i="1"/>
  <c r="P286" i="1" s="1"/>
  <c r="Q286" i="1"/>
  <c r="Z286" i="1" s="1"/>
  <c r="V286" i="1"/>
  <c r="F312" i="1"/>
  <c r="G312" i="1"/>
  <c r="O312" i="1"/>
  <c r="P312" i="1" s="1"/>
  <c r="Z312" i="1"/>
  <c r="V312" i="1"/>
  <c r="F386" i="1"/>
  <c r="G386" i="1"/>
  <c r="O386" i="1"/>
  <c r="P386" i="1" s="1"/>
  <c r="Z386" i="1"/>
  <c r="V386" i="1"/>
  <c r="F29" i="1"/>
  <c r="G29" i="1"/>
  <c r="O29" i="1"/>
  <c r="P29" i="1" s="1"/>
  <c r="Z29" i="1"/>
  <c r="V29" i="1"/>
  <c r="W29" i="1"/>
  <c r="Z333" i="1" l="1"/>
  <c r="F333" i="1"/>
  <c r="G333" i="1"/>
  <c r="O333" i="1"/>
  <c r="P333" i="1" s="1"/>
  <c r="V333" i="1"/>
  <c r="W28" i="1" l="1"/>
  <c r="W412" i="1" l="1"/>
  <c r="F784" i="1" l="1"/>
  <c r="F783" i="1"/>
  <c r="F785" i="1"/>
  <c r="F786" i="1"/>
  <c r="G784" i="1"/>
  <c r="G783" i="1"/>
  <c r="G785" i="1"/>
  <c r="G786" i="1"/>
  <c r="O784" i="1"/>
  <c r="P784" i="1" s="1"/>
  <c r="O783" i="1"/>
  <c r="P783" i="1" s="1"/>
  <c r="O785" i="1"/>
  <c r="P785" i="1" s="1"/>
  <c r="O786" i="1"/>
  <c r="P786" i="1" s="1"/>
  <c r="Q784" i="1"/>
  <c r="Z783" i="1"/>
  <c r="Q785" i="1"/>
  <c r="Z785" i="1" s="1"/>
  <c r="Q786" i="1"/>
  <c r="Z786" i="1" s="1"/>
  <c r="V784" i="1"/>
  <c r="V783" i="1"/>
  <c r="V785" i="1"/>
  <c r="V786" i="1"/>
  <c r="Z784" i="1" l="1"/>
  <c r="F285" i="1"/>
  <c r="G285" i="1"/>
  <c r="O285" i="1"/>
  <c r="P285" i="1" s="1"/>
  <c r="Q285" i="1"/>
  <c r="V285" i="1"/>
  <c r="Z285" i="1"/>
  <c r="F261" i="1"/>
  <c r="F282" i="1"/>
  <c r="G261" i="1"/>
  <c r="G282" i="1"/>
  <c r="O261" i="1"/>
  <c r="P261" i="1" s="1"/>
  <c r="O282" i="1"/>
  <c r="P282" i="1" s="1"/>
  <c r="Q261" i="1"/>
  <c r="Q282" i="1"/>
  <c r="V261" i="1"/>
  <c r="V282" i="1"/>
  <c r="Z261" i="1"/>
  <c r="Z282" i="1"/>
  <c r="F227" i="1"/>
  <c r="F235" i="1"/>
  <c r="F237" i="1"/>
  <c r="G227" i="1"/>
  <c r="G235" i="1"/>
  <c r="G237" i="1"/>
  <c r="O227" i="1"/>
  <c r="P227" i="1" s="1"/>
  <c r="O235" i="1"/>
  <c r="P235" i="1" s="1"/>
  <c r="O237" i="1"/>
  <c r="P237" i="1" s="1"/>
  <c r="Q235" i="1"/>
  <c r="Q237" i="1"/>
  <c r="V227" i="1"/>
  <c r="V235" i="1"/>
  <c r="V237" i="1"/>
  <c r="Z227" i="1"/>
  <c r="Z235" i="1"/>
  <c r="Z237" i="1"/>
  <c r="G293" i="1" l="1"/>
  <c r="F293" i="1"/>
  <c r="G528" i="1"/>
  <c r="F528" i="1"/>
  <c r="G527" i="1"/>
  <c r="F527" i="1"/>
  <c r="G526" i="1"/>
  <c r="F526" i="1"/>
  <c r="G711" i="1"/>
  <c r="F711" i="1"/>
  <c r="G522" i="1"/>
  <c r="F522" i="1"/>
  <c r="G525" i="1"/>
  <c r="F525" i="1"/>
  <c r="G524" i="1"/>
  <c r="F524" i="1"/>
  <c r="G449" i="1"/>
  <c r="F449" i="1"/>
  <c r="G448" i="1"/>
  <c r="F448" i="1"/>
  <c r="G446" i="1"/>
  <c r="F446" i="1"/>
  <c r="G523" i="1"/>
  <c r="F523" i="1"/>
  <c r="G447" i="1"/>
  <c r="F447" i="1"/>
  <c r="G445" i="1"/>
  <c r="F445" i="1"/>
  <c r="V709" i="1" l="1"/>
  <c r="G418" i="1" l="1"/>
  <c r="F418" i="1"/>
  <c r="G339" i="1"/>
  <c r="F339" i="1"/>
  <c r="G245" i="1"/>
  <c r="F245" i="1"/>
  <c r="G398" i="1"/>
  <c r="F398" i="1"/>
  <c r="G244" i="1"/>
  <c r="F244" i="1"/>
  <c r="G463" i="1"/>
  <c r="F463" i="1"/>
  <c r="G338" i="1"/>
  <c r="F338" i="1"/>
  <c r="V692" i="1" l="1"/>
  <c r="G362" i="1" l="1"/>
  <c r="F362" i="1"/>
  <c r="O487" i="1"/>
  <c r="P487" i="1" s="1"/>
  <c r="P336" i="1"/>
  <c r="P337" i="1"/>
  <c r="P462" i="1"/>
  <c r="P239" i="1"/>
  <c r="P376" i="1"/>
  <c r="Z411" i="1"/>
  <c r="Z563" i="1"/>
  <c r="Z82" i="1"/>
  <c r="Q487" i="1"/>
  <c r="Z487" i="1" s="1"/>
  <c r="Z362" i="1"/>
  <c r="Z223" i="1"/>
  <c r="Q679" i="1"/>
  <c r="Z679" i="1" s="1"/>
  <c r="Q680" i="1"/>
  <c r="Z680" i="1" s="1"/>
  <c r="Q681" i="1"/>
  <c r="Z681" i="1" s="1"/>
  <c r="Q682" i="1"/>
  <c r="Z682" i="1" s="1"/>
  <c r="Z24" i="1"/>
  <c r="Q685" i="1"/>
  <c r="Z685" i="1" s="1"/>
  <c r="Q686" i="1"/>
  <c r="Z686" i="1" s="1"/>
  <c r="Q687" i="1"/>
  <c r="Z687" i="1" s="1"/>
  <c r="Q688" i="1"/>
  <c r="Z688" i="1" s="1"/>
  <c r="Q689" i="1"/>
  <c r="Z689" i="1" s="1"/>
  <c r="Q690" i="1"/>
  <c r="Z690" i="1" s="1"/>
  <c r="Q691" i="1"/>
  <c r="Z691" i="1" s="1"/>
  <c r="Q692" i="1"/>
  <c r="Z692" i="1" s="1"/>
  <c r="Q683" i="1"/>
  <c r="Z683" i="1" s="1"/>
  <c r="Z34" i="1"/>
  <c r="Z54" i="1"/>
  <c r="Q338" i="1"/>
  <c r="Z338" i="1" s="1"/>
  <c r="Q463" i="1"/>
  <c r="Z463" i="1" s="1"/>
  <c r="Q244" i="1"/>
  <c r="Z244" i="1" s="1"/>
  <c r="Q398" i="1"/>
  <c r="Z398" i="1" s="1"/>
  <c r="Q245" i="1"/>
  <c r="Z245" i="1" s="1"/>
  <c r="Q339" i="1"/>
  <c r="Z339" i="1" s="1"/>
  <c r="Q418" i="1"/>
  <c r="Z418" i="1" s="1"/>
  <c r="Z196" i="1"/>
  <c r="Z152" i="1"/>
  <c r="Q559" i="1"/>
  <c r="Z559" i="1" s="1"/>
  <c r="Q484" i="1"/>
  <c r="Z484" i="1" s="1"/>
  <c r="Q485" i="1"/>
  <c r="Z485" i="1" s="1"/>
  <c r="Q693" i="1"/>
  <c r="Z693" i="1" s="1"/>
  <c r="Q694" i="1"/>
  <c r="Z694" i="1" s="1"/>
  <c r="Q695" i="1"/>
  <c r="Z695" i="1" s="1"/>
  <c r="Q696" i="1"/>
  <c r="Z696" i="1" s="1"/>
  <c r="Q697" i="1"/>
  <c r="Z697" i="1" s="1"/>
  <c r="Q698" i="1"/>
  <c r="Z698" i="1" s="1"/>
  <c r="Q699" i="1"/>
  <c r="Z699" i="1" s="1"/>
  <c r="Q700" i="1"/>
  <c r="Z700" i="1" s="1"/>
  <c r="Q701" i="1"/>
  <c r="Z701" i="1" s="1"/>
  <c r="Q703" i="1"/>
  <c r="Z703" i="1" s="1"/>
  <c r="Q704" i="1"/>
  <c r="Z704" i="1" s="1"/>
  <c r="Q705" i="1"/>
  <c r="Z705" i="1" s="1"/>
  <c r="Q706" i="1"/>
  <c r="Z706" i="1" s="1"/>
  <c r="Q707" i="1"/>
  <c r="Z707" i="1" s="1"/>
  <c r="Q708" i="1"/>
  <c r="Z708" i="1" s="1"/>
  <c r="Q709" i="1"/>
  <c r="Z709" i="1" s="1"/>
  <c r="Q702" i="1"/>
  <c r="Z702" i="1" s="1"/>
  <c r="Z60" i="1"/>
  <c r="Q247" i="1"/>
  <c r="Z247" i="1" s="1"/>
  <c r="Q248" i="1"/>
  <c r="Z248" i="1" s="1"/>
  <c r="Q249" i="1"/>
  <c r="Z249" i="1" s="1"/>
  <c r="Q250" i="1"/>
  <c r="Z250" i="1" s="1"/>
  <c r="Q521" i="1"/>
  <c r="Z521" i="1" s="1"/>
  <c r="Q486" i="1"/>
  <c r="Z486" i="1" s="1"/>
  <c r="Q710" i="1"/>
  <c r="Z710" i="1" s="1"/>
  <c r="Q560" i="1"/>
  <c r="Z560" i="1" s="1"/>
  <c r="Q712" i="1"/>
  <c r="Z712" i="1" s="1"/>
  <c r="Q562" i="1"/>
  <c r="Z562" i="1" s="1"/>
  <c r="Q445" i="1"/>
  <c r="Z445" i="1" s="1"/>
  <c r="Q447" i="1"/>
  <c r="Z447" i="1" s="1"/>
  <c r="Q523" i="1"/>
  <c r="Z523" i="1" s="1"/>
  <c r="Q446" i="1"/>
  <c r="Z446" i="1" s="1"/>
  <c r="Q448" i="1"/>
  <c r="Z448" i="1" s="1"/>
  <c r="Q449" i="1"/>
  <c r="Z449" i="1" s="1"/>
  <c r="Q524" i="1"/>
  <c r="Z524" i="1" s="1"/>
  <c r="Q525" i="1"/>
  <c r="Z525" i="1" s="1"/>
  <c r="Q522" i="1"/>
  <c r="Z522" i="1" s="1"/>
  <c r="Q711" i="1"/>
  <c r="Z711" i="1" s="1"/>
  <c r="Q526" i="1"/>
  <c r="Z526" i="1" s="1"/>
  <c r="Q527" i="1"/>
  <c r="Z527" i="1" s="1"/>
  <c r="Q528" i="1"/>
  <c r="Z528" i="1" s="1"/>
  <c r="Q293" i="1"/>
  <c r="Z293" i="1" s="1"/>
  <c r="Z21" i="1"/>
  <c r="Z132" i="1"/>
  <c r="Q283" i="1"/>
  <c r="Z283" i="1" s="1"/>
  <c r="Q359" i="1"/>
  <c r="Z359" i="1" s="1"/>
  <c r="Q311" i="1"/>
  <c r="Z311" i="1" s="1"/>
  <c r="Q421" i="1"/>
  <c r="Z421" i="1" s="1"/>
  <c r="Z208" i="1"/>
  <c r="Q306" i="1"/>
  <c r="Z306" i="1" s="1"/>
  <c r="Q292" i="1"/>
  <c r="Z292" i="1" s="1"/>
  <c r="Q361" i="1"/>
  <c r="Z361" i="1" s="1"/>
  <c r="Q363" i="1"/>
  <c r="Z363" i="1" s="1"/>
  <c r="Q424" i="1"/>
  <c r="Z424" i="1" s="1"/>
  <c r="Q718" i="1"/>
  <c r="Z718" i="1" s="1"/>
  <c r="Q563" i="1"/>
  <c r="Q564" i="1"/>
  <c r="Z564" i="1" s="1"/>
  <c r="Q565" i="1"/>
  <c r="Z565" i="1" s="1"/>
  <c r="Z106" i="1"/>
  <c r="Q719" i="1"/>
  <c r="Z719" i="1" s="1"/>
  <c r="Z53" i="1"/>
  <c r="Q307" i="1"/>
  <c r="Z307" i="1" s="1"/>
  <c r="Q399" i="1"/>
  <c r="Z399" i="1" s="1"/>
  <c r="Q364" i="1"/>
  <c r="Z364" i="1" s="1"/>
  <c r="Z107" i="1"/>
  <c r="Z140" i="1"/>
  <c r="Z68" i="1"/>
  <c r="Z188" i="1"/>
  <c r="Q224" i="1"/>
  <c r="Z224" i="1" s="1"/>
  <c r="Z204" i="1"/>
  <c r="Z412" i="1"/>
  <c r="Z89" i="1"/>
  <c r="Z455" i="1"/>
  <c r="Z253" i="1"/>
  <c r="Z49" i="1"/>
  <c r="Z26" i="1"/>
  <c r="Z46" i="1"/>
  <c r="Q464" i="1"/>
  <c r="Z464" i="1" s="1"/>
  <c r="Z186" i="1"/>
  <c r="Z205" i="1"/>
  <c r="Q341" i="1"/>
  <c r="Z341" i="1" s="1"/>
  <c r="Z102" i="1"/>
  <c r="Z456" i="1"/>
  <c r="Z65" i="1"/>
  <c r="Z66" i="1"/>
  <c r="Z90" i="1"/>
  <c r="Z56" i="1"/>
  <c r="Z109" i="1"/>
  <c r="Z70" i="1"/>
  <c r="Q251" i="1"/>
  <c r="Z251" i="1" s="1"/>
  <c r="Q791" i="1"/>
  <c r="Z791" i="1" s="1"/>
  <c r="Z340" i="1"/>
  <c r="Z155" i="1"/>
  <c r="Z71" i="1"/>
  <c r="Q252" i="1"/>
  <c r="Z252" i="1" s="1"/>
  <c r="Q391" i="1"/>
  <c r="Z391" i="1" s="1"/>
  <c r="Q388" i="1"/>
  <c r="Z388" i="1" s="1"/>
  <c r="Q344" i="1"/>
  <c r="Z344" i="1" s="1"/>
  <c r="Q360" i="1"/>
  <c r="Z360" i="1" s="1"/>
  <c r="Q274" i="1"/>
  <c r="Z274" i="1" s="1"/>
  <c r="Z112" i="1"/>
  <c r="Q533" i="1"/>
  <c r="Z533" i="1" s="1"/>
  <c r="Q725" i="1"/>
  <c r="Z725" i="1" s="1"/>
  <c r="Z189" i="1"/>
  <c r="Q575" i="1"/>
  <c r="Z575" i="1" s="1"/>
  <c r="Q576" i="1"/>
  <c r="Z576" i="1" s="1"/>
  <c r="Q577" i="1"/>
  <c r="Z577" i="1" s="1"/>
  <c r="Q578" i="1"/>
  <c r="Z578" i="1" s="1"/>
  <c r="Q579" i="1"/>
  <c r="Z579" i="1" s="1"/>
  <c r="Q580" i="1"/>
  <c r="Z580" i="1" s="1"/>
  <c r="Q581" i="1"/>
  <c r="Z581" i="1" s="1"/>
  <c r="Q582" i="1"/>
  <c r="Z582" i="1" s="1"/>
  <c r="Q583" i="1"/>
  <c r="Z583" i="1" s="1"/>
  <c r="Q584" i="1"/>
  <c r="Z584" i="1" s="1"/>
  <c r="Q585" i="1"/>
  <c r="Z585" i="1" s="1"/>
  <c r="Q586" i="1"/>
  <c r="Z586" i="1" s="1"/>
  <c r="Q587" i="1"/>
  <c r="Z587" i="1" s="1"/>
  <c r="Q588" i="1"/>
  <c r="Z588" i="1" s="1"/>
  <c r="Q589" i="1"/>
  <c r="Z589" i="1" s="1"/>
  <c r="Q590" i="1"/>
  <c r="Z590" i="1" s="1"/>
  <c r="Q591" i="1"/>
  <c r="Z591" i="1" s="1"/>
  <c r="Q592" i="1"/>
  <c r="Z592" i="1" s="1"/>
  <c r="Q593" i="1"/>
  <c r="Z593" i="1" s="1"/>
  <c r="Q594" i="1"/>
  <c r="Z594" i="1" s="1"/>
  <c r="Q595" i="1"/>
  <c r="Z595" i="1" s="1"/>
  <c r="Q596" i="1"/>
  <c r="Z596" i="1" s="1"/>
  <c r="Q597" i="1"/>
  <c r="Z597" i="1" s="1"/>
  <c r="Q598" i="1"/>
  <c r="Z598" i="1" s="1"/>
  <c r="Q599" i="1"/>
  <c r="Z599" i="1" s="1"/>
  <c r="Q600" i="1"/>
  <c r="Z600" i="1" s="1"/>
  <c r="Q601" i="1"/>
  <c r="Z601" i="1" s="1"/>
  <c r="Q602" i="1"/>
  <c r="Z602" i="1" s="1"/>
  <c r="Q603" i="1"/>
  <c r="Z603" i="1" s="1"/>
  <c r="Q604" i="1"/>
  <c r="Z604" i="1" s="1"/>
  <c r="Q605" i="1"/>
  <c r="Z605" i="1" s="1"/>
  <c r="Q606" i="1"/>
  <c r="Z606" i="1" s="1"/>
  <c r="Q607" i="1"/>
  <c r="Z607" i="1" s="1"/>
  <c r="Q608" i="1"/>
  <c r="Z608" i="1" s="1"/>
  <c r="Q609" i="1"/>
  <c r="Z609" i="1" s="1"/>
  <c r="Q610" i="1"/>
  <c r="Z610" i="1" s="1"/>
  <c r="Q611" i="1"/>
  <c r="Z611" i="1" s="1"/>
  <c r="Q612" i="1"/>
  <c r="Z612" i="1" s="1"/>
  <c r="Q613" i="1"/>
  <c r="Z613" i="1" s="1"/>
  <c r="Q614" i="1"/>
  <c r="Z614" i="1" s="1"/>
  <c r="Q615" i="1"/>
  <c r="Z615" i="1" s="1"/>
  <c r="Q616" i="1"/>
  <c r="Z616" i="1" s="1"/>
  <c r="Q617" i="1"/>
  <c r="Z617" i="1" s="1"/>
  <c r="Q618" i="1"/>
  <c r="Z618" i="1" s="1"/>
  <c r="Q619" i="1"/>
  <c r="Z619" i="1" s="1"/>
  <c r="Q620" i="1"/>
  <c r="Z620" i="1" s="1"/>
  <c r="Q621" i="1"/>
  <c r="Z621" i="1" s="1"/>
  <c r="Q622" i="1"/>
  <c r="Z622" i="1" s="1"/>
  <c r="Q623" i="1"/>
  <c r="Z623" i="1" s="1"/>
  <c r="Q624" i="1"/>
  <c r="Z624" i="1" s="1"/>
  <c r="Q625" i="1"/>
  <c r="Z625" i="1" s="1"/>
  <c r="Q626" i="1"/>
  <c r="Z626" i="1" s="1"/>
  <c r="Q627" i="1"/>
  <c r="Z627" i="1" s="1"/>
  <c r="Q628" i="1"/>
  <c r="Z628" i="1" s="1"/>
  <c r="Q629" i="1"/>
  <c r="Z629" i="1" s="1"/>
  <c r="Q630" i="1"/>
  <c r="Z630" i="1" s="1"/>
  <c r="Q631" i="1"/>
  <c r="Z631" i="1" s="1"/>
  <c r="Q632" i="1"/>
  <c r="Z632" i="1" s="1"/>
  <c r="Q633" i="1"/>
  <c r="Z633" i="1" s="1"/>
  <c r="Q634" i="1"/>
  <c r="Z634" i="1" s="1"/>
  <c r="Q635" i="1"/>
  <c r="Z635" i="1" s="1"/>
  <c r="Q636" i="1"/>
  <c r="Z636" i="1" s="1"/>
  <c r="Q637" i="1"/>
  <c r="Z637" i="1" s="1"/>
  <c r="Q638" i="1"/>
  <c r="Z638" i="1" s="1"/>
  <c r="Q639" i="1"/>
  <c r="Z639" i="1" s="1"/>
  <c r="Q640" i="1"/>
  <c r="Z640" i="1" s="1"/>
  <c r="Q417" i="1"/>
  <c r="Z417" i="1" s="1"/>
  <c r="Q419" i="1"/>
  <c r="Z419" i="1" s="1"/>
  <c r="Q357" i="1"/>
  <c r="Z357" i="1" s="1"/>
  <c r="Q358" i="1"/>
  <c r="Z358" i="1" s="1"/>
  <c r="Q365" i="1"/>
  <c r="Z365" i="1" s="1"/>
  <c r="Q416" i="1"/>
  <c r="Z416" i="1" s="1"/>
  <c r="Q351" i="1"/>
  <c r="Z351" i="1" s="1"/>
  <c r="Q420" i="1"/>
  <c r="Z420" i="1" s="1"/>
  <c r="Q431" i="1"/>
  <c r="Z431" i="1" s="1"/>
  <c r="Q432" i="1"/>
  <c r="Z432" i="1" s="1"/>
  <c r="Q452" i="1"/>
  <c r="Z452" i="1" s="1"/>
  <c r="Q453" i="1"/>
  <c r="Z453" i="1" s="1"/>
  <c r="Q465" i="1"/>
  <c r="Z465" i="1" s="1"/>
  <c r="Q466" i="1"/>
  <c r="Z466" i="1" s="1"/>
  <c r="Q467" i="1"/>
  <c r="Z467" i="1" s="1"/>
  <c r="Q792" i="1"/>
  <c r="Z792" i="1" s="1"/>
  <c r="Z84" i="1"/>
  <c r="Q366" i="1"/>
  <c r="Z366" i="1" s="1"/>
  <c r="Q270" i="1"/>
  <c r="Z270" i="1" s="1"/>
  <c r="Q726" i="1"/>
  <c r="Z726" i="1" s="1"/>
  <c r="Q727" i="1"/>
  <c r="Z727" i="1" s="1"/>
  <c r="Q728" i="1"/>
  <c r="Z728" i="1" s="1"/>
  <c r="Z100" i="1"/>
  <c r="Z468" i="1"/>
  <c r="Z488" i="1"/>
  <c r="Z470" i="1"/>
  <c r="Z514" i="1"/>
  <c r="Z457" i="1"/>
  <c r="Z458" i="1"/>
  <c r="Q97" i="1"/>
  <c r="Z97" i="1" s="1"/>
  <c r="Q118" i="1"/>
  <c r="Z118" i="1" s="1"/>
  <c r="Q91" i="1"/>
  <c r="Z91" i="1" s="1"/>
  <c r="Q92" i="1"/>
  <c r="Z92" i="1" s="1"/>
  <c r="Q93" i="1"/>
  <c r="Z93" i="1" s="1"/>
  <c r="Q321" i="1"/>
  <c r="Z321" i="1" s="1"/>
  <c r="Q322" i="1"/>
  <c r="Z322" i="1" s="1"/>
  <c r="Q271" i="1"/>
  <c r="Z271" i="1" s="1"/>
  <c r="Q262" i="1"/>
  <c r="Z262" i="1" s="1"/>
  <c r="Q309" i="1"/>
  <c r="Z309" i="1" s="1"/>
  <c r="Q226" i="1"/>
  <c r="Z226" i="1" s="1"/>
  <c r="Q334" i="1"/>
  <c r="Z334" i="1" s="1"/>
  <c r="Z491" i="1"/>
  <c r="Z492" i="1"/>
  <c r="Z493" i="1"/>
  <c r="Z494" i="1"/>
  <c r="Z495" i="1"/>
  <c r="Z503" i="1"/>
  <c r="Z529" i="1"/>
  <c r="Z530" i="1"/>
  <c r="Z367" i="1"/>
  <c r="Z156" i="1"/>
  <c r="Z133" i="1"/>
  <c r="Q296" i="1"/>
  <c r="Z296" i="1" s="1"/>
  <c r="Q381" i="1"/>
  <c r="Z381" i="1" s="1"/>
  <c r="Q428" i="1"/>
  <c r="Z428" i="1" s="1"/>
  <c r="Q515" i="1"/>
  <c r="Z515" i="1" s="1"/>
  <c r="Q516" i="1"/>
  <c r="Z516" i="1" s="1"/>
  <c r="Q517" i="1"/>
  <c r="Z517" i="1" s="1"/>
  <c r="Q767" i="1"/>
  <c r="Z767" i="1" s="1"/>
  <c r="Q790" i="1"/>
  <c r="Z790" i="1" s="1"/>
  <c r="Q793" i="1"/>
  <c r="Z793" i="1" s="1"/>
  <c r="Q794" i="1"/>
  <c r="Z794" i="1" s="1"/>
  <c r="Q795" i="1"/>
  <c r="Z795" i="1" s="1"/>
  <c r="Q796" i="1"/>
  <c r="Z796" i="1" s="1"/>
  <c r="Q797" i="1"/>
  <c r="Z797" i="1" s="1"/>
  <c r="Q798" i="1"/>
  <c r="Z798" i="1" s="1"/>
  <c r="Q799" i="1"/>
  <c r="Z799" i="1" s="1"/>
  <c r="Q800" i="1"/>
  <c r="Z800" i="1" s="1"/>
  <c r="Z801" i="1"/>
  <c r="Z489" i="1"/>
  <c r="Q490" i="1"/>
  <c r="Z490" i="1" s="1"/>
  <c r="Z77" i="1"/>
  <c r="Z531" i="1"/>
  <c r="Z532" i="1"/>
  <c r="Z554" i="1"/>
  <c r="Z555" i="1"/>
  <c r="Z556" i="1"/>
  <c r="Z557" i="1"/>
  <c r="Z568" i="1"/>
  <c r="Q284" i="1"/>
  <c r="Z284" i="1" s="1"/>
  <c r="Z370" i="1"/>
  <c r="Z315" i="1"/>
  <c r="Q275" i="1"/>
  <c r="Z275" i="1" s="1"/>
  <c r="Q371" i="1"/>
  <c r="Z371" i="1" s="1"/>
  <c r="Q314" i="1"/>
  <c r="Z314" i="1" s="1"/>
  <c r="Q729" i="1"/>
  <c r="Z729" i="1" s="1"/>
  <c r="Q730" i="1"/>
  <c r="Z730" i="1" s="1"/>
  <c r="Q731" i="1"/>
  <c r="Z731" i="1" s="1"/>
  <c r="Q732" i="1"/>
  <c r="Z732" i="1" s="1"/>
  <c r="Z313" i="1"/>
  <c r="Z94" i="1"/>
  <c r="Q403" i="1"/>
  <c r="Z403" i="1" s="1"/>
  <c r="Q733" i="1"/>
  <c r="Z733" i="1" s="1"/>
  <c r="Q734" i="1"/>
  <c r="Z734" i="1" s="1"/>
  <c r="Q735" i="1"/>
  <c r="Z735" i="1" s="1"/>
  <c r="Q316" i="1"/>
  <c r="Z316" i="1" s="1"/>
  <c r="Q736" i="1"/>
  <c r="Z736" i="1" s="1"/>
  <c r="Z50" i="1"/>
  <c r="Z22" i="1"/>
  <c r="Q213" i="1"/>
  <c r="Z213" i="1" s="1"/>
  <c r="Q214" i="1"/>
  <c r="Z214" i="1" s="1"/>
  <c r="Q215" i="1"/>
  <c r="Z215" i="1" s="1"/>
  <c r="Z27" i="1"/>
  <c r="Z101" i="1"/>
  <c r="Z395" i="1"/>
  <c r="Z404" i="1"/>
  <c r="Z406" i="1"/>
  <c r="Z802" i="1"/>
  <c r="Z803" i="1"/>
  <c r="Z804" i="1"/>
  <c r="Z805" i="1"/>
  <c r="Q647" i="1"/>
  <c r="Z647" i="1" s="1"/>
  <c r="Q648" i="1"/>
  <c r="Z648" i="1" s="1"/>
  <c r="Q713" i="1"/>
  <c r="Z713" i="1" s="1"/>
  <c r="Q571" i="1"/>
  <c r="Z571" i="1" s="1"/>
  <c r="Q572" i="1"/>
  <c r="Z572" i="1" s="1"/>
  <c r="Q573" i="1"/>
  <c r="Z573" i="1" s="1"/>
  <c r="Q574" i="1"/>
  <c r="Z574" i="1" s="1"/>
  <c r="Q569" i="1"/>
  <c r="Z569" i="1" s="1"/>
  <c r="Q714" i="1"/>
  <c r="Z714" i="1" s="1"/>
  <c r="Q715" i="1"/>
  <c r="Z715" i="1" s="1"/>
  <c r="Q716" i="1"/>
  <c r="Z716" i="1" s="1"/>
  <c r="Q643" i="1"/>
  <c r="Z643" i="1" s="1"/>
  <c r="Q644" i="1"/>
  <c r="Z644" i="1" s="1"/>
  <c r="Q645" i="1"/>
  <c r="Z645" i="1" s="1"/>
  <c r="Q646" i="1"/>
  <c r="Z646" i="1" s="1"/>
  <c r="Q570" i="1"/>
  <c r="Z570" i="1" s="1"/>
  <c r="Z717" i="1"/>
  <c r="Z369" i="1"/>
  <c r="Z368" i="1"/>
  <c r="Z130" i="1"/>
  <c r="Z141" i="1"/>
  <c r="Q257" i="1"/>
  <c r="Z257" i="1" s="1"/>
  <c r="Q387" i="1"/>
  <c r="Z387" i="1" s="1"/>
  <c r="Q641" i="1"/>
  <c r="Z641" i="1" s="1"/>
  <c r="Q739" i="1"/>
  <c r="Z739" i="1" s="1"/>
  <c r="Q642" i="1"/>
  <c r="Z642" i="1" s="1"/>
  <c r="Q740" i="1"/>
  <c r="Z740" i="1" s="1"/>
  <c r="Q741" i="1"/>
  <c r="Z741" i="1" s="1"/>
  <c r="Q742" i="1"/>
  <c r="Z742" i="1" s="1"/>
  <c r="Z36" i="1"/>
  <c r="Q276" i="1"/>
  <c r="Z276" i="1" s="1"/>
  <c r="Z192" i="1"/>
  <c r="Q737" i="1"/>
  <c r="Z737" i="1" s="1"/>
  <c r="Q738" i="1"/>
  <c r="Z738" i="1" s="1"/>
  <c r="Z30" i="1"/>
  <c r="Z122" i="1"/>
  <c r="Z59" i="1"/>
  <c r="Z191" i="1"/>
  <c r="Q255" i="1"/>
  <c r="Z255" i="1" s="1"/>
  <c r="Z127" i="1"/>
  <c r="Q407" i="1"/>
  <c r="Q256" i="1"/>
  <c r="Q745" i="1"/>
  <c r="Q475" i="1"/>
  <c r="Q743" i="1"/>
  <c r="Q744" i="1"/>
  <c r="Q265" i="1"/>
  <c r="Q650" i="1"/>
  <c r="Q651" i="1"/>
  <c r="Q652" i="1"/>
  <c r="Q653" i="1"/>
  <c r="Q654" i="1"/>
  <c r="Q655" i="1"/>
  <c r="Q656" i="1"/>
  <c r="Q657" i="1"/>
  <c r="Q496" i="1"/>
  <c r="Q649" i="1"/>
  <c r="Q302" i="1"/>
  <c r="Q303" i="1"/>
  <c r="Q389" i="1"/>
  <c r="Q433" i="1"/>
  <c r="Q434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435" i="1"/>
  <c r="Q436" i="1"/>
  <c r="Q546" i="1"/>
  <c r="Q547" i="1"/>
  <c r="Q548" i="1"/>
  <c r="Q549" i="1"/>
  <c r="Q300" i="1"/>
  <c r="Z300" i="1" s="1"/>
  <c r="Q301" i="1"/>
  <c r="Q233" i="1"/>
  <c r="Z722" i="1"/>
  <c r="Q774" i="1"/>
  <c r="Z774" i="1" s="1"/>
  <c r="Q775" i="1"/>
  <c r="Z775" i="1" s="1"/>
  <c r="Q768" i="1"/>
  <c r="Z768" i="1" s="1"/>
  <c r="Q769" i="1"/>
  <c r="Z769" i="1" s="1"/>
  <c r="Q723" i="1"/>
  <c r="Z723" i="1" s="1"/>
  <c r="Q776" i="1"/>
  <c r="Z776" i="1" s="1"/>
  <c r="Q777" i="1"/>
  <c r="Z777" i="1" s="1"/>
  <c r="Q771" i="1"/>
  <c r="Z771" i="1" s="1"/>
  <c r="Q778" i="1"/>
  <c r="Z778" i="1" s="1"/>
  <c r="Q772" i="1"/>
  <c r="Z772" i="1" s="1"/>
  <c r="Q773" i="1"/>
  <c r="Z773" i="1" s="1"/>
  <c r="Q724" i="1"/>
  <c r="Z724" i="1" s="1"/>
  <c r="Z779" i="1"/>
  <c r="Z809" i="1"/>
  <c r="Z427" i="1"/>
  <c r="Z98" i="1"/>
  <c r="Z167" i="1"/>
  <c r="Q228" i="1"/>
  <c r="Z228" i="1" s="1"/>
  <c r="Q219" i="1"/>
  <c r="Z219" i="1" s="1"/>
  <c r="Q295" i="1"/>
  <c r="Z295" i="1" s="1"/>
  <c r="Z198" i="1"/>
  <c r="Q266" i="1"/>
  <c r="Z266" i="1" s="1"/>
  <c r="Q318" i="1"/>
  <c r="Z318" i="1" s="1"/>
  <c r="Q402" i="1"/>
  <c r="Z402" i="1" s="1"/>
  <c r="Z780" i="1"/>
  <c r="Q782" i="1"/>
  <c r="Z782" i="1" s="1"/>
  <c r="Q415" i="1"/>
  <c r="Q405" i="1"/>
  <c r="Q425" i="1"/>
  <c r="Z425" i="1" s="1"/>
  <c r="Q429" i="1"/>
  <c r="Z426" i="1"/>
  <c r="Q747" i="1"/>
  <c r="Q748" i="1"/>
  <c r="Q506" i="1"/>
  <c r="Q375" i="1"/>
  <c r="Q392" i="1"/>
  <c r="Q504" i="1"/>
  <c r="Q342" i="1"/>
  <c r="Q505" i="1"/>
  <c r="Q658" i="1"/>
  <c r="Q659" i="1"/>
  <c r="Q660" i="1"/>
  <c r="Q661" i="1"/>
  <c r="Q663" i="1"/>
  <c r="Q550" i="1"/>
  <c r="Q551" i="1"/>
  <c r="Q552" i="1"/>
  <c r="Q664" i="1"/>
  <c r="Q665" i="1"/>
  <c r="Q553" i="1"/>
  <c r="Q499" i="1"/>
  <c r="Q500" i="1"/>
  <c r="Q437" i="1"/>
  <c r="Q438" i="1"/>
  <c r="Q439" i="1"/>
  <c r="Q440" i="1"/>
  <c r="Q670" i="1"/>
  <c r="Q746" i="1"/>
  <c r="Q668" i="1"/>
  <c r="Q669" i="1"/>
  <c r="Q374" i="1"/>
  <c r="Q390" i="1"/>
  <c r="Q291" i="1"/>
  <c r="Q258" i="1"/>
  <c r="Q229" i="1"/>
  <c r="Q750" i="1"/>
  <c r="Q671" i="1"/>
  <c r="Q749" i="1"/>
  <c r="Q751" i="1"/>
  <c r="Z172" i="1"/>
  <c r="Z142" i="1"/>
  <c r="Q319" i="1"/>
  <c r="Z319" i="1" s="1"/>
  <c r="Z25" i="1"/>
  <c r="Z812" i="1"/>
  <c r="Z28" i="1"/>
  <c r="I25" i="1"/>
  <c r="I812" i="1"/>
  <c r="O28" i="1"/>
  <c r="P28" i="1" s="1"/>
  <c r="O362" i="1"/>
  <c r="P362" i="1" s="1"/>
  <c r="O223" i="1"/>
  <c r="P223" i="1" s="1"/>
  <c r="O679" i="1"/>
  <c r="P679" i="1" s="1"/>
  <c r="O680" i="1"/>
  <c r="P680" i="1" s="1"/>
  <c r="O681" i="1"/>
  <c r="P681" i="1" s="1"/>
  <c r="O682" i="1"/>
  <c r="P682" i="1" s="1"/>
  <c r="O24" i="1"/>
  <c r="P24" i="1" s="1"/>
  <c r="O685" i="1"/>
  <c r="P685" i="1" s="1"/>
  <c r="O686" i="1"/>
  <c r="P686" i="1" s="1"/>
  <c r="O687" i="1"/>
  <c r="P687" i="1" s="1"/>
  <c r="O688" i="1"/>
  <c r="P688" i="1" s="1"/>
  <c r="O689" i="1"/>
  <c r="P689" i="1" s="1"/>
  <c r="O690" i="1"/>
  <c r="P690" i="1" s="1"/>
  <c r="O691" i="1"/>
  <c r="P691" i="1" s="1"/>
  <c r="O692" i="1"/>
  <c r="P692" i="1" s="1"/>
  <c r="O683" i="1"/>
  <c r="P683" i="1" s="1"/>
  <c r="O34" i="1"/>
  <c r="P34" i="1" s="1"/>
  <c r="O54" i="1"/>
  <c r="P54" i="1" s="1"/>
  <c r="O338" i="1"/>
  <c r="P338" i="1" s="1"/>
  <c r="O463" i="1"/>
  <c r="P463" i="1" s="1"/>
  <c r="O244" i="1"/>
  <c r="O398" i="1"/>
  <c r="P398" i="1" s="1"/>
  <c r="O245" i="1"/>
  <c r="P245" i="1" s="1"/>
  <c r="O339" i="1"/>
  <c r="P339" i="1" s="1"/>
  <c r="O418" i="1"/>
  <c r="P418" i="1" s="1"/>
  <c r="O196" i="1"/>
  <c r="P196" i="1" s="1"/>
  <c r="O152" i="1"/>
  <c r="P152" i="1" s="1"/>
  <c r="O559" i="1"/>
  <c r="P559" i="1" s="1"/>
  <c r="O484" i="1"/>
  <c r="P484" i="1" s="1"/>
  <c r="O485" i="1"/>
  <c r="P485" i="1" s="1"/>
  <c r="O693" i="1"/>
  <c r="P693" i="1" s="1"/>
  <c r="O694" i="1"/>
  <c r="P694" i="1" s="1"/>
  <c r="O695" i="1"/>
  <c r="P695" i="1" s="1"/>
  <c r="O696" i="1"/>
  <c r="P696" i="1" s="1"/>
  <c r="O697" i="1"/>
  <c r="P697" i="1" s="1"/>
  <c r="O698" i="1"/>
  <c r="P698" i="1" s="1"/>
  <c r="O699" i="1"/>
  <c r="P699" i="1" s="1"/>
  <c r="O700" i="1"/>
  <c r="P700" i="1" s="1"/>
  <c r="O701" i="1"/>
  <c r="P701" i="1" s="1"/>
  <c r="O703" i="1"/>
  <c r="P703" i="1" s="1"/>
  <c r="O704" i="1"/>
  <c r="P704" i="1" s="1"/>
  <c r="O705" i="1"/>
  <c r="P705" i="1" s="1"/>
  <c r="O706" i="1"/>
  <c r="P706" i="1" s="1"/>
  <c r="O707" i="1"/>
  <c r="P707" i="1" s="1"/>
  <c r="O708" i="1"/>
  <c r="P708" i="1" s="1"/>
  <c r="O709" i="1"/>
  <c r="P709" i="1" s="1"/>
  <c r="O702" i="1"/>
  <c r="P702" i="1" s="1"/>
  <c r="O60" i="1"/>
  <c r="P60" i="1" s="1"/>
  <c r="O247" i="1"/>
  <c r="P247" i="1" s="1"/>
  <c r="O248" i="1"/>
  <c r="P248" i="1" s="1"/>
  <c r="O249" i="1"/>
  <c r="P249" i="1" s="1"/>
  <c r="O250" i="1"/>
  <c r="P250" i="1" s="1"/>
  <c r="O521" i="1"/>
  <c r="P521" i="1" s="1"/>
  <c r="O486" i="1"/>
  <c r="P486" i="1" s="1"/>
  <c r="O710" i="1"/>
  <c r="P710" i="1" s="1"/>
  <c r="O560" i="1"/>
  <c r="P560" i="1" s="1"/>
  <c r="O712" i="1"/>
  <c r="P712" i="1" s="1"/>
  <c r="O562" i="1"/>
  <c r="P562" i="1" s="1"/>
  <c r="O445" i="1"/>
  <c r="P445" i="1" s="1"/>
  <c r="N447" i="1"/>
  <c r="O447" i="1" s="1"/>
  <c r="P447" i="1" s="1"/>
  <c r="O523" i="1"/>
  <c r="P523" i="1" s="1"/>
  <c r="O446" i="1"/>
  <c r="P446" i="1" s="1"/>
  <c r="O448" i="1"/>
  <c r="P448" i="1" s="1"/>
  <c r="O449" i="1"/>
  <c r="P449" i="1" s="1"/>
  <c r="O524" i="1"/>
  <c r="P524" i="1" s="1"/>
  <c r="O525" i="1"/>
  <c r="P525" i="1" s="1"/>
  <c r="O522" i="1"/>
  <c r="P522" i="1" s="1"/>
  <c r="O711" i="1"/>
  <c r="P711" i="1" s="1"/>
  <c r="O526" i="1"/>
  <c r="P526" i="1" s="1"/>
  <c r="O527" i="1"/>
  <c r="P527" i="1" s="1"/>
  <c r="O528" i="1"/>
  <c r="P528" i="1" s="1"/>
  <c r="O293" i="1"/>
  <c r="P293" i="1" s="1"/>
  <c r="O21" i="1"/>
  <c r="P21" i="1" s="1"/>
  <c r="O132" i="1"/>
  <c r="P132" i="1" s="1"/>
  <c r="O283" i="1"/>
  <c r="P283" i="1" s="1"/>
  <c r="O359" i="1"/>
  <c r="P359" i="1" s="1"/>
  <c r="O311" i="1"/>
  <c r="P311" i="1" s="1"/>
  <c r="O421" i="1"/>
  <c r="P421" i="1" s="1"/>
  <c r="O208" i="1"/>
  <c r="P208" i="1" s="1"/>
  <c r="O306" i="1"/>
  <c r="P306" i="1" s="1"/>
  <c r="O292" i="1"/>
  <c r="P292" i="1" s="1"/>
  <c r="O361" i="1"/>
  <c r="P361" i="1" s="1"/>
  <c r="O363" i="1"/>
  <c r="P363" i="1" s="1"/>
  <c r="O424" i="1"/>
  <c r="P424" i="1" s="1"/>
  <c r="O718" i="1"/>
  <c r="P718" i="1" s="1"/>
  <c r="O563" i="1"/>
  <c r="P563" i="1" s="1"/>
  <c r="O564" i="1"/>
  <c r="P564" i="1" s="1"/>
  <c r="O565" i="1"/>
  <c r="P565" i="1" s="1"/>
  <c r="O106" i="1"/>
  <c r="P106" i="1" s="1"/>
  <c r="O719" i="1"/>
  <c r="P719" i="1" s="1"/>
  <c r="O53" i="1"/>
  <c r="P53" i="1" s="1"/>
  <c r="O307" i="1"/>
  <c r="P307" i="1" s="1"/>
  <c r="O399" i="1"/>
  <c r="P399" i="1" s="1"/>
  <c r="O364" i="1"/>
  <c r="P364" i="1" s="1"/>
  <c r="O107" i="1"/>
  <c r="P107" i="1" s="1"/>
  <c r="O140" i="1"/>
  <c r="P140" i="1" s="1"/>
  <c r="N68" i="1"/>
  <c r="O68" i="1" s="1"/>
  <c r="P68" i="1" s="1"/>
  <c r="O188" i="1"/>
  <c r="P188" i="1" s="1"/>
  <c r="N224" i="1"/>
  <c r="O224" i="1" s="1"/>
  <c r="P224" i="1" s="1"/>
  <c r="N204" i="1"/>
  <c r="O204" i="1" s="1"/>
  <c r="P204" i="1" s="1"/>
  <c r="O412" i="1"/>
  <c r="P412" i="1" s="1"/>
  <c r="O89" i="1"/>
  <c r="P89" i="1" s="1"/>
  <c r="O455" i="1"/>
  <c r="P455" i="1" s="1"/>
  <c r="O253" i="1"/>
  <c r="P253" i="1" s="1"/>
  <c r="O49" i="1"/>
  <c r="P49" i="1" s="1"/>
  <c r="N26" i="1"/>
  <c r="O26" i="1" s="1"/>
  <c r="P26" i="1" s="1"/>
  <c r="O46" i="1"/>
  <c r="P46" i="1" s="1"/>
  <c r="O464" i="1"/>
  <c r="P464" i="1" s="1"/>
  <c r="O186" i="1"/>
  <c r="P186" i="1" s="1"/>
  <c r="O205" i="1"/>
  <c r="P205" i="1" s="1"/>
  <c r="O341" i="1"/>
  <c r="P341" i="1" s="1"/>
  <c r="O102" i="1"/>
  <c r="P102" i="1" s="1"/>
  <c r="O456" i="1"/>
  <c r="P456" i="1" s="1"/>
  <c r="O65" i="1"/>
  <c r="O66" i="1"/>
  <c r="P66" i="1" s="1"/>
  <c r="O90" i="1"/>
  <c r="P90" i="1" s="1"/>
  <c r="O56" i="1"/>
  <c r="P56" i="1" s="1"/>
  <c r="O109" i="1"/>
  <c r="P109" i="1" s="1"/>
  <c r="O70" i="1"/>
  <c r="P70" i="1" s="1"/>
  <c r="O251" i="1"/>
  <c r="P251" i="1" s="1"/>
  <c r="N791" i="1"/>
  <c r="O791" i="1" s="1"/>
  <c r="P791" i="1" s="1"/>
  <c r="O340" i="1"/>
  <c r="P340" i="1" s="1"/>
  <c r="O155" i="1"/>
  <c r="P155" i="1" s="1"/>
  <c r="O71" i="1"/>
  <c r="P71" i="1" s="1"/>
  <c r="O252" i="1"/>
  <c r="P252" i="1" s="1"/>
  <c r="O391" i="1"/>
  <c r="P391" i="1" s="1"/>
  <c r="O388" i="1"/>
  <c r="P388" i="1" s="1"/>
  <c r="O344" i="1"/>
  <c r="P344" i="1" s="1"/>
  <c r="O360" i="1"/>
  <c r="P360" i="1" s="1"/>
  <c r="O274" i="1"/>
  <c r="P274" i="1" s="1"/>
  <c r="O112" i="1"/>
  <c r="P112" i="1" s="1"/>
  <c r="O533" i="1"/>
  <c r="P533" i="1" s="1"/>
  <c r="O725" i="1"/>
  <c r="P725" i="1" s="1"/>
  <c r="O189" i="1"/>
  <c r="P189" i="1" s="1"/>
  <c r="O575" i="1"/>
  <c r="P575" i="1" s="1"/>
  <c r="O576" i="1"/>
  <c r="P576" i="1" s="1"/>
  <c r="O577" i="1"/>
  <c r="P577" i="1" s="1"/>
  <c r="O578" i="1"/>
  <c r="P578" i="1" s="1"/>
  <c r="O579" i="1"/>
  <c r="P579" i="1" s="1"/>
  <c r="O580" i="1"/>
  <c r="P580" i="1" s="1"/>
  <c r="O581" i="1"/>
  <c r="P581" i="1" s="1"/>
  <c r="O582" i="1"/>
  <c r="P582" i="1" s="1"/>
  <c r="O583" i="1"/>
  <c r="P583" i="1" s="1"/>
  <c r="O584" i="1"/>
  <c r="P584" i="1" s="1"/>
  <c r="O585" i="1"/>
  <c r="P585" i="1" s="1"/>
  <c r="O586" i="1"/>
  <c r="P586" i="1" s="1"/>
  <c r="O587" i="1"/>
  <c r="P587" i="1" s="1"/>
  <c r="O588" i="1"/>
  <c r="P588" i="1" s="1"/>
  <c r="O589" i="1"/>
  <c r="P589" i="1" s="1"/>
  <c r="O590" i="1"/>
  <c r="P590" i="1" s="1"/>
  <c r="O591" i="1"/>
  <c r="P591" i="1" s="1"/>
  <c r="O592" i="1"/>
  <c r="P592" i="1" s="1"/>
  <c r="O593" i="1"/>
  <c r="P593" i="1" s="1"/>
  <c r="O594" i="1"/>
  <c r="P594" i="1" s="1"/>
  <c r="O595" i="1"/>
  <c r="P595" i="1" s="1"/>
  <c r="O596" i="1"/>
  <c r="P596" i="1" s="1"/>
  <c r="O597" i="1"/>
  <c r="P597" i="1" s="1"/>
  <c r="O598" i="1"/>
  <c r="P598" i="1" s="1"/>
  <c r="O599" i="1"/>
  <c r="P599" i="1" s="1"/>
  <c r="O600" i="1"/>
  <c r="P600" i="1" s="1"/>
  <c r="O601" i="1"/>
  <c r="P601" i="1" s="1"/>
  <c r="O602" i="1"/>
  <c r="P602" i="1" s="1"/>
  <c r="O603" i="1"/>
  <c r="P603" i="1" s="1"/>
  <c r="O604" i="1"/>
  <c r="P604" i="1" s="1"/>
  <c r="O605" i="1"/>
  <c r="P605" i="1" s="1"/>
  <c r="O606" i="1"/>
  <c r="P606" i="1" s="1"/>
  <c r="O607" i="1"/>
  <c r="P607" i="1" s="1"/>
  <c r="O608" i="1"/>
  <c r="P608" i="1" s="1"/>
  <c r="O609" i="1"/>
  <c r="P609" i="1" s="1"/>
  <c r="O610" i="1"/>
  <c r="P610" i="1" s="1"/>
  <c r="O611" i="1"/>
  <c r="P611" i="1" s="1"/>
  <c r="O612" i="1"/>
  <c r="P612" i="1" s="1"/>
  <c r="O613" i="1"/>
  <c r="P613" i="1" s="1"/>
  <c r="O614" i="1"/>
  <c r="P614" i="1" s="1"/>
  <c r="O615" i="1"/>
  <c r="P615" i="1" s="1"/>
  <c r="O616" i="1"/>
  <c r="P616" i="1" s="1"/>
  <c r="O617" i="1"/>
  <c r="P617" i="1" s="1"/>
  <c r="O618" i="1"/>
  <c r="P618" i="1" s="1"/>
  <c r="O619" i="1"/>
  <c r="P619" i="1" s="1"/>
  <c r="O620" i="1"/>
  <c r="P620" i="1" s="1"/>
  <c r="O621" i="1"/>
  <c r="P621" i="1" s="1"/>
  <c r="O622" i="1"/>
  <c r="P622" i="1" s="1"/>
  <c r="O623" i="1"/>
  <c r="P623" i="1" s="1"/>
  <c r="O624" i="1"/>
  <c r="P624" i="1" s="1"/>
  <c r="O625" i="1"/>
  <c r="P625" i="1" s="1"/>
  <c r="O626" i="1"/>
  <c r="P626" i="1" s="1"/>
  <c r="O627" i="1"/>
  <c r="P627" i="1" s="1"/>
  <c r="O628" i="1"/>
  <c r="P628" i="1" s="1"/>
  <c r="O629" i="1"/>
  <c r="P629" i="1" s="1"/>
  <c r="O630" i="1"/>
  <c r="P630" i="1" s="1"/>
  <c r="O631" i="1"/>
  <c r="P631" i="1" s="1"/>
  <c r="O632" i="1"/>
  <c r="P632" i="1" s="1"/>
  <c r="O633" i="1"/>
  <c r="P633" i="1" s="1"/>
  <c r="O634" i="1"/>
  <c r="P634" i="1" s="1"/>
  <c r="O635" i="1"/>
  <c r="P635" i="1" s="1"/>
  <c r="O636" i="1"/>
  <c r="P636" i="1" s="1"/>
  <c r="O637" i="1"/>
  <c r="P637" i="1" s="1"/>
  <c r="O638" i="1"/>
  <c r="P638" i="1" s="1"/>
  <c r="O639" i="1"/>
  <c r="P639" i="1" s="1"/>
  <c r="O640" i="1"/>
  <c r="P640" i="1" s="1"/>
  <c r="O417" i="1"/>
  <c r="P417" i="1" s="1"/>
  <c r="O419" i="1"/>
  <c r="P419" i="1" s="1"/>
  <c r="O357" i="1"/>
  <c r="P357" i="1" s="1"/>
  <c r="O358" i="1"/>
  <c r="P358" i="1" s="1"/>
  <c r="O365" i="1"/>
  <c r="P365" i="1" s="1"/>
  <c r="O416" i="1"/>
  <c r="P416" i="1" s="1"/>
  <c r="O351" i="1"/>
  <c r="P351" i="1" s="1"/>
  <c r="O420" i="1"/>
  <c r="P420" i="1" s="1"/>
  <c r="O431" i="1"/>
  <c r="P431" i="1" s="1"/>
  <c r="O432" i="1"/>
  <c r="P432" i="1" s="1"/>
  <c r="O452" i="1"/>
  <c r="P452" i="1" s="1"/>
  <c r="O453" i="1"/>
  <c r="P453" i="1" s="1"/>
  <c r="O465" i="1"/>
  <c r="P465" i="1" s="1"/>
  <c r="O466" i="1"/>
  <c r="P466" i="1" s="1"/>
  <c r="O467" i="1"/>
  <c r="P467" i="1" s="1"/>
  <c r="N792" i="1"/>
  <c r="O792" i="1" s="1"/>
  <c r="P792" i="1" s="1"/>
  <c r="O84" i="1"/>
  <c r="P84" i="1" s="1"/>
  <c r="O366" i="1"/>
  <c r="P366" i="1" s="1"/>
  <c r="O270" i="1"/>
  <c r="P270" i="1" s="1"/>
  <c r="O726" i="1"/>
  <c r="P726" i="1" s="1"/>
  <c r="O727" i="1"/>
  <c r="P727" i="1" s="1"/>
  <c r="O728" i="1"/>
  <c r="P728" i="1" s="1"/>
  <c r="O100" i="1"/>
  <c r="P100" i="1" s="1"/>
  <c r="O468" i="1"/>
  <c r="P468" i="1" s="1"/>
  <c r="O488" i="1"/>
  <c r="P488" i="1" s="1"/>
  <c r="O470" i="1"/>
  <c r="P470" i="1" s="1"/>
  <c r="O514" i="1"/>
  <c r="P514" i="1" s="1"/>
  <c r="O457" i="1"/>
  <c r="P457" i="1" s="1"/>
  <c r="O458" i="1"/>
  <c r="P458" i="1" s="1"/>
  <c r="O97" i="1"/>
  <c r="P97" i="1" s="1"/>
  <c r="O118" i="1"/>
  <c r="P118" i="1" s="1"/>
  <c r="O91" i="1"/>
  <c r="P91" i="1" s="1"/>
  <c r="O92" i="1"/>
  <c r="P92" i="1" s="1"/>
  <c r="O93" i="1"/>
  <c r="P93" i="1" s="1"/>
  <c r="O321" i="1"/>
  <c r="P321" i="1" s="1"/>
  <c r="O322" i="1"/>
  <c r="P322" i="1" s="1"/>
  <c r="O271" i="1"/>
  <c r="P271" i="1" s="1"/>
  <c r="O262" i="1"/>
  <c r="P262" i="1" s="1"/>
  <c r="O309" i="1"/>
  <c r="P309" i="1" s="1"/>
  <c r="O226" i="1"/>
  <c r="P226" i="1" s="1"/>
  <c r="O334" i="1"/>
  <c r="P334" i="1" s="1"/>
  <c r="O491" i="1"/>
  <c r="P491" i="1" s="1"/>
  <c r="O492" i="1"/>
  <c r="P492" i="1" s="1"/>
  <c r="O493" i="1"/>
  <c r="P493" i="1" s="1"/>
  <c r="O494" i="1"/>
  <c r="P494" i="1" s="1"/>
  <c r="O495" i="1"/>
  <c r="P495" i="1" s="1"/>
  <c r="O503" i="1"/>
  <c r="P503" i="1" s="1"/>
  <c r="O529" i="1"/>
  <c r="P529" i="1" s="1"/>
  <c r="O530" i="1"/>
  <c r="P530" i="1" s="1"/>
  <c r="O367" i="1"/>
  <c r="P367" i="1" s="1"/>
  <c r="O156" i="1"/>
  <c r="P156" i="1" s="1"/>
  <c r="O133" i="1"/>
  <c r="P133" i="1" s="1"/>
  <c r="O296" i="1"/>
  <c r="P296" i="1" s="1"/>
  <c r="O381" i="1"/>
  <c r="P381" i="1" s="1"/>
  <c r="O428" i="1"/>
  <c r="P428" i="1" s="1"/>
  <c r="W515" i="1"/>
  <c r="O516" i="1"/>
  <c r="P516" i="1" s="1"/>
  <c r="O517" i="1"/>
  <c r="P517" i="1" s="1"/>
  <c r="O767" i="1"/>
  <c r="P767" i="1" s="1"/>
  <c r="O790" i="1"/>
  <c r="P790" i="1" s="1"/>
  <c r="O793" i="1"/>
  <c r="P793" i="1" s="1"/>
  <c r="O794" i="1"/>
  <c r="P794" i="1" s="1"/>
  <c r="O795" i="1"/>
  <c r="P795" i="1" s="1"/>
  <c r="O796" i="1"/>
  <c r="P796" i="1" s="1"/>
  <c r="O797" i="1"/>
  <c r="P797" i="1" s="1"/>
  <c r="O798" i="1"/>
  <c r="P798" i="1" s="1"/>
  <c r="O799" i="1"/>
  <c r="P799" i="1" s="1"/>
  <c r="O800" i="1"/>
  <c r="P800" i="1" s="1"/>
  <c r="O801" i="1"/>
  <c r="P801" i="1" s="1"/>
  <c r="O489" i="1"/>
  <c r="P489" i="1" s="1"/>
  <c r="O490" i="1"/>
  <c r="P490" i="1" s="1"/>
  <c r="O77" i="1"/>
  <c r="P77" i="1" s="1"/>
  <c r="O531" i="1"/>
  <c r="P531" i="1" s="1"/>
  <c r="O532" i="1"/>
  <c r="P532" i="1" s="1"/>
  <c r="O554" i="1"/>
  <c r="P554" i="1" s="1"/>
  <c r="O555" i="1"/>
  <c r="P555" i="1" s="1"/>
  <c r="O556" i="1"/>
  <c r="P556" i="1" s="1"/>
  <c r="O557" i="1"/>
  <c r="P557" i="1" s="1"/>
  <c r="O568" i="1"/>
  <c r="P568" i="1" s="1"/>
  <c r="O284" i="1"/>
  <c r="P284" i="1" s="1"/>
  <c r="O370" i="1"/>
  <c r="P370" i="1" s="1"/>
  <c r="O315" i="1"/>
  <c r="P315" i="1" s="1"/>
  <c r="O275" i="1"/>
  <c r="P275" i="1" s="1"/>
  <c r="O371" i="1"/>
  <c r="P371" i="1" s="1"/>
  <c r="N314" i="1"/>
  <c r="O314" i="1" s="1"/>
  <c r="P314" i="1" s="1"/>
  <c r="O729" i="1"/>
  <c r="P729" i="1" s="1"/>
  <c r="O730" i="1"/>
  <c r="P730" i="1" s="1"/>
  <c r="N731" i="1"/>
  <c r="O731" i="1" s="1"/>
  <c r="P731" i="1" s="1"/>
  <c r="N732" i="1"/>
  <c r="O732" i="1" s="1"/>
  <c r="P732" i="1" s="1"/>
  <c r="O313" i="1"/>
  <c r="P313" i="1" s="1"/>
  <c r="O94" i="1"/>
  <c r="P94" i="1" s="1"/>
  <c r="O403" i="1"/>
  <c r="P403" i="1" s="1"/>
  <c r="O733" i="1"/>
  <c r="P733" i="1" s="1"/>
  <c r="O734" i="1"/>
  <c r="P734" i="1" s="1"/>
  <c r="O735" i="1"/>
  <c r="P735" i="1" s="1"/>
  <c r="O316" i="1"/>
  <c r="P316" i="1" s="1"/>
  <c r="O736" i="1"/>
  <c r="P736" i="1" s="1"/>
  <c r="O50" i="1"/>
  <c r="P50" i="1" s="1"/>
  <c r="O22" i="1"/>
  <c r="P22" i="1" s="1"/>
  <c r="O213" i="1"/>
  <c r="P213" i="1" s="1"/>
  <c r="O214" i="1"/>
  <c r="P214" i="1" s="1"/>
  <c r="O215" i="1"/>
  <c r="P215" i="1" s="1"/>
  <c r="O27" i="1"/>
  <c r="P27" i="1" s="1"/>
  <c r="O101" i="1"/>
  <c r="P101" i="1" s="1"/>
  <c r="O395" i="1"/>
  <c r="P395" i="1" s="1"/>
  <c r="O404" i="1"/>
  <c r="P404" i="1" s="1"/>
  <c r="O406" i="1"/>
  <c r="P406" i="1" s="1"/>
  <c r="O803" i="1"/>
  <c r="P803" i="1" s="1"/>
  <c r="O804" i="1"/>
  <c r="P804" i="1" s="1"/>
  <c r="O805" i="1"/>
  <c r="P805" i="1" s="1"/>
  <c r="O647" i="1"/>
  <c r="P647" i="1" s="1"/>
  <c r="O648" i="1"/>
  <c r="P648" i="1" s="1"/>
  <c r="O713" i="1"/>
  <c r="P713" i="1" s="1"/>
  <c r="O571" i="1"/>
  <c r="P571" i="1" s="1"/>
  <c r="O572" i="1"/>
  <c r="P572" i="1" s="1"/>
  <c r="O573" i="1"/>
  <c r="P573" i="1" s="1"/>
  <c r="O574" i="1"/>
  <c r="P574" i="1" s="1"/>
  <c r="O569" i="1"/>
  <c r="P569" i="1" s="1"/>
  <c r="O714" i="1"/>
  <c r="P714" i="1" s="1"/>
  <c r="O715" i="1"/>
  <c r="P715" i="1" s="1"/>
  <c r="O716" i="1"/>
  <c r="P716" i="1" s="1"/>
  <c r="O643" i="1"/>
  <c r="P643" i="1" s="1"/>
  <c r="O644" i="1"/>
  <c r="P644" i="1" s="1"/>
  <c r="O645" i="1"/>
  <c r="P645" i="1" s="1"/>
  <c r="O646" i="1"/>
  <c r="P646" i="1" s="1"/>
  <c r="O570" i="1"/>
  <c r="P570" i="1" s="1"/>
  <c r="O717" i="1"/>
  <c r="P717" i="1" s="1"/>
  <c r="O369" i="1"/>
  <c r="P369" i="1" s="1"/>
  <c r="O368" i="1"/>
  <c r="P368" i="1" s="1"/>
  <c r="O130" i="1"/>
  <c r="P130" i="1" s="1"/>
  <c r="O141" i="1"/>
  <c r="P141" i="1" s="1"/>
  <c r="O257" i="1"/>
  <c r="P257" i="1" s="1"/>
  <c r="O387" i="1"/>
  <c r="P387" i="1" s="1"/>
  <c r="O641" i="1"/>
  <c r="P641" i="1" s="1"/>
  <c r="O739" i="1"/>
  <c r="P739" i="1" s="1"/>
  <c r="O642" i="1"/>
  <c r="P642" i="1" s="1"/>
  <c r="O740" i="1"/>
  <c r="P740" i="1" s="1"/>
  <c r="O741" i="1"/>
  <c r="P741" i="1" s="1"/>
  <c r="O742" i="1"/>
  <c r="P742" i="1" s="1"/>
  <c r="O36" i="1"/>
  <c r="P36" i="1" s="1"/>
  <c r="O276" i="1"/>
  <c r="P276" i="1" s="1"/>
  <c r="O192" i="1"/>
  <c r="P192" i="1" s="1"/>
  <c r="O737" i="1"/>
  <c r="P737" i="1" s="1"/>
  <c r="O738" i="1"/>
  <c r="P738" i="1" s="1"/>
  <c r="O30" i="1"/>
  <c r="P30" i="1" s="1"/>
  <c r="O122" i="1"/>
  <c r="P122" i="1" s="1"/>
  <c r="O59" i="1"/>
  <c r="P59" i="1" s="1"/>
  <c r="O191" i="1"/>
  <c r="P191" i="1" s="1"/>
  <c r="O255" i="1"/>
  <c r="P255" i="1" s="1"/>
  <c r="O127" i="1"/>
  <c r="P127" i="1" s="1"/>
  <c r="O407" i="1"/>
  <c r="P407" i="1" s="1"/>
  <c r="O256" i="1"/>
  <c r="P256" i="1" s="1"/>
  <c r="O745" i="1"/>
  <c r="P745" i="1" s="1"/>
  <c r="O475" i="1"/>
  <c r="P475" i="1" s="1"/>
  <c r="O743" i="1"/>
  <c r="P743" i="1" s="1"/>
  <c r="O744" i="1"/>
  <c r="P744" i="1" s="1"/>
  <c r="O265" i="1"/>
  <c r="P265" i="1" s="1"/>
  <c r="O650" i="1"/>
  <c r="P650" i="1" s="1"/>
  <c r="O651" i="1"/>
  <c r="P651" i="1" s="1"/>
  <c r="O652" i="1"/>
  <c r="P652" i="1" s="1"/>
  <c r="O653" i="1"/>
  <c r="P653" i="1" s="1"/>
  <c r="O654" i="1"/>
  <c r="P654" i="1" s="1"/>
  <c r="O655" i="1"/>
  <c r="P655" i="1" s="1"/>
  <c r="O656" i="1"/>
  <c r="P656" i="1" s="1"/>
  <c r="O657" i="1"/>
  <c r="P657" i="1" s="1"/>
  <c r="O496" i="1"/>
  <c r="P496" i="1" s="1"/>
  <c r="O649" i="1"/>
  <c r="P649" i="1" s="1"/>
  <c r="O302" i="1"/>
  <c r="P302" i="1" s="1"/>
  <c r="O303" i="1"/>
  <c r="P303" i="1" s="1"/>
  <c r="O389" i="1"/>
  <c r="P389" i="1" s="1"/>
  <c r="O396" i="1"/>
  <c r="P396" i="1" s="1"/>
  <c r="O397" i="1"/>
  <c r="P397" i="1" s="1"/>
  <c r="O451" i="1"/>
  <c r="P451" i="1" s="1"/>
  <c r="O414" i="1"/>
  <c r="P414" i="1" s="1"/>
  <c r="O58" i="1"/>
  <c r="P58" i="1" s="1"/>
  <c r="O433" i="1"/>
  <c r="P433" i="1" s="1"/>
  <c r="O434" i="1"/>
  <c r="P434" i="1" s="1"/>
  <c r="O534" i="1"/>
  <c r="P534" i="1" s="1"/>
  <c r="O535" i="1"/>
  <c r="P535" i="1" s="1"/>
  <c r="O536" i="1"/>
  <c r="P536" i="1" s="1"/>
  <c r="O537" i="1"/>
  <c r="P537" i="1" s="1"/>
  <c r="O538" i="1"/>
  <c r="P538" i="1" s="1"/>
  <c r="O539" i="1"/>
  <c r="P539" i="1" s="1"/>
  <c r="O540" i="1"/>
  <c r="P540" i="1" s="1"/>
  <c r="O541" i="1"/>
  <c r="P541" i="1" s="1"/>
  <c r="O542" i="1"/>
  <c r="P542" i="1" s="1"/>
  <c r="O543" i="1"/>
  <c r="P543" i="1" s="1"/>
  <c r="O544" i="1"/>
  <c r="P544" i="1" s="1"/>
  <c r="O545" i="1"/>
  <c r="P545" i="1" s="1"/>
  <c r="O435" i="1"/>
  <c r="P435" i="1" s="1"/>
  <c r="O436" i="1"/>
  <c r="P436" i="1" s="1"/>
  <c r="O546" i="1"/>
  <c r="P546" i="1" s="1"/>
  <c r="O547" i="1"/>
  <c r="P547" i="1" s="1"/>
  <c r="O548" i="1"/>
  <c r="P548" i="1" s="1"/>
  <c r="O549" i="1"/>
  <c r="P549" i="1" s="1"/>
  <c r="O300" i="1"/>
  <c r="P300" i="1" s="1"/>
  <c r="O301" i="1"/>
  <c r="P301" i="1" s="1"/>
  <c r="O168" i="1"/>
  <c r="P168" i="1" s="1"/>
  <c r="O233" i="1"/>
  <c r="P233" i="1" s="1"/>
  <c r="N722" i="1"/>
  <c r="O722" i="1" s="1"/>
  <c r="P722" i="1" s="1"/>
  <c r="N774" i="1"/>
  <c r="O774" i="1" s="1"/>
  <c r="P774" i="1" s="1"/>
  <c r="N775" i="1"/>
  <c r="O775" i="1" s="1"/>
  <c r="P775" i="1" s="1"/>
  <c r="N768" i="1"/>
  <c r="O768" i="1" s="1"/>
  <c r="P768" i="1" s="1"/>
  <c r="N769" i="1"/>
  <c r="O769" i="1" s="1"/>
  <c r="P769" i="1" s="1"/>
  <c r="N723" i="1"/>
  <c r="O723" i="1" s="1"/>
  <c r="P723" i="1" s="1"/>
  <c r="N776" i="1"/>
  <c r="O776" i="1" s="1"/>
  <c r="P776" i="1" s="1"/>
  <c r="N777" i="1"/>
  <c r="O777" i="1" s="1"/>
  <c r="P777" i="1" s="1"/>
  <c r="N771" i="1"/>
  <c r="O771" i="1" s="1"/>
  <c r="P771" i="1" s="1"/>
  <c r="N778" i="1"/>
  <c r="O778" i="1" s="1"/>
  <c r="P778" i="1" s="1"/>
  <c r="N772" i="1"/>
  <c r="O772" i="1" s="1"/>
  <c r="P772" i="1" s="1"/>
  <c r="N773" i="1"/>
  <c r="O773" i="1" s="1"/>
  <c r="P773" i="1" s="1"/>
  <c r="N724" i="1"/>
  <c r="O724" i="1" s="1"/>
  <c r="P724" i="1" s="1"/>
  <c r="N779" i="1"/>
  <c r="O779" i="1" s="1"/>
  <c r="P779" i="1" s="1"/>
  <c r="O809" i="1"/>
  <c r="P809" i="1" s="1"/>
  <c r="O427" i="1"/>
  <c r="P427" i="1" s="1"/>
  <c r="O82" i="1"/>
  <c r="P82" i="1" s="1"/>
  <c r="O98" i="1"/>
  <c r="P98" i="1" s="1"/>
  <c r="O167" i="1"/>
  <c r="P167" i="1" s="1"/>
  <c r="O228" i="1"/>
  <c r="P228" i="1" s="1"/>
  <c r="O219" i="1"/>
  <c r="P219" i="1" s="1"/>
  <c r="N295" i="1"/>
  <c r="O295" i="1" s="1"/>
  <c r="P295" i="1" s="1"/>
  <c r="O198" i="1"/>
  <c r="P198" i="1" s="1"/>
  <c r="N266" i="1"/>
  <c r="O266" i="1" s="1"/>
  <c r="P266" i="1" s="1"/>
  <c r="O318" i="1"/>
  <c r="P318" i="1" s="1"/>
  <c r="O402" i="1"/>
  <c r="P402" i="1" s="1"/>
  <c r="O780" i="1"/>
  <c r="P780" i="1" s="1"/>
  <c r="O782" i="1"/>
  <c r="P782" i="1" s="1"/>
  <c r="O415" i="1"/>
  <c r="P415" i="1" s="1"/>
  <c r="O405" i="1"/>
  <c r="P405" i="1" s="1"/>
  <c r="O425" i="1"/>
  <c r="P425" i="1" s="1"/>
  <c r="O429" i="1"/>
  <c r="P429" i="1" s="1"/>
  <c r="O426" i="1"/>
  <c r="P426" i="1" s="1"/>
  <c r="O747" i="1"/>
  <c r="P747" i="1" s="1"/>
  <c r="O748" i="1"/>
  <c r="P748" i="1" s="1"/>
  <c r="O506" i="1"/>
  <c r="P506" i="1" s="1"/>
  <c r="O375" i="1"/>
  <c r="P375" i="1" s="1"/>
  <c r="O392" i="1"/>
  <c r="P392" i="1" s="1"/>
  <c r="O504" i="1"/>
  <c r="P504" i="1" s="1"/>
  <c r="O342" i="1"/>
  <c r="P342" i="1" s="1"/>
  <c r="O505" i="1"/>
  <c r="P505" i="1" s="1"/>
  <c r="O343" i="1"/>
  <c r="P343" i="1" s="1"/>
  <c r="O210" i="1"/>
  <c r="P210" i="1" s="1"/>
  <c r="O123" i="1"/>
  <c r="P123" i="1" s="1"/>
  <c r="O658" i="1"/>
  <c r="P658" i="1" s="1"/>
  <c r="O659" i="1"/>
  <c r="P659" i="1" s="1"/>
  <c r="O660" i="1"/>
  <c r="P660" i="1" s="1"/>
  <c r="O661" i="1"/>
  <c r="P661" i="1" s="1"/>
  <c r="O663" i="1"/>
  <c r="P663" i="1" s="1"/>
  <c r="O550" i="1"/>
  <c r="P550" i="1" s="1"/>
  <c r="O551" i="1"/>
  <c r="P551" i="1" s="1"/>
  <c r="O552" i="1"/>
  <c r="P552" i="1" s="1"/>
  <c r="O664" i="1"/>
  <c r="P664" i="1" s="1"/>
  <c r="O665" i="1"/>
  <c r="P665" i="1" s="1"/>
  <c r="O553" i="1"/>
  <c r="P553" i="1" s="1"/>
  <c r="O499" i="1"/>
  <c r="P499" i="1" s="1"/>
  <c r="O500" i="1"/>
  <c r="P500" i="1" s="1"/>
  <c r="O437" i="1"/>
  <c r="P437" i="1" s="1"/>
  <c r="O438" i="1"/>
  <c r="P438" i="1" s="1"/>
  <c r="O439" i="1"/>
  <c r="P439" i="1" s="1"/>
  <c r="O440" i="1"/>
  <c r="P440" i="1" s="1"/>
  <c r="O670" i="1"/>
  <c r="P670" i="1" s="1"/>
  <c r="O746" i="1"/>
  <c r="P746" i="1" s="1"/>
  <c r="O668" i="1"/>
  <c r="P668" i="1" s="1"/>
  <c r="O669" i="1"/>
  <c r="P669" i="1" s="1"/>
  <c r="O158" i="1"/>
  <c r="P158" i="1" s="1"/>
  <c r="O374" i="1"/>
  <c r="P374" i="1" s="1"/>
  <c r="O390" i="1"/>
  <c r="P390" i="1" s="1"/>
  <c r="O291" i="1"/>
  <c r="P291" i="1" s="1"/>
  <c r="O258" i="1"/>
  <c r="P258" i="1" s="1"/>
  <c r="O229" i="1"/>
  <c r="P229" i="1" s="1"/>
  <c r="O422" i="1"/>
  <c r="P422" i="1" s="1"/>
  <c r="O108" i="1"/>
  <c r="P108" i="1" s="1"/>
  <c r="O750" i="1"/>
  <c r="P750" i="1" s="1"/>
  <c r="O671" i="1"/>
  <c r="P671" i="1" s="1"/>
  <c r="O749" i="1"/>
  <c r="P749" i="1" s="1"/>
  <c r="O43" i="1"/>
  <c r="P43" i="1" s="1"/>
  <c r="O751" i="1"/>
  <c r="P751" i="1" s="1"/>
  <c r="O172" i="1"/>
  <c r="P172" i="1" s="1"/>
  <c r="O142" i="1"/>
  <c r="P142" i="1" s="1"/>
  <c r="O319" i="1"/>
  <c r="P319" i="1" s="1"/>
  <c r="O25" i="1"/>
  <c r="P25" i="1" s="1"/>
  <c r="O812" i="1"/>
  <c r="P812" i="1" s="1"/>
  <c r="O411" i="1"/>
  <c r="P411" i="1" s="1"/>
  <c r="F223" i="1"/>
  <c r="F679" i="1"/>
  <c r="F680" i="1"/>
  <c r="F681" i="1"/>
  <c r="F682" i="1"/>
  <c r="F24" i="1"/>
  <c r="F685" i="1"/>
  <c r="F686" i="1"/>
  <c r="F687" i="1"/>
  <c r="F688" i="1"/>
  <c r="F689" i="1"/>
  <c r="F690" i="1"/>
  <c r="F691" i="1"/>
  <c r="F692" i="1"/>
  <c r="F34" i="1"/>
  <c r="F54" i="1"/>
  <c r="F196" i="1"/>
  <c r="F152" i="1"/>
  <c r="F559" i="1"/>
  <c r="F484" i="1"/>
  <c r="F485" i="1"/>
  <c r="F693" i="1"/>
  <c r="F694" i="1"/>
  <c r="F695" i="1"/>
  <c r="F696" i="1"/>
  <c r="F697" i="1"/>
  <c r="F698" i="1"/>
  <c r="F699" i="1"/>
  <c r="F700" i="1"/>
  <c r="F701" i="1"/>
  <c r="F703" i="1"/>
  <c r="F704" i="1"/>
  <c r="F705" i="1"/>
  <c r="F706" i="1"/>
  <c r="F707" i="1"/>
  <c r="F708" i="1"/>
  <c r="F709" i="1"/>
  <c r="F702" i="1"/>
  <c r="F60" i="1"/>
  <c r="F247" i="1"/>
  <c r="F248" i="1"/>
  <c r="F249" i="1"/>
  <c r="F250" i="1"/>
  <c r="F521" i="1"/>
  <c r="F486" i="1"/>
  <c r="F710" i="1"/>
  <c r="F560" i="1"/>
  <c r="F562" i="1"/>
  <c r="F21" i="1"/>
  <c r="F132" i="1"/>
  <c r="F283" i="1"/>
  <c r="F359" i="1"/>
  <c r="F311" i="1"/>
  <c r="F421" i="1"/>
  <c r="F208" i="1"/>
  <c r="F306" i="1"/>
  <c r="F292" i="1"/>
  <c r="F361" i="1"/>
  <c r="F363" i="1"/>
  <c r="F424" i="1"/>
  <c r="F718" i="1"/>
  <c r="F563" i="1"/>
  <c r="F564" i="1"/>
  <c r="F565" i="1"/>
  <c r="F106" i="1"/>
  <c r="F719" i="1"/>
  <c r="F53" i="1"/>
  <c r="F307" i="1"/>
  <c r="F399" i="1"/>
  <c r="F364" i="1"/>
  <c r="F107" i="1"/>
  <c r="F140" i="1"/>
  <c r="F68" i="1"/>
  <c r="F188" i="1"/>
  <c r="F224" i="1"/>
  <c r="F204" i="1"/>
  <c r="F412" i="1"/>
  <c r="F89" i="1"/>
  <c r="F455" i="1"/>
  <c r="F253" i="1"/>
  <c r="F49" i="1"/>
  <c r="F26" i="1"/>
  <c r="F46" i="1"/>
  <c r="F464" i="1"/>
  <c r="F186" i="1"/>
  <c r="F205" i="1"/>
  <c r="F341" i="1"/>
  <c r="F102" i="1"/>
  <c r="F456" i="1"/>
  <c r="F65" i="1"/>
  <c r="F66" i="1"/>
  <c r="F90" i="1"/>
  <c r="F56" i="1"/>
  <c r="F109" i="1"/>
  <c r="F70" i="1"/>
  <c r="F251" i="1"/>
  <c r="F791" i="1"/>
  <c r="F340" i="1"/>
  <c r="F155" i="1"/>
  <c r="F71" i="1"/>
  <c r="F252" i="1"/>
  <c r="F391" i="1"/>
  <c r="F388" i="1"/>
  <c r="F344" i="1"/>
  <c r="F360" i="1"/>
  <c r="F274" i="1"/>
  <c r="F112" i="1"/>
  <c r="F533" i="1"/>
  <c r="F725" i="1"/>
  <c r="F189" i="1"/>
  <c r="F417" i="1"/>
  <c r="F419" i="1"/>
  <c r="F357" i="1"/>
  <c r="F358" i="1"/>
  <c r="F365" i="1"/>
  <c r="F416" i="1"/>
  <c r="F351" i="1"/>
  <c r="F420" i="1"/>
  <c r="F431" i="1"/>
  <c r="F792" i="1"/>
  <c r="F84" i="1"/>
  <c r="F366" i="1"/>
  <c r="F270" i="1"/>
  <c r="F726" i="1"/>
  <c r="F727" i="1"/>
  <c r="F728" i="1"/>
  <c r="F100" i="1"/>
  <c r="F468" i="1"/>
  <c r="F488" i="1"/>
  <c r="F470" i="1"/>
  <c r="F514" i="1"/>
  <c r="F457" i="1"/>
  <c r="F458" i="1"/>
  <c r="F97" i="1"/>
  <c r="F118" i="1"/>
  <c r="F91" i="1"/>
  <c r="F92" i="1"/>
  <c r="F93" i="1"/>
  <c r="F321" i="1"/>
  <c r="F322" i="1"/>
  <c r="F271" i="1"/>
  <c r="F262" i="1"/>
  <c r="F309" i="1"/>
  <c r="F226" i="1"/>
  <c r="F334" i="1"/>
  <c r="F491" i="1"/>
  <c r="F492" i="1"/>
  <c r="F493" i="1"/>
  <c r="F494" i="1"/>
  <c r="F495" i="1"/>
  <c r="F503" i="1"/>
  <c r="F529" i="1"/>
  <c r="F530" i="1"/>
  <c r="F367" i="1"/>
  <c r="F156" i="1"/>
  <c r="F133" i="1"/>
  <c r="F296" i="1"/>
  <c r="F381" i="1"/>
  <c r="F428" i="1"/>
  <c r="F515" i="1"/>
  <c r="F516" i="1"/>
  <c r="F517" i="1"/>
  <c r="F767" i="1"/>
  <c r="F790" i="1"/>
  <c r="F793" i="1"/>
  <c r="F794" i="1"/>
  <c r="F795" i="1"/>
  <c r="F796" i="1"/>
  <c r="F797" i="1"/>
  <c r="F798" i="1"/>
  <c r="F799" i="1"/>
  <c r="F800" i="1"/>
  <c r="F801" i="1"/>
  <c r="F490" i="1"/>
  <c r="F77" i="1"/>
  <c r="F531" i="1"/>
  <c r="F532" i="1"/>
  <c r="F554" i="1"/>
  <c r="F555" i="1"/>
  <c r="F556" i="1"/>
  <c r="F557" i="1"/>
  <c r="F568" i="1"/>
  <c r="F284" i="1"/>
  <c r="F370" i="1"/>
  <c r="F315" i="1"/>
  <c r="F275" i="1"/>
  <c r="F371" i="1"/>
  <c r="F314" i="1"/>
  <c r="F729" i="1"/>
  <c r="F730" i="1"/>
  <c r="F731" i="1"/>
  <c r="F732" i="1"/>
  <c r="F313" i="1"/>
  <c r="F94" i="1"/>
  <c r="F403" i="1"/>
  <c r="F733" i="1"/>
  <c r="F734" i="1"/>
  <c r="F316" i="1"/>
  <c r="F736" i="1"/>
  <c r="F50" i="1"/>
  <c r="F22" i="1"/>
  <c r="F213" i="1"/>
  <c r="F214" i="1"/>
  <c r="F215" i="1"/>
  <c r="F27" i="1"/>
  <c r="F101" i="1"/>
  <c r="F395" i="1"/>
  <c r="F404" i="1"/>
  <c r="F406" i="1"/>
  <c r="F802" i="1"/>
  <c r="F803" i="1"/>
  <c r="F804" i="1"/>
  <c r="F805" i="1"/>
  <c r="F647" i="1"/>
  <c r="F648" i="1"/>
  <c r="F713" i="1"/>
  <c r="F571" i="1"/>
  <c r="F572" i="1"/>
  <c r="F573" i="1"/>
  <c r="F574" i="1"/>
  <c r="F569" i="1"/>
  <c r="F714" i="1"/>
  <c r="F715" i="1"/>
  <c r="F716" i="1"/>
  <c r="F643" i="1"/>
  <c r="F644" i="1"/>
  <c r="F645" i="1"/>
  <c r="F646" i="1"/>
  <c r="F570" i="1"/>
  <c r="F717" i="1"/>
  <c r="F369" i="1"/>
  <c r="F368" i="1"/>
  <c r="F130" i="1"/>
  <c r="F141" i="1"/>
  <c r="F257" i="1"/>
  <c r="F387" i="1"/>
  <c r="F641" i="1"/>
  <c r="F739" i="1"/>
  <c r="F642" i="1"/>
  <c r="F740" i="1"/>
  <c r="F741" i="1"/>
  <c r="F742" i="1"/>
  <c r="F36" i="1"/>
  <c r="F276" i="1"/>
  <c r="F192" i="1"/>
  <c r="F737" i="1"/>
  <c r="F738" i="1"/>
  <c r="F30" i="1"/>
  <c r="F122" i="1"/>
  <c r="F59" i="1"/>
  <c r="F191" i="1"/>
  <c r="F255" i="1"/>
  <c r="F127" i="1"/>
  <c r="F407" i="1"/>
  <c r="F256" i="1"/>
  <c r="F745" i="1"/>
  <c r="F475" i="1"/>
  <c r="F743" i="1"/>
  <c r="F744" i="1"/>
  <c r="F265" i="1"/>
  <c r="F650" i="1"/>
  <c r="F651" i="1"/>
  <c r="F652" i="1"/>
  <c r="F653" i="1"/>
  <c r="F654" i="1"/>
  <c r="F655" i="1"/>
  <c r="F656" i="1"/>
  <c r="F657" i="1"/>
  <c r="F496" i="1"/>
  <c r="F649" i="1"/>
  <c r="F302" i="1"/>
  <c r="F303" i="1"/>
  <c r="F389" i="1"/>
  <c r="F396" i="1"/>
  <c r="F397" i="1"/>
  <c r="F451" i="1"/>
  <c r="F414" i="1"/>
  <c r="F58" i="1"/>
  <c r="F433" i="1"/>
  <c r="F434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435" i="1"/>
  <c r="F436" i="1"/>
  <c r="F546" i="1"/>
  <c r="F547" i="1"/>
  <c r="F548" i="1"/>
  <c r="F549" i="1"/>
  <c r="F300" i="1"/>
  <c r="F301" i="1"/>
  <c r="F168" i="1"/>
  <c r="F233" i="1"/>
  <c r="F722" i="1"/>
  <c r="F774" i="1"/>
  <c r="F775" i="1"/>
  <c r="F768" i="1"/>
  <c r="F769" i="1"/>
  <c r="F723" i="1"/>
  <c r="F776" i="1"/>
  <c r="F777" i="1"/>
  <c r="F771" i="1"/>
  <c r="F778" i="1"/>
  <c r="F772" i="1"/>
  <c r="F773" i="1"/>
  <c r="F724" i="1"/>
  <c r="F779" i="1"/>
  <c r="F809" i="1"/>
  <c r="F427" i="1"/>
  <c r="F82" i="1"/>
  <c r="F98" i="1"/>
  <c r="F167" i="1"/>
  <c r="F228" i="1"/>
  <c r="F219" i="1"/>
  <c r="F295" i="1"/>
  <c r="F198" i="1"/>
  <c r="F266" i="1"/>
  <c r="F318" i="1"/>
  <c r="F402" i="1"/>
  <c r="F780" i="1"/>
  <c r="F782" i="1"/>
  <c r="F415" i="1"/>
  <c r="F405" i="1"/>
  <c r="F425" i="1"/>
  <c r="F429" i="1"/>
  <c r="F426" i="1"/>
  <c r="F747" i="1"/>
  <c r="F748" i="1"/>
  <c r="F375" i="1"/>
  <c r="F392" i="1"/>
  <c r="F504" i="1"/>
  <c r="F342" i="1"/>
  <c r="F505" i="1"/>
  <c r="F343" i="1"/>
  <c r="F210" i="1"/>
  <c r="F123" i="1"/>
  <c r="F658" i="1"/>
  <c r="F659" i="1"/>
  <c r="F660" i="1"/>
  <c r="F661" i="1"/>
  <c r="F663" i="1"/>
  <c r="F550" i="1"/>
  <c r="F551" i="1"/>
  <c r="F552" i="1"/>
  <c r="F664" i="1"/>
  <c r="F665" i="1"/>
  <c r="F553" i="1"/>
  <c r="F499" i="1"/>
  <c r="F500" i="1"/>
  <c r="F437" i="1"/>
  <c r="F438" i="1"/>
  <c r="F439" i="1"/>
  <c r="F440" i="1"/>
  <c r="F670" i="1"/>
  <c r="F746" i="1"/>
  <c r="F668" i="1"/>
  <c r="F669" i="1"/>
  <c r="F158" i="1"/>
  <c r="F374" i="1"/>
  <c r="F390" i="1"/>
  <c r="F291" i="1"/>
  <c r="F258" i="1"/>
  <c r="F229" i="1"/>
  <c r="F430" i="1"/>
  <c r="F108" i="1"/>
  <c r="F750" i="1"/>
  <c r="F671" i="1"/>
  <c r="F749" i="1"/>
  <c r="F43" i="1"/>
  <c r="F172" i="1"/>
  <c r="F142" i="1"/>
  <c r="F25" i="1"/>
  <c r="F812" i="1"/>
  <c r="G223" i="1"/>
  <c r="G679" i="1"/>
  <c r="G680" i="1"/>
  <c r="G681" i="1"/>
  <c r="G682" i="1"/>
  <c r="G24" i="1"/>
  <c r="G685" i="1"/>
  <c r="G686" i="1"/>
  <c r="G687" i="1"/>
  <c r="G688" i="1"/>
  <c r="G689" i="1"/>
  <c r="G690" i="1"/>
  <c r="G691" i="1"/>
  <c r="G692" i="1"/>
  <c r="G683" i="1"/>
  <c r="G34" i="1"/>
  <c r="G54" i="1"/>
  <c r="G196" i="1"/>
  <c r="G152" i="1"/>
  <c r="G559" i="1"/>
  <c r="G484" i="1"/>
  <c r="G485" i="1"/>
  <c r="G693" i="1"/>
  <c r="G694" i="1"/>
  <c r="G695" i="1"/>
  <c r="G696" i="1"/>
  <c r="G697" i="1"/>
  <c r="G698" i="1"/>
  <c r="G699" i="1"/>
  <c r="G700" i="1"/>
  <c r="G701" i="1"/>
  <c r="G703" i="1"/>
  <c r="G704" i="1"/>
  <c r="G705" i="1"/>
  <c r="G706" i="1"/>
  <c r="G707" i="1"/>
  <c r="G708" i="1"/>
  <c r="G709" i="1"/>
  <c r="G702" i="1"/>
  <c r="G60" i="1"/>
  <c r="G247" i="1"/>
  <c r="G248" i="1"/>
  <c r="G249" i="1"/>
  <c r="G250" i="1"/>
  <c r="G521" i="1"/>
  <c r="G486" i="1"/>
  <c r="G710" i="1"/>
  <c r="G560" i="1"/>
  <c r="G712" i="1"/>
  <c r="G562" i="1"/>
  <c r="G21" i="1"/>
  <c r="G132" i="1"/>
  <c r="G283" i="1"/>
  <c r="G359" i="1"/>
  <c r="G311" i="1"/>
  <c r="G421" i="1"/>
  <c r="G208" i="1"/>
  <c r="G306" i="1"/>
  <c r="G292" i="1"/>
  <c r="G361" i="1"/>
  <c r="G363" i="1"/>
  <c r="G424" i="1"/>
  <c r="G718" i="1"/>
  <c r="G563" i="1"/>
  <c r="G564" i="1"/>
  <c r="G565" i="1"/>
  <c r="G106" i="1"/>
  <c r="G719" i="1"/>
  <c r="G53" i="1"/>
  <c r="G307" i="1"/>
  <c r="G399" i="1"/>
  <c r="G364" i="1"/>
  <c r="G107" i="1"/>
  <c r="G140" i="1"/>
  <c r="G68" i="1"/>
  <c r="G188" i="1"/>
  <c r="G224" i="1"/>
  <c r="G204" i="1"/>
  <c r="G412" i="1"/>
  <c r="G89" i="1"/>
  <c r="G455" i="1"/>
  <c r="G253" i="1"/>
  <c r="G49" i="1"/>
  <c r="G26" i="1"/>
  <c r="G46" i="1"/>
  <c r="G464" i="1"/>
  <c r="G186" i="1"/>
  <c r="G205" i="1"/>
  <c r="G341" i="1"/>
  <c r="G102" i="1"/>
  <c r="G456" i="1"/>
  <c r="G65" i="1"/>
  <c r="G66" i="1"/>
  <c r="G90" i="1"/>
  <c r="G56" i="1"/>
  <c r="G109" i="1"/>
  <c r="G70" i="1"/>
  <c r="G251" i="1"/>
  <c r="G791" i="1"/>
  <c r="G340" i="1"/>
  <c r="G155" i="1"/>
  <c r="G71" i="1"/>
  <c r="G252" i="1"/>
  <c r="G391" i="1"/>
  <c r="G388" i="1"/>
  <c r="G344" i="1"/>
  <c r="G360" i="1"/>
  <c r="G274" i="1"/>
  <c r="G112" i="1"/>
  <c r="G533" i="1"/>
  <c r="G725" i="1"/>
  <c r="G189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417" i="1"/>
  <c r="G419" i="1"/>
  <c r="G357" i="1"/>
  <c r="G358" i="1"/>
  <c r="G365" i="1"/>
  <c r="G416" i="1"/>
  <c r="G351" i="1"/>
  <c r="G420" i="1"/>
  <c r="G431" i="1"/>
  <c r="G432" i="1"/>
  <c r="G452" i="1"/>
  <c r="G453" i="1"/>
  <c r="G465" i="1"/>
  <c r="G466" i="1"/>
  <c r="G467" i="1"/>
  <c r="G792" i="1"/>
  <c r="G84" i="1"/>
  <c r="G366" i="1"/>
  <c r="G270" i="1"/>
  <c r="G726" i="1"/>
  <c r="G727" i="1"/>
  <c r="G728" i="1"/>
  <c r="G100" i="1"/>
  <c r="G468" i="1"/>
  <c r="G488" i="1"/>
  <c r="G470" i="1"/>
  <c r="G514" i="1"/>
  <c r="G457" i="1"/>
  <c r="G458" i="1"/>
  <c r="G97" i="1"/>
  <c r="G118" i="1"/>
  <c r="G91" i="1"/>
  <c r="G92" i="1"/>
  <c r="G93" i="1"/>
  <c r="G321" i="1"/>
  <c r="G322" i="1"/>
  <c r="G271" i="1"/>
  <c r="G262" i="1"/>
  <c r="G309" i="1"/>
  <c r="G226" i="1"/>
  <c r="G334" i="1"/>
  <c r="G491" i="1"/>
  <c r="G492" i="1"/>
  <c r="G493" i="1"/>
  <c r="G494" i="1"/>
  <c r="G495" i="1"/>
  <c r="G503" i="1"/>
  <c r="G529" i="1"/>
  <c r="G530" i="1"/>
  <c r="G367" i="1"/>
  <c r="G156" i="1"/>
  <c r="G133" i="1"/>
  <c r="G296" i="1"/>
  <c r="G381" i="1"/>
  <c r="G428" i="1"/>
  <c r="G515" i="1"/>
  <c r="G516" i="1"/>
  <c r="G517" i="1"/>
  <c r="G767" i="1"/>
  <c r="G790" i="1"/>
  <c r="G793" i="1"/>
  <c r="G794" i="1"/>
  <c r="G795" i="1"/>
  <c r="G796" i="1"/>
  <c r="G797" i="1"/>
  <c r="G798" i="1"/>
  <c r="G799" i="1"/>
  <c r="G800" i="1"/>
  <c r="G801" i="1"/>
  <c r="G490" i="1"/>
  <c r="G77" i="1"/>
  <c r="G531" i="1"/>
  <c r="G532" i="1"/>
  <c r="G554" i="1"/>
  <c r="G555" i="1"/>
  <c r="G556" i="1"/>
  <c r="G557" i="1"/>
  <c r="G568" i="1"/>
  <c r="G284" i="1"/>
  <c r="G370" i="1"/>
  <c r="G315" i="1"/>
  <c r="G275" i="1"/>
  <c r="G371" i="1"/>
  <c r="G314" i="1"/>
  <c r="G729" i="1"/>
  <c r="G730" i="1"/>
  <c r="G731" i="1"/>
  <c r="G732" i="1"/>
  <c r="G313" i="1"/>
  <c r="G94" i="1"/>
  <c r="G403" i="1"/>
  <c r="G733" i="1"/>
  <c r="G734" i="1"/>
  <c r="G316" i="1"/>
  <c r="G736" i="1"/>
  <c r="G50" i="1"/>
  <c r="G22" i="1"/>
  <c r="G213" i="1"/>
  <c r="G214" i="1"/>
  <c r="G215" i="1"/>
  <c r="G27" i="1"/>
  <c r="G101" i="1"/>
  <c r="G395" i="1"/>
  <c r="G404" i="1"/>
  <c r="G406" i="1"/>
  <c r="G802" i="1"/>
  <c r="G803" i="1"/>
  <c r="G804" i="1"/>
  <c r="G805" i="1"/>
  <c r="G647" i="1"/>
  <c r="G648" i="1"/>
  <c r="G713" i="1"/>
  <c r="G571" i="1"/>
  <c r="G572" i="1"/>
  <c r="G573" i="1"/>
  <c r="G574" i="1"/>
  <c r="G569" i="1"/>
  <c r="G714" i="1"/>
  <c r="G715" i="1"/>
  <c r="G716" i="1"/>
  <c r="G643" i="1"/>
  <c r="G644" i="1"/>
  <c r="G645" i="1"/>
  <c r="G646" i="1"/>
  <c r="G570" i="1"/>
  <c r="G717" i="1"/>
  <c r="G369" i="1"/>
  <c r="G368" i="1"/>
  <c r="G130" i="1"/>
  <c r="G141" i="1"/>
  <c r="G257" i="1"/>
  <c r="G387" i="1"/>
  <c r="G641" i="1"/>
  <c r="G739" i="1"/>
  <c r="G642" i="1"/>
  <c r="G740" i="1"/>
  <c r="G741" i="1"/>
  <c r="G742" i="1"/>
  <c r="G36" i="1"/>
  <c r="G276" i="1"/>
  <c r="G192" i="1"/>
  <c r="G737" i="1"/>
  <c r="G738" i="1"/>
  <c r="G30" i="1"/>
  <c r="G122" i="1"/>
  <c r="G59" i="1"/>
  <c r="G191" i="1"/>
  <c r="G255" i="1"/>
  <c r="G127" i="1"/>
  <c r="G407" i="1"/>
  <c r="G256" i="1"/>
  <c r="G745" i="1"/>
  <c r="G475" i="1"/>
  <c r="G743" i="1"/>
  <c r="G744" i="1"/>
  <c r="G265" i="1"/>
  <c r="G650" i="1"/>
  <c r="G651" i="1"/>
  <c r="G652" i="1"/>
  <c r="G653" i="1"/>
  <c r="G654" i="1"/>
  <c r="G655" i="1"/>
  <c r="G656" i="1"/>
  <c r="G657" i="1"/>
  <c r="G496" i="1"/>
  <c r="G649" i="1"/>
  <c r="G302" i="1"/>
  <c r="G303" i="1"/>
  <c r="G389" i="1"/>
  <c r="G396" i="1"/>
  <c r="G397" i="1"/>
  <c r="G451" i="1"/>
  <c r="G414" i="1"/>
  <c r="G58" i="1"/>
  <c r="G433" i="1"/>
  <c r="G434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435" i="1"/>
  <c r="G436" i="1"/>
  <c r="G546" i="1"/>
  <c r="G547" i="1"/>
  <c r="G548" i="1"/>
  <c r="G549" i="1"/>
  <c r="G300" i="1"/>
  <c r="G301" i="1"/>
  <c r="G168" i="1"/>
  <c r="G233" i="1"/>
  <c r="G722" i="1"/>
  <c r="G774" i="1"/>
  <c r="G775" i="1"/>
  <c r="G768" i="1"/>
  <c r="G769" i="1"/>
  <c r="G723" i="1"/>
  <c r="G776" i="1"/>
  <c r="G777" i="1"/>
  <c r="G771" i="1"/>
  <c r="G778" i="1"/>
  <c r="G772" i="1"/>
  <c r="G773" i="1"/>
  <c r="G724" i="1"/>
  <c r="G779" i="1"/>
  <c r="G809" i="1"/>
  <c r="G427" i="1"/>
  <c r="G82" i="1"/>
  <c r="G98" i="1"/>
  <c r="G167" i="1"/>
  <c r="G228" i="1"/>
  <c r="G219" i="1"/>
  <c r="G295" i="1"/>
  <c r="G198" i="1"/>
  <c r="G266" i="1"/>
  <c r="G318" i="1"/>
  <c r="G402" i="1"/>
  <c r="G780" i="1"/>
  <c r="G782" i="1"/>
  <c r="G415" i="1"/>
  <c r="G405" i="1"/>
  <c r="G425" i="1"/>
  <c r="G429" i="1"/>
  <c r="G426" i="1"/>
  <c r="G747" i="1"/>
  <c r="G748" i="1"/>
  <c r="G375" i="1"/>
  <c r="G392" i="1"/>
  <c r="G504" i="1"/>
  <c r="G342" i="1"/>
  <c r="G505" i="1"/>
  <c r="G343" i="1"/>
  <c r="G210" i="1"/>
  <c r="G123" i="1"/>
  <c r="G658" i="1"/>
  <c r="G659" i="1"/>
  <c r="G660" i="1"/>
  <c r="G661" i="1"/>
  <c r="G663" i="1"/>
  <c r="G550" i="1"/>
  <c r="G551" i="1"/>
  <c r="G552" i="1"/>
  <c r="G664" i="1"/>
  <c r="G665" i="1"/>
  <c r="G553" i="1"/>
  <c r="G499" i="1"/>
  <c r="G500" i="1"/>
  <c r="G437" i="1"/>
  <c r="G438" i="1"/>
  <c r="G439" i="1"/>
  <c r="G440" i="1"/>
  <c r="G670" i="1"/>
  <c r="G746" i="1"/>
  <c r="G668" i="1"/>
  <c r="G669" i="1"/>
  <c r="G158" i="1"/>
  <c r="G374" i="1"/>
  <c r="G390" i="1"/>
  <c r="G291" i="1"/>
  <c r="G258" i="1"/>
  <c r="G229" i="1"/>
  <c r="G430" i="1"/>
  <c r="G108" i="1"/>
  <c r="G750" i="1"/>
  <c r="G671" i="1"/>
  <c r="G749" i="1"/>
  <c r="G43" i="1"/>
  <c r="G172" i="1"/>
  <c r="G142" i="1"/>
  <c r="G25" i="1"/>
  <c r="G812" i="1"/>
  <c r="V362" i="1"/>
  <c r="V223" i="1"/>
  <c r="V679" i="1"/>
  <c r="V680" i="1"/>
  <c r="V681" i="1"/>
  <c r="V682" i="1"/>
  <c r="V24" i="1"/>
  <c r="V685" i="1"/>
  <c r="V686" i="1"/>
  <c r="V687" i="1"/>
  <c r="V688" i="1"/>
  <c r="V689" i="1"/>
  <c r="V690" i="1"/>
  <c r="V691" i="1"/>
  <c r="V683" i="1"/>
  <c r="V34" i="1"/>
  <c r="V54" i="1"/>
  <c r="V338" i="1"/>
  <c r="V463" i="1"/>
  <c r="V244" i="1"/>
  <c r="V398" i="1"/>
  <c r="V245" i="1"/>
  <c r="V339" i="1"/>
  <c r="V418" i="1"/>
  <c r="V196" i="1"/>
  <c r="V152" i="1"/>
  <c r="V559" i="1"/>
  <c r="V484" i="1"/>
  <c r="V485" i="1"/>
  <c r="V693" i="1"/>
  <c r="V694" i="1"/>
  <c r="V695" i="1"/>
  <c r="V696" i="1"/>
  <c r="V697" i="1"/>
  <c r="V698" i="1"/>
  <c r="V699" i="1"/>
  <c r="V700" i="1"/>
  <c r="V701" i="1"/>
  <c r="V703" i="1"/>
  <c r="V704" i="1"/>
  <c r="V705" i="1"/>
  <c r="V706" i="1"/>
  <c r="V707" i="1"/>
  <c r="V708" i="1"/>
  <c r="V702" i="1"/>
  <c r="V60" i="1"/>
  <c r="V247" i="1"/>
  <c r="V248" i="1"/>
  <c r="V249" i="1"/>
  <c r="V250" i="1"/>
  <c r="V521" i="1"/>
  <c r="V486" i="1"/>
  <c r="V710" i="1"/>
  <c r="V560" i="1"/>
  <c r="V712" i="1"/>
  <c r="V562" i="1"/>
  <c r="V445" i="1"/>
  <c r="V447" i="1"/>
  <c r="V523" i="1"/>
  <c r="V446" i="1"/>
  <c r="V448" i="1"/>
  <c r="V449" i="1"/>
  <c r="V524" i="1"/>
  <c r="V525" i="1"/>
  <c r="V522" i="1"/>
  <c r="V711" i="1"/>
  <c r="V526" i="1"/>
  <c r="V527" i="1"/>
  <c r="V528" i="1"/>
  <c r="V293" i="1"/>
  <c r="V21" i="1"/>
  <c r="V132" i="1"/>
  <c r="V283" i="1"/>
  <c r="V359" i="1"/>
  <c r="V311" i="1"/>
  <c r="V421" i="1"/>
  <c r="V208" i="1"/>
  <c r="V306" i="1"/>
  <c r="V292" i="1"/>
  <c r="V361" i="1"/>
  <c r="V363" i="1"/>
  <c r="V424" i="1"/>
  <c r="V718" i="1"/>
  <c r="V563" i="1"/>
  <c r="V564" i="1"/>
  <c r="V565" i="1"/>
  <c r="V106" i="1"/>
  <c r="V719" i="1"/>
  <c r="V307" i="1"/>
  <c r="V399" i="1"/>
  <c r="V364" i="1"/>
  <c r="V107" i="1"/>
  <c r="V140" i="1"/>
  <c r="V68" i="1"/>
  <c r="V188" i="1"/>
  <c r="V224" i="1"/>
  <c r="V204" i="1"/>
  <c r="V412" i="1"/>
  <c r="V89" i="1"/>
  <c r="V455" i="1"/>
  <c r="V253" i="1"/>
  <c r="V49" i="1"/>
  <c r="V186" i="1"/>
  <c r="V205" i="1"/>
  <c r="V341" i="1"/>
  <c r="V102" i="1"/>
  <c r="V456" i="1"/>
  <c r="V65" i="1"/>
  <c r="V66" i="1"/>
  <c r="V90" i="1"/>
  <c r="V56" i="1"/>
  <c r="V70" i="1"/>
  <c r="V251" i="1"/>
  <c r="V791" i="1"/>
  <c r="V340" i="1"/>
  <c r="V155" i="1"/>
  <c r="V71" i="1"/>
  <c r="V252" i="1"/>
  <c r="V391" i="1"/>
  <c r="V388" i="1"/>
  <c r="V344" i="1"/>
  <c r="V360" i="1"/>
  <c r="V274" i="1"/>
  <c r="V533" i="1"/>
  <c r="V725" i="1"/>
  <c r="V189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417" i="1"/>
  <c r="V419" i="1"/>
  <c r="V357" i="1"/>
  <c r="V358" i="1"/>
  <c r="V365" i="1"/>
  <c r="V416" i="1"/>
  <c r="V351" i="1"/>
  <c r="V420" i="1"/>
  <c r="V431" i="1"/>
  <c r="V432" i="1"/>
  <c r="V452" i="1"/>
  <c r="V453" i="1"/>
  <c r="V465" i="1"/>
  <c r="V466" i="1"/>
  <c r="V467" i="1"/>
  <c r="V792" i="1"/>
  <c r="V84" i="1"/>
  <c r="V366" i="1"/>
  <c r="V270" i="1"/>
  <c r="V726" i="1"/>
  <c r="V727" i="1"/>
  <c r="V728" i="1"/>
  <c r="V100" i="1"/>
  <c r="V468" i="1"/>
  <c r="V488" i="1"/>
  <c r="V470" i="1"/>
  <c r="V514" i="1"/>
  <c r="V457" i="1"/>
  <c r="V458" i="1"/>
  <c r="V97" i="1"/>
  <c r="V118" i="1"/>
  <c r="V91" i="1"/>
  <c r="V92" i="1"/>
  <c r="V93" i="1"/>
  <c r="V321" i="1"/>
  <c r="V322" i="1"/>
  <c r="V271" i="1"/>
  <c r="V262" i="1"/>
  <c r="V309" i="1"/>
  <c r="V226" i="1"/>
  <c r="V334" i="1"/>
  <c r="V491" i="1"/>
  <c r="V492" i="1"/>
  <c r="V493" i="1"/>
  <c r="V494" i="1"/>
  <c r="V495" i="1"/>
  <c r="V503" i="1"/>
  <c r="V529" i="1"/>
  <c r="V530" i="1"/>
  <c r="V367" i="1"/>
  <c r="V156" i="1"/>
  <c r="V133" i="1"/>
  <c r="V296" i="1"/>
  <c r="V381" i="1"/>
  <c r="V428" i="1"/>
  <c r="V515" i="1"/>
  <c r="V516" i="1"/>
  <c r="V517" i="1"/>
  <c r="V767" i="1"/>
  <c r="V790" i="1"/>
  <c r="V793" i="1"/>
  <c r="V794" i="1"/>
  <c r="V795" i="1"/>
  <c r="V796" i="1"/>
  <c r="V797" i="1"/>
  <c r="V798" i="1"/>
  <c r="V799" i="1"/>
  <c r="V800" i="1"/>
  <c r="V801" i="1"/>
  <c r="V489" i="1"/>
  <c r="V490" i="1"/>
  <c r="V77" i="1"/>
  <c r="V531" i="1"/>
  <c r="V532" i="1"/>
  <c r="V554" i="1"/>
  <c r="V555" i="1"/>
  <c r="V556" i="1"/>
  <c r="V557" i="1"/>
  <c r="V568" i="1"/>
  <c r="V284" i="1"/>
  <c r="V370" i="1"/>
  <c r="V315" i="1"/>
  <c r="V275" i="1"/>
  <c r="V371" i="1"/>
  <c r="V314" i="1"/>
  <c r="V729" i="1"/>
  <c r="V730" i="1"/>
  <c r="V731" i="1"/>
  <c r="V732" i="1"/>
  <c r="V313" i="1"/>
  <c r="V94" i="1"/>
  <c r="V403" i="1"/>
  <c r="V733" i="1"/>
  <c r="V734" i="1"/>
  <c r="V735" i="1"/>
  <c r="V316" i="1"/>
  <c r="V736" i="1"/>
  <c r="V50" i="1"/>
  <c r="V22" i="1"/>
  <c r="V213" i="1"/>
  <c r="V214" i="1"/>
  <c r="V215" i="1"/>
  <c r="V27" i="1"/>
  <c r="V101" i="1"/>
  <c r="V395" i="1"/>
  <c r="V404" i="1"/>
  <c r="V406" i="1"/>
  <c r="V802" i="1"/>
  <c r="V803" i="1"/>
  <c r="V804" i="1"/>
  <c r="V805" i="1"/>
  <c r="V647" i="1"/>
  <c r="V648" i="1"/>
  <c r="V713" i="1"/>
  <c r="V571" i="1"/>
  <c r="V572" i="1"/>
  <c r="V573" i="1"/>
  <c r="V574" i="1"/>
  <c r="V569" i="1"/>
  <c r="V714" i="1"/>
  <c r="V715" i="1"/>
  <c r="V716" i="1"/>
  <c r="V643" i="1"/>
  <c r="V644" i="1"/>
  <c r="V645" i="1"/>
  <c r="V646" i="1"/>
  <c r="V570" i="1"/>
  <c r="V717" i="1"/>
  <c r="V369" i="1"/>
  <c r="V368" i="1"/>
  <c r="V130" i="1"/>
  <c r="V141" i="1"/>
  <c r="V257" i="1"/>
  <c r="V387" i="1"/>
  <c r="V641" i="1"/>
  <c r="V739" i="1"/>
  <c r="V642" i="1"/>
  <c r="V740" i="1"/>
  <c r="V741" i="1"/>
  <c r="V742" i="1"/>
  <c r="V192" i="1"/>
  <c r="V737" i="1"/>
  <c r="V738" i="1"/>
  <c r="V30" i="1"/>
  <c r="V122" i="1"/>
  <c r="V59" i="1"/>
  <c r="V255" i="1"/>
  <c r="V127" i="1"/>
  <c r="V407" i="1"/>
  <c r="V256" i="1"/>
  <c r="V745" i="1"/>
  <c r="V475" i="1"/>
  <c r="V743" i="1"/>
  <c r="V744" i="1"/>
  <c r="V265" i="1"/>
  <c r="V650" i="1"/>
  <c r="V651" i="1"/>
  <c r="V652" i="1"/>
  <c r="V653" i="1"/>
  <c r="V654" i="1"/>
  <c r="V655" i="1"/>
  <c r="V656" i="1"/>
  <c r="V657" i="1"/>
  <c r="V496" i="1"/>
  <c r="V649" i="1"/>
  <c r="V302" i="1"/>
  <c r="V303" i="1"/>
  <c r="V389" i="1"/>
  <c r="V396" i="1"/>
  <c r="V397" i="1"/>
  <c r="V451" i="1"/>
  <c r="V414" i="1"/>
  <c r="V58" i="1"/>
  <c r="V433" i="1"/>
  <c r="V434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435" i="1"/>
  <c r="V436" i="1"/>
  <c r="V546" i="1"/>
  <c r="V547" i="1"/>
  <c r="V548" i="1"/>
  <c r="V549" i="1"/>
  <c r="V300" i="1"/>
  <c r="V301" i="1"/>
  <c r="V168" i="1"/>
  <c r="V233" i="1"/>
  <c r="V722" i="1"/>
  <c r="V774" i="1"/>
  <c r="V775" i="1"/>
  <c r="V768" i="1"/>
  <c r="V769" i="1"/>
  <c r="V723" i="1"/>
  <c r="V776" i="1"/>
  <c r="V777" i="1"/>
  <c r="V771" i="1"/>
  <c r="V778" i="1"/>
  <c r="V772" i="1"/>
  <c r="V773" i="1"/>
  <c r="V724" i="1"/>
  <c r="V779" i="1"/>
  <c r="V809" i="1"/>
  <c r="V427" i="1"/>
  <c r="V82" i="1"/>
  <c r="V98" i="1"/>
  <c r="V167" i="1"/>
  <c r="V228" i="1"/>
  <c r="V219" i="1"/>
  <c r="V295" i="1"/>
  <c r="V198" i="1"/>
  <c r="V266" i="1"/>
  <c r="V318" i="1"/>
  <c r="V402" i="1"/>
  <c r="V780" i="1"/>
  <c r="V782" i="1"/>
  <c r="V415" i="1"/>
  <c r="V405" i="1"/>
  <c r="V425" i="1"/>
  <c r="V429" i="1"/>
  <c r="V426" i="1"/>
  <c r="V747" i="1"/>
  <c r="V748" i="1"/>
  <c r="V506" i="1"/>
  <c r="V375" i="1"/>
  <c r="V392" i="1"/>
  <c r="V504" i="1"/>
  <c r="V342" i="1"/>
  <c r="V505" i="1"/>
  <c r="V343" i="1"/>
  <c r="V210" i="1"/>
  <c r="V658" i="1"/>
  <c r="V659" i="1"/>
  <c r="V660" i="1"/>
  <c r="V661" i="1"/>
  <c r="V663" i="1"/>
  <c r="V550" i="1"/>
  <c r="V551" i="1"/>
  <c r="V552" i="1"/>
  <c r="V664" i="1"/>
  <c r="V665" i="1"/>
  <c r="V553" i="1"/>
  <c r="V499" i="1"/>
  <c r="V500" i="1"/>
  <c r="V437" i="1"/>
  <c r="V438" i="1"/>
  <c r="V439" i="1"/>
  <c r="V440" i="1"/>
  <c r="V670" i="1"/>
  <c r="V746" i="1"/>
  <c r="V668" i="1"/>
  <c r="V669" i="1"/>
  <c r="V158" i="1"/>
  <c r="V374" i="1"/>
  <c r="V390" i="1"/>
  <c r="V291" i="1"/>
  <c r="V258" i="1"/>
  <c r="V229" i="1"/>
  <c r="V422" i="1"/>
  <c r="V108" i="1"/>
  <c r="V750" i="1"/>
  <c r="V671" i="1"/>
  <c r="V749" i="1"/>
  <c r="V43" i="1"/>
  <c r="V751" i="1"/>
  <c r="V172" i="1"/>
  <c r="V142" i="1"/>
  <c r="V319" i="1"/>
  <c r="V25" i="1"/>
  <c r="V812" i="1"/>
  <c r="F487" i="1"/>
  <c r="G487" i="1"/>
  <c r="V487" i="1"/>
  <c r="F28" i="1"/>
  <c r="G28" i="1"/>
  <c r="V28" i="1"/>
  <c r="W764" i="1"/>
  <c r="F411" i="1"/>
  <c r="G411" i="1"/>
  <c r="V411" i="1"/>
  <c r="G35" i="1"/>
  <c r="G376" i="1"/>
  <c r="G336" i="1"/>
  <c r="G337" i="1"/>
  <c r="G462" i="1"/>
  <c r="G239" i="1"/>
  <c r="G72" i="1"/>
  <c r="G394" i="1"/>
  <c r="G240" i="1"/>
  <c r="G241" i="1"/>
  <c r="G242" i="1"/>
  <c r="G243" i="1"/>
  <c r="G764" i="1"/>
  <c r="G355" i="1"/>
  <c r="G356" i="1"/>
  <c r="G373" i="1"/>
  <c r="G471" i="1"/>
  <c r="G472" i="1"/>
  <c r="G377" i="1"/>
  <c r="G684" i="1"/>
  <c r="G290" i="1"/>
  <c r="G267" i="1"/>
  <c r="G268" i="1"/>
  <c r="G74" i="1"/>
  <c r="G183" i="1"/>
  <c r="G327" i="1"/>
  <c r="G181" i="1"/>
  <c r="G182" i="1"/>
  <c r="G37" i="1"/>
  <c r="G159" i="1"/>
  <c r="G287" i="1"/>
  <c r="G202" i="1"/>
  <c r="G220" i="1"/>
  <c r="G124" i="1"/>
  <c r="G125" i="1"/>
  <c r="G354" i="1"/>
  <c r="G299" i="1"/>
  <c r="G260" i="1"/>
  <c r="G297" i="1"/>
  <c r="G298" i="1"/>
  <c r="G236" i="1"/>
  <c r="G230" i="1"/>
  <c r="G137" i="1"/>
  <c r="G80" i="1"/>
  <c r="G139" i="1"/>
  <c r="G86" i="1"/>
  <c r="G180" i="1"/>
  <c r="G99" i="1"/>
  <c r="G105" i="1"/>
  <c r="G67" i="1"/>
  <c r="G113" i="1"/>
  <c r="G216" i="1"/>
  <c r="G62" i="1"/>
  <c r="G61" i="1"/>
  <c r="G38" i="1"/>
  <c r="G120" i="1"/>
  <c r="G121" i="1"/>
  <c r="G75" i="1"/>
  <c r="G76" i="1"/>
  <c r="G234" i="1"/>
  <c r="G175" i="1"/>
  <c r="G176" i="1"/>
  <c r="G115" i="1"/>
  <c r="G116" i="1"/>
  <c r="G162" i="1"/>
  <c r="G163" i="1"/>
  <c r="G164" i="1"/>
  <c r="G117" i="1"/>
  <c r="G272" i="1"/>
  <c r="G69" i="1"/>
  <c r="G81" i="1"/>
  <c r="G47" i="1"/>
  <c r="G57" i="1"/>
  <c r="G87" i="1"/>
  <c r="G111" i="1"/>
  <c r="G110" i="1"/>
  <c r="G114" i="1"/>
  <c r="G138" i="1"/>
  <c r="G126" i="1"/>
  <c r="G154" i="1"/>
  <c r="G206" i="1"/>
  <c r="G193" i="1"/>
  <c r="G195" i="1"/>
  <c r="G199" i="1"/>
  <c r="G209" i="1"/>
  <c r="G218" i="1"/>
  <c r="G279" i="1"/>
  <c r="G380" i="1"/>
  <c r="G134" i="1"/>
  <c r="G326" i="1"/>
  <c r="G149" i="1"/>
  <c r="G207" i="1"/>
  <c r="G222" i="1"/>
  <c r="G273" i="1"/>
  <c r="G201" i="1"/>
  <c r="G765" i="1"/>
  <c r="G203" i="1"/>
  <c r="G211" i="1"/>
  <c r="G150" i="1"/>
  <c r="G136" i="1"/>
  <c r="G221" i="1"/>
  <c r="G184" i="1"/>
  <c r="G73" i="1"/>
  <c r="G217" i="1"/>
  <c r="G153" i="1"/>
  <c r="G378" i="1"/>
  <c r="G379" i="1"/>
  <c r="G32" i="1"/>
  <c r="G347" i="1"/>
  <c r="G345" i="1"/>
  <c r="G346" i="1"/>
  <c r="G160" i="1"/>
  <c r="G161" i="1"/>
  <c r="G325" i="1"/>
  <c r="G330" i="1"/>
  <c r="G558" i="1"/>
  <c r="G482" i="1"/>
  <c r="G483" i="1"/>
  <c r="G320" i="1"/>
  <c r="G232" i="1"/>
  <c r="G63" i="1"/>
  <c r="G83" i="1"/>
  <c r="G165" i="1"/>
  <c r="G231" i="1"/>
  <c r="G212" i="1"/>
  <c r="G171" i="1"/>
  <c r="G190" i="1"/>
  <c r="G177" i="1"/>
  <c r="G225" i="1"/>
  <c r="G246" i="1"/>
  <c r="G264" i="1"/>
  <c r="G277" i="1"/>
  <c r="G41" i="1"/>
  <c r="G45" i="1"/>
  <c r="G48" i="1"/>
  <c r="G95" i="1"/>
  <c r="G96" i="1"/>
  <c r="G119" i="1"/>
  <c r="G131" i="1"/>
  <c r="G148" i="1"/>
  <c r="G185" i="1"/>
  <c r="G157" i="1"/>
  <c r="G178" i="1"/>
  <c r="G146" i="1"/>
  <c r="G145" i="1"/>
  <c r="G200" i="1"/>
  <c r="G104" i="1"/>
  <c r="G187" i="1"/>
  <c r="G128" i="1"/>
  <c r="G170" i="1"/>
  <c r="G197" i="1"/>
  <c r="G281" i="1"/>
  <c r="G294" i="1"/>
  <c r="G269" i="1"/>
  <c r="G280" i="1"/>
  <c r="G254" i="1"/>
  <c r="G263" i="1"/>
  <c r="G348" i="1"/>
  <c r="G304" i="1"/>
  <c r="G305" i="1"/>
  <c r="G349" i="1"/>
  <c r="G169" i="1"/>
  <c r="G510" i="1"/>
  <c r="G511" i="1"/>
  <c r="G383" i="1"/>
  <c r="G350" i="1"/>
  <c r="G335" i="1"/>
  <c r="G673" i="1"/>
  <c r="G674" i="1"/>
  <c r="G151" i="1"/>
  <c r="G323" i="1"/>
  <c r="G324" i="1"/>
  <c r="G289" i="1"/>
  <c r="G676" i="1"/>
  <c r="G675" i="1"/>
  <c r="G179" i="1"/>
  <c r="G408" i="1"/>
  <c r="G409" i="1"/>
  <c r="G55" i="1"/>
  <c r="G33" i="1"/>
  <c r="G512" i="1"/>
  <c r="G513" i="1"/>
  <c r="G677" i="1"/>
  <c r="G678" i="1"/>
  <c r="G352" i="1"/>
  <c r="G481" i="1"/>
  <c r="G393" i="1"/>
  <c r="G518" i="1"/>
  <c r="G519" i="1"/>
  <c r="G520" i="1"/>
  <c r="G459" i="1"/>
  <c r="G460" i="1"/>
  <c r="G461" i="1"/>
  <c r="G353" i="1"/>
  <c r="G413" i="1"/>
  <c r="G328" i="1"/>
  <c r="G329" i="1"/>
  <c r="G384" i="1"/>
  <c r="G410" i="1"/>
  <c r="F410" i="1"/>
  <c r="O410" i="1"/>
  <c r="P410" i="1" s="1"/>
  <c r="Z410" i="1"/>
  <c r="V410" i="1"/>
  <c r="O515" i="1" l="1"/>
  <c r="P515" i="1" s="1"/>
  <c r="Z751" i="1"/>
  <c r="Z43" i="1"/>
  <c r="Z749" i="1"/>
  <c r="Z671" i="1"/>
  <c r="Z750" i="1"/>
  <c r="Z108" i="1"/>
  <c r="Z430" i="1"/>
  <c r="Z229" i="1"/>
  <c r="Z258" i="1"/>
  <c r="Z291" i="1"/>
  <c r="Z390" i="1"/>
  <c r="Z374" i="1"/>
  <c r="Z158" i="1"/>
  <c r="Z669" i="1"/>
  <c r="Z668" i="1"/>
  <c r="Z746" i="1"/>
  <c r="Z670" i="1"/>
  <c r="Z440" i="1"/>
  <c r="Z439" i="1"/>
  <c r="Z438" i="1"/>
  <c r="Z437" i="1"/>
  <c r="Z500" i="1"/>
  <c r="Z499" i="1"/>
  <c r="Z553" i="1"/>
  <c r="Z665" i="1"/>
  <c r="Z664" i="1"/>
  <c r="Z552" i="1"/>
  <c r="Z551" i="1"/>
  <c r="Z550" i="1"/>
  <c r="Z663" i="1"/>
  <c r="Z661" i="1"/>
  <c r="Z660" i="1"/>
  <c r="Z659" i="1"/>
  <c r="Z658" i="1"/>
  <c r="Z123" i="1"/>
  <c r="Z210" i="1"/>
  <c r="Z505" i="1"/>
  <c r="Z342" i="1"/>
  <c r="Z504" i="1"/>
  <c r="Z392" i="1"/>
  <c r="Z375" i="1"/>
  <c r="Z506" i="1"/>
  <c r="Z748" i="1"/>
  <c r="Z747" i="1"/>
  <c r="Z429" i="1"/>
  <c r="Z405" i="1"/>
  <c r="Z415" i="1"/>
  <c r="Z233" i="1"/>
  <c r="Z168" i="1"/>
  <c r="Z301" i="1"/>
  <c r="Z548" i="1"/>
  <c r="Z549" i="1"/>
  <c r="Z547" i="1"/>
  <c r="Z546" i="1"/>
  <c r="Z436" i="1"/>
  <c r="Z435" i="1"/>
  <c r="Z544" i="1"/>
  <c r="Z545" i="1"/>
  <c r="Z542" i="1"/>
  <c r="Z543" i="1"/>
  <c r="Z540" i="1"/>
  <c r="Z541" i="1"/>
  <c r="Z538" i="1"/>
  <c r="Z539" i="1"/>
  <c r="Z536" i="1"/>
  <c r="Z537" i="1"/>
  <c r="Z535" i="1"/>
  <c r="Z534" i="1"/>
  <c r="Z434" i="1"/>
  <c r="Z433" i="1"/>
  <c r="Z58" i="1"/>
  <c r="Z414" i="1"/>
  <c r="Z451" i="1"/>
  <c r="Z397" i="1"/>
  <c r="Z396" i="1"/>
  <c r="Z389" i="1"/>
  <c r="Z303" i="1"/>
  <c r="Z302" i="1"/>
  <c r="Z496" i="1"/>
  <c r="Z649" i="1"/>
  <c r="Z657" i="1"/>
  <c r="Z656" i="1"/>
  <c r="Z654" i="1"/>
  <c r="Z655" i="1"/>
  <c r="Z653" i="1"/>
  <c r="Z652" i="1"/>
  <c r="Z651" i="1"/>
  <c r="Z650" i="1"/>
  <c r="Z265" i="1"/>
  <c r="Z744" i="1"/>
  <c r="Z743" i="1"/>
  <c r="Z475" i="1"/>
  <c r="Z745" i="1"/>
  <c r="Z256" i="1"/>
  <c r="Z407" i="1"/>
  <c r="O802" i="1"/>
  <c r="P802" i="1" s="1"/>
  <c r="W802" i="1"/>
  <c r="P65" i="1"/>
  <c r="V336" i="1"/>
  <c r="V337" i="1"/>
  <c r="V462" i="1"/>
  <c r="V239" i="1"/>
  <c r="V72" i="1"/>
  <c r="V394" i="1"/>
  <c r="V240" i="1"/>
  <c r="V241" i="1"/>
  <c r="V242" i="1"/>
  <c r="V243" i="1"/>
  <c r="V764" i="1"/>
  <c r="V355" i="1"/>
  <c r="V356" i="1"/>
  <c r="V373" i="1"/>
  <c r="V471" i="1"/>
  <c r="V472" i="1"/>
  <c r="V377" i="1"/>
  <c r="V684" i="1"/>
  <c r="V290" i="1"/>
  <c r="V267" i="1"/>
  <c r="V268" i="1"/>
  <c r="V74" i="1"/>
  <c r="V183" i="1"/>
  <c r="V327" i="1"/>
  <c r="V181" i="1"/>
  <c r="V182" i="1"/>
  <c r="V37" i="1"/>
  <c r="V159" i="1"/>
  <c r="V287" i="1"/>
  <c r="V202" i="1"/>
  <c r="V220" i="1"/>
  <c r="V124" i="1"/>
  <c r="V125" i="1"/>
  <c r="V354" i="1"/>
  <c r="V299" i="1"/>
  <c r="V260" i="1"/>
  <c r="V297" i="1"/>
  <c r="V298" i="1"/>
  <c r="V236" i="1"/>
  <c r="V230" i="1"/>
  <c r="V137" i="1"/>
  <c r="V80" i="1"/>
  <c r="V139" i="1"/>
  <c r="V86" i="1"/>
  <c r="V180" i="1"/>
  <c r="V99" i="1"/>
  <c r="V105" i="1"/>
  <c r="V67" i="1"/>
  <c r="V113" i="1"/>
  <c r="V216" i="1"/>
  <c r="V62" i="1"/>
  <c r="V61" i="1"/>
  <c r="V38" i="1"/>
  <c r="V35" i="1"/>
  <c r="V120" i="1"/>
  <c r="V121" i="1"/>
  <c r="V75" i="1"/>
  <c r="V76" i="1"/>
  <c r="V234" i="1"/>
  <c r="V175" i="1"/>
  <c r="V176" i="1"/>
  <c r="V115" i="1"/>
  <c r="V116" i="1"/>
  <c r="V162" i="1"/>
  <c r="V163" i="1"/>
  <c r="V164" i="1"/>
  <c r="V117" i="1"/>
  <c r="V272" i="1"/>
  <c r="V69" i="1"/>
  <c r="V81" i="1"/>
  <c r="V47" i="1"/>
  <c r="V57" i="1"/>
  <c r="V87" i="1"/>
  <c r="V111" i="1"/>
  <c r="V110" i="1"/>
  <c r="V114" i="1"/>
  <c r="V138" i="1"/>
  <c r="V126" i="1"/>
  <c r="V154" i="1"/>
  <c r="V206" i="1"/>
  <c r="V193" i="1"/>
  <c r="V195" i="1"/>
  <c r="V199" i="1"/>
  <c r="V209" i="1"/>
  <c r="V218" i="1"/>
  <c r="V279" i="1"/>
  <c r="V380" i="1"/>
  <c r="V134" i="1"/>
  <c r="V326" i="1"/>
  <c r="V149" i="1"/>
  <c r="V207" i="1"/>
  <c r="V222" i="1"/>
  <c r="V273" i="1"/>
  <c r="V201" i="1"/>
  <c r="V765" i="1"/>
  <c r="V203" i="1"/>
  <c r="V211" i="1"/>
  <c r="V150" i="1"/>
  <c r="V136" i="1"/>
  <c r="V221" i="1"/>
  <c r="V184" i="1"/>
  <c r="V73" i="1"/>
  <c r="V217" i="1"/>
  <c r="V153" i="1"/>
  <c r="V378" i="1"/>
  <c r="V379" i="1"/>
  <c r="V32" i="1"/>
  <c r="V347" i="1"/>
  <c r="V345" i="1"/>
  <c r="V346" i="1"/>
  <c r="V160" i="1"/>
  <c r="V161" i="1"/>
  <c r="V325" i="1"/>
  <c r="V330" i="1"/>
  <c r="V558" i="1"/>
  <c r="V482" i="1"/>
  <c r="V483" i="1"/>
  <c r="V320" i="1"/>
  <c r="V232" i="1"/>
  <c r="V63" i="1"/>
  <c r="V165" i="1"/>
  <c r="V231" i="1"/>
  <c r="V212" i="1"/>
  <c r="V171" i="1"/>
  <c r="V190" i="1"/>
  <c r="V177" i="1"/>
  <c r="V225" i="1"/>
  <c r="V246" i="1"/>
  <c r="V264" i="1"/>
  <c r="V277" i="1"/>
  <c r="V41" i="1"/>
  <c r="V45" i="1"/>
  <c r="V48" i="1"/>
  <c r="V95" i="1"/>
  <c r="V96" i="1"/>
  <c r="V119" i="1"/>
  <c r="V131" i="1"/>
  <c r="V148" i="1"/>
  <c r="V185" i="1"/>
  <c r="V157" i="1"/>
  <c r="V178" i="1"/>
  <c r="V146" i="1"/>
  <c r="V200" i="1"/>
  <c r="V104" i="1"/>
  <c r="V187" i="1"/>
  <c r="V128" i="1"/>
  <c r="V170" i="1"/>
  <c r="V197" i="1"/>
  <c r="V281" i="1"/>
  <c r="V294" i="1"/>
  <c r="V269" i="1"/>
  <c r="V280" i="1"/>
  <c r="V254" i="1"/>
  <c r="V263" i="1"/>
  <c r="V348" i="1"/>
  <c r="V304" i="1"/>
  <c r="V305" i="1"/>
  <c r="V349" i="1"/>
  <c r="V169" i="1"/>
  <c r="V510" i="1"/>
  <c r="V511" i="1"/>
  <c r="V383" i="1"/>
  <c r="V350" i="1"/>
  <c r="V335" i="1"/>
  <c r="V673" i="1"/>
  <c r="V674" i="1"/>
  <c r="V151" i="1"/>
  <c r="V323" i="1"/>
  <c r="V324" i="1"/>
  <c r="V289" i="1"/>
  <c r="V676" i="1"/>
  <c r="V675" i="1"/>
  <c r="V179" i="1"/>
  <c r="V408" i="1"/>
  <c r="V409" i="1"/>
  <c r="V55" i="1"/>
  <c r="V33" i="1"/>
  <c r="V512" i="1"/>
  <c r="V513" i="1"/>
  <c r="V677" i="1"/>
  <c r="V678" i="1"/>
  <c r="V352" i="1"/>
  <c r="V481" i="1"/>
  <c r="V393" i="1"/>
  <c r="V518" i="1"/>
  <c r="V519" i="1"/>
  <c r="V520" i="1"/>
  <c r="V459" i="1"/>
  <c r="V460" i="1"/>
  <c r="V461" i="1"/>
  <c r="V353" i="1"/>
  <c r="V413" i="1"/>
  <c r="V328" i="1"/>
  <c r="V329" i="1"/>
  <c r="V384" i="1"/>
  <c r="V376" i="1"/>
  <c r="F462" i="1" l="1"/>
  <c r="F376" i="1"/>
  <c r="F336" i="1"/>
  <c r="F337" i="1"/>
  <c r="F239" i="1"/>
  <c r="F72" i="1"/>
  <c r="F394" i="1"/>
  <c r="F240" i="1"/>
  <c r="F241" i="1"/>
  <c r="F242" i="1"/>
  <c r="W384" i="1"/>
  <c r="Z384" i="1"/>
  <c r="O384" i="1"/>
  <c r="P384" i="1" s="1"/>
  <c r="F384" i="1"/>
  <c r="W201" i="1" l="1"/>
  <c r="W273" i="1"/>
  <c r="W222" i="1" l="1"/>
  <c r="W207" i="1"/>
  <c r="W149" i="1"/>
  <c r="W326" i="1"/>
  <c r="F111" i="1" l="1"/>
  <c r="F137" i="1" l="1"/>
  <c r="F80" i="1"/>
  <c r="F139" i="1"/>
  <c r="F86" i="1"/>
  <c r="F180" i="1"/>
  <c r="F99" i="1"/>
  <c r="F105" i="1"/>
  <c r="W260" i="1" l="1"/>
  <c r="F243" i="1" l="1"/>
  <c r="F764" i="1"/>
  <c r="F355" i="1"/>
  <c r="F356" i="1"/>
  <c r="F373" i="1"/>
  <c r="F471" i="1"/>
  <c r="F472" i="1"/>
  <c r="F377" i="1"/>
  <c r="F684" i="1"/>
  <c r="F290" i="1"/>
  <c r="F267" i="1"/>
  <c r="F268" i="1"/>
  <c r="F74" i="1"/>
  <c r="F183" i="1"/>
  <c r="F327" i="1"/>
  <c r="F181" i="1"/>
  <c r="F182" i="1"/>
  <c r="F37" i="1"/>
  <c r="F159" i="1"/>
  <c r="F287" i="1"/>
  <c r="F202" i="1"/>
  <c r="F220" i="1"/>
  <c r="F124" i="1"/>
  <c r="F125" i="1"/>
  <c r="F354" i="1"/>
  <c r="F299" i="1"/>
  <c r="F260" i="1"/>
  <c r="F297" i="1"/>
  <c r="F298" i="1"/>
  <c r="F236" i="1"/>
  <c r="F230" i="1"/>
  <c r="F67" i="1"/>
  <c r="F113" i="1"/>
  <c r="F216" i="1"/>
  <c r="F62" i="1"/>
  <c r="F61" i="1"/>
  <c r="F38" i="1"/>
  <c r="F35" i="1"/>
  <c r="F120" i="1"/>
  <c r="F121" i="1"/>
  <c r="F75" i="1"/>
  <c r="F76" i="1"/>
  <c r="F234" i="1"/>
  <c r="F175" i="1"/>
  <c r="F176" i="1"/>
  <c r="F115" i="1"/>
  <c r="F116" i="1"/>
  <c r="F162" i="1"/>
  <c r="F163" i="1"/>
  <c r="F164" i="1"/>
  <c r="F117" i="1"/>
  <c r="F272" i="1"/>
  <c r="F81" i="1"/>
  <c r="F47" i="1"/>
  <c r="F57" i="1"/>
  <c r="F87" i="1"/>
  <c r="F110" i="1"/>
  <c r="F114" i="1"/>
  <c r="F138" i="1"/>
  <c r="F126" i="1"/>
  <c r="F154" i="1"/>
  <c r="F206" i="1"/>
  <c r="F193" i="1"/>
  <c r="F195" i="1"/>
  <c r="F199" i="1"/>
  <c r="F209" i="1"/>
  <c r="F218" i="1"/>
  <c r="F279" i="1"/>
  <c r="F380" i="1"/>
  <c r="F134" i="1"/>
  <c r="F326" i="1"/>
  <c r="F149" i="1"/>
  <c r="F207" i="1"/>
  <c r="F222" i="1"/>
  <c r="F273" i="1"/>
  <c r="F201" i="1"/>
  <c r="F765" i="1"/>
  <c r="F203" i="1"/>
  <c r="F211" i="1"/>
  <c r="F150" i="1"/>
  <c r="F136" i="1"/>
  <c r="F221" i="1"/>
  <c r="F184" i="1"/>
  <c r="F73" i="1"/>
  <c r="F217" i="1"/>
  <c r="F153" i="1"/>
  <c r="F378" i="1"/>
  <c r="F379" i="1"/>
  <c r="F32" i="1"/>
  <c r="F347" i="1"/>
  <c r="F345" i="1"/>
  <c r="F346" i="1"/>
  <c r="F160" i="1"/>
  <c r="F161" i="1"/>
  <c r="F325" i="1"/>
  <c r="F330" i="1"/>
  <c r="F558" i="1"/>
  <c r="F482" i="1"/>
  <c r="F483" i="1"/>
  <c r="F320" i="1"/>
  <c r="F232" i="1"/>
  <c r="F63" i="1"/>
  <c r="F83" i="1"/>
  <c r="F165" i="1"/>
  <c r="F231" i="1"/>
  <c r="F212" i="1"/>
  <c r="F171" i="1"/>
  <c r="F190" i="1"/>
  <c r="F177" i="1"/>
  <c r="F225" i="1"/>
  <c r="F246" i="1"/>
  <c r="F264" i="1"/>
  <c r="F277" i="1"/>
  <c r="F41" i="1"/>
  <c r="F45" i="1"/>
  <c r="F48" i="1"/>
  <c r="F95" i="1"/>
  <c r="F96" i="1"/>
  <c r="F119" i="1"/>
  <c r="F131" i="1"/>
  <c r="F148" i="1"/>
  <c r="F185" i="1"/>
  <c r="F157" i="1"/>
  <c r="F178" i="1"/>
  <c r="F146" i="1"/>
  <c r="F145" i="1"/>
  <c r="F200" i="1"/>
  <c r="F104" i="1"/>
  <c r="F187" i="1"/>
  <c r="F128" i="1"/>
  <c r="F170" i="1"/>
  <c r="F197" i="1"/>
  <c r="F281" i="1"/>
  <c r="F294" i="1"/>
  <c r="F269" i="1"/>
  <c r="F280" i="1"/>
  <c r="F254" i="1"/>
  <c r="F263" i="1"/>
  <c r="F348" i="1"/>
  <c r="F304" i="1"/>
  <c r="F305" i="1"/>
  <c r="F349" i="1"/>
  <c r="F169" i="1"/>
  <c r="F383" i="1"/>
  <c r="F350" i="1"/>
  <c r="F673" i="1"/>
  <c r="F674" i="1"/>
  <c r="F151" i="1"/>
  <c r="F323" i="1"/>
  <c r="F324" i="1"/>
  <c r="F289" i="1"/>
  <c r="F676" i="1"/>
  <c r="F675" i="1"/>
  <c r="F179" i="1"/>
  <c r="F408" i="1"/>
  <c r="F409" i="1"/>
  <c r="F55" i="1"/>
  <c r="F33" i="1"/>
  <c r="F512" i="1"/>
  <c r="F513" i="1"/>
  <c r="F677" i="1"/>
  <c r="F678" i="1"/>
  <c r="F352" i="1"/>
  <c r="F481" i="1"/>
  <c r="F393" i="1"/>
  <c r="F353" i="1"/>
  <c r="F413" i="1"/>
  <c r="F328" i="1"/>
  <c r="F329" i="1"/>
  <c r="O72" i="1" l="1"/>
  <c r="P72" i="1" s="1"/>
  <c r="O394" i="1"/>
  <c r="P394" i="1" s="1"/>
  <c r="O240" i="1"/>
  <c r="P240" i="1" s="1"/>
  <c r="O241" i="1"/>
  <c r="P241" i="1" s="1"/>
  <c r="O242" i="1"/>
  <c r="P242" i="1" s="1"/>
  <c r="O243" i="1"/>
  <c r="P243" i="1" s="1"/>
  <c r="O764" i="1"/>
  <c r="P764" i="1" s="1"/>
  <c r="O355" i="1"/>
  <c r="P355" i="1" s="1"/>
  <c r="O356" i="1"/>
  <c r="P356" i="1" s="1"/>
  <c r="O373" i="1"/>
  <c r="P373" i="1" s="1"/>
  <c r="O471" i="1"/>
  <c r="P471" i="1" s="1"/>
  <c r="O472" i="1"/>
  <c r="P472" i="1" s="1"/>
  <c r="O377" i="1"/>
  <c r="P377" i="1" s="1"/>
  <c r="O684" i="1"/>
  <c r="P684" i="1" s="1"/>
  <c r="O290" i="1"/>
  <c r="P290" i="1" s="1"/>
  <c r="O267" i="1"/>
  <c r="P267" i="1" s="1"/>
  <c r="O268" i="1"/>
  <c r="P268" i="1" s="1"/>
  <c r="O74" i="1"/>
  <c r="P74" i="1" s="1"/>
  <c r="O183" i="1"/>
  <c r="P183" i="1" s="1"/>
  <c r="O327" i="1"/>
  <c r="P327" i="1" s="1"/>
  <c r="O181" i="1"/>
  <c r="P181" i="1" s="1"/>
  <c r="O182" i="1"/>
  <c r="P182" i="1" s="1"/>
  <c r="O37" i="1"/>
  <c r="P37" i="1" s="1"/>
  <c r="O159" i="1"/>
  <c r="P159" i="1" s="1"/>
  <c r="O287" i="1"/>
  <c r="P287" i="1" s="1"/>
  <c r="O202" i="1"/>
  <c r="P202" i="1" s="1"/>
  <c r="O220" i="1"/>
  <c r="P220" i="1" s="1"/>
  <c r="O124" i="1"/>
  <c r="P124" i="1" s="1"/>
  <c r="O125" i="1"/>
  <c r="P125" i="1" s="1"/>
  <c r="O354" i="1"/>
  <c r="P354" i="1" s="1"/>
  <c r="O299" i="1"/>
  <c r="P299" i="1" s="1"/>
  <c r="O260" i="1"/>
  <c r="P260" i="1" s="1"/>
  <c r="O297" i="1"/>
  <c r="P297" i="1" s="1"/>
  <c r="O298" i="1"/>
  <c r="P298" i="1" s="1"/>
  <c r="O236" i="1"/>
  <c r="P236" i="1" s="1"/>
  <c r="O230" i="1"/>
  <c r="P230" i="1" s="1"/>
  <c r="O137" i="1"/>
  <c r="P137" i="1" s="1"/>
  <c r="O80" i="1"/>
  <c r="P80" i="1" s="1"/>
  <c r="O139" i="1"/>
  <c r="P139" i="1" s="1"/>
  <c r="O86" i="1"/>
  <c r="P86" i="1" s="1"/>
  <c r="O180" i="1"/>
  <c r="P180" i="1" s="1"/>
  <c r="O99" i="1"/>
  <c r="P99" i="1" s="1"/>
  <c r="O105" i="1"/>
  <c r="P105" i="1" s="1"/>
  <c r="O67" i="1"/>
  <c r="P67" i="1" s="1"/>
  <c r="O113" i="1"/>
  <c r="P113" i="1" s="1"/>
  <c r="O216" i="1"/>
  <c r="P216" i="1" s="1"/>
  <c r="O62" i="1"/>
  <c r="P62" i="1" s="1"/>
  <c r="O61" i="1"/>
  <c r="P61" i="1" s="1"/>
  <c r="O38" i="1"/>
  <c r="P38" i="1" s="1"/>
  <c r="O35" i="1"/>
  <c r="P35" i="1" s="1"/>
  <c r="O120" i="1"/>
  <c r="P120" i="1" s="1"/>
  <c r="O121" i="1"/>
  <c r="P121" i="1" s="1"/>
  <c r="O75" i="1"/>
  <c r="P75" i="1" s="1"/>
  <c r="O76" i="1"/>
  <c r="P76" i="1" s="1"/>
  <c r="O234" i="1"/>
  <c r="P234" i="1" s="1"/>
  <c r="O175" i="1"/>
  <c r="P175" i="1" s="1"/>
  <c r="O176" i="1"/>
  <c r="P176" i="1" s="1"/>
  <c r="O115" i="1"/>
  <c r="P115" i="1" s="1"/>
  <c r="O116" i="1"/>
  <c r="P116" i="1" s="1"/>
  <c r="O162" i="1"/>
  <c r="P162" i="1" s="1"/>
  <c r="O163" i="1"/>
  <c r="P163" i="1" s="1"/>
  <c r="O164" i="1"/>
  <c r="P164" i="1" s="1"/>
  <c r="O117" i="1"/>
  <c r="P117" i="1" s="1"/>
  <c r="O272" i="1"/>
  <c r="P272" i="1" s="1"/>
  <c r="O69" i="1"/>
  <c r="P69" i="1" s="1"/>
  <c r="O81" i="1"/>
  <c r="P81" i="1" s="1"/>
  <c r="O47" i="1"/>
  <c r="P47" i="1" s="1"/>
  <c r="O57" i="1"/>
  <c r="P57" i="1" s="1"/>
  <c r="O87" i="1"/>
  <c r="P87" i="1" s="1"/>
  <c r="O111" i="1"/>
  <c r="P111" i="1" s="1"/>
  <c r="O110" i="1"/>
  <c r="P110" i="1" s="1"/>
  <c r="O114" i="1"/>
  <c r="P114" i="1" s="1"/>
  <c r="O138" i="1"/>
  <c r="P138" i="1" s="1"/>
  <c r="O126" i="1"/>
  <c r="P126" i="1" s="1"/>
  <c r="O154" i="1"/>
  <c r="P154" i="1" s="1"/>
  <c r="O206" i="1"/>
  <c r="P206" i="1" s="1"/>
  <c r="O193" i="1"/>
  <c r="P193" i="1" s="1"/>
  <c r="O195" i="1"/>
  <c r="P195" i="1" s="1"/>
  <c r="O199" i="1"/>
  <c r="P199" i="1" s="1"/>
  <c r="O209" i="1"/>
  <c r="P209" i="1" s="1"/>
  <c r="O218" i="1"/>
  <c r="P218" i="1" s="1"/>
  <c r="O279" i="1"/>
  <c r="P279" i="1" s="1"/>
  <c r="O380" i="1"/>
  <c r="P380" i="1" s="1"/>
  <c r="O134" i="1"/>
  <c r="P134" i="1" s="1"/>
  <c r="O326" i="1"/>
  <c r="P326" i="1" s="1"/>
  <c r="O149" i="1"/>
  <c r="P149" i="1" s="1"/>
  <c r="O207" i="1"/>
  <c r="P207" i="1" s="1"/>
  <c r="O222" i="1"/>
  <c r="P222" i="1" s="1"/>
  <c r="O273" i="1"/>
  <c r="P273" i="1" s="1"/>
  <c r="O201" i="1"/>
  <c r="P201" i="1" s="1"/>
  <c r="O765" i="1"/>
  <c r="P765" i="1" s="1"/>
  <c r="O203" i="1"/>
  <c r="P203" i="1" s="1"/>
  <c r="O211" i="1"/>
  <c r="P211" i="1" s="1"/>
  <c r="O150" i="1"/>
  <c r="P150" i="1" s="1"/>
  <c r="O136" i="1"/>
  <c r="P136" i="1" s="1"/>
  <c r="O221" i="1"/>
  <c r="P221" i="1" s="1"/>
  <c r="O184" i="1"/>
  <c r="P184" i="1" s="1"/>
  <c r="O73" i="1"/>
  <c r="P73" i="1" s="1"/>
  <c r="O217" i="1"/>
  <c r="P217" i="1" s="1"/>
  <c r="O153" i="1"/>
  <c r="P153" i="1" s="1"/>
  <c r="O378" i="1"/>
  <c r="P378" i="1" s="1"/>
  <c r="O379" i="1"/>
  <c r="P379" i="1" s="1"/>
  <c r="O32" i="1"/>
  <c r="P32" i="1" s="1"/>
  <c r="O347" i="1"/>
  <c r="P347" i="1" s="1"/>
  <c r="O345" i="1"/>
  <c r="P345" i="1" s="1"/>
  <c r="O346" i="1"/>
  <c r="P346" i="1" s="1"/>
  <c r="O160" i="1"/>
  <c r="P160" i="1" s="1"/>
  <c r="O161" i="1"/>
  <c r="P161" i="1" s="1"/>
  <c r="O325" i="1"/>
  <c r="P325" i="1" s="1"/>
  <c r="O330" i="1"/>
  <c r="P330" i="1" s="1"/>
  <c r="O558" i="1"/>
  <c r="P558" i="1" s="1"/>
  <c r="O482" i="1"/>
  <c r="P482" i="1" s="1"/>
  <c r="O483" i="1"/>
  <c r="P483" i="1" s="1"/>
  <c r="O320" i="1"/>
  <c r="P320" i="1" s="1"/>
  <c r="O232" i="1"/>
  <c r="P232" i="1" s="1"/>
  <c r="O63" i="1"/>
  <c r="P63" i="1" s="1"/>
  <c r="O83" i="1"/>
  <c r="P83" i="1" s="1"/>
  <c r="O165" i="1"/>
  <c r="P165" i="1" s="1"/>
  <c r="O231" i="1"/>
  <c r="P231" i="1" s="1"/>
  <c r="O212" i="1"/>
  <c r="P212" i="1" s="1"/>
  <c r="O171" i="1"/>
  <c r="P171" i="1" s="1"/>
  <c r="O190" i="1"/>
  <c r="P190" i="1" s="1"/>
  <c r="O177" i="1"/>
  <c r="P177" i="1" s="1"/>
  <c r="O225" i="1"/>
  <c r="P225" i="1" s="1"/>
  <c r="O246" i="1"/>
  <c r="P246" i="1" s="1"/>
  <c r="O264" i="1"/>
  <c r="P264" i="1" s="1"/>
  <c r="O277" i="1"/>
  <c r="P277" i="1" s="1"/>
  <c r="O41" i="1"/>
  <c r="P41" i="1" s="1"/>
  <c r="O45" i="1"/>
  <c r="P45" i="1" s="1"/>
  <c r="O48" i="1"/>
  <c r="P48" i="1" s="1"/>
  <c r="O95" i="1"/>
  <c r="P95" i="1" s="1"/>
  <c r="O96" i="1"/>
  <c r="P96" i="1" s="1"/>
  <c r="O119" i="1"/>
  <c r="P119" i="1" s="1"/>
  <c r="O131" i="1"/>
  <c r="P131" i="1" s="1"/>
  <c r="O148" i="1"/>
  <c r="P148" i="1" s="1"/>
  <c r="O185" i="1"/>
  <c r="P185" i="1" s="1"/>
  <c r="O157" i="1"/>
  <c r="P157" i="1" s="1"/>
  <c r="O178" i="1"/>
  <c r="P178" i="1" s="1"/>
  <c r="O146" i="1"/>
  <c r="P146" i="1" s="1"/>
  <c r="O145" i="1"/>
  <c r="P145" i="1" s="1"/>
  <c r="O200" i="1"/>
  <c r="P200" i="1" s="1"/>
  <c r="O104" i="1"/>
  <c r="P104" i="1" s="1"/>
  <c r="O187" i="1"/>
  <c r="P187" i="1" s="1"/>
  <c r="O128" i="1"/>
  <c r="P128" i="1" s="1"/>
  <c r="O170" i="1"/>
  <c r="P170" i="1" s="1"/>
  <c r="O197" i="1"/>
  <c r="P197" i="1" s="1"/>
  <c r="O281" i="1"/>
  <c r="P281" i="1" s="1"/>
  <c r="O294" i="1"/>
  <c r="P294" i="1" s="1"/>
  <c r="O269" i="1"/>
  <c r="P269" i="1" s="1"/>
  <c r="O280" i="1"/>
  <c r="P280" i="1" s="1"/>
  <c r="O254" i="1"/>
  <c r="P254" i="1" s="1"/>
  <c r="O263" i="1"/>
  <c r="P263" i="1" s="1"/>
  <c r="O348" i="1"/>
  <c r="P348" i="1" s="1"/>
  <c r="O304" i="1"/>
  <c r="P304" i="1" s="1"/>
  <c r="O305" i="1"/>
  <c r="P305" i="1" s="1"/>
  <c r="O349" i="1"/>
  <c r="P349" i="1" s="1"/>
  <c r="O169" i="1"/>
  <c r="P169" i="1" s="1"/>
  <c r="O510" i="1"/>
  <c r="P510" i="1" s="1"/>
  <c r="O511" i="1"/>
  <c r="P511" i="1" s="1"/>
  <c r="O383" i="1"/>
  <c r="P383" i="1" s="1"/>
  <c r="O350" i="1"/>
  <c r="P350" i="1" s="1"/>
  <c r="O335" i="1"/>
  <c r="P335" i="1" s="1"/>
  <c r="O673" i="1"/>
  <c r="P673" i="1" s="1"/>
  <c r="O674" i="1"/>
  <c r="P674" i="1" s="1"/>
  <c r="O151" i="1"/>
  <c r="P151" i="1" s="1"/>
  <c r="O323" i="1"/>
  <c r="P323" i="1" s="1"/>
  <c r="O324" i="1"/>
  <c r="P324" i="1" s="1"/>
  <c r="O289" i="1"/>
  <c r="P289" i="1" s="1"/>
  <c r="O676" i="1"/>
  <c r="P676" i="1" s="1"/>
  <c r="O675" i="1"/>
  <c r="P675" i="1" s="1"/>
  <c r="O179" i="1"/>
  <c r="P179" i="1" s="1"/>
  <c r="O408" i="1"/>
  <c r="P408" i="1" s="1"/>
  <c r="O409" i="1"/>
  <c r="P409" i="1" s="1"/>
  <c r="O55" i="1"/>
  <c r="P55" i="1" s="1"/>
  <c r="O33" i="1"/>
  <c r="P33" i="1" s="1"/>
  <c r="O512" i="1"/>
  <c r="P512" i="1" s="1"/>
  <c r="O513" i="1"/>
  <c r="P513" i="1" s="1"/>
  <c r="O677" i="1"/>
  <c r="P677" i="1" s="1"/>
  <c r="O678" i="1"/>
  <c r="P678" i="1" s="1"/>
  <c r="O352" i="1"/>
  <c r="P352" i="1" s="1"/>
  <c r="O481" i="1"/>
  <c r="P481" i="1" s="1"/>
  <c r="O393" i="1"/>
  <c r="P393" i="1" s="1"/>
  <c r="O518" i="1"/>
  <c r="P518" i="1" s="1"/>
  <c r="O519" i="1"/>
  <c r="P519" i="1" s="1"/>
  <c r="O520" i="1"/>
  <c r="P520" i="1" s="1"/>
  <c r="O459" i="1"/>
  <c r="P459" i="1" s="1"/>
  <c r="O460" i="1"/>
  <c r="P460" i="1" s="1"/>
  <c r="O461" i="1"/>
  <c r="P461" i="1" s="1"/>
  <c r="O353" i="1"/>
  <c r="P353" i="1" s="1"/>
  <c r="O413" i="1"/>
  <c r="P413" i="1" s="1"/>
  <c r="O328" i="1"/>
  <c r="P328" i="1" s="1"/>
  <c r="O329" i="1"/>
  <c r="P329" i="1" s="1"/>
  <c r="Z336" i="1"/>
  <c r="Z72" i="1"/>
  <c r="Q394" i="1"/>
  <c r="Q240" i="1"/>
  <c r="Q241" i="1"/>
  <c r="Q242" i="1"/>
  <c r="Q243" i="1"/>
  <c r="Z764" i="1"/>
  <c r="Q355" i="1"/>
  <c r="Q356" i="1"/>
  <c r="Z356" i="1" s="1"/>
  <c r="Q373" i="1"/>
  <c r="Z373" i="1" s="1"/>
  <c r="Q471" i="1"/>
  <c r="Q472" i="1"/>
  <c r="Q377" i="1"/>
  <c r="Z377" i="1" s="1"/>
  <c r="Q684" i="1"/>
  <c r="Z684" i="1" s="1"/>
  <c r="Q290" i="1"/>
  <c r="Q267" i="1"/>
  <c r="Q268" i="1"/>
  <c r="Q327" i="1"/>
  <c r="Z182" i="1"/>
  <c r="Q287" i="1"/>
  <c r="Z287" i="1" s="1"/>
  <c r="Z202" i="1"/>
  <c r="Q220" i="1"/>
  <c r="Q354" i="1"/>
  <c r="Z354" i="1" s="1"/>
  <c r="Q260" i="1"/>
  <c r="Q297" i="1"/>
  <c r="Q298" i="1"/>
  <c r="Z298" i="1" s="1"/>
  <c r="Q230" i="1"/>
  <c r="Q137" i="1"/>
  <c r="Q80" i="1"/>
  <c r="Q139" i="1"/>
  <c r="Q86" i="1"/>
  <c r="Z86" i="1" s="1"/>
  <c r="Q180" i="1"/>
  <c r="Q99" i="1"/>
  <c r="Q105" i="1"/>
  <c r="Z105" i="1" s="1"/>
  <c r="Q67" i="1"/>
  <c r="Q113" i="1"/>
  <c r="Q216" i="1"/>
  <c r="Z216" i="1" s="1"/>
  <c r="Q38" i="1"/>
  <c r="Z38" i="1" s="1"/>
  <c r="Q35" i="1"/>
  <c r="Z121" i="1"/>
  <c r="Q234" i="1"/>
  <c r="Q272" i="1"/>
  <c r="Z272" i="1" s="1"/>
  <c r="Q69" i="1"/>
  <c r="Z69" i="1" s="1"/>
  <c r="Q81" i="1"/>
  <c r="Q87" i="1"/>
  <c r="Q111" i="1"/>
  <c r="Z111" i="1" s="1"/>
  <c r="Q138" i="1"/>
  <c r="Q126" i="1"/>
  <c r="Q206" i="1"/>
  <c r="Q193" i="1"/>
  <c r="Q195" i="1"/>
  <c r="Q199" i="1"/>
  <c r="Q209" i="1"/>
  <c r="Z218" i="1"/>
  <c r="Q279" i="1"/>
  <c r="Q380" i="1"/>
  <c r="Z380" i="1" s="1"/>
  <c r="Q326" i="1"/>
  <c r="Q222" i="1"/>
  <c r="Q273" i="1"/>
  <c r="Z273" i="1" s="1"/>
  <c r="Z201" i="1"/>
  <c r="Z765" i="1"/>
  <c r="Z203" i="1"/>
  <c r="Z150" i="1"/>
  <c r="Q221" i="1"/>
  <c r="Z184" i="1"/>
  <c r="Q217" i="1"/>
  <c r="Q378" i="1"/>
  <c r="Z378" i="1" s="1"/>
  <c r="Q379" i="1"/>
  <c r="Z379" i="1" s="1"/>
  <c r="Z32" i="1"/>
  <c r="Q347" i="1"/>
  <c r="Q345" i="1"/>
  <c r="Q346" i="1"/>
  <c r="Q325" i="1"/>
  <c r="Q330" i="1"/>
  <c r="Q558" i="1"/>
  <c r="Q482" i="1"/>
  <c r="Q483" i="1"/>
  <c r="Q320" i="1"/>
  <c r="Q232" i="1"/>
  <c r="Q63" i="1"/>
  <c r="Z83" i="1"/>
  <c r="Z165" i="1"/>
  <c r="Q231" i="1"/>
  <c r="Z231" i="1" s="1"/>
  <c r="Q212" i="1"/>
  <c r="Q171" i="1"/>
  <c r="Q190" i="1"/>
  <c r="Z190" i="1" s="1"/>
  <c r="Q177" i="1"/>
  <c r="Z177" i="1" s="1"/>
  <c r="Q225" i="1"/>
  <c r="Q246" i="1"/>
  <c r="Z246" i="1" s="1"/>
  <c r="Q264" i="1"/>
  <c r="Q277" i="1"/>
  <c r="Z277" i="1" s="1"/>
  <c r="Z41" i="1"/>
  <c r="Z48" i="1"/>
  <c r="Z95" i="1"/>
  <c r="Q96" i="1"/>
  <c r="Q131" i="1"/>
  <c r="Q148" i="1"/>
  <c r="Q185" i="1"/>
  <c r="Q157" i="1"/>
  <c r="Q178" i="1"/>
  <c r="Q146" i="1"/>
  <c r="Z145" i="1"/>
  <c r="Z200" i="1"/>
  <c r="Q104" i="1"/>
  <c r="Z104" i="1" s="1"/>
  <c r="Q187" i="1"/>
  <c r="Z187" i="1" s="1"/>
  <c r="Q128" i="1"/>
  <c r="Q170" i="1"/>
  <c r="Q197" i="1"/>
  <c r="Q281" i="1"/>
  <c r="Z281" i="1" s="1"/>
  <c r="Q294" i="1"/>
  <c r="Q269" i="1"/>
  <c r="Q280" i="1"/>
  <c r="Z280" i="1" s="1"/>
  <c r="Q254" i="1"/>
  <c r="Q263" i="1"/>
  <c r="Q348" i="1"/>
  <c r="Q304" i="1"/>
  <c r="Q305" i="1"/>
  <c r="Z305" i="1" s="1"/>
  <c r="Z349" i="1"/>
  <c r="Q510" i="1"/>
  <c r="Q511" i="1"/>
  <c r="Z511" i="1" s="1"/>
  <c r="Q383" i="1"/>
  <c r="Q350" i="1"/>
  <c r="Q335" i="1"/>
  <c r="Q673" i="1"/>
  <c r="Q674" i="1"/>
  <c r="Q323" i="1"/>
  <c r="Q324" i="1"/>
  <c r="Z324" i="1" s="1"/>
  <c r="Q289" i="1"/>
  <c r="Q676" i="1"/>
  <c r="Q675" i="1"/>
  <c r="Z179" i="1"/>
  <c r="Q408" i="1"/>
  <c r="Q409" i="1"/>
  <c r="Q512" i="1"/>
  <c r="Q513" i="1"/>
  <c r="Q677" i="1"/>
  <c r="Q678" i="1"/>
  <c r="Z678" i="1" s="1"/>
  <c r="Q352" i="1"/>
  <c r="Q481" i="1"/>
  <c r="Q393" i="1"/>
  <c r="Q518" i="1"/>
  <c r="Q519" i="1"/>
  <c r="Q520" i="1"/>
  <c r="Z520" i="1" s="1"/>
  <c r="Q459" i="1"/>
  <c r="Q460" i="1"/>
  <c r="Q461" i="1"/>
  <c r="Q353" i="1"/>
  <c r="Q413" i="1"/>
  <c r="Q328" i="1"/>
  <c r="Q329" i="1"/>
  <c r="Z337" i="1"/>
  <c r="Z462" i="1"/>
  <c r="Z394" i="1"/>
  <c r="Z240" i="1"/>
  <c r="Z241" i="1"/>
  <c r="Z242" i="1"/>
  <c r="Z243" i="1"/>
  <c r="Z355" i="1"/>
  <c r="Z471" i="1"/>
  <c r="Z472" i="1"/>
  <c r="Z290" i="1"/>
  <c r="Z267" i="1"/>
  <c r="Z268" i="1"/>
  <c r="Z74" i="1"/>
  <c r="Z183" i="1"/>
  <c r="Z327" i="1"/>
  <c r="Z181" i="1"/>
  <c r="Z37" i="1"/>
  <c r="Z159" i="1"/>
  <c r="Z220" i="1"/>
  <c r="Z124" i="1"/>
  <c r="Z125" i="1"/>
  <c r="Z299" i="1"/>
  <c r="Z260" i="1"/>
  <c r="Z297" i="1"/>
  <c r="Z236" i="1"/>
  <c r="Z137" i="1"/>
  <c r="Z80" i="1"/>
  <c r="Z139" i="1"/>
  <c r="Z180" i="1"/>
  <c r="Z99" i="1"/>
  <c r="Z67" i="1"/>
  <c r="Z113" i="1"/>
  <c r="Z62" i="1"/>
  <c r="Z61" i="1"/>
  <c r="Z35" i="1"/>
  <c r="Z120" i="1"/>
  <c r="Z75" i="1"/>
  <c r="Z76" i="1"/>
  <c r="Z234" i="1"/>
  <c r="Z175" i="1"/>
  <c r="Z176" i="1"/>
  <c r="Z115" i="1"/>
  <c r="Z116" i="1"/>
  <c r="Z162" i="1"/>
  <c r="Z163" i="1"/>
  <c r="Z164" i="1"/>
  <c r="Z117" i="1"/>
  <c r="Z81" i="1"/>
  <c r="Z47" i="1"/>
  <c r="Z57" i="1"/>
  <c r="Z87" i="1"/>
  <c r="Z110" i="1"/>
  <c r="Z114" i="1"/>
  <c r="Z138" i="1"/>
  <c r="Z126" i="1"/>
  <c r="Z154" i="1"/>
  <c r="Z206" i="1"/>
  <c r="Z193" i="1"/>
  <c r="Z195" i="1"/>
  <c r="Z199" i="1"/>
  <c r="Z209" i="1"/>
  <c r="Z279" i="1"/>
  <c r="Z134" i="1"/>
  <c r="Z326" i="1"/>
  <c r="Z149" i="1"/>
  <c r="Z207" i="1"/>
  <c r="Z222" i="1"/>
  <c r="Z211" i="1"/>
  <c r="Z136" i="1"/>
  <c r="Z221" i="1"/>
  <c r="Z73" i="1"/>
  <c r="Z217" i="1"/>
  <c r="Z153" i="1"/>
  <c r="Z347" i="1"/>
  <c r="Z345" i="1"/>
  <c r="Z346" i="1"/>
  <c r="Z160" i="1"/>
  <c r="Z161" i="1"/>
  <c r="Z325" i="1"/>
  <c r="Z330" i="1"/>
  <c r="Z558" i="1"/>
  <c r="Z482" i="1"/>
  <c r="Z483" i="1"/>
  <c r="Z320" i="1"/>
  <c r="Z232" i="1"/>
  <c r="Z63" i="1"/>
  <c r="Z212" i="1"/>
  <c r="Z171" i="1"/>
  <c r="Z225" i="1"/>
  <c r="Z264" i="1"/>
  <c r="Z45" i="1"/>
  <c r="Z96" i="1"/>
  <c r="Z119" i="1"/>
  <c r="Z131" i="1"/>
  <c r="Z148" i="1"/>
  <c r="Z185" i="1"/>
  <c r="Z157" i="1"/>
  <c r="Z178" i="1"/>
  <c r="Z146" i="1"/>
  <c r="Z128" i="1"/>
  <c r="Z170" i="1"/>
  <c r="Z197" i="1"/>
  <c r="Z294" i="1"/>
  <c r="Z269" i="1"/>
  <c r="Z254" i="1"/>
  <c r="Z263" i="1"/>
  <c r="Z348" i="1"/>
  <c r="Z304" i="1"/>
  <c r="Z169" i="1"/>
  <c r="Z510" i="1"/>
  <c r="Z383" i="1"/>
  <c r="Z350" i="1"/>
  <c r="Z335" i="1"/>
  <c r="Z673" i="1"/>
  <c r="Z674" i="1"/>
  <c r="Z151" i="1"/>
  <c r="Z323" i="1"/>
  <c r="Z289" i="1"/>
  <c r="Z676" i="1"/>
  <c r="Z675" i="1"/>
  <c r="Z408" i="1"/>
  <c r="Z409" i="1"/>
  <c r="Z55" i="1"/>
  <c r="Z33" i="1"/>
  <c r="Z512" i="1"/>
  <c r="Z513" i="1"/>
  <c r="Z677" i="1"/>
  <c r="Z352" i="1"/>
  <c r="Z481" i="1"/>
  <c r="Z393" i="1"/>
  <c r="Z518" i="1"/>
  <c r="Z519" i="1"/>
  <c r="Z459" i="1"/>
  <c r="Z460" i="1"/>
  <c r="Z461" i="1"/>
  <c r="Z353" i="1"/>
  <c r="Z413" i="1"/>
  <c r="Z328" i="1"/>
  <c r="Z329" i="1"/>
  <c r="Z376" i="1"/>
  <c r="C5" i="1" a="1"/>
  <c r="C5" i="1" l="1"/>
</calcChain>
</file>

<file path=xl/comments1.xml><?xml version="1.0" encoding="utf-8"?>
<comments xmlns="http://schemas.openxmlformats.org/spreadsheetml/2006/main">
  <authors>
    <author>FioaFio</author>
  </authors>
  <commentList>
    <comment ref="Y28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Fronhas em processo de revisão, Ana aguardando retorno.</t>
        </r>
      </text>
    </comment>
    <comment ref="Y67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Será descontado na proxima nota a mão de obra de 4,00 referente uma fronha danificada.    </t>
        </r>
      </text>
    </comment>
    <comment ref="Y230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Foi abatido o valor de R$ 4,00 reais referente a nf. 35</t>
        </r>
      </text>
    </comment>
    <comment ref="Y267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Foi abatido o valor de R$ 4,00 reais referente a NF.90</t>
        </r>
      </text>
    </comment>
    <comment ref="Y327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Sera descontado na proxima nota a mão de obra de R$ 4,00 referente uma fronha danificada. </t>
        </r>
      </text>
    </comment>
    <comment ref="Y764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MOTIVO DO ATRASO SACOS P/ EMBALAR PRODUÇÃO. INTERCALANDO COM AS PRODÇÕES DE PRIORIDADES.</t>
        </r>
      </text>
    </comment>
    <comment ref="Y787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foi abatido o valor de R$ 6,00 reias nessa nota referente a nota 44</t>
        </r>
      </text>
    </comment>
    <comment ref="Y1192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29 - capas duvet com probelamas na mãozinhas , faltou o refeoços da costura, foi enviados p/ consertos.</t>
        </r>
      </text>
    </comment>
    <comment ref="Z1192" authorId="0" shapeId="0">
      <text>
        <r>
          <rPr>
            <b/>
            <sz val="9"/>
            <color indexed="81"/>
            <rFont val="Segoe UI"/>
            <family val="2"/>
          </rPr>
          <t>FioaFio: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>
  <connection id="1" name="Consulta - 000 - PEDIDOS DE CLIENTES" description="Conexão com a consulta '000 - PEDIDOS DE CLIENTES' na pasta de trabalho." type="100" refreshedVersion="8" minRefreshableVersion="5">
    <extLst>
      <ext xmlns:x15="http://schemas.microsoft.com/office/spreadsheetml/2010/11/main" uri="{DE250136-89BD-433C-8126-D09CA5730AF9}">
        <x15:connection id="1b02f038-9345-496f-9ce8-e26f62e61590"/>
      </ext>
    </extLst>
  </connection>
  <connection id="2" keepAlive="1" name="Consulta - Arquivo de Amostra (2)" description="Conexão com a consulta 'Arquivo de Amostra (2)' na pasta de trabalho." type="5" refreshedVersion="0" background="1">
    <dbPr connection="Provider=Microsoft.Mashup.OleDb.1;Data Source=$Workbook$;Location=&quot;Arquivo de Amostra (2)&quot;;Extended Properties=&quot;&quot;" command="SELECT * FROM [Arquivo de Amostra (2)]"/>
  </connection>
  <connection id="3" keepAlive="1" interval="60" name="Consulta - LISTA_DE_CLIENTES" description="Conexão com a consulta 'LISTA_DE_CLIENTES' na pasta de trabalho." type="5" refreshedVersion="8" background="1" saveData="1">
    <dbPr connection="Provider=Microsoft.Mashup.OleDb.1;Data Source=$Workbook$;Location=LISTA_DE_CLIENTES;Extended Properties=&quot;&quot;" command="SELECT * FROM [LISTA_DE_CLIENTES]"/>
  </connection>
  <connection id="4" keepAlive="1" name="Consulta - Parâmetro2" description="Conexão com a consulta 'Parâmetro2' na pasta de trabalho." type="5" refreshedVersion="0" background="1">
    <dbPr connection="Provider=Microsoft.Mashup.OleDb.1;Data Source=$Workbook$;Location=Parâmetro2;Extended Properties=&quot;&quot;" command="SELECT * FROM [Parâmetro2]"/>
  </connection>
  <connection id="5" keepAlive="1" name="Consulta - Transformar Arquivo (2)" description="Conexão com a consulta 'Transformar Arquivo (2)' na pasta de trabalho." type="5" refreshedVersion="0" background="1">
    <dbPr connection="Provider=Microsoft.Mashup.OleDb.1;Data Source=$Workbook$;Location=&quot;Transformar Arquivo (2)&quot;;Extended Properties=&quot;&quot;" command="SELECT * FROM [Transformar Arquivo (2)]"/>
  </connection>
  <connection id="6" keepAlive="1" name="Consulta - Transformar o Arquivo de Exemplo (2)" description="Conexão com a consulta 'Transformar o Arquivo de Exemplo (2)' na pasta de trabalho." type="5" refreshedVersion="0" background="1">
    <dbPr connection="Provider=Microsoft.Mashup.OleDb.1;Data Source=$Workbook$;Location=&quot;Transformar o Arquivo de Exemplo (2)&quot;;Extended Properties=&quot;&quot;" command="SELECT * FROM [Transformar o Arquivo de Exemplo (2)]"/>
  </connection>
  <connection id="7" keepAlive="1" name="ModelConnection_DadosExternos_1" description="Modelo de Dados" type="5" refreshedVersion="8" minRefreshableVersion="5" saveData="1">
    <dbPr connection="Data Model Connection" command="000 - PEDIDOS DE CLIENTES" commandType="3"/>
    <extLst>
      <ext xmlns:x15="http://schemas.microsoft.com/office/spreadsheetml/2010/11/main" uri="{DE250136-89BD-433C-8126-D09CA5730AF9}">
        <x15:connection id="" model="1"/>
      </ext>
    </extLst>
  </connection>
  <connection id="8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<sst xmlns="http://schemas.openxmlformats.org/spreadsheetml/2006/main" count="31433" uniqueCount="25313">
  <si>
    <t xml:space="preserve">Status </t>
  </si>
  <si>
    <t>Agley</t>
  </si>
  <si>
    <t>Em Produção</t>
  </si>
  <si>
    <t>Ana Lucia</t>
  </si>
  <si>
    <t>Finalizado</t>
  </si>
  <si>
    <t>Cristina Itajú</t>
  </si>
  <si>
    <t>Deco</t>
  </si>
  <si>
    <t xml:space="preserve">Jaqueline </t>
  </si>
  <si>
    <t>Leni</t>
  </si>
  <si>
    <t>Magnólia</t>
  </si>
  <si>
    <t>Sergio</t>
  </si>
  <si>
    <t>Mell Fernandes</t>
  </si>
  <si>
    <t>Castelli</t>
  </si>
  <si>
    <t>Mesalinho</t>
  </si>
  <si>
    <t xml:space="preserve">Dama de Ouro </t>
  </si>
  <si>
    <t>Keyborder</t>
  </si>
  <si>
    <t>Fatima</t>
  </si>
  <si>
    <t>Cristiane</t>
  </si>
  <si>
    <t>Lidiane</t>
  </si>
  <si>
    <t>Kátia</t>
  </si>
  <si>
    <t>Leuzania</t>
  </si>
  <si>
    <t>Art Stamp</t>
  </si>
  <si>
    <t>ID</t>
  </si>
  <si>
    <t>Código</t>
  </si>
  <si>
    <t>Razão Social</t>
  </si>
  <si>
    <t>Nome Fantasia</t>
  </si>
  <si>
    <t>CNPJ/CPF</t>
  </si>
  <si>
    <t>Desativação</t>
  </si>
  <si>
    <t>Cadastro</t>
  </si>
  <si>
    <t>Alteração</t>
  </si>
  <si>
    <t xml:space="preserve"> WILLIAN IPOLITO MAGRO</t>
  </si>
  <si>
    <t>FID STORE - MUNDO IN</t>
  </si>
  <si>
    <t>***CONSUMIDOR FINAL***</t>
  </si>
  <si>
    <t>CONSUMIDOR FINAL</t>
  </si>
  <si>
    <t>2122 COBRANCA E ASSESSORIA FINANCEIRA LTDA - EPP</t>
  </si>
  <si>
    <t>PRB HOTELARIA</t>
  </si>
  <si>
    <t>249 DESIGN HOTEL LTDA</t>
  </si>
  <si>
    <t>249 HOTEL</t>
  </si>
  <si>
    <t>4H HOTELARIA &amp; CONSULTORIA LTDA - ME</t>
  </si>
  <si>
    <t>4H HOTELARIA</t>
  </si>
  <si>
    <t>A C B MOREIRA ARAUJO</t>
  </si>
  <si>
    <t>A C K COSTA BAR E RESTAURANTE</t>
  </si>
  <si>
    <t>A C K COSTA BAR E RE</t>
  </si>
  <si>
    <t>A C P DA CRUZ COMERCIO LTDA</t>
  </si>
  <si>
    <t>SANTA EMILIA</t>
  </si>
  <si>
    <t>A DIVA E BELA CLINICA DE ESTETICA AVANCADA EIRELI</t>
  </si>
  <si>
    <t>A DIVA É BELA SPA</t>
  </si>
  <si>
    <t>A ESTALAGEM RESTAURANTE E QUINTAL GASTRONOMICO LTD</t>
  </si>
  <si>
    <t>A ESTALAGEM</t>
  </si>
  <si>
    <t>A. R. GAVA HOTELARIA - ME</t>
  </si>
  <si>
    <t>MOTEL A2</t>
  </si>
  <si>
    <t>A.A.J. HOTEIS E TURISMO LTDA</t>
  </si>
  <si>
    <t>CONFORT MOGI GUAÇU</t>
  </si>
  <si>
    <t>A.C.CAMPOS SERVICOS MEDICOS E PARTICIPACOES LTDA</t>
  </si>
  <si>
    <t>A.C.CAMPOS</t>
  </si>
  <si>
    <t>A.L. FERNANDES</t>
  </si>
  <si>
    <t>MOTEL VOCE QUE SABE</t>
  </si>
  <si>
    <t>A.M.C. TEXTIL LTDA.</t>
  </si>
  <si>
    <t>COLCCI</t>
  </si>
  <si>
    <t>A.S FIGUEIREDO &amp; CIA LTDA</t>
  </si>
  <si>
    <t>AGENCIA LADO B</t>
  </si>
  <si>
    <t>AB ACESSORIOS DE BANHEIROS LTDA - ME</t>
  </si>
  <si>
    <t>AB</t>
  </si>
  <si>
    <t>ABIA RODRIGUES</t>
  </si>
  <si>
    <t>ABIMASA EVENTOS EIRELI - ME</t>
  </si>
  <si>
    <t>FAZENDA SÃO MATHIAS</t>
  </si>
  <si>
    <t>ACAO EM MOVIMENTO PRESTADORA DE SERVICOS LTDA</t>
  </si>
  <si>
    <t>ACAO EM MOVIMENTO</t>
  </si>
  <si>
    <t>ACHÉ LABORATÓRIOS FARMACÊUTICOS S/A</t>
  </si>
  <si>
    <t>ACHÉ LABORATÓRIOS</t>
  </si>
  <si>
    <t>ACL IMPEX L.DA</t>
  </si>
  <si>
    <t>ACL</t>
  </si>
  <si>
    <t>ACORDARE COMERCIO DE MOVEIS LTDA</t>
  </si>
  <si>
    <t>LOJAS COPETTI</t>
  </si>
  <si>
    <t>ACQUA EMPREENDIMENTOS HOTELEIROS LTDA - ME</t>
  </si>
  <si>
    <t>ACQUA EMPREENDIMENTO</t>
  </si>
  <si>
    <t>ACQUA LAVANDERIA E LOCACAO DE ARTIGOS TEXTEIS LTDA</t>
  </si>
  <si>
    <t>MAX CLEAN</t>
  </si>
  <si>
    <t>ACQUA SUITES MACEIO LTDA</t>
  </si>
  <si>
    <t>ACQUA SUITES</t>
  </si>
  <si>
    <t>ACQUAMARINA SANTO ANDRE EMPREENDIMENTOS IMOBILIARI</t>
  </si>
  <si>
    <t>ACQUAMARINA SANTO AN</t>
  </si>
  <si>
    <t>ACRIM MANUTENÇÃO E REFORMA LTDA</t>
  </si>
  <si>
    <t>ACRIM MANUTENÇÃO</t>
  </si>
  <si>
    <t>ADELE</t>
  </si>
  <si>
    <t>Adelia De Souza Machado</t>
  </si>
  <si>
    <t>Adelia De Souza Mach</t>
  </si>
  <si>
    <t>ADEMAR DA SILVA SANTOS - ME</t>
  </si>
  <si>
    <t>MEGA CENTER-LOJA</t>
  </si>
  <si>
    <t>ADEMILDE MARIA MATA PAES</t>
  </si>
  <si>
    <t>ADEMILDE MARIA MATA</t>
  </si>
  <si>
    <t>ADENILDA DO NASCIMENTO</t>
  </si>
  <si>
    <t>ADENILDA DO NASCIMEN</t>
  </si>
  <si>
    <t>Adinoelma da Silva Oliveira</t>
  </si>
  <si>
    <t>Adinoelma da Silva O</t>
  </si>
  <si>
    <t>ADRIANA ALMEIDA DA CRUZ OLIVEIRA</t>
  </si>
  <si>
    <t>ADRIANA ALMEIDA DA C</t>
  </si>
  <si>
    <t>ADRIANA GUIMARAES MONTEIRO</t>
  </si>
  <si>
    <t>ADRIANA GUIMARAES MO</t>
  </si>
  <si>
    <t>ADRIANA MOURA</t>
  </si>
  <si>
    <t>ADRIANA OLIVEIRA CORANDIM LIMA KAOURI</t>
  </si>
  <si>
    <t>ADRIANA OLIVEIRA COR</t>
  </si>
  <si>
    <t>Adriane Ultremare Yamada</t>
  </si>
  <si>
    <t>Adriane Ultremare Ya</t>
  </si>
  <si>
    <t>ADRIENE RESENDE ALVES</t>
  </si>
  <si>
    <t>ADRIENE RESENDE ALVE</t>
  </si>
  <si>
    <t>ADVENTUR HOTEIS LTDA - EPP</t>
  </si>
  <si>
    <t>ADVENTUR</t>
  </si>
  <si>
    <t>ADVOCACIA LUIZ CARLOS SIGMARINGA SEIXAS &amp; ADVOGADO</t>
  </si>
  <si>
    <t>ADVOCACIA LUIZ</t>
  </si>
  <si>
    <t>AFC HOTELARIA LTDA</t>
  </si>
  <si>
    <t>BUGAN BY ATLANTICA H</t>
  </si>
  <si>
    <t>AFC SERVICOS HOTELEIROS LTDA.</t>
  </si>
  <si>
    <t>TRYP PERNAMBUCO</t>
  </si>
  <si>
    <t>AFETTO ART FABRICAÇÃO E VENDA DE MOVEIS LTDA</t>
  </si>
  <si>
    <t>AFETTO</t>
  </si>
  <si>
    <t>AFONSO DE AGUIAR NETO</t>
  </si>
  <si>
    <t>AFONSO  ( VHOUSE )</t>
  </si>
  <si>
    <t>AGATHA SOUZA</t>
  </si>
  <si>
    <t>AGORA CONFECCAO E COMERCIO DE ARTIGOS DO VESTUARIO</t>
  </si>
  <si>
    <t>ARTES SACRA</t>
  </si>
  <si>
    <t>Agropecuaria Da Ilha</t>
  </si>
  <si>
    <t>AGROPECUARIA SANTA MARIA LTDA ME</t>
  </si>
  <si>
    <t>VILLA SÃO ROMÃO</t>
  </si>
  <si>
    <t>AGUAS DO MANSO HOTEIS LTDA - EPP</t>
  </si>
  <si>
    <t>AGUAS DO MANSO SPA &amp;</t>
  </si>
  <si>
    <t>AGUAS DO TREME LTDA - EPP</t>
  </si>
  <si>
    <t>AGUAS DO TREME LTDA</t>
  </si>
  <si>
    <t>AIANE OLIVEIRA</t>
  </si>
  <si>
    <t>aila cristina masson</t>
  </si>
  <si>
    <t>AILLE CLINIC ESTETICA LTDA</t>
  </si>
  <si>
    <t>AILLE CLINIC</t>
  </si>
  <si>
    <t>AIMI SAGAE DE MOURA DUMAS</t>
  </si>
  <si>
    <t>AIMI SAGAE DE MOURA</t>
  </si>
  <si>
    <t>AITG PARTICIPACOES LTDA</t>
  </si>
  <si>
    <t>SANTA INN</t>
  </si>
  <si>
    <t>AJS CORREINHA EMPREENDIMENTOS IMOBILIARIOS LTDA</t>
  </si>
  <si>
    <t>HAMAM SP</t>
  </si>
  <si>
    <t>ALACON ENGENHARIA E SERVIÇOS LTDA</t>
  </si>
  <si>
    <t>ALACON ENGENHARIA</t>
  </si>
  <si>
    <t>Alair Carrijo</t>
  </si>
  <si>
    <t>ALANA RIBEIRO FAJOLI PERIM</t>
  </si>
  <si>
    <t>ALANA RIBEIRO FAJOLI</t>
  </si>
  <si>
    <t>ALATIA PRISCILA DOS SANTOS DE OLIVEIRA</t>
  </si>
  <si>
    <t>ALATIA PRISCILA DOS</t>
  </si>
  <si>
    <t>ALBERTO A BERNARDINO &amp; CIA LTDA</t>
  </si>
  <si>
    <t>HOTEL ESTORIL</t>
  </si>
  <si>
    <t>ALBUQUERQUE LAVANDERIA EIRELLI</t>
  </si>
  <si>
    <t>LAVANDERIA MIRAX</t>
  </si>
  <si>
    <t>ALDAN ASSESSORIA E PARTICIPAÇÕES LTDA</t>
  </si>
  <si>
    <t>ALDAN GV CASA BRANCA</t>
  </si>
  <si>
    <t>ALDAN GV ALTO DE PIN</t>
  </si>
  <si>
    <t>ALDAN ASSESSORIA E PARTICIPACOES LTDA.</t>
  </si>
  <si>
    <t>GRUPO ALDAN</t>
  </si>
  <si>
    <t>ALDEOTA PRAIA HOTEL LTDA EPP</t>
  </si>
  <si>
    <t>ALDEOTA PRAIA HOTEL</t>
  </si>
  <si>
    <t>ALEJANDRA AYALA</t>
  </si>
  <si>
    <t>ALESSANDRA BURANELLO CHROMECK</t>
  </si>
  <si>
    <t>ALESSANDRA BURANELLO</t>
  </si>
  <si>
    <t>Alessandra Campos Ferrari</t>
  </si>
  <si>
    <t>Alessandra Campos Fe</t>
  </si>
  <si>
    <t>ALESSANDRA CAPURA</t>
  </si>
  <si>
    <t>Alessandra Melo</t>
  </si>
  <si>
    <t>ALESSANDRA SCHAUFFERT REISER - EPP</t>
  </si>
  <si>
    <t>FELISSIMO HOTEL</t>
  </si>
  <si>
    <t>ALESSANDRA SILVA DE FREITAS</t>
  </si>
  <si>
    <t>ALESSANDRA</t>
  </si>
  <si>
    <t>ALESSANDRA TAVARES</t>
  </si>
  <si>
    <t>Alessandra Thelma Pinheiro Macedo</t>
  </si>
  <si>
    <t>Alessandra Thelma Pi</t>
  </si>
  <si>
    <t>ALESSANDRA WATANABE</t>
  </si>
  <si>
    <t>ALESSANDRO ROSA DA SILVA</t>
  </si>
  <si>
    <t>DNA EVENTOS E CIA</t>
  </si>
  <si>
    <t>ALEXANDER JONAS PEREIRA DA SILVA 11910039659</t>
  </si>
  <si>
    <t>POUSADA MARIA BONITA</t>
  </si>
  <si>
    <t>ALEXANDRA KAYAT</t>
  </si>
  <si>
    <t>Alexandre Arlota</t>
  </si>
  <si>
    <t>ALEXANDRE BASSOLI</t>
  </si>
  <si>
    <t>ALEXANDRE RODRIGUES DINIZ LAVANDERIA - ME</t>
  </si>
  <si>
    <t>QUALITY LAVANDERIA</t>
  </si>
  <si>
    <t>ALEXIA BERGALLO</t>
  </si>
  <si>
    <t>ALFA DOKOS INCORPORADORA SPE LTDA.</t>
  </si>
  <si>
    <t>NOON</t>
  </si>
  <si>
    <t>ALFA EMPREENDIMENTOS HOTELEIROS S/A</t>
  </si>
  <si>
    <t>ALFA EMPREENDIMENTOS</t>
  </si>
  <si>
    <t>ALFREDO HENRIQUE AGOSTINE</t>
  </si>
  <si>
    <t>ALFREDO HENRIQUE</t>
  </si>
  <si>
    <t>ALI SHALHOUB</t>
  </si>
  <si>
    <t>ALICE LIMA</t>
  </si>
  <si>
    <t>ALICE LOEBLER LTDA</t>
  </si>
  <si>
    <t>FONTE DE EQUILIBRIO</t>
  </si>
  <si>
    <t>Aline Amaral</t>
  </si>
  <si>
    <t>ALINE DA LAVRA</t>
  </si>
  <si>
    <t>ALINE LAVRA</t>
  </si>
  <si>
    <t>Aline Franca</t>
  </si>
  <si>
    <t>ALINE GUIMARAES CAPELATTO</t>
  </si>
  <si>
    <t>ALINE GUIMARAES CAPE</t>
  </si>
  <si>
    <t>ALINE PCHECO</t>
  </si>
  <si>
    <t>ALINE PERINOTO</t>
  </si>
  <si>
    <t>Aline ramos</t>
  </si>
  <si>
    <t>Aline Soares de souza</t>
  </si>
  <si>
    <t>Aline Soares de souz</t>
  </si>
  <si>
    <t>ALINE TIMOTEO FELIX</t>
  </si>
  <si>
    <t>Aline Turnes Lehmkuhl</t>
  </si>
  <si>
    <t>Aline Turnes Lehmkuh</t>
  </si>
  <si>
    <t>ALINEGOTSCHALG</t>
  </si>
  <si>
    <t>ALISSON CAPELLI DE SOUZA</t>
  </si>
  <si>
    <t>ALISSON CAPELLI DE S</t>
  </si>
  <si>
    <t>ALIX BIRCHE</t>
  </si>
  <si>
    <t>ALLCLINIK MEDICINA E BEM ESTAR LTDA.</t>
  </si>
  <si>
    <t>ALLCLINIK MEDICINA</t>
  </si>
  <si>
    <t>ALMA BASCA DECORACOES LTDA</t>
  </si>
  <si>
    <t>ALMA BASCA - PROCAVE</t>
  </si>
  <si>
    <t>ALMA SERRA HOSPEDAGEM E EVENTOS LTDA - ME</t>
  </si>
  <si>
    <t>ALMA SERRA HOSPEDAGE</t>
  </si>
  <si>
    <t>ALMA SPA CLINICA INTEGRADA LTDA</t>
  </si>
  <si>
    <t>ALMA CLINICA SPA</t>
  </si>
  <si>
    <t>ALMENAT EXTENSAO CORPORATIVA LTDA</t>
  </si>
  <si>
    <t>HOTEL ALMENAT</t>
  </si>
  <si>
    <t>ALPHA GREEN COMERCIO DE PRODUTOS ALIMENTÍCIOS LTDA</t>
  </si>
  <si>
    <t>MUNDO VERDE ALPHA SQ</t>
  </si>
  <si>
    <t>ALSCO TOALHEIRO BRASIL LTDA.</t>
  </si>
  <si>
    <t>ALSCO TOALHEIRO BRAS</t>
  </si>
  <si>
    <t>ALTO DAS PALMEIRAS SPA &amp; WELLNESS COMERCIO LTDA</t>
  </si>
  <si>
    <t>L´OCCITANE VINHEDO</t>
  </si>
  <si>
    <t>ALVIMAAR JUNIOR</t>
  </si>
  <si>
    <t>Alyane Rodrigues Soares Sales</t>
  </si>
  <si>
    <t>Alyane Rodrigues Soa</t>
  </si>
  <si>
    <t>AMABILE PELLIN BERTOLLUCCI</t>
  </si>
  <si>
    <t>AMABILE PELLIN BERTO</t>
  </si>
  <si>
    <t>AMABILLE</t>
  </si>
  <si>
    <t>AMANA POUSADA E SERVICOS DE COMUNICACAO LTDA</t>
  </si>
  <si>
    <t>AMANA POUSADA TIRADE</t>
  </si>
  <si>
    <t>AMANDA ANHALT</t>
  </si>
  <si>
    <t>Amanda Biasi Callegari</t>
  </si>
  <si>
    <t>Amanda Biasi Callega</t>
  </si>
  <si>
    <t>AMANDA BUENO</t>
  </si>
  <si>
    <t>Amanda Couto</t>
  </si>
  <si>
    <t>AMANDA DOS REIS ARAUJO</t>
  </si>
  <si>
    <t>AMANDA DOS REIS ARAU</t>
  </si>
  <si>
    <t>Amanda Faria Sousa</t>
  </si>
  <si>
    <t>Amanda Fernandes da Cruz</t>
  </si>
  <si>
    <t>Amanda Fernandes da</t>
  </si>
  <si>
    <t>AMANDA FONSECA PASSOS</t>
  </si>
  <si>
    <t>AMANDA FONSECA PASSO</t>
  </si>
  <si>
    <t>Amanda krebs vanderlinde</t>
  </si>
  <si>
    <t>Amanda krebs vanderl</t>
  </si>
  <si>
    <t>Amanda Leoncio Vieira Ribeiro</t>
  </si>
  <si>
    <t>Amanda Leoncio Vieir</t>
  </si>
  <si>
    <t>AMANDA LUZIA MARTINS MORENO</t>
  </si>
  <si>
    <t>AMANDA LUZIA MARTINS</t>
  </si>
  <si>
    <t>Amanda Monteiro dos Santos Baliene</t>
  </si>
  <si>
    <t>Amanda Monteiro dos</t>
  </si>
  <si>
    <t>Amanda Neitzke</t>
  </si>
  <si>
    <t>Amanda Sales Damasio</t>
  </si>
  <si>
    <t>AMANITA ESTALAGEM LTDA - ME</t>
  </si>
  <si>
    <t>AMANITA ESTALAGEM</t>
  </si>
  <si>
    <t>AMARAL &amp; NICOLAU - ABN - HOTELARI A E CONSULTORIA</t>
  </si>
  <si>
    <t>MERCURE SP PAULISTA</t>
  </si>
  <si>
    <t>AMAZONIA RIO EMPREENDIMENTOS LTDA - ME</t>
  </si>
  <si>
    <t>KAMBOO HOTEL E CONVE</t>
  </si>
  <si>
    <t>AMAZONIAN SPA LTDA - ME</t>
  </si>
  <si>
    <t>AMAZONIAN SPA LTDA -</t>
  </si>
  <si>
    <t>AMBIENTE SERVIÇOS URBANOS LTDA</t>
  </si>
  <si>
    <t>HOTEL AMAIA</t>
  </si>
  <si>
    <t>AMBULATORIO LETIZIO PRESTACAO DE SERVICOS MEDICOS</t>
  </si>
  <si>
    <t>CLINICA LETIZIO</t>
  </si>
  <si>
    <t>AMERICAN PLAZA ADMINISTRAÇÃO HOTELARIA LTDA</t>
  </si>
  <si>
    <t>PLAZA INN AMERICAN</t>
  </si>
  <si>
    <t>AMERICANA EMPREENDIMENTOS POUSADA LTDA ME</t>
  </si>
  <si>
    <t>BECO DE NORONHA</t>
  </si>
  <si>
    <t>AMORA BOUTIQUE HOTEL LTDA - ME</t>
  </si>
  <si>
    <t>AMORA BOUTIQUE HOTEL</t>
  </si>
  <si>
    <t>AMUARAMA TURISMO LTDA</t>
  </si>
  <si>
    <t>HOTEL AMUARAMA</t>
  </si>
  <si>
    <t>Ana Alice Lira</t>
  </si>
  <si>
    <t>ANA ALVAREZ FONOAUDIOLOGIA, CONSULTORIA E PESQUISA</t>
  </si>
  <si>
    <t>ACADEMIA DA MENTE</t>
  </si>
  <si>
    <t>ANA BEATRIZ COLELLA</t>
  </si>
  <si>
    <t>ANA CARDIER PRIVE HOTEL LTDA</t>
  </si>
  <si>
    <t>VILA ANA CARDIER</t>
  </si>
  <si>
    <t>ANA CAROLINA DINIZ LUI</t>
  </si>
  <si>
    <t>VILLA LANGMA</t>
  </si>
  <si>
    <t>Ana carolina Monteiro</t>
  </si>
  <si>
    <t>Ana carolina Monteir</t>
  </si>
  <si>
    <t>ANA CAROLINA S. COSTA MONTEIRO</t>
  </si>
  <si>
    <t>ANA CAROLINA S. COST</t>
  </si>
  <si>
    <t>Ana Carolina Suniga</t>
  </si>
  <si>
    <t>ANA CAROLINA VIEIRA BARBOSA</t>
  </si>
  <si>
    <t>ANA CAROLINA VIEIRA</t>
  </si>
  <si>
    <t>ANA CASSIANO</t>
  </si>
  <si>
    <t>ANA CELIA DE MEDEIROS RIBAS</t>
  </si>
  <si>
    <t>ANA CELIA DE MEDEIRO</t>
  </si>
  <si>
    <t>ANA CINTRA CONFECCOES EIRELI - ME</t>
  </si>
  <si>
    <t>ANA</t>
  </si>
  <si>
    <t>ANA CLARA NOGUEIRA ARDISSON</t>
  </si>
  <si>
    <t>ANA CLARA NOGUEIRA A</t>
  </si>
  <si>
    <t>ana Claudia da Silva</t>
  </si>
  <si>
    <t>ANA CLAUDIA FERREIRA MOURA</t>
  </si>
  <si>
    <t>ANA CLAUDIA</t>
  </si>
  <si>
    <t>ANA CRISTINA MORAES</t>
  </si>
  <si>
    <t>ANA CRISTINA-TRIPLEX</t>
  </si>
  <si>
    <t xml:space="preserve">ANA ELIZABETH FONSECA JEKER
</t>
  </si>
  <si>
    <t>ANA ELIZABETH</t>
  </si>
  <si>
    <t>ANA FLAVIA MATIAS OURAJI</t>
  </si>
  <si>
    <t>ANA FLAVIA MATIAS OU</t>
  </si>
  <si>
    <t>ANA FLAVIA SAMPAIO SENEDESI</t>
  </si>
  <si>
    <t>ANA FLAVIA SAMPAIO S</t>
  </si>
  <si>
    <t>Ana Laura Muller Rocha</t>
  </si>
  <si>
    <t>Ana Laura Muller Roc</t>
  </si>
  <si>
    <t>ANA LETICIA AMARAL DE MELLO AFFONSO 05896591705</t>
  </si>
  <si>
    <t>ANA LETICIA AMARAL D</t>
  </si>
  <si>
    <t>Ana Leticia Otoch</t>
  </si>
  <si>
    <t>ANA LUCIA TASSINARI</t>
  </si>
  <si>
    <t>Ana Luisa Aquino de Souza Ferreira</t>
  </si>
  <si>
    <t>Ana Luisa Aquino de</t>
  </si>
  <si>
    <t>ANA LUISA CASADORE BIANCHI</t>
  </si>
  <si>
    <t>ANA LUISA CASADORE B</t>
  </si>
  <si>
    <t>ANA LUISA SANTOS</t>
  </si>
  <si>
    <t>Ana Luiza da Cruz</t>
  </si>
  <si>
    <t>ANA LUIZA GNATTALI</t>
  </si>
  <si>
    <t>ANA LUIZA GOULART</t>
  </si>
  <si>
    <t>ANA LUIZA PINHO</t>
  </si>
  <si>
    <t>ANA LUIZA RANGEL NOGUEIRA</t>
  </si>
  <si>
    <t>ANA LUIZA RANGEL NOG</t>
  </si>
  <si>
    <t>ANA LUIZA ROMIE</t>
  </si>
  <si>
    <t>ANA LUIZA (SITE)</t>
  </si>
  <si>
    <t>ANA MARIA DE OLIVEIRA</t>
  </si>
  <si>
    <t>ANA MARIA DE OLIVEIR</t>
  </si>
  <si>
    <t>ANA MARIA FERREIRA</t>
  </si>
  <si>
    <t>ANA MARIA PEREIRA DOS SANTOS POLLAK</t>
  </si>
  <si>
    <t>ANA MARIA</t>
  </si>
  <si>
    <t>ANA MARIA RICCI BARION</t>
  </si>
  <si>
    <t>ANA ( FORMA ITAIM)</t>
  </si>
  <si>
    <t>ANA PAULA ALVES COELHO GRAMINHO</t>
  </si>
  <si>
    <t>ANA PAULA ALVES COEL</t>
  </si>
  <si>
    <t>ANA PAULA ALVES FREIRE</t>
  </si>
  <si>
    <t>ANA PAULA ALVES FREI</t>
  </si>
  <si>
    <t>ANA PAULA COSTA MAGNO LINS</t>
  </si>
  <si>
    <t>ANA PAULA COSTA MAGN</t>
  </si>
  <si>
    <t>Ana Paula Do Nascimento Silva</t>
  </si>
  <si>
    <t>Ana Paula Do Nascime</t>
  </si>
  <si>
    <t>ANA PAULA FEDERICI KUZE</t>
  </si>
  <si>
    <t>ANA PAULA FEDERICI K</t>
  </si>
  <si>
    <t>ANA PAULA MOREIRA</t>
  </si>
  <si>
    <t>ANA PAULA MOURA DE OLIVEIRA LEAO PATRIOTA</t>
  </si>
  <si>
    <t>ANA PAULA MOURA DE O</t>
  </si>
  <si>
    <t>Ana Paula Mucelin</t>
  </si>
  <si>
    <t>ANA PAULA PASSARELLI DE MELO</t>
  </si>
  <si>
    <t>ANA PAULA PASSARELLI</t>
  </si>
  <si>
    <t>ANA PAULA RODRIGUES DOS SANTOS CUNHA</t>
  </si>
  <si>
    <t>ANA PAULA RODRIGUES</t>
  </si>
  <si>
    <t>ANA PAULA RUIVO ANDRADE</t>
  </si>
  <si>
    <t>ANA PAULA RUIVO ANDR</t>
  </si>
  <si>
    <t>Ana Silvia Ferraz Homem Xavier</t>
  </si>
  <si>
    <t>Ana Silvia Ferraz Ho</t>
  </si>
  <si>
    <t>ANA TEREZA BARDELLA DELNERI</t>
  </si>
  <si>
    <t>ANA TEREZA FORM ITAM</t>
  </si>
  <si>
    <t>Ana Valeria Freire Allemao Bertolino</t>
  </si>
  <si>
    <t>Ana Valeria Freire A</t>
  </si>
  <si>
    <t>ANA VALERIA PREZIA BOSO</t>
  </si>
  <si>
    <t>ANA VALERIA PREZIA B</t>
  </si>
  <si>
    <t>ANARAC EMPREENDIMENTO E PARTICIPAÇÕES</t>
  </si>
  <si>
    <t>GRUPO VOETUR</t>
  </si>
  <si>
    <t>ANASTASSIADIS ARQUITETOS LTDA.</t>
  </si>
  <si>
    <t>ANASTASSIADIS</t>
  </si>
  <si>
    <t>Anastatia Cintia Amaral Nascimento</t>
  </si>
  <si>
    <t>Anastatia Cintia Ama</t>
  </si>
  <si>
    <t>ANDERLEIA PAIVA</t>
  </si>
  <si>
    <t>ANDERSON</t>
  </si>
  <si>
    <t>ANDRADE E MARTINS LTDA</t>
  </si>
  <si>
    <t>HOTEL CONFORTO</t>
  </si>
  <si>
    <t>ANDRÉ BANDEIRA</t>
  </si>
  <si>
    <t>Andre Custodio</t>
  </si>
  <si>
    <t>ANDRÉ FELIPE TAVARES VERÇOSA COELHO</t>
  </si>
  <si>
    <t>ANDRÉ FELIPE TAVARES</t>
  </si>
  <si>
    <t>ANDRE MARTINS</t>
  </si>
  <si>
    <t>ANDRE (TRIPLEX)</t>
  </si>
  <si>
    <t>Andre Ramos de Oliveira</t>
  </si>
  <si>
    <t>Andre Ramos de Olive</t>
  </si>
  <si>
    <t>ANDRE SANDOVAL DE ANDRADE RISSO</t>
  </si>
  <si>
    <t>ANDRE SANDOVAL DE AN</t>
  </si>
  <si>
    <t>ANDRÉ SILVA DE OLIVEIRA</t>
  </si>
  <si>
    <t>ANDRÉ SILVA</t>
  </si>
  <si>
    <t>ANDREA BASTOS DE SOUZA SIQUEIRA</t>
  </si>
  <si>
    <t>ANDREA BASTOS DE SOU</t>
  </si>
  <si>
    <t>Andrea Bezerra</t>
  </si>
  <si>
    <t>ANDREA CARVALHO DA COSTA</t>
  </si>
  <si>
    <t>ANDREA CARVALHO DA C</t>
  </si>
  <si>
    <t>ANDREA DE ALMEIDA PAIM DE ANDRADE</t>
  </si>
  <si>
    <t>ANDREA DE ALMEIDA PA</t>
  </si>
  <si>
    <t>ANDREA FINK</t>
  </si>
  <si>
    <t>ANDREA OBERIAENDER</t>
  </si>
  <si>
    <t>Andreia</t>
  </si>
  <si>
    <t>Andressa</t>
  </si>
  <si>
    <t>ANDRESSA CAMPANELLI</t>
  </si>
  <si>
    <t>ANE CASA COMERCIO DE MOVEIS LTDA</t>
  </si>
  <si>
    <t>ANE CASA</t>
  </si>
  <si>
    <t>ANGEIRAS FERREIRA EMPREENDIMENTOS E PARTICIPACOES</t>
  </si>
  <si>
    <t>ANGEIRAS- LUCIANA</t>
  </si>
  <si>
    <t>ANGELITA WISNIESKI DA SILVA</t>
  </si>
  <si>
    <t>ANGELITA WISNIESKI D</t>
  </si>
  <si>
    <t>ANIELY BATISTA FONSECA</t>
  </si>
  <si>
    <t>ANIELY BATISTA FONSE</t>
  </si>
  <si>
    <t>ANIMA MUNDI - INSTITUTO DE DESENVOLVIMENTO HUMANO</t>
  </si>
  <si>
    <t>ANIMA MUNDI</t>
  </si>
  <si>
    <t>Ankel Marcio Morais Sousa</t>
  </si>
  <si>
    <t>Ankel Marcio Morais</t>
  </si>
  <si>
    <t>Anna Backheuser</t>
  </si>
  <si>
    <t>ANNA CHRISTINA RIBEIRO AGUILAR</t>
  </si>
  <si>
    <t>ANNA CHRISTINA RIBEI</t>
  </si>
  <si>
    <t>ANNA CLASSIC EMPREENDIMENTOS LTDA</t>
  </si>
  <si>
    <t>GRUPO ARENA IPANEMA</t>
  </si>
  <si>
    <t>ANNA CLAUDIA LAZZARINI</t>
  </si>
  <si>
    <t>ANNA CLAUDIA (VHOUSE</t>
  </si>
  <si>
    <t>Anna Oliveira</t>
  </si>
  <si>
    <t>ANNA ROMERO FASANO</t>
  </si>
  <si>
    <t>ANNA TEREZA VALE</t>
  </si>
  <si>
    <t>ANNE CAROLINA</t>
  </si>
  <si>
    <t>Anne Laura Aguiar</t>
  </si>
  <si>
    <t>ANNECY POUSADA LTDA - ME</t>
  </si>
  <si>
    <t>POUSADA ANNECY</t>
  </si>
  <si>
    <t>ANNELISE PETTINATI</t>
  </si>
  <si>
    <t>Anne-Sophie Goncalves Vargas</t>
  </si>
  <si>
    <t>Anne-Sophie Goncalve</t>
  </si>
  <si>
    <t>ANORIVAL VICENTE NUNES JUNIOR LTDA
FILIAL</t>
  </si>
  <si>
    <t>FAUFAU BEBE</t>
  </si>
  <si>
    <t>ANTONELLA D´ACUNZO CAVALCANTI</t>
  </si>
  <si>
    <t>ANTONELLA (TRIPLEX)</t>
  </si>
  <si>
    <t>Antonio Vieira Da Conceicao</t>
  </si>
  <si>
    <t>Antonio Vieira Da Co</t>
  </si>
  <si>
    <t>ANTTUNINA POUSADA SPA LTDA</t>
  </si>
  <si>
    <t>ANTTUNINA POUSADA</t>
  </si>
  <si>
    <t>Aparecida Mayumi Nagamori de Souza</t>
  </si>
  <si>
    <t>Aparecida Mayumi Nag</t>
  </si>
  <si>
    <t>APARICIOFER COMERCIO DE FERRO E ACO LTD</t>
  </si>
  <si>
    <t>HARAS SANTA PLACEDES</t>
  </si>
  <si>
    <t>APETRECHO ENXOVAIS E DECORACAO LTDA</t>
  </si>
  <si>
    <t>APETRECHO ENX E DECO</t>
  </si>
  <si>
    <t>APPLE HOUSE POUSADA LTDA</t>
  </si>
  <si>
    <t>APPLE HOUSE POUSADA</t>
  </si>
  <si>
    <t>APUA BOUTIQUE HOTEL EIRELI</t>
  </si>
  <si>
    <t>APUA BOUTIQUE HOTEL</t>
  </si>
  <si>
    <t>AQUADRIL TURISMO E MEIO AMBIENTE LTDA - ME</t>
  </si>
  <si>
    <t>REFUGIO DA VILLA</t>
  </si>
  <si>
    <t>ARA HOTEIS LTDA</t>
  </si>
  <si>
    <t>ARAS RESORTS</t>
  </si>
  <si>
    <t>LA FLEUR  RESORT</t>
  </si>
  <si>
    <t>ARENA IPANEMA HOTEL LTDA</t>
  </si>
  <si>
    <t>ARENA IPANEMA HOTEL</t>
  </si>
  <si>
    <t>ARENA LEME HOTEL LTDA</t>
  </si>
  <si>
    <t>ARENA LEME</t>
  </si>
  <si>
    <t>Ari kaye</t>
  </si>
  <si>
    <t>Ariadne Bigheti</t>
  </si>
  <si>
    <t>ARIANA</t>
  </si>
  <si>
    <t>ARIANE</t>
  </si>
  <si>
    <t>Ariane Carvalho De Araujo</t>
  </si>
  <si>
    <t>Ariane Carvalho De A</t>
  </si>
  <si>
    <t>Ariani cristina Machado De almeida</t>
  </si>
  <si>
    <t>Ariani cristina Mach</t>
  </si>
  <si>
    <t>ARION CARVALHO</t>
  </si>
  <si>
    <t>ARIOVALDO GIOLO DOS SANTOS</t>
  </si>
  <si>
    <t>ARIOVALDO GIOLO DOS</t>
  </si>
  <si>
    <t>ARMARINHOS A BRASILEIRA LTDA</t>
  </si>
  <si>
    <t>ARMARINHO</t>
  </si>
  <si>
    <t>ARMEL ESQUADRIAS DE ALUMINIO LTDA</t>
  </si>
  <si>
    <t>ARMEL (VHOUSE)</t>
  </si>
  <si>
    <t>ARPOADOR DE HOTEIS E TURISMO LTDA</t>
  </si>
  <si>
    <t>ARPOADOR INN</t>
  </si>
  <si>
    <t>IPANEMA INN</t>
  </si>
  <si>
    <t>ARPOADOR FASHION HOTEL EMPREENDIMENTO SPE S/A</t>
  </si>
  <si>
    <t>BW ARPOADOR</t>
  </si>
  <si>
    <t>ARQTUR ARQUITETURA E INTERIORES</t>
  </si>
  <si>
    <t>ARTUR KINHITI ABE</t>
  </si>
  <si>
    <t>ARQUIBRAND COMERCIO E CONFECCOES DE ROUPAS LTDA</t>
  </si>
  <si>
    <t>ARQUIBRAND COMERCIO</t>
  </si>
  <si>
    <t>ART ROOM COMERCIAL LTDA EPP</t>
  </si>
  <si>
    <t>LOFT HOME</t>
  </si>
  <si>
    <t>ARTEMIS COMERCIO DE JOIAS, SEMI JOIAS E BIJUTERIAS</t>
  </si>
  <si>
    <t>ARTEMIS</t>
  </si>
  <si>
    <t>ARTESANATO PERNAMBUCANO</t>
  </si>
  <si>
    <t>MARIA JOSÉ ALMEIDA S</t>
  </si>
  <si>
    <t>ARVOREDO EMPREENDIMENTOS LTDA</t>
  </si>
  <si>
    <t>ARVOREDO EMPREENDIME</t>
  </si>
  <si>
    <t>AS CLARAS SERVICOS EIRELI - ME</t>
  </si>
  <si>
    <t>LAVANDERIA 5 ESTRELA</t>
  </si>
  <si>
    <t>ASAS HOTELARIA LTDA - ME</t>
  </si>
  <si>
    <t>POUSADA DO ENGENHO</t>
  </si>
  <si>
    <t>ASMEK EMPREENDIMENTOS E PARTIPACÇÕES</t>
  </si>
  <si>
    <t>CASA DAS CONCHAS</t>
  </si>
  <si>
    <t>ASR EMPREENDIMENTOS HOTELEIROS LTDA</t>
  </si>
  <si>
    <t>CAMPO BAHIA</t>
  </si>
  <si>
    <t>ASSET ATIVIDADES HOTELEIRAS LTDA</t>
  </si>
  <si>
    <t>PULLMAN IBIRAPUERA</t>
  </si>
  <si>
    <t>ASSOCIACAO BENEFICENTE DE CAMPO GRANDE</t>
  </si>
  <si>
    <t>SANTA CASA</t>
  </si>
  <si>
    <t>ASSOCIACAO BRASILEIRA A HEBRAICA DE SAO PAULO</t>
  </si>
  <si>
    <t>CLUBE HEBRAICA</t>
  </si>
  <si>
    <t>ASSOCIACAO BRASILEIRA DE GOVERNANTAS E PROFISSIONA</t>
  </si>
  <si>
    <t>ASSOCIACAO BRASILEIR</t>
  </si>
  <si>
    <t>ASSOCIACAO CEDRO DO LIBANO DE PROTECAO A INFANCIA</t>
  </si>
  <si>
    <t>ASSOCIACAO CEDRO DO</t>
  </si>
  <si>
    <t>ASSOCIAÇÃO CLUBE WAVE 1</t>
  </si>
  <si>
    <t>BEYOND SP</t>
  </si>
  <si>
    <t>ASSOCIACAO CONGREGACAO DE SANTA CATARINA</t>
  </si>
  <si>
    <t>CASA SAUDE SÃO JOSÉ</t>
  </si>
  <si>
    <t>ASSOCIACAO CONGREGACAO DESANTA CATARINA</t>
  </si>
  <si>
    <t>HOSP SANTA CATARINA</t>
  </si>
  <si>
    <t>ASSOCIACAO DE DESENVOLVIMENTO EDUC.CULT.</t>
  </si>
  <si>
    <t>ADEC</t>
  </si>
  <si>
    <t>ASSOCIAÇÃO DE MORADORES DO LT FAZENDA DONA CAROLIN</t>
  </si>
  <si>
    <t>COND. DONA CAROLINA</t>
  </si>
  <si>
    <t>ASSOCIACAO DO SANATORIO SIRIO</t>
  </si>
  <si>
    <t>HOSPITAL DO CORACAO</t>
  </si>
  <si>
    <t>ASSOCIACAO DOS CONDOMINOS NA FRACOES IDEAIS DE TER</t>
  </si>
  <si>
    <t>ASSOSSIACAO DO EDIFI</t>
  </si>
  <si>
    <t>ASSOCIACAO DOS FORNECEDORES DE CANA DE PIRACICABA</t>
  </si>
  <si>
    <t>HOSP FORNEC DE CANA</t>
  </si>
  <si>
    <t>ASSOCIACAO DOS MAGISTRADOS DO ESTADO DE GOIAS</t>
  </si>
  <si>
    <t>ASMEGO</t>
  </si>
  <si>
    <t>ASSOCIACAO DOS MAGISTRADOS DO ESTADO DE RONDONIA -</t>
  </si>
  <si>
    <t>AMERON</t>
  </si>
  <si>
    <t>ASSOCIACAO HAKKA CHUNG TSAN CULTURAL DO BRASIL</t>
  </si>
  <si>
    <t>ASSOCIACAO HAKKA CHU</t>
  </si>
  <si>
    <t>ASSOCIACAO HOSPITALAR MOINHOS DE VENTO</t>
  </si>
  <si>
    <t>HOSPITAL RESTINGA</t>
  </si>
  <si>
    <t>MOINHOS DE VENTO</t>
  </si>
  <si>
    <t>ASSOCIACAO PARANAENSE DE CULTURA - APC</t>
  </si>
  <si>
    <t>HOSPITAL MARCELINO C</t>
  </si>
  <si>
    <t>ASSOCIAÇÃO RESIDENCIAL FAZENDA SANTO ANTONIO –HARA</t>
  </si>
  <si>
    <t>HARAS LARISSA</t>
  </si>
  <si>
    <t>ASTN PARTICIPACOES S/A</t>
  </si>
  <si>
    <t>SETIN INCORPORADORA</t>
  </si>
  <si>
    <t>ATELIER COUVERT LTDA</t>
  </si>
  <si>
    <t>ATENA AGROPECUARIA LTDA</t>
  </si>
  <si>
    <t>ATENA AGROPECUARIA</t>
  </si>
  <si>
    <t>ATLANTA REPRESENTACOES LTDA - ME</t>
  </si>
  <si>
    <t>ATALANTA REPRESENTAC</t>
  </si>
  <si>
    <t>ATLANTICA HOSPITALITY INTERNATIONAL</t>
  </si>
  <si>
    <t>RADISSON CAMPINAS</t>
  </si>
  <si>
    <t>ATLANTICA HOTELS</t>
  </si>
  <si>
    <t>QUALITY VILA VELHA</t>
  </si>
  <si>
    <t>ATLANTICA HOTELS INTERNATINAL (BRASIL) LTDA</t>
  </si>
  <si>
    <t>METROPOLITAN HOTEL</t>
  </si>
  <si>
    <t>ATLANTICA HOTELS INTERNATIONAL</t>
  </si>
  <si>
    <t>HOTEL SPA TOSCANINI</t>
  </si>
  <si>
    <t>ATLANTICA HOTELS INTERNATIONAL - RADISSON BERRINI</t>
  </si>
  <si>
    <t>PARK IN BERRINI</t>
  </si>
  <si>
    <t>ATLANTICA HOTELS INTERNATIONAL BRASIL LTDA</t>
  </si>
  <si>
    <t>CLARION - JADE</t>
  </si>
  <si>
    <t>COMFORT SUITES BRASI</t>
  </si>
  <si>
    <t>COMFORT MACAE</t>
  </si>
  <si>
    <t>RADISSON OSCAR FREIR</t>
  </si>
  <si>
    <t>QUALITY AFONSO PENA</t>
  </si>
  <si>
    <t>ATLANTICA HOTELS INT</t>
  </si>
  <si>
    <t>CONFORT FORTALEZA</t>
  </si>
  <si>
    <t>QUALITY FARIA LIMA</t>
  </si>
  <si>
    <t>CONFORT SUITE CAMPIN</t>
  </si>
  <si>
    <t>RADISSON PORTO ALEGR</t>
  </si>
  <si>
    <t>SLEEP INN CAMPINAS</t>
  </si>
  <si>
    <t>RADISSON BLU SP</t>
  </si>
  <si>
    <t>QUALITY SUIT BELA CI</t>
  </si>
  <si>
    <t>QUALITY ITAIPAVA</t>
  </si>
  <si>
    <t>RADISSON VIL OLIMPIA</t>
  </si>
  <si>
    <t>SUITES FLAMBOYANT</t>
  </si>
  <si>
    <t>RADISSON ALPHAVILLE</t>
  </si>
  <si>
    <t>COMFORT ALPHAVILLE</t>
  </si>
  <si>
    <t>COMFORT IBIRAPUERA</t>
  </si>
  <si>
    <t>COMFORT GOYTACAZES</t>
  </si>
  <si>
    <t>COPACABANA SUITES</t>
  </si>
  <si>
    <t>QUALITY  ALPHAVILLE</t>
  </si>
  <si>
    <t>CONFORT INN RIBEIRAO</t>
  </si>
  <si>
    <t>COMFORT HOTEL TAGUAT</t>
  </si>
  <si>
    <t>RADISSON MAIORANA</t>
  </si>
  <si>
    <t>QUALIT HOTEL SÃO CAE</t>
  </si>
  <si>
    <t>QUALITY NITEROI</t>
  </si>
  <si>
    <t>QUALITY SUITES JOÃO</t>
  </si>
  <si>
    <t>RADISSON PAULISTA</t>
  </si>
  <si>
    <t>COND EDIF METRO FLAT</t>
  </si>
  <si>
    <t>COND COMFORT SUITES</t>
  </si>
  <si>
    <t>PARK INN BERRIN</t>
  </si>
  <si>
    <t>QUALITY BARRA DA TIJ</t>
  </si>
  <si>
    <t>QUALITY PORTO ALEGRE</t>
  </si>
  <si>
    <t>GO INN BELO HORIZONT</t>
  </si>
  <si>
    <t>COMFORT MACEIO</t>
  </si>
  <si>
    <t>COND FLAT BEIRA MAR</t>
  </si>
  <si>
    <t>COMFORT HOTEL GUARUL</t>
  </si>
  <si>
    <t>QUALITY MANAUS</t>
  </si>
  <si>
    <t>E-SUITES GOYTACAZES</t>
  </si>
  <si>
    <t>QUALITY SÃO CAETANO</t>
  </si>
  <si>
    <t>QUALITY JARDINS</t>
  </si>
  <si>
    <t>HILTON GARDEN INN BH</t>
  </si>
  <si>
    <t>ATLANTICA GOIANIA</t>
  </si>
  <si>
    <t>QUALITY OSCAR FREIRE</t>
  </si>
  <si>
    <t>WYNDHAM GARDEN RP</t>
  </si>
  <si>
    <t>DOUBLE TREE ITAIM</t>
  </si>
  <si>
    <t>ATLANTICO SUL EMPREENDIMENTOS LTDA</t>
  </si>
  <si>
    <t>POUSADA MORENA</t>
  </si>
  <si>
    <t>ATMÃ ECOLODGE RESTAURANTE E HOTEL LTDA - EPP</t>
  </si>
  <si>
    <t>POUSADA ATMÃ</t>
  </si>
  <si>
    <t>ATMOSFERA GESTÃO E HIG. TEXTEIS</t>
  </si>
  <si>
    <t>ATMOSFERA BH</t>
  </si>
  <si>
    <t>ATMOSFERA GESTAO E HIGIENIZACAO DE TEXTEIS S.A.</t>
  </si>
  <si>
    <t>ATMOSFERA RJ</t>
  </si>
  <si>
    <t>ATMOSFERA - JUNDIAI</t>
  </si>
  <si>
    <t>ATMOSFERA ST BARBARA</t>
  </si>
  <si>
    <t>ATMOSFERA JUNDIAI</t>
  </si>
  <si>
    <t>ATR REPRESENTACOES COMERCIAIS LTDA - EPP</t>
  </si>
  <si>
    <t>ATR REPRESENTACOES</t>
  </si>
  <si>
    <t>ATRIUM CONCORDE ENSINO E LAZER LTDA</t>
  </si>
  <si>
    <t>ATRIUM CONCORDE</t>
  </si>
  <si>
    <t>Audrey De Freitas Gudes</t>
  </si>
  <si>
    <t>Audrey De Freitas Gu</t>
  </si>
  <si>
    <t>AUGUSTA MACHADO</t>
  </si>
  <si>
    <t>AUGUSTO EMPREENDIMENTOS TURISTICOS LTDA ME</t>
  </si>
  <si>
    <t>HOTEL HENRIQUE DIAS</t>
  </si>
  <si>
    <t>AUREA NEGROMONTE ARRAES</t>
  </si>
  <si>
    <t>AUREA NEGROMONTE ARR</t>
  </si>
  <si>
    <t>AURORA SERVIÇOS DE BEM ESTAR E ESTETICA LTDA</t>
  </si>
  <si>
    <t>GAYA SPA</t>
  </si>
  <si>
    <t>AUTO POSTO MG 491 LTDA</t>
  </si>
  <si>
    <t>PUNTA DEL ESTE</t>
  </si>
  <si>
    <t>AVAL HOTEIS LTDA</t>
  </si>
  <si>
    <t>AVATAR SERVICOS DE HOSPEDAGENS LTDA</t>
  </si>
  <si>
    <t>AVATAR</t>
  </si>
  <si>
    <t>AVENIDA PARK HOTEL LTDA</t>
  </si>
  <si>
    <t>PARK HOTEL</t>
  </si>
  <si>
    <t>AYF BRINDES E EMBALAGENS LTDA</t>
  </si>
  <si>
    <t>ARBORE COMUNICAÇÃO</t>
  </si>
  <si>
    <t>AYO FITNESS E BEM ESTAR LTDA - ME</t>
  </si>
  <si>
    <t>AYO FITNESS CLUB</t>
  </si>
  <si>
    <t>AYO FITNESS E BEM ESTAR LTDA ME</t>
  </si>
  <si>
    <t>AYO FITNESS</t>
  </si>
  <si>
    <t>AYO SPA LTDA</t>
  </si>
  <si>
    <t>AYOZEN ATIVIDADES DE CONDICIONAMENTO LTDA</t>
  </si>
  <si>
    <t>AYOZEN</t>
  </si>
  <si>
    <t>AYSU POUSADA LTDA</t>
  </si>
  <si>
    <t>AYSU POUSADA</t>
  </si>
  <si>
    <t>AYSU TRANCOSO HOTEL LTDA</t>
  </si>
  <si>
    <t>AYSU TRANCOSO HOTEL</t>
  </si>
  <si>
    <t>AZETZ GESTÃO EMPRESARIAL E PARTICIPAÇOES LTDA</t>
  </si>
  <si>
    <t>AZETZ</t>
  </si>
  <si>
    <t>AZEVEDO CAMPOS DECORACOES LTDA - ME</t>
  </si>
  <si>
    <t>AZEVEDO</t>
  </si>
  <si>
    <t>AZUL 4 AREAL EMPREENDIMENTOS E CONSTRUCOES LTDA</t>
  </si>
  <si>
    <t>BORGO DEL VINO</t>
  </si>
  <si>
    <t>B&amp;B HOTELS BRASIL HOTELARIA E INVESTIMENTOS LTDA</t>
  </si>
  <si>
    <t>B&amp;B HOTELS BRASIL</t>
  </si>
  <si>
    <t>B.P. CAMPINAS COMERCIO DE MOVEIS E ACESSORIOS INFA</t>
  </si>
  <si>
    <t>BICHO PAPÃO CAMPINAS</t>
  </si>
  <si>
    <t>BABIES R US RIO COMERCIO DE VESTUARIO LTDA</t>
  </si>
  <si>
    <t>BABIESRUS</t>
  </si>
  <si>
    <t>BAGNE E LOPES COMERCIO DE SUPLEMENTOS ALIMENTARES</t>
  </si>
  <si>
    <t>BAGNE E LOPES</t>
  </si>
  <si>
    <t>BAHIA BEACH EMPREENDIMENTOS IMOB. E HOTELARIA S.A.</t>
  </si>
  <si>
    <t>FASANO TRANCOSO</t>
  </si>
  <si>
    <t>BAHIA BEACH EMPREENDIMENTOS IMOBILIÁRIOS E HOT.</t>
  </si>
  <si>
    <t>ITAPOROROCA-FASANO</t>
  </si>
  <si>
    <t>BAHIA BEACH PARTICIPACOES LTDA.</t>
  </si>
  <si>
    <t>BAHIA BEACH</t>
  </si>
  <si>
    <t>BAHIA BONITA COMERCIO DE BAR RESTAURANTE E HOSPEDA</t>
  </si>
  <si>
    <t>BAHIA BONITA</t>
  </si>
  <si>
    <t>BAHIA BONITA QUADRADO HOSPEDAGENS LTDA</t>
  </si>
  <si>
    <t>POUSADA BAHIA BONITA</t>
  </si>
  <si>
    <t>BAHIA EMPREENDIMENTOS TURISTICOS E LAZER LTDA</t>
  </si>
  <si>
    <t>ARRAIAL D´AJUDA ECO</t>
  </si>
  <si>
    <t>BAIXIO TURISMO LTDA</t>
  </si>
  <si>
    <t>HOTEL SLAVIERO</t>
  </si>
  <si>
    <t>BANGALO BELEM SERVICOS DE HOSPEDAGEM EIRELI</t>
  </si>
  <si>
    <t>BANGALO BELEM SERVIC</t>
  </si>
  <si>
    <t>BANGALO PISCINAS NATURAIS LTDA</t>
  </si>
  <si>
    <t>MAIHAI</t>
  </si>
  <si>
    <t>BAR DA TORRE CAMINHO DE AREIA LTDA</t>
  </si>
  <si>
    <t>BAR DA TORRE</t>
  </si>
  <si>
    <t>BÁRBARA BEAUMARTIN</t>
  </si>
  <si>
    <t>BARBARA DE ABREU MORI</t>
  </si>
  <si>
    <t>BARBARA DE ABREU MOR</t>
  </si>
  <si>
    <t>BARRA BONITA SHOPPING EMPREEND E PART LTDA</t>
  </si>
  <si>
    <t>RAMADA RECREIO SHOPP</t>
  </si>
  <si>
    <t>BARRA GRANDE KITE CAMP LTDA - ME</t>
  </si>
  <si>
    <t>BARRA GRANDE KITE CA</t>
  </si>
  <si>
    <t>BARROSO &amp; BEZERRA EMPREENDIMENTOS LTDA</t>
  </si>
  <si>
    <t>BARROSO &amp; BEZERRA</t>
  </si>
  <si>
    <t>BAVES ADMINISTRADORA DE BENS LTDA</t>
  </si>
  <si>
    <t>BAVES</t>
  </si>
  <si>
    <t>BCMF ARQUITETURA E ENGENHARIA LTDA - EPP</t>
  </si>
  <si>
    <t>CASARÃO OURO PRETO</t>
  </si>
  <si>
    <t>BEACH PARK HOTEIS E TURISMO S/A</t>
  </si>
  <si>
    <t>BEACH</t>
  </si>
  <si>
    <t>BEACH PARK OCEANI</t>
  </si>
  <si>
    <t>WELLNESS</t>
  </si>
  <si>
    <t>MARIUBA</t>
  </si>
  <si>
    <t>ACQUA RESORT</t>
  </si>
  <si>
    <t>BEACH PARK OHANA EMP</t>
  </si>
  <si>
    <t>Beatriz Andrade</t>
  </si>
  <si>
    <t>Beatriz Goes</t>
  </si>
  <si>
    <t>BEATRIZ MELO NAY</t>
  </si>
  <si>
    <t>BEATRIZ MESSEDER SANCHES</t>
  </si>
  <si>
    <t>BEATRIZ MESSEDER SAN</t>
  </si>
  <si>
    <t>Beatriz Monteiro</t>
  </si>
  <si>
    <t>BED &amp; BATH LOCACAO DE ENXOVAIS LTDA</t>
  </si>
  <si>
    <t>TERRA COTTON</t>
  </si>
  <si>
    <t>BELINDA EMPREENDIMENTOS IMOBILIARIOS LTDA</t>
  </si>
  <si>
    <t>ROSSI</t>
  </si>
  <si>
    <t>Beliza Mara Rodrigues De Freitas Araujo</t>
  </si>
  <si>
    <t>Beliza Mara Rodrigue</t>
  </si>
  <si>
    <t>BELLAGA DECOR ARTIGOS DE DECORACAO PARA BEBE LTDA</t>
  </si>
  <si>
    <t>BELLAGA DECOR</t>
  </si>
  <si>
    <t>BELMOND BRASIL HOTEIS SA</t>
  </si>
  <si>
    <t>HOTEL DAS CATARATAS</t>
  </si>
  <si>
    <t>BENDITO CACAO RESORT E SPA LTDA</t>
  </si>
  <si>
    <t>HOTEL BENDITO CACAO</t>
  </si>
  <si>
    <t>BENDITO SEJA POUSADA E RESTAURANTE LTDA - ME</t>
  </si>
  <si>
    <t>BENDITO SEJA POUSADA</t>
  </si>
  <si>
    <t>Benedita Claudia De Oliveira</t>
  </si>
  <si>
    <t>Benedita Claudia De</t>
  </si>
  <si>
    <t>BENIDORM PALACE HOTEL LTDA</t>
  </si>
  <si>
    <t>BENIDORM</t>
  </si>
  <si>
    <t>BENONI PEREIRA DE SA DOS SANTOS</t>
  </si>
  <si>
    <t>BENONI PEREIRA DE SA</t>
  </si>
  <si>
    <t>BENTO E MAITE COMERCIO DO VESTUARIO LTDA</t>
  </si>
  <si>
    <t>SERV PLANT</t>
  </si>
  <si>
    <t>BERENICE LIMA</t>
  </si>
  <si>
    <t>BERNARDO PORTUGAL SILVA RAPOSO</t>
  </si>
  <si>
    <t>BERNARDO PORTUGAL SI</t>
  </si>
  <si>
    <t>BEST CLEAN LAVANDERIA INDUSTRIAL E HOSPITALAR EIRE</t>
  </si>
  <si>
    <t>LAVANDERIA BEST CLEA</t>
  </si>
  <si>
    <t>BESTPOINT PRODUTORA LTDA</t>
  </si>
  <si>
    <t>BESTPOINT PRODUTORA</t>
  </si>
  <si>
    <t>BETAMPEX-BRA COMERCIO, IMPORTACAO E EXPORTACAO LTD</t>
  </si>
  <si>
    <t>BETAMPEX-BRA</t>
  </si>
  <si>
    <t>BETTINA POGGI</t>
  </si>
  <si>
    <t>BETTONI MALTA ADMINISTRACAO DE BENS PROPRIOS E PAR</t>
  </si>
  <si>
    <t>BETTONI MALTA</t>
  </si>
  <si>
    <t>BHG IMOBILIARIA HOTELARIA E TURISMO S/A</t>
  </si>
  <si>
    <t>ROYAL TULIP SÃO CONR</t>
  </si>
  <si>
    <t>BHG S A-BRAZIL HOSPITALITY GROUP</t>
  </si>
  <si>
    <t>L M EMPREENDIMENTOS</t>
  </si>
  <si>
    <t>BHG S.A. - BRAZIL HOSPITALITY GROUP</t>
  </si>
  <si>
    <t>BHG S.A. - BRAZIL HO</t>
  </si>
  <si>
    <t>GOLDEN TULIP RIO COP</t>
  </si>
  <si>
    <t>GOLDEN TULIP RIO LEM</t>
  </si>
  <si>
    <t>MERCURE CURITIBA AER</t>
  </si>
  <si>
    <t>IBIS BATEL CURITIBA</t>
  </si>
  <si>
    <t>BHG S.A. BRAZIL HOSPITALITY GROUP</t>
  </si>
  <si>
    <t>GOLD TULIP BELAS ART</t>
  </si>
  <si>
    <t>GOLDEN TULIP ANGRA</t>
  </si>
  <si>
    <t>IBIS STYLES CURITIBA</t>
  </si>
  <si>
    <t>MERCURE RJ COPACABAN</t>
  </si>
  <si>
    <t>BHG SUDESTE EMPREENDIMENTO HOTELEIRO LTDA.</t>
  </si>
  <si>
    <t>GOLDEN TULIP REGENTE</t>
  </si>
  <si>
    <t>Bia</t>
  </si>
  <si>
    <t>BIALESKI ARTIGOS DO VESTUARIO LTDA - ME</t>
  </si>
  <si>
    <t>BIALESKI ARTIGOS</t>
  </si>
  <si>
    <t>BIANCA BORGES DE ALCÂNTARA CARVALHO</t>
  </si>
  <si>
    <t>BIANCA BORGES DE ALC</t>
  </si>
  <si>
    <t>Bianca Marcelo Mendes</t>
  </si>
  <si>
    <t>Bianca Marcelo Mende</t>
  </si>
  <si>
    <t>Bianca Paola Santos Magalhaes</t>
  </si>
  <si>
    <t>Bianca Paola Santos</t>
  </si>
  <si>
    <t>BIANCA SANDRIN DE MELO PIERRE</t>
  </si>
  <si>
    <t>BIANCA SANDRIN DE ME</t>
  </si>
  <si>
    <t>BIANKA BORNER</t>
  </si>
  <si>
    <t>BICK SIMONATO Y ARQUITETURA DE INTERIORES LTDA - E</t>
  </si>
  <si>
    <t>BICK SIMONATO Y ARQU</t>
  </si>
  <si>
    <t>BILLOW INVESTIMENTOS E PARTICIPACOES LTDA</t>
  </si>
  <si>
    <t>BILLOW INVESTIMENTOS</t>
  </si>
  <si>
    <t>BILLY BABY PRODUTOS INFANTIS LTDA</t>
  </si>
  <si>
    <t>AMURA</t>
  </si>
  <si>
    <t>BILLY BABY PRODUTOS</t>
  </si>
  <si>
    <t>AMURA BABY</t>
  </si>
  <si>
    <t>BIOCOR HOSPITAL DE DOENCAS CARDIOVASCULARES S.A.</t>
  </si>
  <si>
    <t>BH DOR</t>
  </si>
  <si>
    <t>BIOSINTETICA FARMACEUTICA LTDA</t>
  </si>
  <si>
    <t>BIOSINTETICA</t>
  </si>
  <si>
    <t>BLAU FARMACEUTICA S.A.</t>
  </si>
  <si>
    <t>BLAU</t>
  </si>
  <si>
    <t>BLU MT LTDA</t>
  </si>
  <si>
    <t>LUV MOTEL</t>
  </si>
  <si>
    <t>BLUE TREE HOTELS &amp; RESORTS DO BRASIL S/A</t>
  </si>
  <si>
    <t>BLUE</t>
  </si>
  <si>
    <t>BLUE TREE HOTELS &amp; RESORTS DO BRASIL S/A.</t>
  </si>
  <si>
    <t>BLUE TREE HOTELS &amp; R</t>
  </si>
  <si>
    <t>BLUEMOON ENTRETENIMENTOS LTDA</t>
  </si>
  <si>
    <t>SPA BABI</t>
  </si>
  <si>
    <t>BLUME ACESSORIOS FEMININOS LTDA EPP</t>
  </si>
  <si>
    <t>BLUME</t>
  </si>
  <si>
    <t>BM EMPREENDIMENTOS E PARTICIPACOES S.A.</t>
  </si>
  <si>
    <t>ROSEWOOD</t>
  </si>
  <si>
    <t>BNBG001 INTERMEDIAÇÃO E AGENCIAMENTO LTDA</t>
  </si>
  <si>
    <t>BNB GUEST</t>
  </si>
  <si>
    <t>BOA VISTA DE DESENVOLVIMENTO IMOBILIARIO E SERVICO</t>
  </si>
  <si>
    <t>FASANO BOA VISTA</t>
  </si>
  <si>
    <t>FASANO CLUB CJ</t>
  </si>
  <si>
    <t>BOA VISTA SERVICOS DE CONCIERGE LTDA</t>
  </si>
  <si>
    <t>BOBZ BOUTIQUE RESORT LTDA - ME</t>
  </si>
  <si>
    <t>BRASIL BIO-ENERGIA</t>
  </si>
  <si>
    <t>BOIRON MEDICAMENTOS HOMEOPÁTICOS LTDA</t>
  </si>
  <si>
    <t>BOIRON LABORATORIO</t>
  </si>
  <si>
    <t>BOIRON MEDICAMENTOS HOMEOPATICOS LTDA.</t>
  </si>
  <si>
    <t>BOIRON-SCELTA ACADEM</t>
  </si>
  <si>
    <t>BONANCA ADMINISTRACAO DE HOTEIS LTDA</t>
  </si>
  <si>
    <t>MAR HOTEL</t>
  </si>
  <si>
    <t>BONAPARTE BARBEARIA LTDA</t>
  </si>
  <si>
    <t>BONAPARTE BARBEARIA</t>
  </si>
  <si>
    <t>BOOKSANTOS SERVICOS DE APOIO ADMINISTRATIVO E CORR</t>
  </si>
  <si>
    <t>BOOK S. FABIO VALENT</t>
  </si>
  <si>
    <t>BORGO HOTELARIA E RESTAURANTE LTDA</t>
  </si>
  <si>
    <t>BORGO DEL VINO HOTEL</t>
  </si>
  <si>
    <t>BOSCO &amp; ASSOCIADOS LTDA</t>
  </si>
  <si>
    <t>BOSCO &amp; ASSOCIADOS L</t>
  </si>
  <si>
    <t>BOSON SPA - BEM - ESTAR, FLUTUACAO E TERAPIAS INTE</t>
  </si>
  <si>
    <t>BOSON SPA</t>
  </si>
  <si>
    <t>BOURBON ADM,COM E SERVICOS HOTELEIROS LTDA</t>
  </si>
  <si>
    <t>BOURBON EXPRESS BATE</t>
  </si>
  <si>
    <t>BOURBON ADMINISTRADORA COMERCIO E SERVICOS HOTELEI</t>
  </si>
  <si>
    <t>BOURBON BH</t>
  </si>
  <si>
    <t>BOURBON ADMINISTRADORA, COMERCIO E SERVICOS HOTELE</t>
  </si>
  <si>
    <t>BOURBON ALPHAVILLE</t>
  </si>
  <si>
    <t>BOURBON CASCAVEL</t>
  </si>
  <si>
    <t>BOURBON DE SAO PAULO HOTELARIA E ADMINISTRACAO DE</t>
  </si>
  <si>
    <t>BOURBON DE SAO PAULO</t>
  </si>
  <si>
    <t>BP CAMPINAS COM. DE MOV. E ACESSORIOS INF LTDA</t>
  </si>
  <si>
    <t>BP CAMPINAS FILIAL B</t>
  </si>
  <si>
    <t>BR MALLS PARTICIPAÇÕES</t>
  </si>
  <si>
    <t>BR MALLS</t>
  </si>
  <si>
    <t>BR PANTALEAO DECORACAO INFANTIL LTDA PINHEIROS</t>
  </si>
  <si>
    <t>BICHO PAPÃO PINHEIRO</t>
  </si>
  <si>
    <t>BRAKA BRASIL PARTICIPACOES LTDA - EPP</t>
  </si>
  <si>
    <t>UXUA -  BRAKA BRASIL</t>
  </si>
  <si>
    <t>BRASCAN SPE RJ-5 S.A.</t>
  </si>
  <si>
    <t>BRASCAN SPE RJ-5 S.A</t>
  </si>
  <si>
    <t>BRASIF S/A ADMINISTRACAO E PARTICIPACOES</t>
  </si>
  <si>
    <t>BRASIF S/A ADMINISTR</t>
  </si>
  <si>
    <t>BRASIF</t>
  </si>
  <si>
    <t>BRASIL 21 EVENTOS E HOTELARIA LTDA</t>
  </si>
  <si>
    <t>BRASIL 21 EVENTOS E</t>
  </si>
  <si>
    <t>BRASIL 21 EVENTOS E HOTELARIA LTDA ( BR 21 SUITES)</t>
  </si>
  <si>
    <t>BRASIL 21 SUITES</t>
  </si>
  <si>
    <t>BRASIL 21 EVENTOS E HOTELARIA LTDA(BR 21 CONVENTIO</t>
  </si>
  <si>
    <t>BRASIL 21 CONVENTION</t>
  </si>
  <si>
    <t>BRASIL YACHT CHARTER TURISMO LTDA</t>
  </si>
  <si>
    <t>BARCO YACHT CHARTER</t>
  </si>
  <si>
    <t>BRASILADENTRO VIAGENS E TURISMO LTDA - ME</t>
  </si>
  <si>
    <t>BRASILADENTRO</t>
  </si>
  <si>
    <t>BRASILIA EMPREENDIMENTOS SERVICOS E PARTICIPACOES</t>
  </si>
  <si>
    <t>B HOTEL RIO DAS PEDR</t>
  </si>
  <si>
    <t>BRASILUX IND COMERCIO IMPORTACAO E EXPORTACAO LTDA</t>
  </si>
  <si>
    <t>BRASILUX IND COMERCI</t>
  </si>
  <si>
    <t>BRASMARK PROMOCOES E CONSTRUCOES LTDA - EPP</t>
  </si>
  <si>
    <t>BRASMARK PROMOCOES</t>
  </si>
  <si>
    <t>BRASTURINVEST INVESTIMENTOS TURISTICOS S/A</t>
  </si>
  <si>
    <t>PESTANA HOTEL CURITI</t>
  </si>
  <si>
    <t>BRASTURINVEST INVEST</t>
  </si>
  <si>
    <t>BRENDA CAROLINE BONETI</t>
  </si>
  <si>
    <t>BRENDA CAROLINE BONE</t>
  </si>
  <si>
    <t>Brenda Goncalvez</t>
  </si>
  <si>
    <t>Brennda Valenca</t>
  </si>
  <si>
    <t>BRIDA</t>
  </si>
  <si>
    <t>BRISA BARRA HOTEL LTDA</t>
  </si>
  <si>
    <t>BRISA</t>
  </si>
  <si>
    <t>BRISAMAR PRAIA HOTEL ILHEUS LTDA</t>
  </si>
  <si>
    <t>BRISAMAR</t>
  </si>
  <si>
    <t>BRISTUR ADMINISTRAÇÃO DE HOTEIS E CONDOMINIOS LTDA</t>
  </si>
  <si>
    <t>BRISTUR HOTEL E COND</t>
  </si>
  <si>
    <t>BRP PARTICIPACOES E INVESTIMENTOS LTDA</t>
  </si>
  <si>
    <t>BRP HOTELARIA</t>
  </si>
  <si>
    <t>BRUNA ALINE</t>
  </si>
  <si>
    <t>Bruna Baade</t>
  </si>
  <si>
    <t>BRUNA BERNARDES DE OLIVEIRA CARDOSO</t>
  </si>
  <si>
    <t>BRUNA BERNARDES DE O</t>
  </si>
  <si>
    <t>Bruna Brito Viana</t>
  </si>
  <si>
    <t>BRUNA CLAUMAN GOULART</t>
  </si>
  <si>
    <t>BRUNA CLAUMAN GOULAR</t>
  </si>
  <si>
    <t>BRUNA DE CASSIA REGIANI CARDOSO FREITAS</t>
  </si>
  <si>
    <t>BRUNA DE CASSIA REGI</t>
  </si>
  <si>
    <t xml:space="preserve">BRUNA DE LA VEGA 
</t>
  </si>
  <si>
    <t>Bruna De Lima Batista</t>
  </si>
  <si>
    <t>Bruna De Lima Batist</t>
  </si>
  <si>
    <t>BRUNA DOS ANJOS MELO NEVES</t>
  </si>
  <si>
    <t>BRUNA DOS ANJOS MELO</t>
  </si>
  <si>
    <t>BRUNA FARIAS</t>
  </si>
  <si>
    <t>Bruna Ferro</t>
  </si>
  <si>
    <t>Bruna Franca</t>
  </si>
  <si>
    <t>Bruna G Carvalho</t>
  </si>
  <si>
    <t>Bruna Magalhaes Pinto Nagoshi</t>
  </si>
  <si>
    <t>Bruna Magalhaes Pint</t>
  </si>
  <si>
    <t>BRUNA MENDES</t>
  </si>
  <si>
    <t>BRUNA MICHELS SPILLERE OLIVO</t>
  </si>
  <si>
    <t>BRUNA MICHELS</t>
  </si>
  <si>
    <t>BRUNA PACIFICO</t>
  </si>
  <si>
    <t>BRUNA PEDRÃO CATIRSE</t>
  </si>
  <si>
    <t>BRUNA RODRIGUES</t>
  </si>
  <si>
    <t>Bruna Soares Pereira Xavier</t>
  </si>
  <si>
    <t>Bruna Soares Pereira</t>
  </si>
  <si>
    <t>BRUNA VALESCA EVANGELISTA</t>
  </si>
  <si>
    <t>BRUNA VALESCA EVANGE</t>
  </si>
  <si>
    <t>Bruna Viola</t>
  </si>
  <si>
    <t>BRUNNA LYVIA</t>
  </si>
  <si>
    <t>BRUNA LYVIA</t>
  </si>
  <si>
    <t>BRUNO ABREU DE SOUZA</t>
  </si>
  <si>
    <t>BRUNO BACCHIN</t>
  </si>
  <si>
    <t>BRUNO COESSENS CAIRES</t>
  </si>
  <si>
    <t>BRUNO COESSENS CAIRE</t>
  </si>
  <si>
    <t>BRUNU S RENT A CAR LTDA</t>
  </si>
  <si>
    <t>RENT A CAR</t>
  </si>
  <si>
    <t>BRW ADMINISTRACAO DE BENS LTDA - ME</t>
  </si>
  <si>
    <t>HOTEL SABLES GUARULH</t>
  </si>
  <si>
    <t>BSM EMPREENDIMENTOS LTDA - EPP</t>
  </si>
  <si>
    <t>HOTEL SERRA NEGRA</t>
  </si>
  <si>
    <t>BT ALPHAVILLE HOTEIS LTDA</t>
  </si>
  <si>
    <t>BT ALPHAVILLE</t>
  </si>
  <si>
    <t>BT ANALIA FRANCO HOTEIS LTDA</t>
  </si>
  <si>
    <t>BT ANALIA FRANCO</t>
  </si>
  <si>
    <t>BT FLORIANOPOLIS HOTEIS LTDA.</t>
  </si>
  <si>
    <t>BT FLORIANOPOLIS</t>
  </si>
  <si>
    <t>BT KIDS FITNESS CENTER</t>
  </si>
  <si>
    <t>BODYTECH BABIES&amp;KIDS</t>
  </si>
  <si>
    <t>BT PAULISTA HOTEIS LTDA</t>
  </si>
  <si>
    <t>BLUE TREE PAULISTA</t>
  </si>
  <si>
    <t>BT VERBO DIVINO HOTEIS LTDA</t>
  </si>
  <si>
    <t>BLUE TREE V. DIVINO</t>
  </si>
  <si>
    <t>BUFFONE &amp; CARRACEDO LTDA - ME</t>
  </si>
  <si>
    <t>RECANTO MARGERIE</t>
  </si>
  <si>
    <t>BUGRE MAR LTDA - ME</t>
  </si>
  <si>
    <t>POUSADA DA PRAIA</t>
  </si>
  <si>
    <t>BUSSADE CLINICA MEDICA E ENDOCRINOLOGIA LTDA - ME</t>
  </si>
  <si>
    <t>CLINICA BUSSADE</t>
  </si>
  <si>
    <t>BYMARI COMERCIO E CONFECCAO DE ROUPAS EM GERAL LTD</t>
  </si>
  <si>
    <t>BYMARI SOB MEDIDA</t>
  </si>
  <si>
    <t>C &amp; D SERVICOS MEDICOS SOCIEDADE SIMPLES</t>
  </si>
  <si>
    <t>NASH</t>
  </si>
  <si>
    <t>C C O COSTA - ME</t>
  </si>
  <si>
    <t>CASA DAS ARTES</t>
  </si>
  <si>
    <t>C DESIGN HOTEL EMPREEDIMENTOS IMOBILIARIOSLTDA</t>
  </si>
  <si>
    <t>C DESIGN HOTEL</t>
  </si>
  <si>
    <t>C DESIGN HOTEL EMPREENDIMENTOS IMOBILIARIOS SPE LT</t>
  </si>
  <si>
    <t>DESIGN HOTEL</t>
  </si>
  <si>
    <t>C L COMERCIO VAREJISTA LTDA</t>
  </si>
  <si>
    <t>AMOR DE BEBE</t>
  </si>
  <si>
    <t>C SOLUCOES LTDA</t>
  </si>
  <si>
    <t>FABIANA QUEIROZ REP.</t>
  </si>
  <si>
    <t>C. E. S. DE VASCONCELLOS</t>
  </si>
  <si>
    <t>POUSADA TARTARUGA</t>
  </si>
  <si>
    <t>C. P. DE CARVALHO</t>
  </si>
  <si>
    <t>KENNZUR BEM ESTAR, B</t>
  </si>
  <si>
    <t>C.A.S.A. PARTICIPACOES LTDA</t>
  </si>
  <si>
    <t>V HOUSE - JFLLIVING</t>
  </si>
  <si>
    <t>C.F. HOTEIS EIRELI</t>
  </si>
  <si>
    <t>ESTALAGEM LACIENDA</t>
  </si>
  <si>
    <t>CABANAS PORTAL DA SERRA</t>
  </si>
  <si>
    <t>CABANAS PORTAL DA SE</t>
  </si>
  <si>
    <t>CADMO CLINICA MEDICA LTDA - EPP</t>
  </si>
  <si>
    <t>CADMO CLINICA MEDICA</t>
  </si>
  <si>
    <t>CAFE VERDE DA QUINTA LTDA</t>
  </si>
  <si>
    <t>RESTAURANT CHEZ LOUI</t>
  </si>
  <si>
    <t>Caio Duarte</t>
  </si>
  <si>
    <t>Caio Henrique Maia Dias</t>
  </si>
  <si>
    <t>Caio Henrique Maia D</t>
  </si>
  <si>
    <t>CAIO MANFREDINI ARAUJO CHOPP E ALIMENTAÇÃO</t>
  </si>
  <si>
    <t>MALA VEIA</t>
  </si>
  <si>
    <t>CAIO MARCO LAZZARNI</t>
  </si>
  <si>
    <t>CAIO MARCO ( VHOUSE</t>
  </si>
  <si>
    <t>CAIS DA PRAIA HOTEL EIRELI</t>
  </si>
  <si>
    <t>CAIS DA PRAIA HOTEL</t>
  </si>
  <si>
    <t>CAJURU INDUSTRIA E COMERCIO DE ALIMENTOS LTDA</t>
  </si>
  <si>
    <t>CAJURU INDUSTRIA E C</t>
  </si>
  <si>
    <t>CALIG  CAPITAL LIGHT PARTCIPAÇOES LTDA</t>
  </si>
  <si>
    <t>CALIG</t>
  </si>
  <si>
    <t>CALOULA LOPES PRODUCOES E EVENTOS LTDA - EPP</t>
  </si>
  <si>
    <t>MONTE</t>
  </si>
  <si>
    <t>Camila</t>
  </si>
  <si>
    <t>CAMILA ALCARAZ</t>
  </si>
  <si>
    <t>CAMILA CAVOUR</t>
  </si>
  <si>
    <t>Camila Cristina Zanatta</t>
  </si>
  <si>
    <t>Camila Cristina Zana</t>
  </si>
  <si>
    <t>CAMILA FREITAS MAGDALENA</t>
  </si>
  <si>
    <t>CAMILA FREITAS MAGDA</t>
  </si>
  <si>
    <t>CAMILA GUIDI</t>
  </si>
  <si>
    <t>CAMILA HELFENSTEIN</t>
  </si>
  <si>
    <t>camila linhares melchioretto</t>
  </si>
  <si>
    <t>camila linhares melc</t>
  </si>
  <si>
    <t>CAMILA LISBOA PRETTI</t>
  </si>
  <si>
    <t>CAMILA MALUCELLI</t>
  </si>
  <si>
    <t>Camila Mota</t>
  </si>
  <si>
    <t>CAMILA NICOLAU</t>
  </si>
  <si>
    <t>Camila Oliveira Viana</t>
  </si>
  <si>
    <t>Camila Oliveira Vian</t>
  </si>
  <si>
    <t>CAMILA PAES LEME XAVIER</t>
  </si>
  <si>
    <t>CAMILA PAES</t>
  </si>
  <si>
    <t>CAMILA RODRIGUES CABRAL</t>
  </si>
  <si>
    <t>CAMILA RODRIGUES CAB</t>
  </si>
  <si>
    <t>CAMILA SAMPAIO COMERCIO E SERVICOS LTDA</t>
  </si>
  <si>
    <t>CAMILA SAMPAIO COM R</t>
  </si>
  <si>
    <t>Camila Sato Facchini</t>
  </si>
  <si>
    <t>CAMILA SOARES ARAUJO</t>
  </si>
  <si>
    <t>Camilla Santiago</t>
  </si>
  <si>
    <t>CAMPILAV EMPRESA CAMPINEIRA DE LAVANDERIA LTDA - E</t>
  </si>
  <si>
    <t>LAVANDERIA CAMPILAV</t>
  </si>
  <si>
    <t>CAMPOS DO JORDÃO SERV. HOTELARIA</t>
  </si>
  <si>
    <t>HOTEL VILA INGLESA</t>
  </si>
  <si>
    <t>CAMPOS DO JORDAO TENIS CLUBE</t>
  </si>
  <si>
    <t>CAMPOS DO JORDAO TEN</t>
  </si>
  <si>
    <t>CAMPOS SOARES DECORACOES LTDA - ME</t>
  </si>
  <si>
    <t>CAMPOS</t>
  </si>
  <si>
    <t>CANADA LODGE POUSADA LTDA - EPP</t>
  </si>
  <si>
    <t>CANADA LODGE POUSADA</t>
  </si>
  <si>
    <t>CÂNDIDO DA NÓBREGA FERREIRA NETO</t>
  </si>
  <si>
    <t>CÂNDIDO DA NOBREGA</t>
  </si>
  <si>
    <t>CANOPUS EMPREENDIMENTOS E INCORPORACOES LTDA</t>
  </si>
  <si>
    <t>CANOPUS</t>
  </si>
  <si>
    <t>CANTAREIRA EXECUTIVE LOFTS LTDA</t>
  </si>
  <si>
    <t>CANTAREIRA HOTEL</t>
  </si>
  <si>
    <t>CANTO MAGICO DA BALEIA EMPREENDIMENTOS LTDA. - ME</t>
  </si>
  <si>
    <t>POUSADA AZUL MARIA</t>
  </si>
  <si>
    <t>CAP DEVILLE ADMINISTRACAO DE BENS E PARTICIPACOES</t>
  </si>
  <si>
    <t>DEVILLE</t>
  </si>
  <si>
    <t>CAPELETTO EMPREENDIMENTOS RURAIS LTDA</t>
  </si>
  <si>
    <t>CAPELETTO EMPREENDIM</t>
  </si>
  <si>
    <t>CARAIVA CASA HOTEL LTDA</t>
  </si>
  <si>
    <t>CARAIVA HOTEL</t>
  </si>
  <si>
    <t>CARINA</t>
  </si>
  <si>
    <t>CARINA CRISTINA DA SILVA GICA</t>
  </si>
  <si>
    <t>CARINA CRISTINA</t>
  </si>
  <si>
    <t>CARINA JUSTINIANO MENOSSI</t>
  </si>
  <si>
    <t>CARINA JUSTINIANO ME</t>
  </si>
  <si>
    <t>Carina sales</t>
  </si>
  <si>
    <t>CARINE RIBEIRO MOREIRA</t>
  </si>
  <si>
    <t>CARINE RIBEIRO MOREI</t>
  </si>
  <si>
    <t>CARLA ARAUJO</t>
  </si>
  <si>
    <t>CARLA CRISTINA MEIRELES</t>
  </si>
  <si>
    <t>CARLA CRISTINA MEIRE</t>
  </si>
  <si>
    <t>CARLA GUSMAO</t>
  </si>
  <si>
    <t>Carla Mendes</t>
  </si>
  <si>
    <t>CARLA RENATA MARTINS</t>
  </si>
  <si>
    <t>CARLA RENATA</t>
  </si>
  <si>
    <t>Carlos Alexandre Oliveira Correa</t>
  </si>
  <si>
    <t>Carlos Alexandre Oli</t>
  </si>
  <si>
    <t>CARLOS ANDRÉ LIMA DE MOURA</t>
  </si>
  <si>
    <t>CARLOS ANDRÉ LIMA</t>
  </si>
  <si>
    <t>CARLOS HENRIQUE DAMACENO PASTRO</t>
  </si>
  <si>
    <t>CARLOS HENRIQUE DAMA</t>
  </si>
  <si>
    <t>Carlos R Souza Fh</t>
  </si>
  <si>
    <t>Carlos Roberto Dourado Wilwerth</t>
  </si>
  <si>
    <t>Carlos Roberto Doura</t>
  </si>
  <si>
    <t>CARLOTA JOAQUINA CABELEIREIROS EIRELI</t>
  </si>
  <si>
    <t>PARADOR SANTA BRANCA</t>
  </si>
  <si>
    <t>CARLTON HOTELARIA E TURISMO LTDA</t>
  </si>
  <si>
    <t>CARLTON HOTEL</t>
  </si>
  <si>
    <t>CARMEL RESORT HOSPEDAGEM LTDA</t>
  </si>
  <si>
    <t>CARMEL</t>
  </si>
  <si>
    <t>CARMEL TAIBA EXCLUSIVE RESORT HOTEIS LTDA</t>
  </si>
  <si>
    <t>CARMEL TAIBA</t>
  </si>
  <si>
    <t>CARMEL WIND RESORT LTDA</t>
  </si>
  <si>
    <t>CARMEL CUMBUCO</t>
  </si>
  <si>
    <t>Carmem Perazzo</t>
  </si>
  <si>
    <t>CARMEN DEBASTIANI</t>
  </si>
  <si>
    <t>CARMEN FICHTNER</t>
  </si>
  <si>
    <t>CARMEN MOREIRA</t>
  </si>
  <si>
    <t>CARMEN TERESINHA FIORIO DA SILVA - ME</t>
  </si>
  <si>
    <t>CARMEN</t>
  </si>
  <si>
    <t>CARNAUBA WIND HOUSE</t>
  </si>
  <si>
    <t>CARNAUBA - VILLAS 1</t>
  </si>
  <si>
    <t>Carolaine Moura</t>
  </si>
  <si>
    <t>CAROLINA CAMPOS MOREIRA</t>
  </si>
  <si>
    <t>CAROLINA CAMPOS MORE</t>
  </si>
  <si>
    <t>CAROLINA CAVALHEIRO ALVES DE QUEIROZ</t>
  </si>
  <si>
    <t>CAROLINA CAVALHEIRO</t>
  </si>
  <si>
    <t>CAROLINA CHAVES D´AVOLA</t>
  </si>
  <si>
    <t>CAROLINA CHAVES D´AV</t>
  </si>
  <si>
    <t>Carolina Chaves De Figueiredo</t>
  </si>
  <si>
    <t>Carolina Chaves De F</t>
  </si>
  <si>
    <t>CAROLINA DE CARVALHO BARCELOS</t>
  </si>
  <si>
    <t>CAROLINA DE CARVALHO</t>
  </si>
  <si>
    <t>CAROLINA DE FREITAS</t>
  </si>
  <si>
    <t>CAROLINA ELISABETH BECKER BRASIL BESSA</t>
  </si>
  <si>
    <t>CAROLINA ELISABETH B</t>
  </si>
  <si>
    <t>CAROLINA GUIMARÃES FRIAS</t>
  </si>
  <si>
    <t>CAROLINA GUIMARÃES F</t>
  </si>
  <si>
    <t>CAROLINA MINEI</t>
  </si>
  <si>
    <t>CAROLINA MORENO WIDONSCK</t>
  </si>
  <si>
    <t>CAROLINA MORENO WIDO</t>
  </si>
  <si>
    <t>Carolina Moura Ferlin</t>
  </si>
  <si>
    <t>Carolina Moura Ferli</t>
  </si>
  <si>
    <t>CAROLINA MOURAO</t>
  </si>
  <si>
    <t>Carolina Oliver Martinez</t>
  </si>
  <si>
    <t>Carolina Oliver Mart</t>
  </si>
  <si>
    <t>CAROLINA SALOMAO</t>
  </si>
  <si>
    <t>Carolina Schweizer</t>
  </si>
  <si>
    <t>CAROLINA SINISGALLI MACÉA</t>
  </si>
  <si>
    <t>CAROLINA SINISGALLI</t>
  </si>
  <si>
    <t>CAROLINA SOUBHIA</t>
  </si>
  <si>
    <t>CAROLINA TODA</t>
  </si>
  <si>
    <t>CAROLINE ANTUNES</t>
  </si>
  <si>
    <t>CAROLINE CARVALHO DE PADUA FERREIRA</t>
  </si>
  <si>
    <t>CAROLINE CARVALHO DE</t>
  </si>
  <si>
    <t>Caroline Favano Assis</t>
  </si>
  <si>
    <t>Caroline Favano Assi</t>
  </si>
  <si>
    <t>Caroline Kinukawa Dos Santos</t>
  </si>
  <si>
    <t>Caroline Kinukawa Do</t>
  </si>
  <si>
    <t>CAROLINNE MOREIRA DE MORAES - ME</t>
  </si>
  <si>
    <t>VILA FULO CASA HOTEL</t>
  </si>
  <si>
    <t>CARROCAO LAZER E TURISMO LTDA</t>
  </si>
  <si>
    <t>SITIO DO CARROÇÃO</t>
  </si>
  <si>
    <t>CARUARU PARK INDOOR LTDA</t>
  </si>
  <si>
    <t>GO PARK</t>
  </si>
  <si>
    <t>CARVALHO HOSKEN HOTELARIA LTDA</t>
  </si>
  <si>
    <t>CARVALHO HOSKEN HOSP</t>
  </si>
  <si>
    <t>HILTON BARRA RIO</t>
  </si>
  <si>
    <t>CASA BLANCA PARK HOTEL LTDA</t>
  </si>
  <si>
    <t>CASA BLANCA PARK</t>
  </si>
  <si>
    <t>CASA DE CARIDADE DE ALFENAS N S P SOCORRO</t>
  </si>
  <si>
    <t>CASA DE CARIDADE DE</t>
  </si>
  <si>
    <t>CASA DE CINEMA PRODUCOES - EIRELI</t>
  </si>
  <si>
    <t>CASA DE CINEMA</t>
  </si>
  <si>
    <t>CASA DE ROCHA POUSADA E RESTAURANTE LTDA</t>
  </si>
  <si>
    <t>CASA DE ROCHA</t>
  </si>
  <si>
    <t>CASA DO BECO TRANCOSO PATRIMONIAL LTDA</t>
  </si>
  <si>
    <t>CASA DO BECO ( UXUA)</t>
  </si>
  <si>
    <t>CASA GRANDE HOTEL S.A.</t>
  </si>
  <si>
    <t>CASA GRANDE GUARUJA</t>
  </si>
  <si>
    <t>CASA HOTEIS LTDA</t>
  </si>
  <si>
    <t>HOTEL WOOD GRAMADO</t>
  </si>
  <si>
    <t>CASA LUZ POUSADA LTDA</t>
  </si>
  <si>
    <t>CASA LUZ PARATY</t>
  </si>
  <si>
    <t>CASA MARAMBAIA HOTEL E RESTAURANTE LTDA</t>
  </si>
  <si>
    <t>CASA MARAMBAIA</t>
  </si>
  <si>
    <t>CASA MIZTA LTDA</t>
  </si>
  <si>
    <t>CASA MIZTA</t>
  </si>
  <si>
    <t>CASA SWELL LTDA - ME</t>
  </si>
  <si>
    <t>CASA SWELL</t>
  </si>
  <si>
    <t>CASAI SERVICOS DE DESENVOLVIMENTO DE SOFTWARE LTDA</t>
  </si>
  <si>
    <t>CASAI SERVICOS DE DE</t>
  </si>
  <si>
    <t>CASAROSA HOTEL EIRELI - EPP</t>
  </si>
  <si>
    <t>CASAROSA HOTEL</t>
  </si>
  <si>
    <t>CASAS JOSE ARAUJO SA</t>
  </si>
  <si>
    <t>CASSIA CURY</t>
  </si>
  <si>
    <t>CASSIA DESBESEL</t>
  </si>
  <si>
    <t>CASSIANA PARTEZANI MEGNIS ME</t>
  </si>
  <si>
    <t>PATCHOULY</t>
  </si>
  <si>
    <t>CASSIANO DAL MONTE GALLAS</t>
  </si>
  <si>
    <t>CASSIANO DAL MONTE G</t>
  </si>
  <si>
    <t>CASTOR &amp; LEÃO ADMINISTRAÇÃO HOTELEIRA S/A</t>
  </si>
  <si>
    <t>MERCURE JARDINS</t>
  </si>
  <si>
    <t>CASTRO HOTEIS E TURISMO LTDA</t>
  </si>
  <si>
    <t>CASTROS PARK HOTEL</t>
  </si>
  <si>
    <t>CATARINA GOMES TRINDADE</t>
  </si>
  <si>
    <t>CATARINA GOMES TRIND</t>
  </si>
  <si>
    <t>Catarina Mesquita</t>
  </si>
  <si>
    <t>CATARINA P DE OLIVEIRA - ME</t>
  </si>
  <si>
    <t>POUSADA CATARINA</t>
  </si>
  <si>
    <t>CATUAI HOTEL LTDA</t>
  </si>
  <si>
    <t>CATUAI HOTEL</t>
  </si>
  <si>
    <t>CATUAI JARU HOTEL LTDA</t>
  </si>
  <si>
    <t>CATUSSABA HOTEL LTDA</t>
  </si>
  <si>
    <t>Caue Lira</t>
  </si>
  <si>
    <t>CBB - FARIA LIMA ADMINISTRAÇÃO HOTELEIRA E COMERCI</t>
  </si>
  <si>
    <t>MERCURE VILA OLIMPIA</t>
  </si>
  <si>
    <t>CEC 2000 ENGENHARIA LTDA - ME</t>
  </si>
  <si>
    <t>MADARQ</t>
  </si>
  <si>
    <t>CEDRO ASSESSORIA</t>
  </si>
  <si>
    <t>SAN MARINO</t>
  </si>
  <si>
    <t>CEDRO ASSESSORIA E ADMINISTRACAO DE HOTEIS DE MACE</t>
  </si>
  <si>
    <t>SAN MARINO SUITE HOT</t>
  </si>
  <si>
    <t>CEDRO PARTICIPACOES E INVESTIMENTOS LTDA</t>
  </si>
  <si>
    <t>VIA MORELLI</t>
  </si>
  <si>
    <t>CEDROS 01 EMPREENDIMENTO IMOBILIARIO SPE LTDA</t>
  </si>
  <si>
    <t>HOTEL IBIS TATUI</t>
  </si>
  <si>
    <t>CELESTE JEREISSATI</t>
  </si>
  <si>
    <t>CELIA ALVES</t>
  </si>
  <si>
    <t>CELIA MILHOMENS AIRES AVELINO</t>
  </si>
  <si>
    <t>CELIA MILHOMENS AIRE</t>
  </si>
  <si>
    <t>CELIA REGINA MARQUES DA MATA MACHADO</t>
  </si>
  <si>
    <t>CELIA REGINA MARQUES</t>
  </si>
  <si>
    <t>Celso Falcao Cruz</t>
  </si>
  <si>
    <t>CELSO M. DE ALMEIDA - HOTEL - ME</t>
  </si>
  <si>
    <t>HOTEL ABAYOMI</t>
  </si>
  <si>
    <t>CENTER NORTE HOTELARIA S.A.</t>
  </si>
  <si>
    <t>NOVOTEL CENTER NORTE</t>
  </si>
  <si>
    <t>CENTER NORTE S/A CONSTRUCAO EMPREEND ADM E PARTICI</t>
  </si>
  <si>
    <t>NOVOTEL SÃO PAULO</t>
  </si>
  <si>
    <t>CENTRO AUTOMOTIVO MODENA LTDA.</t>
  </si>
  <si>
    <t>MODENA</t>
  </si>
  <si>
    <t>CENTRO DE EXPERIENCIAS EXISTENCIAIS EVENTOS LTDA</t>
  </si>
  <si>
    <t>CENTRO EXPERIENCIAS</t>
  </si>
  <si>
    <t>CENTRO SOCIAL HAKKA DO BRASIL</t>
  </si>
  <si>
    <t>CENTRO SOCIAL HAKKA</t>
  </si>
  <si>
    <t>CEREALISTA GUAIRACA LTDA</t>
  </si>
  <si>
    <t>POUSADA 3 MARIAS</t>
  </si>
  <si>
    <t>CERTIPHIC GERENCIAMENTO E PLANEJAMENTO EIRELI - ME</t>
  </si>
  <si>
    <t>V HOUSE</t>
  </si>
  <si>
    <t>CGN MOVEIS, DECORACOES E EVENTOS EIRELI - EPP</t>
  </si>
  <si>
    <t>CGN MOVEIS DECORACOE</t>
  </si>
  <si>
    <t>CHACARA ARACÊ EIRELI</t>
  </si>
  <si>
    <t>CHACARA ARACE</t>
  </si>
  <si>
    <t>CHACARA PAU-BRASIL EIRELI</t>
  </si>
  <si>
    <t>POUSADA MARITACAS</t>
  </si>
  <si>
    <t>CHALATO BAR E HOSPEDARIA LTDA - ME</t>
  </si>
  <si>
    <t>XODO MOTEL</t>
  </si>
  <si>
    <t>CHALES DO RANCHO SANTO ANTONIO LTDA - ME</t>
  </si>
  <si>
    <t>CHALES DO RANCHO SAN</t>
  </si>
  <si>
    <t>CHALES OURO DE MINAS LTDA</t>
  </si>
  <si>
    <t>CHALES OURO DE MINAS</t>
  </si>
  <si>
    <t>CHARLENE SANTINO</t>
  </si>
  <si>
    <t>CHARLIE TECNOLOGIA E ACOMODAÇOES S.A</t>
  </si>
  <si>
    <t>STAY CHARLIE</t>
  </si>
  <si>
    <t>CHATEAU CAMPOS DO JORDAO SERVICOS HOTELEIROS LTDA</t>
  </si>
  <si>
    <t>HOTEL CHATEAU</t>
  </si>
  <si>
    <t>CHATEAU DU GOLDEN I</t>
  </si>
  <si>
    <t>CHIC TURISMO LTDA</t>
  </si>
  <si>
    <t>POUSADA CHIC</t>
  </si>
  <si>
    <t>CHIK S CENTER MODAS LTDA</t>
  </si>
  <si>
    <t>SHIRLEY</t>
  </si>
  <si>
    <t>Chris Almeida</t>
  </si>
  <si>
    <t>CHRISTIAN RODOLFO OLIVEIRA GOMES</t>
  </si>
  <si>
    <t>CHRISTIAN RODOLFO OL</t>
  </si>
  <si>
    <t>Christiane Barbosa</t>
  </si>
  <si>
    <t>Christiane Neves</t>
  </si>
  <si>
    <t>Cibele Jacinto Dos Santos</t>
  </si>
  <si>
    <t>Cibele Jacinto Dos S</t>
  </si>
  <si>
    <t>CIBELI MAGLIONI ARTONI</t>
  </si>
  <si>
    <t>CIBELI MAGLIONI</t>
  </si>
  <si>
    <t>CICB - CENTRO INTERNACIONAL DE CONVENCOES DO BRASI</t>
  </si>
  <si>
    <t>CICB BRASÍLIA</t>
  </si>
  <si>
    <t>CICB - GESTAO DE EVENTOS, SERVICOS E HOSPITALIDADE</t>
  </si>
  <si>
    <t>CICB</t>
  </si>
  <si>
    <t>CINTHIA PORTELA</t>
  </si>
  <si>
    <t>Cintia Christofoletti</t>
  </si>
  <si>
    <t>Cintia Christofolett</t>
  </si>
  <si>
    <t>CINTIA DE MELO ANDRADE</t>
  </si>
  <si>
    <t>CINTIA DE MELO ANDRA</t>
  </si>
  <si>
    <t>CINTIA FEREIRRA</t>
  </si>
  <si>
    <t>CÍNTIA FRANCO</t>
  </si>
  <si>
    <t>CINTIA GARCIA</t>
  </si>
  <si>
    <t>CIRURGICA BONAPARTE LTDA - ME</t>
  </si>
  <si>
    <t>CIRURGICA BONAPARTE</t>
  </si>
  <si>
    <t>CITOLAB - LABORATORIO DE CITOLOGIA CLINICA E HISTO</t>
  </si>
  <si>
    <t>CITOLAB</t>
  </si>
  <si>
    <t>CITY PARK ESPORTES E LAZER LTDA</t>
  </si>
  <si>
    <t>DISCOVERY CANYONS</t>
  </si>
  <si>
    <t>CIVITAS COMPLEXO SUL HOTEIS E CONDOMINIOS LTDA</t>
  </si>
  <si>
    <t>CIVITAS COMPLEXO SUL</t>
  </si>
  <si>
    <t>CKC CONSULTORIA DE EMPRESAS LTDA</t>
  </si>
  <si>
    <t>CKC CONSULTORIA DE E</t>
  </si>
  <si>
    <t xml:space="preserve">CL COMUNICAÇÃO INTEGRADA S/C LTDA
</t>
  </si>
  <si>
    <t>CL COMUNICAÇÃO</t>
  </si>
  <si>
    <t>CLARA RESORTS LTDA</t>
  </si>
  <si>
    <t>SANTA CLARA INHOTIM</t>
  </si>
  <si>
    <t>Clarice Machado</t>
  </si>
  <si>
    <t>Clarice Pilla de Azevedo e Souza</t>
  </si>
  <si>
    <t>Clarice Pilla de Aze</t>
  </si>
  <si>
    <t>CLARISSA MONTORFANO</t>
  </si>
  <si>
    <t>CLAUDIA</t>
  </si>
  <si>
    <t>CLAUDIA FERRER</t>
  </si>
  <si>
    <t>Claudia Gradim</t>
  </si>
  <si>
    <t>Claudia Leticia Alba Colucci Resende</t>
  </si>
  <si>
    <t>Claudia Leticia Alba</t>
  </si>
  <si>
    <t>CLAUDIA LOPES</t>
  </si>
  <si>
    <t>CLAUDIA MARIA FELICISSIMO LEITE 60742178668</t>
  </si>
  <si>
    <t>ESPAÇO EM BOAS MAOS</t>
  </si>
  <si>
    <t>CLAUDIA MARIA PORTELLA</t>
  </si>
  <si>
    <t>CLAUDIA MARIA PORTEL</t>
  </si>
  <si>
    <t>CLAUDIA MARINO AGOSTINHO</t>
  </si>
  <si>
    <t>CLAUDIA MARINO AGOST</t>
  </si>
  <si>
    <t>CLAUDIA MONIELLI GOMES RAPPAPORT</t>
  </si>
  <si>
    <t>CLAUDIA MONIELLI GOM</t>
  </si>
  <si>
    <t>CLAUDIA MOREIRA PINTO EIRELI</t>
  </si>
  <si>
    <t>CLAUDIA MOREIRA</t>
  </si>
  <si>
    <t>CLAUDIA PIRES MIGUEL</t>
  </si>
  <si>
    <t>CLAUDINEI CESAR COSTA &amp; CIA LTDA</t>
  </si>
  <si>
    <t>VILLA DBIAGY PREMIUM</t>
  </si>
  <si>
    <t>Claudio Romualdo De Souza</t>
  </si>
  <si>
    <t>Claudio Romualdo De</t>
  </si>
  <si>
    <t>CLAVE INCORPORACOES E CONSTRUCOES LTDA</t>
  </si>
  <si>
    <t>CLAVE INCORPORACOES</t>
  </si>
  <si>
    <t>CLAVIS REPRESENTACOES DE COLCHOES E ENXOVAIS LTDA</t>
  </si>
  <si>
    <t>CLAVIS</t>
  </si>
  <si>
    <t>CLEANIKA DA ROUPA LAVANDERIA LTDA</t>
  </si>
  <si>
    <t>CLEANIKA D´ROUPA</t>
  </si>
  <si>
    <t>CLEIDE APARECIDA BALESTRI</t>
  </si>
  <si>
    <t>CLEIDE APARECIDA</t>
  </si>
  <si>
    <t>Cleusa Barbosa De Jesus</t>
  </si>
  <si>
    <t>Cleusa Barbosa De Je</t>
  </si>
  <si>
    <t>CLIFFSIDE LUXURY INN POUSADA EIRELI</t>
  </si>
  <si>
    <t>ECO VILLAGE BUZIOS</t>
  </si>
  <si>
    <t>CLIMAX HOTEIS TURISMO</t>
  </si>
  <si>
    <t>POUSADA DA ESTAÇÃO</t>
  </si>
  <si>
    <t>CLINICA ADRIANA VILARINHO LTDA</t>
  </si>
  <si>
    <t>ADRIANA VILARINHO</t>
  </si>
  <si>
    <t>CLINICA CARDIO-INTERVENCIONISTA LTDA - EPP</t>
  </si>
  <si>
    <t>CLINICA CARDIO-INTER</t>
  </si>
  <si>
    <t>CLINICA DA GAVEA S A</t>
  </si>
  <si>
    <t>CLINICA DA GAVEA</t>
  </si>
  <si>
    <t>CLINICA DR LUCIANO ALVES NEVES SERVICOS MEDICOS LT</t>
  </si>
  <si>
    <t>NATURALMENTE SPA</t>
  </si>
  <si>
    <t>CLINICA MEDICA LINTZ LTDA</t>
  </si>
  <si>
    <t>CLINICA MEDICA LINTZ</t>
  </si>
  <si>
    <t>CLINICA MONTEDONIO SOCIEDADE UNIPESSOAL LTDA</t>
  </si>
  <si>
    <t>CLINICA MONTEDONIO</t>
  </si>
  <si>
    <t>CLINICA MWB - LTDA</t>
  </si>
  <si>
    <t>CLINICA MWB</t>
  </si>
  <si>
    <t>CLINICA NOVA VIDA LTDA - ME</t>
  </si>
  <si>
    <t>CASA DE REPOUSO NOVA</t>
  </si>
  <si>
    <t>CLINICA OFTALMOLOGICA SAO LUCAS LTDA</t>
  </si>
  <si>
    <t>RETINA CLINIC</t>
  </si>
  <si>
    <t>CLINICA PRIME SCULP LTDA</t>
  </si>
  <si>
    <t>PRIME SCULP SPA</t>
  </si>
  <si>
    <t>CLINICA PRIME SPA LTDA</t>
  </si>
  <si>
    <t>CLINICA TARANTO SERVICOS DE ESTETICA S/S - ME</t>
  </si>
  <si>
    <t>CLINICA TARANTO</t>
  </si>
  <si>
    <t>CLIVALE PROSAUDE IGUATEMI S.A.</t>
  </si>
  <si>
    <t>CLIVALE PROSAUDE IGU</t>
  </si>
  <si>
    <t>CLM EMPREENDIMENTOS IMOBILIARIOS LTDA</t>
  </si>
  <si>
    <t>CLM IMOVEIS</t>
  </si>
  <si>
    <t>CLUBE DOS CAICARAS</t>
  </si>
  <si>
    <t>CLUBE DOS CAIÇARAS</t>
  </si>
  <si>
    <t>CLUBE ITAIPULANDIA ESPORTE TURISMO E LAZER</t>
  </si>
  <si>
    <t>THERMALE CATARATAS</t>
  </si>
  <si>
    <t>CLUBE PAINEIRAS DO MORUMBY</t>
  </si>
  <si>
    <t>CLUBE PAINEIRAS</t>
  </si>
  <si>
    <t>CLX INCORPORADORA LTDA</t>
  </si>
  <si>
    <t>CLX INCORPORADORA</t>
  </si>
  <si>
    <t>CM2 EMPREENDIMENTOS E HOTELARIA LTDA</t>
  </si>
  <si>
    <t>NERO HOTEL</t>
  </si>
  <si>
    <t>COLCHOARIA E CAMAS BETTONI LTDA</t>
  </si>
  <si>
    <t>BETONNI</t>
  </si>
  <si>
    <t>COLCHOES E CAMAS EIRELI ME</t>
  </si>
  <si>
    <t>COLCHÕES E CAMAS</t>
  </si>
  <si>
    <t>COLÉGIO ALBERT SABIN LTDA</t>
  </si>
  <si>
    <t>ALBERT SABIN</t>
  </si>
  <si>
    <t>COLORATA DECORACOES LTDA</t>
  </si>
  <si>
    <t>COLORATA</t>
  </si>
  <si>
    <t>COMERCIAL DE ALIMENTOS KET EIRELI - EPP</t>
  </si>
  <si>
    <t>LE BISTROT GOURMET</t>
  </si>
  <si>
    <t>COMERCIAL HELMAG LTDA</t>
  </si>
  <si>
    <t>COMERCIAL HELMAG</t>
  </si>
  <si>
    <t>COMERCIAL LA PROVENCE EIRELI - ME</t>
  </si>
  <si>
    <t>COMERCIAL LA PROVENC</t>
  </si>
  <si>
    <t>COMERCIAL MALU ENXOVAIS E PRESENTES LTDA</t>
  </si>
  <si>
    <t>CASA CAMPOS</t>
  </si>
  <si>
    <t>COMERCIO DE MOVEIS E DECORACOES LTDA. - EPP</t>
  </si>
  <si>
    <t>COMERCIO</t>
  </si>
  <si>
    <t>COMERCIO DE ROUPAS MARANY LTDA</t>
  </si>
  <si>
    <t>SKENN</t>
  </si>
  <si>
    <t>COMITE PARAOLIMPICO BRASILEIRO</t>
  </si>
  <si>
    <t xml:space="preserve"> PARAOLIMPICO BRASIL</t>
  </si>
  <si>
    <t>COMPANHIA BRASILEIRA DE METALURGIA E MINERAÇÃO</t>
  </si>
  <si>
    <t>CBMM</t>
  </si>
  <si>
    <t>COMPANHIA HOTEIS PALACE</t>
  </si>
  <si>
    <t>COPACABANA PALACE</t>
  </si>
  <si>
    <t>COMPANHIA PALMARES HOTEIS E TURISMO</t>
  </si>
  <si>
    <t>SHERATON GRAND RIO H</t>
  </si>
  <si>
    <t>COMPANHIA THERMAS DO RIO QUENTE</t>
  </si>
  <si>
    <t>RIO QUENTE RESORTS</t>
  </si>
  <si>
    <t>COMPANHIA TRANSAMERICA DE HOTEIS-SAO PAULO</t>
  </si>
  <si>
    <t>TRANSAMERICA SP</t>
  </si>
  <si>
    <t>CONCAVO E CONVEXO EMPRESA DE TURISMO LTDA</t>
  </si>
  <si>
    <t>LUSH MOTEL</t>
  </si>
  <si>
    <t>CONCEIÇÃO QUEIROZ</t>
  </si>
  <si>
    <t>CONCRETO EMPREENDIMENTOS E PARTICIPACOES LTDA</t>
  </si>
  <si>
    <t>CONCRETO EMPREENDIME</t>
  </si>
  <si>
    <t>CONCRETO ITAIM LTDA</t>
  </si>
  <si>
    <t>CONCRETO</t>
  </si>
  <si>
    <t>CONDOMINIO ARCONTE RESIDENCIAS INTERNACIONAIS</t>
  </si>
  <si>
    <t>PARQUE GLOBAL</t>
  </si>
  <si>
    <t>CONDOMINIO BREEZES BUZIOS RESORT</t>
  </si>
  <si>
    <t>BREEZES BUZIOS RESOR</t>
  </si>
  <si>
    <t>CONDOMINIO BUSINESS HOTEL</t>
  </si>
  <si>
    <t>INTERCITY SÃO LEOPOL</t>
  </si>
  <si>
    <t>CONDOMINIO CIVIL DO HOTEL ALVORADA</t>
  </si>
  <si>
    <t>ROYAL TULIP BRASILIA</t>
  </si>
  <si>
    <t>CONDOMINIO COMPLEXO HOTELEIRO BRASILIA</t>
  </si>
  <si>
    <t>ROYAL TULIP BRASI AL</t>
  </si>
  <si>
    <t>CONDOMINIO DO AMSTERDAM APART-HOTEL</t>
  </si>
  <si>
    <t>AMSTERDAN APART HOTE</t>
  </si>
  <si>
    <t>CONDOMINIO DO EDIFICIO COMFORT SUITES</t>
  </si>
  <si>
    <t>COMFORT FORTALEZA</t>
  </si>
  <si>
    <t>CONDOMINIO DO EDIFICIO COMFORT TAGUATINGA FLAT</t>
  </si>
  <si>
    <t>GO INN TAGUATINGA</t>
  </si>
  <si>
    <t>CONDOMINIO DO EDIFICIO ERWIN LUCIANO FRIEDHEIM</t>
  </si>
  <si>
    <t>MBH RECIFE</t>
  </si>
  <si>
    <t>CONDOMINIO DO EDIFICIO MAX APART SERVICE</t>
  </si>
  <si>
    <t>HOTEL MAX SAVASSI</t>
  </si>
  <si>
    <t>CONDOMINIO DO EDIFICIO PAIVA HOME STAY</t>
  </si>
  <si>
    <t>CONDOMINIO DO EDIFICIO SHERATON BARRA</t>
  </si>
  <si>
    <t>GRAN NOBILE BARRA</t>
  </si>
  <si>
    <t>CONDOMINIO DO EDIFICIO VICTORIA FLAT ATLANTICA HOT</t>
  </si>
  <si>
    <t>COND. EDIFI. VITORIA</t>
  </si>
  <si>
    <t>CONDOMINIO DO ESTANCOFOR SANTOS</t>
  </si>
  <si>
    <t>ESTANCONFOR SANTOS</t>
  </si>
  <si>
    <t>CONDOMINIO DO HOTEL PORTO VITORIA</t>
  </si>
  <si>
    <t>HOTEL PORTO VITORIA</t>
  </si>
  <si>
    <t>CONDOMINIO DUO CONCEPT PORTO ALEGRE</t>
  </si>
  <si>
    <t>CONDOMINIO DUO CONCE</t>
  </si>
  <si>
    <t>CONDOMINIO EDIFCIO THE UNIVERSE EXECUTIVE FLAT</t>
  </si>
  <si>
    <t>INTERCITY PAULISTA</t>
  </si>
  <si>
    <t>CONDOMINIO EDIFICIO CAPITAL PLAZA - THE FLAT</t>
  </si>
  <si>
    <t>CONDOMINIO EDIFICIO CASA BRANCA</t>
  </si>
  <si>
    <t>EDIFICIO GEORGE V RE</t>
  </si>
  <si>
    <t>CONDOMINIO EDIFICIO GEORGE V RESIDENCE - ALTO DE P</t>
  </si>
  <si>
    <t>GV ALTO DE PINHEIROS</t>
  </si>
  <si>
    <t>CONDOMINIO EDIFICIO GEORGE V RESIDENCE - ITAIM</t>
  </si>
  <si>
    <t>GEORGE V</t>
  </si>
  <si>
    <t>CONDOMINIO EDIFICIO LA GRAND MAISON</t>
  </si>
  <si>
    <t>CONDOMINIO EDIFICIO</t>
  </si>
  <si>
    <t>CONDOMINIO EDIFICIO MASTER TOWER IBIRAPUERA</t>
  </si>
  <si>
    <t>INTERCITY IBIRAPUERA</t>
  </si>
  <si>
    <t>CONDOMINIO EDIFICIO MOINHOS PARK</t>
  </si>
  <si>
    <t>MOINHOS PARK</t>
  </si>
  <si>
    <t>CONDOMINIO EDIFICIO PIZZA NAVONA FLAT SERVICE</t>
  </si>
  <si>
    <t>INTERC. PORTO ALEGRE</t>
  </si>
  <si>
    <t>CONDOMINIO EDIFICIO PREMIUM FLAT &amp; OFFICE</t>
  </si>
  <si>
    <t>INTERCITY PREMIUM</t>
  </si>
  <si>
    <t>CONDOMINIO EDIFICIO SAINT CHARLES</t>
  </si>
  <si>
    <t>CONDOMINIO HOTEL INTERCITY EXPRESS ITUPEVA</t>
  </si>
  <si>
    <t>INTERCITY  ITUPEVA</t>
  </si>
  <si>
    <t>CONDOMINIO HOTEL SAO CARLOS - CONDO-HOTEL</t>
  </si>
  <si>
    <t>SLEEP INN SAO CARLOS</t>
  </si>
  <si>
    <t>CONDOMINIO HUB RIBEIRAO PRETO</t>
  </si>
  <si>
    <t>INTERCITY RIBEIRAO P</t>
  </si>
  <si>
    <t>CONDOMINIO ILHA CAPIVARI</t>
  </si>
  <si>
    <t>ILHA CAPIVARI</t>
  </si>
  <si>
    <t>CONDOMINIO QS MARISTA</t>
  </si>
  <si>
    <t>CONDOMINIO QS MARIST</t>
  </si>
  <si>
    <t>CONDOMINIO SAO INTERNATIONAL SQUARE</t>
  </si>
  <si>
    <t>QUALITY SAO CAETANO</t>
  </si>
  <si>
    <t>CONDOMINIO THERMAS SÃO PEDRO PARK RESORT</t>
  </si>
  <si>
    <t>THERMAS PARK RESORT</t>
  </si>
  <si>
    <t>CONDOMINIO TIMES SQUARE COSMOPOLITAN MIX</t>
  </si>
  <si>
    <t>COSMOPOLITAN MIX</t>
  </si>
  <si>
    <t>CONDOMINIO UNLIMITED OCEAN FRONT</t>
  </si>
  <si>
    <t>UNLIMITED OCEAN</t>
  </si>
  <si>
    <t>CONDOMNIO DO HOSPITAL DAS AMERICAS</t>
  </si>
  <si>
    <t>AMERICAS MEDICAL CIT</t>
  </si>
  <si>
    <t>CONDURU EMPREENDIMENTOS IMOBILIARIOS S.A</t>
  </si>
  <si>
    <t>TXAI VILAS DO SUL</t>
  </si>
  <si>
    <t>CONFEDERACAO BRASILEIRA DE FUTEBOL</t>
  </si>
  <si>
    <t>CBF</t>
  </si>
  <si>
    <t>CONFRARIA COLONIAL HOTEL BOUTIQUE LTDA - ME</t>
  </si>
  <si>
    <t>CONFRARIA COLONIAL H</t>
  </si>
  <si>
    <t>CONNECT COBRANCAS EMPRESARIAIS LTDA - EPP</t>
  </si>
  <si>
    <t>CONNECT</t>
  </si>
  <si>
    <t>CONSENSO ACONSELHAMENTO PATRIMONIAL LTDA.</t>
  </si>
  <si>
    <t>CONSENSO ACONSELHAME</t>
  </si>
  <si>
    <t>Constance</t>
  </si>
  <si>
    <t>CONSTRUTORA ARTEC S/A</t>
  </si>
  <si>
    <t>CONSTRUTORA ARTEC</t>
  </si>
  <si>
    <t>CONSTRUTORA COSTA MELO LTDA - EPP</t>
  </si>
  <si>
    <t>CONSTRUTORA COSTA ME</t>
  </si>
  <si>
    <t>CONSTRUTORA E PRESTADORA DE SERVICOS SILVA EIRELI</t>
  </si>
  <si>
    <t>CONSTRUTORA SILVIA</t>
  </si>
  <si>
    <t>CONSTRUTORA EMCASA LTDA</t>
  </si>
  <si>
    <t>CONSTRUTORA PROJEC EIRELI - ME</t>
  </si>
  <si>
    <t>GOLDEN FLATS HOTEL</t>
  </si>
  <si>
    <t>CONSTRUTORA ROBERTO CAMPOS LTDA - ME</t>
  </si>
  <si>
    <t>ROBERTO CAMPOS</t>
  </si>
  <si>
    <t>CONSTRUTORA SAN REMO LTDA</t>
  </si>
  <si>
    <t>CONSTRUTORA SAN REMO</t>
  </si>
  <si>
    <t>CONSUMIDOR NAO IDENTIFICADO</t>
  </si>
  <si>
    <t>CONSUMIDOR NAO IDENT</t>
  </si>
  <si>
    <t>COPACABANA SUL HOTEL S/A</t>
  </si>
  <si>
    <t>COPA SUL HOTEL</t>
  </si>
  <si>
    <t>COPO DAGUA PRODUCOES GASTRONOMICAS EIRELI - ME</t>
  </si>
  <si>
    <t>POUSADA LOIN DE TOUT</t>
  </si>
  <si>
    <t>CORINTO HOTEL LTDA</t>
  </si>
  <si>
    <t>CORINTO HOTEL</t>
  </si>
  <si>
    <t>CORVETA POUSADA E RESTAURANTE LTDA</t>
  </si>
  <si>
    <t>CORVETA POUSADA</t>
  </si>
  <si>
    <t>COSI DI BAMBINI MOVEIS E CONFECCOES LTDA - EPP</t>
  </si>
  <si>
    <t>COSI</t>
  </si>
  <si>
    <t>COSTA DO LAGO HOTEL LTDA</t>
  </si>
  <si>
    <t>COSTA DO LAGO</t>
  </si>
  <si>
    <t>COSTA DO SOL HOTEL EIRELI ME - ME</t>
  </si>
  <si>
    <t>COSTA DO SOL</t>
  </si>
  <si>
    <t>COSTAO DO SANTINHO TURISMO E LAZER LTDA</t>
  </si>
  <si>
    <t>COSTÃO DO SANTINHO</t>
  </si>
  <si>
    <t>CPMM SERVIÇOS DE INFORMATICA LTDA</t>
  </si>
  <si>
    <t>MM EMPREENDIMENTOS</t>
  </si>
  <si>
    <t>CRI1 SERVIÇOS DE LAVANDERIA LTDA</t>
  </si>
  <si>
    <t>CRI1 LAVANDERIA</t>
  </si>
  <si>
    <t>CRISTIAN BERNARDI EIRELI</t>
  </si>
  <si>
    <t>VENTOS MORERÉ HOTEL</t>
  </si>
  <si>
    <t>CRISTIANE (SALÃO)</t>
  </si>
  <si>
    <t>CRISTIANE MAGDALON</t>
  </si>
  <si>
    <t>CRISTIANO DOS REIS</t>
  </si>
  <si>
    <t>CRISTINA APARECIDA FERREIRA GARCIA - ME</t>
  </si>
  <si>
    <t>CRISTINA</t>
  </si>
  <si>
    <t>CRISTINA CAGLIARI BORRE</t>
  </si>
  <si>
    <t>REFÚGIO NA SERRA BOU</t>
  </si>
  <si>
    <t>CRISTINA HELENA ZINGARETTI JUNQUEIRA</t>
  </si>
  <si>
    <t>CRISTINA HELENA</t>
  </si>
  <si>
    <t>CRISTINA HERINGER</t>
  </si>
  <si>
    <t>CRISTINA LIKA UEZIMA HORTOLAN</t>
  </si>
  <si>
    <t>CRISTINA LIKA UEZIMA</t>
  </si>
  <si>
    <t>CRISTINA ROCHA MENDES ARAUJO</t>
  </si>
  <si>
    <t>CRISTINA ROCHA MENDE</t>
  </si>
  <si>
    <t>Cristina Senise</t>
  </si>
  <si>
    <t>CRISTINA SHINOHARA</t>
  </si>
  <si>
    <t>CRISTINA TOLEDO</t>
  </si>
  <si>
    <t>CRISTINA VAZQUEZ CONSTENLA</t>
  </si>
  <si>
    <t>CRISTINA VAZQUEZ CON</t>
  </si>
  <si>
    <t>Cristina Wolowski</t>
  </si>
  <si>
    <t>CRISTINA XISTO FERREIRA</t>
  </si>
  <si>
    <t>CRISTINA XISTO FERRE</t>
  </si>
  <si>
    <t>CRUZ VERMELHA BRASILEIRA</t>
  </si>
  <si>
    <t>CRUZ VERMELHA</t>
  </si>
  <si>
    <t>CSM ILUKA BRASIL ORGANIZACAO DE EVENTOS LTDA</t>
  </si>
  <si>
    <t>ILUKA</t>
  </si>
  <si>
    <t>CURI S/A HOTEIS E TURISMO</t>
  </si>
  <si>
    <t>CURI PALACE HOTEL</t>
  </si>
  <si>
    <t>CYRELA IPANEMA EMPREENDIMENTOS IMOBILIARIOS LTDA</t>
  </si>
  <si>
    <t>CYRELA IPANEMA EMPRE</t>
  </si>
  <si>
    <t>CYRELA MONZA EMPREENDIMENTOS IMOBILIARIOS LTDA</t>
  </si>
  <si>
    <t>CYRELA MONZA EMPREEN</t>
  </si>
  <si>
    <t>D ANDREA &amp; MALAGRINO ASSOCIADOS EMPREEND E PARTICT</t>
  </si>
  <si>
    <t>D ANDREA &amp; MALAGRINO</t>
  </si>
  <si>
    <t>D LUCK FASHION LTDA</t>
  </si>
  <si>
    <t>D LUCK FASHION</t>
  </si>
  <si>
    <t>D.S. MELO CENTRAL DE RESERVAS E HOSPEDAGEM LTDA</t>
  </si>
  <si>
    <t>TI VOGLIO BENE</t>
  </si>
  <si>
    <t>Daiane De Olveira</t>
  </si>
  <si>
    <t>DAIANE SERENATO</t>
  </si>
  <si>
    <t>DALMONEIDE PEREIRA DE MORAIS E CIA LTDA - ME</t>
  </si>
  <si>
    <t>VEREDAS MOTEL</t>
  </si>
  <si>
    <t>DALVA MONTIJO TAVEIRA - ME</t>
  </si>
  <si>
    <t>POUSADA MARISTA</t>
  </si>
  <si>
    <t>Damiana Pereira Brito</t>
  </si>
  <si>
    <t>Damiana Pereira Brit</t>
  </si>
  <si>
    <t>DAMIANE HOME LTDA - ME</t>
  </si>
  <si>
    <t>DAMIANE</t>
  </si>
  <si>
    <t>DAMIAO COMERCIO LTDA - ME</t>
  </si>
  <si>
    <t>DAMIAO</t>
  </si>
  <si>
    <t>DAN GALERIA COMERCIO DE LIVROS E QUADROS LTDA</t>
  </si>
  <si>
    <t>DAN GALERIA COMERCIO</t>
  </si>
  <si>
    <t>Dan H Kawa</t>
  </si>
  <si>
    <t>DANDAI HOTEIS E TURISMO LTDA</t>
  </si>
  <si>
    <t>MATA N´ATIVA</t>
  </si>
  <si>
    <t>Dandara Veras</t>
  </si>
  <si>
    <t>Daniel Bertolossi biato</t>
  </si>
  <si>
    <t>Daniel Bertolossi bi</t>
  </si>
  <si>
    <t>DANIEL LUCIDIO FERREIRA</t>
  </si>
  <si>
    <t>PAUSADA SEIS E MEIA</t>
  </si>
  <si>
    <t>Daniel Silva de Oliveira</t>
  </si>
  <si>
    <t>Daniel Silva de Oliv</t>
  </si>
  <si>
    <t>DANIELA BAPTISTA ZARUR</t>
  </si>
  <si>
    <t>DANIELA BAPTISTA ZAR</t>
  </si>
  <si>
    <t>DANIELA BITTAR HOMSI</t>
  </si>
  <si>
    <t>BRASILIA IMPERIAL HO</t>
  </si>
  <si>
    <t>DANIELA CINTRA SANTOS CHACUR DE MIRANDA</t>
  </si>
  <si>
    <t>DANIELA  (VHOUSE)</t>
  </si>
  <si>
    <t>DANIELA KOELLA</t>
  </si>
  <si>
    <t>Daniela Mainer Borges</t>
  </si>
  <si>
    <t>Daniela Mainer Borge</t>
  </si>
  <si>
    <t>DANIELA MANIREIMA PEREIRA DA SILVA</t>
  </si>
  <si>
    <t>DANIELA MANIREIMA PE</t>
  </si>
  <si>
    <t>DANIELA PERDIGÃO</t>
  </si>
  <si>
    <t>DANIELA</t>
  </si>
  <si>
    <t>DANIELA SETTI DE PAULI</t>
  </si>
  <si>
    <t>DANIELA SETTI DE PAU</t>
  </si>
  <si>
    <t>DANIELA SIGNORINI ALMEIDA</t>
  </si>
  <si>
    <t>DANIELA SIGN (VHOUSE</t>
  </si>
  <si>
    <t>Daniela Silveira Azevedo</t>
  </si>
  <si>
    <t>Daniela Silveira Aze</t>
  </si>
  <si>
    <t>DANIELA YOSHIDA</t>
  </si>
  <si>
    <t>DANIELE PORCIUNCULA</t>
  </si>
  <si>
    <t>DANIELE</t>
  </si>
  <si>
    <t>DANIELE VORAKOSKI</t>
  </si>
  <si>
    <t>Danieli da Rosa Sartori</t>
  </si>
  <si>
    <t>Danieli da Rosa Sart</t>
  </si>
  <si>
    <t>Daniella Carvalho Gomes Zucareli</t>
  </si>
  <si>
    <t>Daniella Carvalho Go</t>
  </si>
  <si>
    <t>DANIELLA KAYALAN CHEN</t>
  </si>
  <si>
    <t>DANIELLA KAYALAN CHE</t>
  </si>
  <si>
    <t>DANIELLA RODRIGUES</t>
  </si>
  <si>
    <t>Danielle Almeida</t>
  </si>
  <si>
    <t>Danielly Martins Mourato</t>
  </si>
  <si>
    <t>Danielly Martins Mou</t>
  </si>
  <si>
    <t>Danielly Nogueira De Martin</t>
  </si>
  <si>
    <t>Danielly Nogueira De</t>
  </si>
  <si>
    <t>DANILA CAROLINA DE SOUZA DILL</t>
  </si>
  <si>
    <t>DANILA CAROLINA</t>
  </si>
  <si>
    <t>DANILO</t>
  </si>
  <si>
    <t>DARLA EVELLY DA SILVA TEIXEIRA 12382977493</t>
  </si>
  <si>
    <t>GENIPABU PRAIA VIAGE</t>
  </si>
  <si>
    <t>Dayana DAndrade</t>
  </si>
  <si>
    <t>DBA COMERCIO E DECORACOES EIRELI - EPP</t>
  </si>
  <si>
    <t>DBA</t>
  </si>
  <si>
    <t>Debora Marvila Dos Santos Alves</t>
  </si>
  <si>
    <t>Debora Marvila Dos S</t>
  </si>
  <si>
    <t>Debora Mendes Fernandes Vargas</t>
  </si>
  <si>
    <t>Debora Mendes Fernan</t>
  </si>
  <si>
    <t>DÉBORA MUNIZ SANTOS DE CARVALHO</t>
  </si>
  <si>
    <t>DÉBORA MUNIZ</t>
  </si>
  <si>
    <t>DEBORAH LASKA</t>
  </si>
  <si>
    <t>DECORA BEBE ROUPAS E ACESSORIOS INFANTIS - EIRELI</t>
  </si>
  <si>
    <t>CELINA DIAS</t>
  </si>
  <si>
    <t>DECORACOES CASA DA BARONESA LTDA - ME</t>
  </si>
  <si>
    <t>CASA DA BARONESA</t>
  </si>
  <si>
    <t>Deise Silva</t>
  </si>
  <si>
    <t>Deisiane Palma Dos Santos</t>
  </si>
  <si>
    <t>Deisiane Palma Dos S</t>
  </si>
  <si>
    <t>Deize Bonfim De Jesus</t>
  </si>
  <si>
    <t>Deize Bonfim De Jesu</t>
  </si>
  <si>
    <t>Delane Alves Ribeiro</t>
  </si>
  <si>
    <t>DELICIAS DA EMILIA LTDA</t>
  </si>
  <si>
    <t>DELICIAS DA EMILIA</t>
  </si>
  <si>
    <t>DELLAS MODA INTIMA LTDA</t>
  </si>
  <si>
    <t>DELLAS MODA INTIMA L</t>
  </si>
  <si>
    <t>DELTASTAR COMERCIAL LTDA - ME</t>
  </si>
  <si>
    <t>TRUSSARDI LJ JARDINS</t>
  </si>
  <si>
    <t>DENA E CARVALHO LTDA</t>
  </si>
  <si>
    <t>DENA</t>
  </si>
  <si>
    <t>DENISE FERNANDES PATRICIO CARLESSO</t>
  </si>
  <si>
    <t>DENISE FERNANDES</t>
  </si>
  <si>
    <t>DENISE HAGOBIAN</t>
  </si>
  <si>
    <t>Denise Jambeiro</t>
  </si>
  <si>
    <t>DENISE P V PAULA</t>
  </si>
  <si>
    <t>DENISE VILELA</t>
  </si>
  <si>
    <t>DERELI S. COTTINI CONFECÇOES DE ROUPAS LTDA</t>
  </si>
  <si>
    <t>LE BASIQUE</t>
  </si>
  <si>
    <t>DERMALILLY LTDA</t>
  </si>
  <si>
    <t>LILLY JK</t>
  </si>
  <si>
    <t>DEVILLE HOTEIS E TURISMO LTDA</t>
  </si>
  <si>
    <t>MARRIOT GUARULHOS</t>
  </si>
  <si>
    <t>DEVILLE HOTEIS E TUR</t>
  </si>
  <si>
    <t>DEVILLE CURITIBA</t>
  </si>
  <si>
    <t>DEVILLE MARINGÁ</t>
  </si>
  <si>
    <t>DEVILLE PRIME CUIABÁ</t>
  </si>
  <si>
    <t>DEVILLE CAMPO GRANDE</t>
  </si>
  <si>
    <t>DEVILLE PORTO ALEGRE</t>
  </si>
  <si>
    <t>DEVILLE PRIME CUIABA</t>
  </si>
  <si>
    <t>WESTIN SP</t>
  </si>
  <si>
    <t>Dhyego Curado</t>
  </si>
  <si>
    <t>DIAGNOSTICOS DA AMERICA S.A</t>
  </si>
  <si>
    <t>DASA CAMPO BELO</t>
  </si>
  <si>
    <t>DASA BOTAFOGO</t>
  </si>
  <si>
    <t>DIAGNOSTICOS DA AMERICA S.A .</t>
  </si>
  <si>
    <t>HOSPITAL DASA</t>
  </si>
  <si>
    <t>HOSP DASA JD AMERICA</t>
  </si>
  <si>
    <t>DASA FLORIANOPOLIS</t>
  </si>
  <si>
    <t>DASA HIGIENÓPOLIS</t>
  </si>
  <si>
    <t>DASA CHUCRI ZAIDAN</t>
  </si>
  <si>
    <t>DASA JARDIM AMÉRICA</t>
  </si>
  <si>
    <t>DASA VILA OLIMPIA</t>
  </si>
  <si>
    <t>DASA ANALIA FRANCO</t>
  </si>
  <si>
    <t>DASA VILA NOVA CONCE</t>
  </si>
  <si>
    <t>DASA RIO DE JANEIRO</t>
  </si>
  <si>
    <t>DASA VILA ANDRADE</t>
  </si>
  <si>
    <t>DASA CASA VERDE</t>
  </si>
  <si>
    <t>DIAGNOSTICOS DA AMERICA S.A.</t>
  </si>
  <si>
    <t>DASA ALPHAVILLE</t>
  </si>
  <si>
    <t>DASA PINHEIROS</t>
  </si>
  <si>
    <t>DASA MOEMA</t>
  </si>
  <si>
    <t>DIAMOND MOTEL LTDA - ME</t>
  </si>
  <si>
    <t>DIAMOND MOTEL</t>
  </si>
  <si>
    <t>Diana Rodrigues Galvao</t>
  </si>
  <si>
    <t>Diana Rodrigues Galv</t>
  </si>
  <si>
    <t>Diana Vilela dos Santos Afonso</t>
  </si>
  <si>
    <t>Diana Vilela dos San</t>
  </si>
  <si>
    <t>DIANDRA SAMMOUR</t>
  </si>
  <si>
    <t>DIEGO LUCA</t>
  </si>
  <si>
    <t>DIEGO MENDES DE LA BARRA</t>
  </si>
  <si>
    <t>DIEGO MENDES DE LA B</t>
  </si>
  <si>
    <t>DIFAC LOCACAO E INCORPORACAO DE IMOVEIS LTDA - ME</t>
  </si>
  <si>
    <t>DIFAC ( VHOUSE )</t>
  </si>
  <si>
    <t>Dileuza Ferreira De Almeida</t>
  </si>
  <si>
    <t>Dileuza Ferreira De</t>
  </si>
  <si>
    <t>DINI TEXTIL INDUSTRIA E COMERCIO LTDA.</t>
  </si>
  <si>
    <t>DINI TEXTIL INDUSTRI</t>
  </si>
  <si>
    <t>Diogo</t>
  </si>
  <si>
    <t>Diogo Gomes</t>
  </si>
  <si>
    <t>DIOGO MENEZES</t>
  </si>
  <si>
    <t>DIOGO</t>
  </si>
  <si>
    <t>DIPLOMATA CIA DE EMPREENDIMENTOS TURISTICOS</t>
  </si>
  <si>
    <t>SOLAR DO ROSÁRIO</t>
  </si>
  <si>
    <t>DIRCEU DE ANDRADE</t>
  </si>
  <si>
    <t>DIRCEU ( VHOUSE )</t>
  </si>
  <si>
    <t>DIRCEU SOUZA ( VINER BRASIL )</t>
  </si>
  <si>
    <t>DIRCEU SOUZA ( VINER</t>
  </si>
  <si>
    <t>DIRECIONAL AZEVICHE EMPREENDIMENTOS IMOBILIARIOS L</t>
  </si>
  <si>
    <t>GO INN CAMPINAS</t>
  </si>
  <si>
    <t>DIVA CASA COMERCIO DE MOVEIS EIRELI - ME</t>
  </si>
  <si>
    <t>DIVA</t>
  </si>
  <si>
    <t>DIVINA POUSADA E EVENTOS LTDA - ME</t>
  </si>
  <si>
    <t>DIVINA POUSADA</t>
  </si>
  <si>
    <t>DJLB EMPREENDIMENTOS IMOBILIARIOS EIRELLI</t>
  </si>
  <si>
    <t>DJLB</t>
  </si>
  <si>
    <t>DKC ESTETICA LTDA</t>
  </si>
  <si>
    <t>AMELASER DKC</t>
  </si>
  <si>
    <t>DLUCK ARTIGOS DO VESTUARIO CAMPINA GRANDE EIRELI</t>
  </si>
  <si>
    <t>D LUCK</t>
  </si>
  <si>
    <t>DMN ESTALEIRO DA AMAZONIA LTDA</t>
  </si>
  <si>
    <t>DMN ESTALEIRO DA AMA</t>
  </si>
  <si>
    <t>DNC COM. DE MODA, ENX. E DECORACAO INFANTIL LTDA</t>
  </si>
  <si>
    <t>BB DECORAÇÃO</t>
  </si>
  <si>
    <t>DOGLAS PRESTO TURISMO - ME</t>
  </si>
  <si>
    <t>DE PRESTO TURISMO</t>
  </si>
  <si>
    <t>DOKI ACABAMENTOS LTDA</t>
  </si>
  <si>
    <t>DOKI HOME</t>
  </si>
  <si>
    <t>DOM RAMON HOTEL E POUSADA LTDA - ME</t>
  </si>
  <si>
    <t>DOM RAMON HOTEL E PO</t>
  </si>
  <si>
    <t>DOMAINE ILE DE FRANCE TURISMO DE LAZER LTDA - EPP</t>
  </si>
  <si>
    <t>CHEZ DOMAINE POUSADA</t>
  </si>
  <si>
    <t>DOMANI CAMA E BANHO EIRELI EPP</t>
  </si>
  <si>
    <t>DOMANI</t>
  </si>
  <si>
    <t>DOMINUS ENGENHARIA LTDA</t>
  </si>
  <si>
    <t>DOMINUS</t>
  </si>
  <si>
    <t>DOMO DO MATTO LTDA</t>
  </si>
  <si>
    <t>DOMO DO MATTO</t>
  </si>
  <si>
    <t>DOMUS INVESTIMENTOS E PARTICIPACOES S.A.</t>
  </si>
  <si>
    <t>DOMUS HOLDING</t>
  </si>
  <si>
    <t>DON GIOVANNI INDUSTRIA E COMERCIO DE BEBIDAS LTDA</t>
  </si>
  <si>
    <t>DON GIOVANNI</t>
  </si>
  <si>
    <t>DONA ZARA LAVANDERIA E SERVICOS LTDA</t>
  </si>
  <si>
    <t>ARIEL LAVANDERIA</t>
  </si>
  <si>
    <t>DORA BRANDAO MAGALHAES</t>
  </si>
  <si>
    <t>DORA BRANDAO (VHOUSE</t>
  </si>
  <si>
    <t>DORITEL COMÉRCIO DE CONFECÇÕES LTDA.-ME</t>
  </si>
  <si>
    <t>DORITEL</t>
  </si>
  <si>
    <t>DPC DO BRASIL LTDA</t>
  </si>
  <si>
    <t>GRUPO AMCS</t>
  </si>
  <si>
    <t>DPNY COMUNICACAO, ASSESSORIA, DESENVOLVIMENTO E AD</t>
  </si>
  <si>
    <t>DPNY</t>
  </si>
  <si>
    <t>DR. FABIO CARRAMASCHI LTDA</t>
  </si>
  <si>
    <t>CLINICA CARRAMASCHI</t>
  </si>
  <si>
    <t>dreher</t>
  </si>
  <si>
    <t>DSA SERVIÇOS ADMINISTRATIVOS,HOTELARIA,TURISMO</t>
  </si>
  <si>
    <t>DSA SERVIÇOS E HOTEL</t>
  </si>
  <si>
    <t>DSG MARKETING LTDA</t>
  </si>
  <si>
    <t>COTTONWOOD</t>
  </si>
  <si>
    <t>DTA ENGENHARIA LTDA</t>
  </si>
  <si>
    <t>DUE EMPREENDIMENTOS IMOBILIARIOS LTDA</t>
  </si>
  <si>
    <t>DUE EMPREENDIMENTOS</t>
  </si>
  <si>
    <t>DUE INCORPORADORA</t>
  </si>
  <si>
    <t>PRAIA MURO ALTO</t>
  </si>
  <si>
    <t>Dulcemara Aparecida Inacio Domiciano</t>
  </si>
  <si>
    <t>Dulcemara Aparecida</t>
  </si>
  <si>
    <t>DUO MARKET SRA. MONIQUE</t>
  </si>
  <si>
    <t>DUO MARKET - MONIQUE</t>
  </si>
  <si>
    <t>Dyeile Nunes</t>
  </si>
  <si>
    <t>E A SCHEIFER CONFECCOES</t>
  </si>
  <si>
    <t>MAXELE CONFECCOES E</t>
  </si>
  <si>
    <t>E J M COMERCIO DE COMBUSTIVEIS E LUBRIFICANTES LTD</t>
  </si>
  <si>
    <t>POSTO TATAJUBA</t>
  </si>
  <si>
    <t>E. HOTELARIA E TURISMO LTDA</t>
  </si>
  <si>
    <t>E. HOTELARIA</t>
  </si>
  <si>
    <t>VERT E SUITES</t>
  </si>
  <si>
    <t>RAMADA SUITE RECIFE</t>
  </si>
  <si>
    <t>E. HOTELARIA E TURISMO LTDA - ATLANTICA HOTELS</t>
  </si>
  <si>
    <t>RAMADA PLAZA MACAE</t>
  </si>
  <si>
    <t>EASYLAV SERVICO DE HIGIENIZACAO LTDA</t>
  </si>
  <si>
    <t>EASYLAV</t>
  </si>
  <si>
    <t>EBN COMERCIO, IMPORTACAO E EXPORTACAO LTDA.</t>
  </si>
  <si>
    <t>EBNSA</t>
  </si>
  <si>
    <t>ECO HOTEL &amp; MARINA VAIDAPESCA LTDA - ME</t>
  </si>
  <si>
    <t>ECO HOTEL VAIDAPESCA</t>
  </si>
  <si>
    <t>ECO MURI EMPREENDIMENTOS IMOBILIARIOS LTDA</t>
  </si>
  <si>
    <t>KA BRUM</t>
  </si>
  <si>
    <t>ECOLAV LAVANDERIA LTDA - ME</t>
  </si>
  <si>
    <t>ECOLAV LAVANDERIA</t>
  </si>
  <si>
    <t>ECOVILLA EMPREENDIMENTOS HOTELEIROS E TURISMO LTDA</t>
  </si>
  <si>
    <t>XALES DE MARACAIPE</t>
  </si>
  <si>
    <t>Eda Marcia Palacin Pagliuso</t>
  </si>
  <si>
    <t>Eda Marcia Palacin P</t>
  </si>
  <si>
    <t>EDIFICIO AGRIOES</t>
  </si>
  <si>
    <t>INTERCITY TERESOP.</t>
  </si>
  <si>
    <t>EDIFICIO FULL JAZZ HOTEL</t>
  </si>
  <si>
    <t>EDIFICIO FULL JAZZ H</t>
  </si>
  <si>
    <t>EDIFICIO PALAZZO LUMINI</t>
  </si>
  <si>
    <t>PALAZZO LUMINI</t>
  </si>
  <si>
    <t>EDIFICIO PAULISTA</t>
  </si>
  <si>
    <t>EDIFICIO QUEEN VICTORIA</t>
  </si>
  <si>
    <t>QUEEN VICTORIA</t>
  </si>
  <si>
    <t>EDIFICIO V HOUSE - FARIA LIMA</t>
  </si>
  <si>
    <t>V HOUSE - FARIA LIMA</t>
  </si>
  <si>
    <t>EDILENE GOMES DE OLIVEIRA</t>
  </si>
  <si>
    <t>EDILENE GOMES</t>
  </si>
  <si>
    <t>EDISON CORTEZ</t>
  </si>
  <si>
    <t>EDISON MARCELO SCHNETZLER - ME</t>
  </si>
  <si>
    <t>MOTEL SPECIALE</t>
  </si>
  <si>
    <t>Edivane Lisboa</t>
  </si>
  <si>
    <t>Edna Alves</t>
  </si>
  <si>
    <t>Ednalva Stuart</t>
  </si>
  <si>
    <t>EDUARDA PIERRE PASSOS DE SOUZA SILVA</t>
  </si>
  <si>
    <t>EDUARDA PIERRE PASSO</t>
  </si>
  <si>
    <t>EDUARDO ALMEIDA</t>
  </si>
  <si>
    <t>EDUARDO BARBOSA DE OLIVEIRA</t>
  </si>
  <si>
    <t>EDUARDO BARBOSA DE O</t>
  </si>
  <si>
    <t>EDUARDO FRUGOLI</t>
  </si>
  <si>
    <t>EDUARDO (TRIPLEX)</t>
  </si>
  <si>
    <t>EDUARDO GABOR</t>
  </si>
  <si>
    <t>EDUARDO GALVÃO DE BRITO LIRA</t>
  </si>
  <si>
    <t>POUSADA NAONDA</t>
  </si>
  <si>
    <t>EDUARDO VIANNA COTRIM - ME</t>
  </si>
  <si>
    <t>OFICINA DE COSTURA G</t>
  </si>
  <si>
    <t>EDWINA VALENÇA CAVALCANTE</t>
  </si>
  <si>
    <t>EDWINA VALENÇA</t>
  </si>
  <si>
    <t>EFP ADMINISTRADORA DE BENS LTDA</t>
  </si>
  <si>
    <t>FAZENDA CERRO AZUL</t>
  </si>
  <si>
    <t>ELAINE</t>
  </si>
  <si>
    <t>ELAINE CHRISTINE MIRANDA PELEGRINI LTDA</t>
  </si>
  <si>
    <t>GÊNESIS</t>
  </si>
  <si>
    <t>ELAINE FERNANDES DE JESUS</t>
  </si>
  <si>
    <t>ELAINE FERNANDES DE</t>
  </si>
  <si>
    <t>Elaine Miquelin</t>
  </si>
  <si>
    <t>ÉLCIO STAUFFER SCHERRER</t>
  </si>
  <si>
    <t>ÉLCIO STAUFFER SCHER</t>
  </si>
  <si>
    <t>ELDORADO HOTELARIA E TURISMO LTDA</t>
  </si>
  <si>
    <t>HOTEL PARK IMPERIAL</t>
  </si>
  <si>
    <t>ELIANA CASTELLARI AFFONSO</t>
  </si>
  <si>
    <t>ELIANA CASTELLARI AF</t>
  </si>
  <si>
    <t>ELIANA CRISTINA DE SOUZA MOVEIS - ME</t>
  </si>
  <si>
    <t>DE CANTO ENCANTO</t>
  </si>
  <si>
    <t>Eliana Nobrega</t>
  </si>
  <si>
    <t>Eliandro Carlos Paese</t>
  </si>
  <si>
    <t>Eliandro Carlos Paes</t>
  </si>
  <si>
    <t>ELIANE RODRIGUES BASTOS</t>
  </si>
  <si>
    <t>ELIANE</t>
  </si>
  <si>
    <t>Eliane Soares Fonseca</t>
  </si>
  <si>
    <t>Eliane Soares Fonsec</t>
  </si>
  <si>
    <t>ELIAS DO NASCIMENTO JUNIOR</t>
  </si>
  <si>
    <t>ELIAS JUNIOR</t>
  </si>
  <si>
    <t>ELIETE APARECIDA CARREIRA BRUNHEROTTI - EPP</t>
  </si>
  <si>
    <t>ELIETE</t>
  </si>
  <si>
    <t>ELILULA DO BRASIL IMOBILIARIA LTDA</t>
  </si>
  <si>
    <t>CASAS ELILULA</t>
  </si>
  <si>
    <t>ELISA GARCIA GUARNIERI</t>
  </si>
  <si>
    <t>ELISA GARCIA</t>
  </si>
  <si>
    <t>Elisabete Costa Souza Farias</t>
  </si>
  <si>
    <t>Elisabete Costa Souz</t>
  </si>
  <si>
    <t>ELISABETH PEISSHER</t>
  </si>
  <si>
    <t>Elisangela Gerber Blaudt</t>
  </si>
  <si>
    <t>Elisangela Gerber Bl</t>
  </si>
  <si>
    <t>ELIZA MARA DE CARVALHO BORGES MARIN 09557713747</t>
  </si>
  <si>
    <t>POUSADA CASARAO</t>
  </si>
  <si>
    <t>Eliziane</t>
  </si>
  <si>
    <t>ELKE BRAID</t>
  </si>
  <si>
    <t>ELY CALDEIRA</t>
  </si>
  <si>
    <t>Elza Maria Dantas Carvalho</t>
  </si>
  <si>
    <t>Elza Maria Dantas Ca</t>
  </si>
  <si>
    <t>EM EFRED POUSADA E SERVIÇOS ADMINISTRATIVOS LTDA</t>
  </si>
  <si>
    <t>POUSADA RYOKAN</t>
  </si>
  <si>
    <t>EMBALO EMBALAGENS LOGICAS LTDA</t>
  </si>
  <si>
    <t>EMBALO</t>
  </si>
  <si>
    <t>EMILIANO EMPREENDIMENTOS E PARTICIPACOES HOTELEIRA</t>
  </si>
  <si>
    <t>HOTEL EMILIANO</t>
  </si>
  <si>
    <t>EMILIANO RJ EMPREENDIMENTOS E PARTICIPACOES HOTELE</t>
  </si>
  <si>
    <t>EMILIANO RIO JANEIRO</t>
  </si>
  <si>
    <t>EMMA REDONDO COSTA EPP</t>
  </si>
  <si>
    <t>TAMAN BARU POUSADA</t>
  </si>
  <si>
    <t>EMMANUEL HENRI MARCEL BASSOLEIL GASTRONOMIA EIRELI</t>
  </si>
  <si>
    <t>CHEFE BASSOLEIL</t>
  </si>
  <si>
    <t>EMPORIO SILVINO CANDIDO FRAZAO</t>
  </si>
  <si>
    <t>POUSADA MERITIBA</t>
  </si>
  <si>
    <t>EMPREENDIMENTO FAMILIAR DE LAVANDERIAS LTDA.</t>
  </si>
  <si>
    <t>LAVOUTIQUE</t>
  </si>
  <si>
    <t>EMPREENDIMENTOS PONTE NOVA LTDA</t>
  </si>
  <si>
    <t>EMPREEND. PONTE NOVA</t>
  </si>
  <si>
    <t>EMPREENDIMENTOS TURISTICOS ARMACAO DOS BUZIOS LTDA</t>
  </si>
  <si>
    <t>ARMACAO BUZIOS</t>
  </si>
  <si>
    <t>EMPRESA HOSPITALAR SAMARITANO EIRELI</t>
  </si>
  <si>
    <t>HOSPITAL SAMARITANO</t>
  </si>
  <si>
    <t>EMPRESA HOTELEIRA CASTEL FRANCO LTDA</t>
  </si>
  <si>
    <t>DOUBLETREE BYHIL FOZ</t>
  </si>
  <si>
    <t>ENDRES &amp; NOEL LTDA</t>
  </si>
  <si>
    <t>VILLA D´INCANTO</t>
  </si>
  <si>
    <t>ENDUTEX HOTEIS BRASIL LTDA</t>
  </si>
  <si>
    <t>ENDUTEX HOTEIS BRASI</t>
  </si>
  <si>
    <t>ENOTEL - HOTELS &amp; RESORTS S/A</t>
  </si>
  <si>
    <t>ENOTEL PORTO DE GALI</t>
  </si>
  <si>
    <t>ENSEADA HOTEIS DO BRASIL LTDA</t>
  </si>
  <si>
    <t>ENSEADA HOTEIS</t>
  </si>
  <si>
    <t>ENTRERIOS INVESTIMENTOS IMOBILIARIOS LTDA</t>
  </si>
  <si>
    <t>PIEMONTE VIZIONE</t>
  </si>
  <si>
    <t>ENXOVAIS MOREIRA E GLORINHA LTDA - EPP</t>
  </si>
  <si>
    <t>MOREIRA E GLORINHA</t>
  </si>
  <si>
    <t>ENXOVAIS TILA EIRELI - EPP</t>
  </si>
  <si>
    <t>ENXOVAIS TILA</t>
  </si>
  <si>
    <t>EPS EMPREENDIMENTOS S/A</t>
  </si>
  <si>
    <t>MERCURE UBERLANDIA</t>
  </si>
  <si>
    <t>EPST - EMPRESA PRESTADORA DE SERVICOS DE TRANSPORT</t>
  </si>
  <si>
    <t>EPST</t>
  </si>
  <si>
    <t>ERA UMA VEZ ... EIRELI - EPP</t>
  </si>
  <si>
    <t>ERA UMA VEZ - MAVSA</t>
  </si>
  <si>
    <t>ERCILIA FORNAZZA SCHLICKMANN - EPP</t>
  </si>
  <si>
    <t>ERCILIA FORNAZZA</t>
  </si>
  <si>
    <t>Erica Brito de Sousa</t>
  </si>
  <si>
    <t>Erica Farias Paulino</t>
  </si>
  <si>
    <t>Erica Pereira</t>
  </si>
  <si>
    <t>ERICA VITA CHADE</t>
  </si>
  <si>
    <t>ERIK ANDRADE</t>
  </si>
  <si>
    <t>ERIK</t>
  </si>
  <si>
    <t>Erika Conde</t>
  </si>
  <si>
    <t>Erika Fiocchi Correa</t>
  </si>
  <si>
    <t>ERIONALDO E OTAVIO ADVOGADOS ASS.</t>
  </si>
  <si>
    <t>ERIONALDO</t>
  </si>
  <si>
    <t>ernesto santandrea</t>
  </si>
  <si>
    <t>ESCRITORIO DE ARQUITETURA MEZANINO</t>
  </si>
  <si>
    <t>MEZANINO</t>
  </si>
  <si>
    <t>ESHO EMPRESA DE SERVICOS HOSPITALARES S.A.</t>
  </si>
  <si>
    <t>HOSPITAL PAULISTANO</t>
  </si>
  <si>
    <t>ESHO EMPRESA DE SERV</t>
  </si>
  <si>
    <t>HOSPITAL PRO-CARDIAC</t>
  </si>
  <si>
    <t>PRO CARDIACO</t>
  </si>
  <si>
    <t>HOSP. MONTE KLINIKUM</t>
  </si>
  <si>
    <t>UH SAMARITANO SP</t>
  </si>
  <si>
    <t>ESMERALDA HOTELARIA E TURISMO LTDA - EPP</t>
  </si>
  <si>
    <t>POUSADA ITAPEMAR 2</t>
  </si>
  <si>
    <t>ESPACO BODY AND SOUL PRODUTOS DE BELEZA LTDA - EPP</t>
  </si>
  <si>
    <t>FRESHY SPA</t>
  </si>
  <si>
    <t>ESPACO DO BANHO E AROMAS LTDA</t>
  </si>
  <si>
    <t>LOCCITANE BELA CINTR</t>
  </si>
  <si>
    <t>LOCCITANE MOEMA</t>
  </si>
  <si>
    <t>LOCCITANE PATIO BATE</t>
  </si>
  <si>
    <t>LOCCITANE VILA CONCE</t>
  </si>
  <si>
    <t>LOCCITANE RIOMAR</t>
  </si>
  <si>
    <t>ESPAÇO DO BANHO E AROMAS LTDA</t>
  </si>
  <si>
    <t>LOCCITANE NORMANDIA</t>
  </si>
  <si>
    <t>ESPAÇO GOLF LTDA</t>
  </si>
  <si>
    <t>ESPAÇO GOLF</t>
  </si>
  <si>
    <t>ESPACO TALISMA EVENTOS LTDA</t>
  </si>
  <si>
    <t>ESPACO TALISMA</t>
  </si>
  <si>
    <t>ESPACOS E SOLUCOES MODULADOS E INTERIORES LTDA ME</t>
  </si>
  <si>
    <t>AGUSTIM ROSSI</t>
  </si>
  <si>
    <t>ESSENCIAL SPA BOUTIQUE LTDA - ME</t>
  </si>
  <si>
    <t>CASAS BRANCAS HOTEL</t>
  </si>
  <si>
    <t>ESSENCIALLI ENXOVAIS LTDA</t>
  </si>
  <si>
    <t>ESSENCIALLI</t>
  </si>
  <si>
    <t>ESTALAGEM WIESBADEN LTDA. - EPP</t>
  </si>
  <si>
    <t>ESTALAGEM WIESBADEN</t>
  </si>
  <si>
    <t>ESTANCIA SANTA CLARA LTDA</t>
  </si>
  <si>
    <t>FAZENDA SANTA CLARA</t>
  </si>
  <si>
    <t>CLARA RESORT IBIUNA</t>
  </si>
  <si>
    <t>ESTANCONFOR REPRESENTACOES PATRIMONIAIS SOCIEDADE</t>
  </si>
  <si>
    <t>ESTANCONFOR ITAIM</t>
  </si>
  <si>
    <t>ESTANCONFOR JARDINS</t>
  </si>
  <si>
    <t>ESTANPLAZA ADMINISTRADORA HOTELEIRA E COMERCIAL LT</t>
  </si>
  <si>
    <t>ESTANPLAZA ADMINISTR</t>
  </si>
  <si>
    <t>CENTRAL ESTANPLAZA</t>
  </si>
  <si>
    <t>ESTANPLAZA</t>
  </si>
  <si>
    <t>ETOILE PARTICIPACOES E SERVICOS LTDA - EPP</t>
  </si>
  <si>
    <t>ETOILE ITAIM</t>
  </si>
  <si>
    <t>ETOILE JARDINS</t>
  </si>
  <si>
    <t>EUDIJANE DO CARMO</t>
  </si>
  <si>
    <t>EUGENIA NATASHA MOZETIC</t>
  </si>
  <si>
    <t>NATASHA MOZETIC</t>
  </si>
  <si>
    <t>EUGENIO CARLO BALLIANO MALAVAS</t>
  </si>
  <si>
    <t>EUGENIO CARLO</t>
  </si>
  <si>
    <t>EUKARYOTA PARTICIPACOES S/A.</t>
  </si>
  <si>
    <t>EUKARYOTA PARTICIPAC</t>
  </si>
  <si>
    <t>EURA EMPREENDIMENTOS URBANOS S/A</t>
  </si>
  <si>
    <t>EURA EMPREENDIMENTOS</t>
  </si>
  <si>
    <t>EUROMED INOVACAO E TECNOLOGIA EM SAUDE EIRELI</t>
  </si>
  <si>
    <t>PROPETEC</t>
  </si>
  <si>
    <t>Eva Aparecida De Queiroz Serafim</t>
  </si>
  <si>
    <t>Eva Aparecida De Que</t>
  </si>
  <si>
    <t>EVA CLINICA LTDA</t>
  </si>
  <si>
    <t>EVA CLINICA</t>
  </si>
  <si>
    <t>Evandro</t>
  </si>
  <si>
    <t>Evelyn Melo Da Costa</t>
  </si>
  <si>
    <t>Evelyn Santos de Oliveira</t>
  </si>
  <si>
    <t>Evelyn Santos de Oli</t>
  </si>
  <si>
    <t>EVENTOS QUINTA DO OLIVARDO LTDA EPP</t>
  </si>
  <si>
    <t>QUINTA DO OLIVARDO E</t>
  </si>
  <si>
    <t>EVEREST RIO HOTEL S A</t>
  </si>
  <si>
    <t>EVEREST PARK HOTEL</t>
  </si>
  <si>
    <t>EVIDENCE HAIR STUDIO DE BELEZA LTDA</t>
  </si>
  <si>
    <t>EVIDENCE HAIR STUDIO</t>
  </si>
  <si>
    <t>Evilin Oliveira Santos Menezes</t>
  </si>
  <si>
    <t>Evilin Oliveira Sant</t>
  </si>
  <si>
    <t>EVOLUTIX GESTAO DE TECNOLOGIA E COMERCIO LTDA</t>
  </si>
  <si>
    <t>EVOLUTIX</t>
  </si>
  <si>
    <t>EXCELLENCE HOTEIS LTDA</t>
  </si>
  <si>
    <t>EXCIM IMPORTACAO E EXPORTACAO S.A.</t>
  </si>
  <si>
    <t>EXCIM IMPORTACAO E E</t>
  </si>
  <si>
    <t>F &amp; S COMERCIO E MONTAGEM DE BRINQUEDOS RECREATIVO</t>
  </si>
  <si>
    <t>F &amp; S COMERCIO E MON</t>
  </si>
  <si>
    <t>F. B. RAMOS - ME</t>
  </si>
  <si>
    <t>CAVALEIROS PIRINEUS</t>
  </si>
  <si>
    <t>F. C. CONSULTORIA EM GESTAO LTDA - ME</t>
  </si>
  <si>
    <t>F. C. CONSULTORIA EM</t>
  </si>
  <si>
    <t>F. DE A. DOMINGOS - DESIGN E DECOR NAUTICA</t>
  </si>
  <si>
    <t>YACHT BY FABIANNE</t>
  </si>
  <si>
    <t>F. QUEIROZ REPRESENTACOES COMERCIAIS LTDA ME</t>
  </si>
  <si>
    <t>F. QUEIROZ</t>
  </si>
  <si>
    <t>FAA PARTICIPACOES E EMPREENDIMENTOS IMOBILIARIOS L</t>
  </si>
  <si>
    <t>HOTEL VENIT MIO</t>
  </si>
  <si>
    <t>Fabiana</t>
  </si>
  <si>
    <t>FABIANA BORREGO</t>
  </si>
  <si>
    <t>FABIANA DA SILVA</t>
  </si>
  <si>
    <t>SOLAR BEACH HOSTEL</t>
  </si>
  <si>
    <t>FABIANA ERRERA</t>
  </si>
  <si>
    <t>FABIANA ( V HOUSE )</t>
  </si>
  <si>
    <t>FABIANA GHIRARDELLO</t>
  </si>
  <si>
    <t>FABIANA SANTOS</t>
  </si>
  <si>
    <t>Fabiana Silva de Souza Jahel</t>
  </si>
  <si>
    <t>Fabiana Silva de Sou</t>
  </si>
  <si>
    <t>FABIANA ULSON ZAPPA FIALDINI</t>
  </si>
  <si>
    <t>FABIANA FIALDINI-FOR</t>
  </si>
  <si>
    <t>Fabiana Vilela</t>
  </si>
  <si>
    <t>Fabiano Manzi Paes Manso</t>
  </si>
  <si>
    <t>Fabiano Manzi Paes M</t>
  </si>
  <si>
    <t>FABIO</t>
  </si>
  <si>
    <t>FABIO MACHADO IZAR</t>
  </si>
  <si>
    <t>FIGUEIRA DA SERRA</t>
  </si>
  <si>
    <t>FABIO MENDES</t>
  </si>
  <si>
    <t>FABIO MORIBE OKI</t>
  </si>
  <si>
    <t>Fabio pessoa</t>
  </si>
  <si>
    <t>FÁBIO SGNORELLI VIANA</t>
  </si>
  <si>
    <t>FÁBIO SGNORELLI VIAN</t>
  </si>
  <si>
    <t>FABRICIA CARTAXO VILARIM MARTINS</t>
  </si>
  <si>
    <t>FABRICIA CARTAXO</t>
  </si>
  <si>
    <t>FABRICIA PAULA NOGUEIRA SOARES EIRELI</t>
  </si>
  <si>
    <t>FABRICIA NOGUEIRA</t>
  </si>
  <si>
    <t>Fanor</t>
  </si>
  <si>
    <t>FARMAMUNDI COMERCIO E REPRESENTACAO DE PRODUTOS FA</t>
  </si>
  <si>
    <t>LAIS DANIELY</t>
  </si>
  <si>
    <t>FARO ATIBAIA</t>
  </si>
  <si>
    <t>HOTEL FARO ATIBAIA</t>
  </si>
  <si>
    <t>FARO SAO JOSE DOS CAMPOS</t>
  </si>
  <si>
    <t>HOTEL FARO S.J. CAMP</t>
  </si>
  <si>
    <t>FARO SAO TOME HOTEL LTDA</t>
  </si>
  <si>
    <t>HOTEL FARO TAUBATE</t>
  </si>
  <si>
    <t>FAROL MUSIC LTDA</t>
  </si>
  <si>
    <t>FAROL MUSIC</t>
  </si>
  <si>
    <t>FAROL VIDA E PROJETOS</t>
  </si>
  <si>
    <t>FAROL</t>
  </si>
  <si>
    <t>FATIMA FONSECA</t>
  </si>
  <si>
    <t>FAU HOME COMERCIO DE ARTIGOS DO VESTUARIO - EIRELI</t>
  </si>
  <si>
    <t>FAU HOME</t>
  </si>
  <si>
    <t>FAZ DAS VIDEIRAS POUSADA LTDA</t>
  </si>
  <si>
    <t>FAZENDA DAS VIDEIRAS</t>
  </si>
  <si>
    <t>FAZENDA ALVA</t>
  </si>
  <si>
    <t>FAZENDA ALVA LTDA.</t>
  </si>
  <si>
    <t>FAZENDA BOA VISTA CLUBE DE GOLFE (FBVCG)</t>
  </si>
  <si>
    <t>FAZENDA BOA VISTA CL</t>
  </si>
  <si>
    <t>FAZENDA DA GAMELA ECO RESORT LTDA EIRELI - EPP</t>
  </si>
  <si>
    <t>FAZENDA GAMELA</t>
  </si>
  <si>
    <t>FAZENDA DO SERROTE HOSPEDARIA LTDA - ME</t>
  </si>
  <si>
    <t>FAZENDA DO SERROTE H</t>
  </si>
  <si>
    <t>FAZENDA ITAOCA AGROPECUARIA S/A</t>
  </si>
  <si>
    <t>VERPAR</t>
  </si>
  <si>
    <t>FAZENDA NOSSO VILAREJO AGROPECUÁRIA</t>
  </si>
  <si>
    <t>FAZENDA NOSSO VILARE</t>
  </si>
  <si>
    <t>FB HOTEL FAZENDA LTDA</t>
  </si>
  <si>
    <t>FB FAZENDA BORGES</t>
  </si>
  <si>
    <t>FBD PARTICIPACOES S/A</t>
  </si>
  <si>
    <t>FBD PARTICIPACOES</t>
  </si>
  <si>
    <t>FEIMAR LLC - PARTICIPACOES E REPRESENTACOES LTDA -</t>
  </si>
  <si>
    <t>FEIMAR LLC</t>
  </si>
  <si>
    <t>FELICIDADE DAS NEVES MARCOS NETO - ME</t>
  </si>
  <si>
    <t>POUSADA ALTO DOURO</t>
  </si>
  <si>
    <t>Felipe</t>
  </si>
  <si>
    <t>FELIPE CORNELIO ROVERA NETO</t>
  </si>
  <si>
    <t>FELIPE CORN ( VHOUSE</t>
  </si>
  <si>
    <t>Felipe De Moura SouA</t>
  </si>
  <si>
    <t>FELIPE FERNANDES GOMES</t>
  </si>
  <si>
    <t>FELIPE FERNANDES GOM</t>
  </si>
  <si>
    <t>FELIPE GUERRA FERNANDES DE ABREU</t>
  </si>
  <si>
    <t>TREZ LIFE ORGANIZER</t>
  </si>
  <si>
    <t>FEMAG HOTEIS LTDA</t>
  </si>
  <si>
    <t>FEMAG - IBIS SINOP</t>
  </si>
  <si>
    <t>FERMAM MOTEL LTDA - ME</t>
  </si>
  <si>
    <t>CARICIA MOTEL</t>
  </si>
  <si>
    <t>Fernanda</t>
  </si>
  <si>
    <t>FERNANDA</t>
  </si>
  <si>
    <t>FERNANDA ALMEIDA NUNES CASTRO</t>
  </si>
  <si>
    <t>FERNANDA ALMEIDA NUN</t>
  </si>
  <si>
    <t>FERNANDA ARIADNA LOPES LEITE</t>
  </si>
  <si>
    <t>FERNANDA ARIADNA LO</t>
  </si>
  <si>
    <t>fernanda ayres de morais e silva cardoso</t>
  </si>
  <si>
    <t>fernanda ayres de mo</t>
  </si>
  <si>
    <t>Fernanda Barreto</t>
  </si>
  <si>
    <t>Fernanda Carneiro</t>
  </si>
  <si>
    <t>FERNANDA CROSARA</t>
  </si>
  <si>
    <t>FERNANDA FERRAZ</t>
  </si>
  <si>
    <t>FERNANDA FRANCO</t>
  </si>
  <si>
    <t>FERNANDA GOMES  COELHO</t>
  </si>
  <si>
    <t>FERNANDA GOMES</t>
  </si>
  <si>
    <t>FERNANDA GOMES ROCHA PINTO</t>
  </si>
  <si>
    <t>FERNANDA GOMES PINTO</t>
  </si>
  <si>
    <t>Fernanda gontijo Botelho Lima</t>
  </si>
  <si>
    <t>Fernanda gontijo Bot</t>
  </si>
  <si>
    <t>FERNANDA MAYER</t>
  </si>
  <si>
    <t>FERNANDA MOREDO</t>
  </si>
  <si>
    <t>FERNANDA OLIVEIRA FONTES</t>
  </si>
  <si>
    <t>FERNANDA OLIVEIRA FO</t>
  </si>
  <si>
    <t>FERNANDA PARONETTO</t>
  </si>
  <si>
    <t>RERNANDA PARONETTO</t>
  </si>
  <si>
    <t>FERNANDA PENTEADO MOLINA</t>
  </si>
  <si>
    <t>FERNANDA PENTEADO MO</t>
  </si>
  <si>
    <t>FERNANDA RAFAELLE COELHO</t>
  </si>
  <si>
    <t>FERNANDA RAFAELLE CO</t>
  </si>
  <si>
    <t>FERNANDA RODRIGUES KOBUSZEWSKI</t>
  </si>
  <si>
    <t>FERNANDA RODRIGUES</t>
  </si>
  <si>
    <t>FERNANDA SOBRINHO</t>
  </si>
  <si>
    <t>Fernanda Torres Nicoletti</t>
  </si>
  <si>
    <t>Fernanda Torres Nico</t>
  </si>
  <si>
    <t>FERNANDA WISCHRAL BASTOS</t>
  </si>
  <si>
    <t>FERNANDA WISCHRAL BA</t>
  </si>
  <si>
    <t>Fernando Ebbecke</t>
  </si>
  <si>
    <t>FERNANDO MOREIRA</t>
  </si>
  <si>
    <t>FERNANDO SILVA</t>
  </si>
  <si>
    <t>FERNANDO STUCCHI ALEGRO</t>
  </si>
  <si>
    <t>FS ASSESSORIA ADM.</t>
  </si>
  <si>
    <t>FERREIRA &amp; SEGANTINI CENTRO DE CIRURGIA PLASTICA</t>
  </si>
  <si>
    <t>FERREIRA &amp; SEGANTINI</t>
  </si>
  <si>
    <t>FERREIRA COSMETICOS LTDA</t>
  </si>
  <si>
    <t>FERREIRA</t>
  </si>
  <si>
    <t>FERREIRA JUNIOR ENGENHARIA LTDA</t>
  </si>
  <si>
    <t>FERREIRA JUNIOR</t>
  </si>
  <si>
    <t>FERVEDOURO JATOBA LTDA</t>
  </si>
  <si>
    <t>FERVEDOURO JATOBA</t>
  </si>
  <si>
    <t>FINO PASSO CALCADOS LTDA</t>
  </si>
  <si>
    <t>FINO PASSO</t>
  </si>
  <si>
    <t>FIRENZE COMERCIO DE ALIMENTOS EIRELI - EPP</t>
  </si>
  <si>
    <t>FIRENZE COMERCIO DE</t>
  </si>
  <si>
    <t>FIRMINO DA SILVA DURO</t>
  </si>
  <si>
    <t>RIO HOTEL</t>
  </si>
  <si>
    <t>FLAMINGO LTDA</t>
  </si>
  <si>
    <t>FLAMINGO</t>
  </si>
  <si>
    <t>FLANDRES HOTEIS LTDA</t>
  </si>
  <si>
    <t>FLANDRES</t>
  </si>
  <si>
    <t>FLAT VIVENDAS MARIA QUITERIA LTDA</t>
  </si>
  <si>
    <t>FLAT VIVENDAS</t>
  </si>
  <si>
    <t>FLATS LAUNDRY SERVICE-LAVANDS.ESPECIALIZADAS S/C L</t>
  </si>
  <si>
    <t>FLATS LAUNDRY SERVIC</t>
  </si>
  <si>
    <t>FLAVIA</t>
  </si>
  <si>
    <t>Flavia Beatriz Cardoso Veloso</t>
  </si>
  <si>
    <t>Flavia Beatriz Cardo</t>
  </si>
  <si>
    <t>Flavia Carnieli e Silva</t>
  </si>
  <si>
    <t>Flavia Carnieli e Si</t>
  </si>
  <si>
    <t>Flavia Coutinho</t>
  </si>
  <si>
    <t>FLÁVIA DIRK CARVALHO</t>
  </si>
  <si>
    <t>FLAVIA GIOVANAZZI RESSTOM</t>
  </si>
  <si>
    <t>TREZ LIFE</t>
  </si>
  <si>
    <t>FLAVIA HC HOME</t>
  </si>
  <si>
    <t>Flavia Melo</t>
  </si>
  <si>
    <t>FLAVIA RIBEIRO</t>
  </si>
  <si>
    <t>FLAVIA TURANO</t>
  </si>
  <si>
    <t>Flavio De Gusmao</t>
  </si>
  <si>
    <t>FLAVIO GONCALVES MARX - ME</t>
  </si>
  <si>
    <t>POUSADA MORADA  NUVE</t>
  </si>
  <si>
    <t>FLAVIO JOSE LINO DE CARVALHO</t>
  </si>
  <si>
    <t>FLAVIO JOSE LINO DE</t>
  </si>
  <si>
    <t>FLAVIO RIOS VIEIRA LINO</t>
  </si>
  <si>
    <t>FLAVIO RIOS ( VHOUSE</t>
  </si>
  <si>
    <t>FLAVIO TORRES PRIMIANI DA SILVA LTDA</t>
  </si>
  <si>
    <t>Flavio Tudisco</t>
  </si>
  <si>
    <t>FLEURY CENTRO DE PROCEDIMENTOS MEDICOS AVANCADOS S</t>
  </si>
  <si>
    <t>FLEURY HIGIENÓPOLIS</t>
  </si>
  <si>
    <t>FLEURY FERTILIDADE</t>
  </si>
  <si>
    <t>FLEURY S/A</t>
  </si>
  <si>
    <t>FLEURY S.A.</t>
  </si>
  <si>
    <t>FLEURY MEDICINA E SA</t>
  </si>
  <si>
    <t>LABS A+ MEDICINA DIA</t>
  </si>
  <si>
    <t>FLEX PARK AFONSO DE FREITAS EMPREENDIMENTO IMOBILI</t>
  </si>
  <si>
    <t>CONSTRUTORA FRESNO</t>
  </si>
  <si>
    <t>FLOR DE LIS EMPREENDIMENTOS TURISTICOS - EIRELI</t>
  </si>
  <si>
    <t>POUSADAFLOR DE LIS</t>
  </si>
  <si>
    <t>FLORENCA PALACE HOTEL LTDA</t>
  </si>
  <si>
    <t>FLORENCA PALACE HOTE</t>
  </si>
  <si>
    <t>FLORESTA TOUR VIAGENS E TURISMO EIRELI</t>
  </si>
  <si>
    <t>FLORESTA TOUR</t>
  </si>
  <si>
    <t>FLORIPA HOUSE SPE LTDA</t>
  </si>
  <si>
    <t>UNNA LONG STAY</t>
  </si>
  <si>
    <t>FLOW CITY SPE 1 EMPREENDIMENTO IMOBILIARIO LTDA.</t>
  </si>
  <si>
    <t>PREA</t>
  </si>
  <si>
    <t>FLOW CITY SPE 7 EMPREENDIMENTO IMOBILIARIO LTDA</t>
  </si>
  <si>
    <t>FLOW CITY SPE 7 EMPREENDIMENTO IMOBILIÁRIO LTDA</t>
  </si>
  <si>
    <t>WIND HOUSE</t>
  </si>
  <si>
    <t>FLOW SERVICES LTDA</t>
  </si>
  <si>
    <t>FLOW SERVICES (PREÁ)</t>
  </si>
  <si>
    <t>FM MOREIRA IMPORTACAO &amp; EXPORTACAO LTDA</t>
  </si>
  <si>
    <t>FM MOREIRA TRADING</t>
  </si>
  <si>
    <t>FNAJ LTDA</t>
  </si>
  <si>
    <t>OH LA LA</t>
  </si>
  <si>
    <t>FORCASA INCORPORACAO IMOBILIARIA E EMPREENDIMENTOS</t>
  </si>
  <si>
    <t>ESPAÇO KHIE</t>
  </si>
  <si>
    <t>FORTE ALIMENTACAO LTDA - ME</t>
  </si>
  <si>
    <t>FORTE ALIMENTACAO</t>
  </si>
  <si>
    <t>FRADE SPOT PARTICIPAÇÕES SA</t>
  </si>
  <si>
    <t>HOTEL FASANO ANGRA</t>
  </si>
  <si>
    <t>FRAGOSO SOCIEDADE DE ADVOGADOS</t>
  </si>
  <si>
    <t>FRAGOSO SOCIEDADE</t>
  </si>
  <si>
    <t>FRANCE BEACH HOTEL LTDA</t>
  </si>
  <si>
    <t>FRANCE BEACH HOTEL</t>
  </si>
  <si>
    <t>Franciela Silvano</t>
  </si>
  <si>
    <t>FRANCINE PAIVA</t>
  </si>
  <si>
    <t>FRANCIS DORES ZANETI DECORACAO - ME</t>
  </si>
  <si>
    <t>FRANCIS</t>
  </si>
  <si>
    <t>Francisca Natalia Sanchez</t>
  </si>
  <si>
    <t>Francisca Natalia Sa</t>
  </si>
  <si>
    <t>FRANCISCO AIRTON ALBUQUERQUE</t>
  </si>
  <si>
    <t>OASIS</t>
  </si>
  <si>
    <t>FRANCISCO BORGES NETO</t>
  </si>
  <si>
    <t>FRANCISCO BORGES NET</t>
  </si>
  <si>
    <t>FRANCISCO DEUSMAR DE QUEIRÓS</t>
  </si>
  <si>
    <t>FRANCISCO DEUSMAR DE</t>
  </si>
  <si>
    <t>FRANCISCO PUTON - EPP</t>
  </si>
  <si>
    <t>FRANCISCO</t>
  </si>
  <si>
    <t>FRANKLIN MARTINS</t>
  </si>
  <si>
    <t>FREDERICO SCHILIRO</t>
  </si>
  <si>
    <t>FREIRE PALHA EMPREENDIMENTOS HOTELEIROS LTDA - EPP</t>
  </si>
  <si>
    <t>LES ROCHES</t>
  </si>
  <si>
    <t>FRELANZZA COMERCIAL LTDA - EPP</t>
  </si>
  <si>
    <t>FRELANZZA</t>
  </si>
  <si>
    <t>FT QUADRADO LTDA</t>
  </si>
  <si>
    <t>PRAIA FLO</t>
  </si>
  <si>
    <t>FUND INST DE MOLESTIAS DO APARELHO DIGESTIVO E DA</t>
  </si>
  <si>
    <t>EDMUNDO VASCONCELOS</t>
  </si>
  <si>
    <t>FUNDACAO BAIA VIVA</t>
  </si>
  <si>
    <t>CERIMONIAL LORETO</t>
  </si>
  <si>
    <t>FUNDAÇÃO FACULDADE DE MEDICINA/ICESP</t>
  </si>
  <si>
    <t>INST.DO CANCER SP</t>
  </si>
  <si>
    <t>FUNDACAO FACULDADE MEDICINA</t>
  </si>
  <si>
    <t>FFM HC IPQ</t>
  </si>
  <si>
    <t>LUCY MONTORO</t>
  </si>
  <si>
    <t>FUNDACAO JOSE LUIZ EGYDIO SETUBAL</t>
  </si>
  <si>
    <t>HOSP INFANTIL SABARA</t>
  </si>
  <si>
    <t>FUNDO DE INVESTIMENTO IMOBILIARIO PATEO MOINHOS DE</t>
  </si>
  <si>
    <t>FUNDO DE INVESTIMENT</t>
  </si>
  <si>
    <t>FUNDO SOCIAL DE SÃO PAULO</t>
  </si>
  <si>
    <t>FUSSP</t>
  </si>
  <si>
    <t>FURMAN BRANCO MOTEL LTDA - ME</t>
  </si>
  <si>
    <t>TUKI SABES MOTEL</t>
  </si>
  <si>
    <t>FUTURA ASSESSORIA TECNICA E PARTICIPACOES LTDA. -</t>
  </si>
  <si>
    <t>FUTURA ASSESSORIA TE</t>
  </si>
  <si>
    <t>G S C DE BRITO ME</t>
  </si>
  <si>
    <t>G S</t>
  </si>
  <si>
    <t>G.P. GALDINO LAVANDERIA LTDA</t>
  </si>
  <si>
    <t>G.P. GALDINO</t>
  </si>
  <si>
    <t>G.S. HOTEIS LTDA</t>
  </si>
  <si>
    <t>G7 EMPREENDIMENTOS IMOBILIARIOS LTDA</t>
  </si>
  <si>
    <t>G7 EMPREENDIMENTOS</t>
  </si>
  <si>
    <t>Gabriel Fernandes</t>
  </si>
  <si>
    <t>Gabriel Lopes Oliveira</t>
  </si>
  <si>
    <t>Gabriel Lopes Olivei</t>
  </si>
  <si>
    <t>GABRIEL SEQUEIRA</t>
  </si>
  <si>
    <t>GABRIELA CAPUA</t>
  </si>
  <si>
    <t>GABRIELA CAPUA -PREÁ</t>
  </si>
  <si>
    <t>Gabriela Carvalho</t>
  </si>
  <si>
    <t>GABRIELA CHAGAS</t>
  </si>
  <si>
    <t>GABRIELA CONSUL</t>
  </si>
  <si>
    <t>Gabriela Costa de souza</t>
  </si>
  <si>
    <t>Gabriela Costa de so</t>
  </si>
  <si>
    <t>GABRIELA DE OLIVEIRA THOMAZE</t>
  </si>
  <si>
    <t>GABRIELA DE OLIVEIRA</t>
  </si>
  <si>
    <t>GABRIELA FERREIRA</t>
  </si>
  <si>
    <t>GABRIELA FIGUEREDO DOS SANTOS</t>
  </si>
  <si>
    <t>GABRIELA FIGUEREDO D</t>
  </si>
  <si>
    <t>GABRIELA GUBERT</t>
  </si>
  <si>
    <t>Gabriela Isis Abreu de Paula</t>
  </si>
  <si>
    <t>Gabriela Isis Abreu</t>
  </si>
  <si>
    <t>GABRIELA MANFREDINI</t>
  </si>
  <si>
    <t>Gabriela Mattioli</t>
  </si>
  <si>
    <t xml:space="preserve">GABRIELA PACELA
</t>
  </si>
  <si>
    <t>GABRIELA PACHECO MENDES</t>
  </si>
  <si>
    <t>GABRIELA PACHECO MEN</t>
  </si>
  <si>
    <t>GABRIELA PALADINI</t>
  </si>
  <si>
    <t>GABRIELA PAMPONET</t>
  </si>
  <si>
    <t>GABRIELA PREGNOLATO</t>
  </si>
  <si>
    <t>GABRIELA ROCHEDO VILLELA</t>
  </si>
  <si>
    <t>GABRIELA ROCHEDO</t>
  </si>
  <si>
    <t>Gabriela Sacramento Barbosa Pires</t>
  </si>
  <si>
    <t>Gabriela Sacramento</t>
  </si>
  <si>
    <t>GABRIELA SILVA JUNQUEIRA</t>
  </si>
  <si>
    <t>GABRIELA SILVA JUNQU</t>
  </si>
  <si>
    <t>Gabriela Sumizano</t>
  </si>
  <si>
    <t>Gabriela Teixeira</t>
  </si>
  <si>
    <t>GABRIELA VARDIERO</t>
  </si>
  <si>
    <t>GABRIELA YOKOTA</t>
  </si>
  <si>
    <t>GABRIELA ZABOROWSKY</t>
  </si>
  <si>
    <t>GABRIELE BURKOTH DE ANDRADE</t>
  </si>
  <si>
    <t>GABRIELE BURKOTH DE</t>
  </si>
  <si>
    <t>GABRIELI CRUZ GOMES DA SILVA CUNHA</t>
  </si>
  <si>
    <t>GABRIELI CRUZ GOMES</t>
  </si>
  <si>
    <t>GABRIELLA XAVIER DOS REIS</t>
  </si>
  <si>
    <t>GABRIELLA XAVIER DOS</t>
  </si>
  <si>
    <t>Gabrielle Sanz</t>
  </si>
  <si>
    <t>GAFISA S/A.</t>
  </si>
  <si>
    <t>GAFISA</t>
  </si>
  <si>
    <t>GALPAO CAIPIRA LAZER E COMERCIO LTDA</t>
  </si>
  <si>
    <t>GALPAO CAIPIRA</t>
  </si>
  <si>
    <t>GAM2 EMPREENDIMENTOS EIRELI - ME</t>
  </si>
  <si>
    <t>GAMA EMPREENDIMENTOS HOTELEIROS LTDA</t>
  </si>
  <si>
    <t>JL HOTEL BY BOURBON</t>
  </si>
  <si>
    <t>GAMAGAMA CANTO HOSPEDAGEM LTDA</t>
  </si>
  <si>
    <t>SOFIA´S ON THE BEACH</t>
  </si>
  <si>
    <t>GANDINI EMPREENDIMENTOS HOTELEIROS LTDA.</t>
  </si>
  <si>
    <t>HOTEL GANDINI</t>
  </si>
  <si>
    <t>GARCIA DE ALMEIDA &amp; CIA LTDA - ME</t>
  </si>
  <si>
    <t>GARCIA PALACE HOTEL</t>
  </si>
  <si>
    <t>GARDEN HILL GOLF CLUB LTDA - ME</t>
  </si>
  <si>
    <t>GARDEN HILL HOTEL</t>
  </si>
  <si>
    <t>GARDEN MOTEL - CORPO QUENTE HOTELARIA E COMERCIO L</t>
  </si>
  <si>
    <t>GARDEN MOTEL</t>
  </si>
  <si>
    <t>GARE COMERCIO DE ALIMENTOS LTDA</t>
  </si>
  <si>
    <t>SALCO</t>
  </si>
  <si>
    <t>GAVEA GOLF AND COUNTRY CLUB</t>
  </si>
  <si>
    <t>GAVEA GOLF CLUB</t>
  </si>
  <si>
    <t>GAYA CENTRO DE QUALIDADE DE VIDA EIRELI EPP</t>
  </si>
  <si>
    <t>GC CONSTRUCAO E TERRAPLENAGEM LTDA - ME</t>
  </si>
  <si>
    <t>CATUAI (FAZENDA</t>
  </si>
  <si>
    <t>GCG ADMINISTRACAO DE HOTEIS LTDA</t>
  </si>
  <si>
    <t>LUMMINA HOTEL MOGI-G</t>
  </si>
  <si>
    <t>GDVM ADMINISTRADORA DE IMOVEIS LTDA - EPP</t>
  </si>
  <si>
    <t>GDVM ADMIN ( VHOUSE)</t>
  </si>
  <si>
    <t>GEIZE ZANETTE</t>
  </si>
  <si>
    <t>DO RE</t>
  </si>
  <si>
    <t>GENAURO PEREIRA</t>
  </si>
  <si>
    <t>GENESIS AGROPECUARIA E TURISMO LTDA</t>
  </si>
  <si>
    <t>HOTEL TRES RIOS</t>
  </si>
  <si>
    <t>GENILSA</t>
  </si>
  <si>
    <t>GEO COMERCIO DE MOVEIS E ACESSORIOS INFANTIS LTDA</t>
  </si>
  <si>
    <t>GEOGIANA ALMEIDA</t>
  </si>
  <si>
    <t>GEORGE DE CASSIA MENDES</t>
  </si>
  <si>
    <t>GEORGE DE CASSIA MEN</t>
  </si>
  <si>
    <t>GEORGIANA MENDES DE ALMEIDA</t>
  </si>
  <si>
    <t>GEORGIANA MENDES</t>
  </si>
  <si>
    <t>GEORGINA BUSINESS PARK - SPE LTDA</t>
  </si>
  <si>
    <t>HILTON GARDEN SJRP</t>
  </si>
  <si>
    <t>GEORGINA INVESTIMENTOS E PARTICIPAÇÕES LTDA</t>
  </si>
  <si>
    <t>HAMAM</t>
  </si>
  <si>
    <t>Geraldo Carvalho Fonseca Neto</t>
  </si>
  <si>
    <t>Geraldo Carvalho Fon</t>
  </si>
  <si>
    <t>GERIO SOUSA CHAGAS 61203893345</t>
  </si>
  <si>
    <t>AÇAI DISTRIBUIDORA</t>
  </si>
  <si>
    <t>Gervasio Meneses de Oliveira Filho</t>
  </si>
  <si>
    <t>Gervasio Meneses de</t>
  </si>
  <si>
    <t>GESTORA DE FUNDO PATRIMONIAL ROGERIO JONAS ZYLBERS</t>
  </si>
  <si>
    <t>TECTO ENGENHARIA</t>
  </si>
  <si>
    <t>GFEK CASA DAS ROSAS EMPREENDIMENTOS IMOB. LTDA</t>
  </si>
  <si>
    <t>QOYA SP BY HILTON</t>
  </si>
  <si>
    <t>GG FLOW LTDA</t>
  </si>
  <si>
    <t>VILLA RUDA</t>
  </si>
  <si>
    <t>GHELERE RESTAURANTE E POUSADA LTDA</t>
  </si>
  <si>
    <t>GUELERE</t>
  </si>
  <si>
    <t>GIANCA COMERCIO IMPORTACAO E EXPORTACAO DE EQUIPAM</t>
  </si>
  <si>
    <t>RESTING BLISS</t>
  </si>
  <si>
    <t>GICELLE GOMES</t>
  </si>
  <si>
    <t>GILBERTO CHAVES BATISTEL</t>
  </si>
  <si>
    <t>ROMEYKA</t>
  </si>
  <si>
    <t>Gilberto De Lima Filho</t>
  </si>
  <si>
    <t>Gilberto De Lima Fil</t>
  </si>
  <si>
    <t>Gildivania Lopes</t>
  </si>
  <si>
    <t>Gilsomar N Resende</t>
  </si>
  <si>
    <t>GILSON ANTONIO DE BONA</t>
  </si>
  <si>
    <t>GILSON</t>
  </si>
  <si>
    <t>Gioconda Fernandes Ribeiro</t>
  </si>
  <si>
    <t>Gioconda Fernandes R</t>
  </si>
  <si>
    <t>GIOVANNA ALTOÉ</t>
  </si>
  <si>
    <t>Giovanna Reis Viglio</t>
  </si>
  <si>
    <t>Giovanna Sanches</t>
  </si>
  <si>
    <t>GIOVANNA SRNA LUNARDI SEQUEIRA</t>
  </si>
  <si>
    <t>GIOVANNA SRNA LUNARD</t>
  </si>
  <si>
    <t>GIOVANNA TURQUINO SIMOES</t>
  </si>
  <si>
    <t>GIOVANNA TURQUINO</t>
  </si>
  <si>
    <t>GIP ILHABELA EMPREENDIMENTOS IMOBILIÁRIOS SPE LTDA</t>
  </si>
  <si>
    <t>HYPE HOTELS ILHABELA</t>
  </si>
  <si>
    <t>GIP XI EMPREENDIMENTOS IMOBILIARIOS LTDA</t>
  </si>
  <si>
    <t>CASA DI SIRENA CAMPO</t>
  </si>
  <si>
    <t>Gisah da Cunha Martins</t>
  </si>
  <si>
    <t>Gisah da Cunha Marti</t>
  </si>
  <si>
    <t>Gisele Holtz Shirakawa</t>
  </si>
  <si>
    <t>Gisele Holtz Shiraka</t>
  </si>
  <si>
    <t>Gisele Lennon Roichman</t>
  </si>
  <si>
    <t>Gisele Lennon Roichm</t>
  </si>
  <si>
    <t>Giselle remor</t>
  </si>
  <si>
    <t>Gislaine Ariane T Negreli</t>
  </si>
  <si>
    <t>Gislaine Ariane T Ne</t>
  </si>
  <si>
    <t>GISLAINE FAGUNDES</t>
  </si>
  <si>
    <t>Gislene Aparecida De Almeida Garcia</t>
  </si>
  <si>
    <t>Gislene Aparecida De</t>
  </si>
  <si>
    <t>GIULIA MONT SERRAT</t>
  </si>
  <si>
    <t>GJP ADMINISTRADORA DE HOTEIS LTDA</t>
  </si>
  <si>
    <t>IGUASSU RESORT</t>
  </si>
  <si>
    <t>GJP - PRODIGY</t>
  </si>
  <si>
    <t>GJP - SANTOS DUMONT</t>
  </si>
  <si>
    <t>GJP CONFINS AIRPORT</t>
  </si>
  <si>
    <t>GJP MARUPIARA</t>
  </si>
  <si>
    <t>GJP HOTEIS EXCLUSIVOS LTDA</t>
  </si>
  <si>
    <t>SAINT ANDREWS</t>
  </si>
  <si>
    <t>GL EVENTS EMPREENDIMENTOS IMOBILIARIOS LTDA</t>
  </si>
  <si>
    <t>GRAND MERC RIO CENTR</t>
  </si>
  <si>
    <t>LAGUNE BARRA HOTEL</t>
  </si>
  <si>
    <t>GLADYS NASCIMENTO CONTIPELLI POUSADA - ME</t>
  </si>
  <si>
    <t>POUSADA ALTO DA BOA</t>
  </si>
  <si>
    <t>GLASS VETRO COMERCIO DE VIDROS E ACESSORIOS EIRELI</t>
  </si>
  <si>
    <t>GLASS VETRO</t>
  </si>
  <si>
    <t>GLAUCIA SIMÕES JUCÁ</t>
  </si>
  <si>
    <t>GLEICE ADRIANA DIAS GOMES</t>
  </si>
  <si>
    <t>GLEICE ADRIANA DIAS</t>
  </si>
  <si>
    <t>GLENZHAUS POUSADA LTDA</t>
  </si>
  <si>
    <t>PORTO BAY BUZIOS BOU</t>
  </si>
  <si>
    <t>Gleyciane Morais</t>
  </si>
  <si>
    <t>Gleydson Kestone Candido dos Santos</t>
  </si>
  <si>
    <t>Gleydson Kestone Can</t>
  </si>
  <si>
    <t>GLOBO COMUNICACAO E PARTICIPACOES S/A</t>
  </si>
  <si>
    <t>GLOBO</t>
  </si>
  <si>
    <t>GMENDES HOTEIS E PARTICIPACOES LTDA</t>
  </si>
  <si>
    <t>SHERATON SANTOS HOTE</t>
  </si>
  <si>
    <t>GOIASPACK- INDUSTRIA E COMERCIO LTDA</t>
  </si>
  <si>
    <t>GOIAS PACK</t>
  </si>
  <si>
    <t>GOK DECORACAO DE INTERIORES EIRELI - EPP</t>
  </si>
  <si>
    <t>GOK DECORACAO DE INT</t>
  </si>
  <si>
    <t>GOLDEN TOWER HOTEIS E TURISMO LTDA</t>
  </si>
  <si>
    <t>HOTEL GOLDEN TOWER</t>
  </si>
  <si>
    <t>GONTIJO HOTEL DE CAMPO LTDA - ME</t>
  </si>
  <si>
    <t>VILA VELLUTI HOTEL</t>
  </si>
  <si>
    <t>GPM ADMINISTRADORA DE HOTEIS EIRELI</t>
  </si>
  <si>
    <t>VILLAS JURERE HOTEL</t>
  </si>
  <si>
    <t>GPM ADMINISTRADORA DE HOTEIS EIRELI - EPP</t>
  </si>
  <si>
    <t>POUSADA DAS PIMENTAS</t>
  </si>
  <si>
    <t>GR ENGENHARIA LTDA</t>
  </si>
  <si>
    <t>GR ENGENHARIA</t>
  </si>
  <si>
    <t>Graciela Duarte De Souza Martins</t>
  </si>
  <si>
    <t>Graciela Duarte De S</t>
  </si>
  <si>
    <t>GRAFICO INCORPORADORA LTDA.</t>
  </si>
  <si>
    <t>GRAFICO INCORPORADOR</t>
  </si>
  <si>
    <t>GRAFITUR TURISMO LT</t>
  </si>
  <si>
    <t>RECANTO DA TONINHAS</t>
  </si>
  <si>
    <t>GRAN PALACE HOTEL LTDA</t>
  </si>
  <si>
    <t>GRAN PALACE</t>
  </si>
  <si>
    <t>GRANDE HOTEL DE PETROPOLIS LTDA</t>
  </si>
  <si>
    <t>HOTEL PETROPOLIS</t>
  </si>
  <si>
    <t>GRASIELA BARBOSA DE SENA</t>
  </si>
  <si>
    <t>GRASIELA BARBOSA DE</t>
  </si>
  <si>
    <t>Graziela lidizzia</t>
  </si>
  <si>
    <t>GRAZIELLA MARIA CATINA ZANOLLETTI HAUERT</t>
  </si>
  <si>
    <t>POUSADA GOTA MAETRI</t>
  </si>
  <si>
    <t>GREECE BEACH HOTEL LTDA</t>
  </si>
  <si>
    <t>GREECE BEACH HOTEL</t>
  </si>
  <si>
    <t>GREEN HOUSE MOTEL LTDA</t>
  </si>
  <si>
    <t>GREEN HOUSE MOTEL</t>
  </si>
  <si>
    <t>Gregorio Afonso De Toledo</t>
  </si>
  <si>
    <t>Gregorio Afonso De T</t>
  </si>
  <si>
    <t>Greice Brkanitch</t>
  </si>
  <si>
    <t>GRIGONI GOLD CHLEGER</t>
  </si>
  <si>
    <t>GRIP NEGOCIOS IMOBILIARIOS LTDA</t>
  </si>
  <si>
    <t>GRIP ( TRIPLEX )</t>
  </si>
  <si>
    <t>GRP GP19 EMPREENDIMENTOS LTDA</t>
  </si>
  <si>
    <t>GRP GP19 ( TRIPREX )</t>
  </si>
  <si>
    <t>GRU AIR SIDE HOTELARIA S.A.</t>
  </si>
  <si>
    <t>HOTEL TRYP GRU</t>
  </si>
  <si>
    <t>GS - CONSTRUCOES, COMERCIO, SERVICOS DE DESCONTAMI</t>
  </si>
  <si>
    <t>GS - CONSTRUCOES</t>
  </si>
  <si>
    <t>GUARANI COSMETICOS E BEM ESTAR LTDA - EPP</t>
  </si>
  <si>
    <t>GUARANI COSMETICOS E</t>
  </si>
  <si>
    <t>GUARITA BAR EIRELI</t>
  </si>
  <si>
    <t>GUARITA BAR</t>
  </si>
  <si>
    <t>GUEDES GOMES &amp; CIA LTDA</t>
  </si>
  <si>
    <t>AVOLE</t>
  </si>
  <si>
    <t>Guilherme Alcindo da Rosa</t>
  </si>
  <si>
    <t>Guilherme Alcindo da</t>
  </si>
  <si>
    <t>GUILHERME COLOMBINI</t>
  </si>
  <si>
    <t>Guilherme Dias</t>
  </si>
  <si>
    <t>GUILHERME SILVERIO QUEIROZ 10157366618</t>
  </si>
  <si>
    <t>PONTO ALTO ENXOVAIS</t>
  </si>
  <si>
    <t>GUPAC PARTICIPACOES EIRELI</t>
  </si>
  <si>
    <t>GUPAC ( VILA SALGA )</t>
  </si>
  <si>
    <t>GUSTAVO ANTONIO LIMA DE CAMPOS</t>
  </si>
  <si>
    <t>GUSTAVO ANTONIO LIMA</t>
  </si>
  <si>
    <t>GUSTAVO ERNESTO FEDDERSEN</t>
  </si>
  <si>
    <t>GUSTAVO ERNESTO FEDD</t>
  </si>
  <si>
    <t>Gustavo Jorge de Oliveira Ferreira</t>
  </si>
  <si>
    <t>Gustavo Jorge de Oli</t>
  </si>
  <si>
    <t>GUSTAVO REICHENBACH</t>
  </si>
  <si>
    <t>GUSTAVO R. REF FORMA</t>
  </si>
  <si>
    <t>GXS EMPREENDIMENTOS TURISTICOS LTDA</t>
  </si>
  <si>
    <t>AWASI SANTA CATARINA</t>
  </si>
  <si>
    <t>H L HOTEIS LTDA</t>
  </si>
  <si>
    <t>SERRAMBI RESORT</t>
  </si>
  <si>
    <t>H.B. - EMPREENDIMENTOS, COMERCIAL E SERVICOS LTDA</t>
  </si>
  <si>
    <t>H.B. - EMPREENDIMENT</t>
  </si>
  <si>
    <t>H.B. HOTELS - ADMINISTRACAO, ASSESSORIA E CONSULTO</t>
  </si>
  <si>
    <t>H.B. HOTELS</t>
  </si>
  <si>
    <t>H8-CWT EMPREENDIMENTOS HOTELEIROS LTDA</t>
  </si>
  <si>
    <t>NH THE FIVE CURITIBA</t>
  </si>
  <si>
    <t>HABITARE HOME EIRELI</t>
  </si>
  <si>
    <t>HABITARTE DESENVOLVIMENTO URBANO</t>
  </si>
  <si>
    <t>HABITARTE DESENVOLVI</t>
  </si>
  <si>
    <t>Hallan Lima Monteiro</t>
  </si>
  <si>
    <t>HAMAM E ROMAGNOLI PROJETOS E GERENCIAMENTO LTDA. -</t>
  </si>
  <si>
    <t>HAMAM E ROMAGNOLI PR</t>
  </si>
  <si>
    <t>HAMILTON CARMISIN JUNIOR ME</t>
  </si>
  <si>
    <t>TERRA DO SOL</t>
  </si>
  <si>
    <t>HAMPS EMPREENDIMENTOS E PARTICIPACOES LTDA</t>
  </si>
  <si>
    <t>HAMPS</t>
  </si>
  <si>
    <t>Hana Kaliny Alves dos antos</t>
  </si>
  <si>
    <t>Hana Kaliny Alves do</t>
  </si>
  <si>
    <t>HANDS ON TRAINING PROMOCOES E EVENTOS LTDA</t>
  </si>
  <si>
    <t>CASA MIRANTE (UXUA)</t>
  </si>
  <si>
    <t>HANDS PRODUCAO E VEICULACAO DE MIDIA LTDA</t>
  </si>
  <si>
    <t>HANDS</t>
  </si>
  <si>
    <t>Hanna Rocha Gomes</t>
  </si>
  <si>
    <t>HARAOUI HOTELARIA - EIRELI - EPP</t>
  </si>
  <si>
    <t>GETULLIO HOTEL</t>
  </si>
  <si>
    <t>HARDCORE CONSULTORIA EMPRESARIAL LTDA.</t>
  </si>
  <si>
    <t>SERENITAS BEACH HOUS</t>
  </si>
  <si>
    <t>HARMONY MOTEL LTDA - ME</t>
  </si>
  <si>
    <t>HARMONY MOTEL</t>
  </si>
  <si>
    <t>HARUS COMERCIO ATACADISTA DE COSMETICOS LTDA-ME</t>
  </si>
  <si>
    <t>HARUS COSMETICOS</t>
  </si>
  <si>
    <t>HARUS INDUSTRIA E COMENCIO DE COSMETICOS LTDA</t>
  </si>
  <si>
    <t>HARUS</t>
  </si>
  <si>
    <t>HARUS INDUSTRIA E COMERCIO DE COSMETICOS LTDA</t>
  </si>
  <si>
    <t>HARUS INDUSTRIA E CO</t>
  </si>
  <si>
    <t>HARVEST ADMINISTRACAO DE BENS LTDA</t>
  </si>
  <si>
    <t>HARVEST ADMINISTRACA</t>
  </si>
  <si>
    <t>HBA S/A ASSISTENCIA MEDICA E HOSPITAL</t>
  </si>
  <si>
    <t>HBA</t>
  </si>
  <si>
    <t>HBR 66 - INVESTIMENTOS IMOBILIARIOS LTDA</t>
  </si>
  <si>
    <t>HOTEL W</t>
  </si>
  <si>
    <t>HCC HOTELS GESTAO HOTELEIRA LTDA.</t>
  </si>
  <si>
    <t>QOYA SP</t>
  </si>
  <si>
    <t>HUB PINHEIROS</t>
  </si>
  <si>
    <t>HEC - HOTELARIA SUSTENTÁVEL LTDA - EPP</t>
  </si>
  <si>
    <t>POUSADA SAMBA PA TI</t>
  </si>
  <si>
    <t>HEIKO OBERMULLER POUSADA - ME</t>
  </si>
  <si>
    <t>LEDEN</t>
  </si>
  <si>
    <t>HELAINE ANNITA TISSIANI</t>
  </si>
  <si>
    <t>MIRAX HOTELARIA</t>
  </si>
  <si>
    <t>HELEN DE FATIMA DE ANDRADE BATISTA</t>
  </si>
  <si>
    <t>HELEN DE FATIMA DE A</t>
  </si>
  <si>
    <t>Helen Dias</t>
  </si>
  <si>
    <t>Helen Santana dos Santos</t>
  </si>
  <si>
    <t>Helen Santana dos Sa</t>
  </si>
  <si>
    <t>HELENA NUNES MUNHOZ</t>
  </si>
  <si>
    <t>HELENA ZINNER</t>
  </si>
  <si>
    <t>Heleneida Chacon</t>
  </si>
  <si>
    <t>HELIA PEREIRA</t>
  </si>
  <si>
    <t>HELLORA DANAN</t>
  </si>
  <si>
    <t>HELOISA BUCHAUL</t>
  </si>
  <si>
    <t>HELOISA MARIA PINTO DE CARVALHO</t>
  </si>
  <si>
    <t>HELOISA MARIA PINTO</t>
  </si>
  <si>
    <t>HELOISA ROSET</t>
  </si>
  <si>
    <t>Helvecio Fraga Dos Santos</t>
  </si>
  <si>
    <t>Helvecio Fraga Dos S</t>
  </si>
  <si>
    <t>Helvio Rodrigues Berigo</t>
  </si>
  <si>
    <t>Helvio Rodrigues Ber</t>
  </si>
  <si>
    <t>HENRIQUE AFONSO FERREIRAAGOSTINHO</t>
  </si>
  <si>
    <t>HENRIQUE  (VHOUSE)</t>
  </si>
  <si>
    <t>Henrique Andrade</t>
  </si>
  <si>
    <t>Henrique Correia</t>
  </si>
  <si>
    <t>Henrique Costa da Silva</t>
  </si>
  <si>
    <t>Henrique Costa da Si</t>
  </si>
  <si>
    <t>HENRIQUE NORBERTO VILAR BISCAIA DE PAULA LTDA</t>
  </si>
  <si>
    <t>HOTEL GAMBRINUS</t>
  </si>
  <si>
    <t>HENRIQUE TARANTO PEREIRA</t>
  </si>
  <si>
    <t>CHALE PEREQUE</t>
  </si>
  <si>
    <t>HESA 150 INVESTIMENTOS IMOBILIARIOS LTDA</t>
  </si>
  <si>
    <t>W HOTEL</t>
  </si>
  <si>
    <t>HEYKO - SERVICOS DE HOSPEDAGEM E TURISMO LTDA - EP</t>
  </si>
  <si>
    <t>POUSADA OURO</t>
  </si>
  <si>
    <t>HG HOTELARIA LTDA</t>
  </si>
  <si>
    <t>HOT MOTEL ( HG HOTEL</t>
  </si>
  <si>
    <t>HHR JW RIO DE JANEIRO INVESTIMENTOS HOTELEIROS LTD</t>
  </si>
  <si>
    <t>JW MARRIOTT RJ</t>
  </si>
  <si>
    <t>Hiara Morais Oliveira</t>
  </si>
  <si>
    <t>Hiara Morais Oliveir</t>
  </si>
  <si>
    <t>HIGIEMASTER COMERCIO DE PRODUTOS DE LIMPEZA INDUST</t>
  </si>
  <si>
    <t>HIGIEMASTER SISTEMAS</t>
  </si>
  <si>
    <t>HILTON DO BRASIL LTDA</t>
  </si>
  <si>
    <t>HILTON SAO PAULO</t>
  </si>
  <si>
    <t>HILTON SÃO PAULO</t>
  </si>
  <si>
    <t>HIU HOTEL LTDA</t>
  </si>
  <si>
    <t>ILHAS DE JUQUEHY</t>
  </si>
  <si>
    <t>HIVENA SALOMONE</t>
  </si>
  <si>
    <t>HM HOTEIS E TURISMO S A</t>
  </si>
  <si>
    <t>MAKSOUD PLAZA HOTEL</t>
  </si>
  <si>
    <t>HN EMPREENDIMENTOS E PARTICIPACOES LTDA</t>
  </si>
  <si>
    <t>GRAN MELIA NACIONAL</t>
  </si>
  <si>
    <t>HOGAR - IMPORTACAO E DISTRIBUICAO EIRELI</t>
  </si>
  <si>
    <t>BY THE BED</t>
  </si>
  <si>
    <t>HOJE EMPREENDIMENTOS E PARTICIPACOES LTDA</t>
  </si>
  <si>
    <t>HOJE EMPREENDIMENTOS</t>
  </si>
  <si>
    <t>HOLANDA E OLIVEIRA LTDA - ME</t>
  </si>
  <si>
    <t>HOLANDA E OLIVEIRA</t>
  </si>
  <si>
    <t>HOLDING BORDIGNON LTDA</t>
  </si>
  <si>
    <t>HOLDING BORDIGNON LT</t>
  </si>
  <si>
    <t>HOME BNB LOCAÇÃO DE ENXOVAIS E SOLUÇÕES LTDA</t>
  </si>
  <si>
    <t>BNB</t>
  </si>
  <si>
    <t>HOPE BAY PARQUE TEMATICOS HOTEIS E TURISMO LTDA</t>
  </si>
  <si>
    <t>BURI RESORT</t>
  </si>
  <si>
    <t>HOSPEDARIA REFUGIO DAS GALES 8 LTDA - ME</t>
  </si>
  <si>
    <t>REFUGIO DAS GALES</t>
  </si>
  <si>
    <t>HOSPITAIS INTEGRADOS DA GAVEA S/A</t>
  </si>
  <si>
    <t>CLINICA SAO VICENTE</t>
  </si>
  <si>
    <t>REDE D´OR - DF STAR</t>
  </si>
  <si>
    <t>PERINATAL GLORIA DOR</t>
  </si>
  <si>
    <t>HOSPITAL ALVORADA TAGUATINGA LTDA</t>
  </si>
  <si>
    <t>UH SAMARITANO RJ</t>
  </si>
  <si>
    <t>HOSP ALVORADA MOEMA</t>
  </si>
  <si>
    <t>HOSPITAL ANCHIETA LTDA</t>
  </si>
  <si>
    <t>HOSPITAL ANCHIETA</t>
  </si>
  <si>
    <t>HOSPITAL DE ILHEUS LTDA</t>
  </si>
  <si>
    <t>HOSPITAL DE ILHEUS</t>
  </si>
  <si>
    <t>HOSPITAL DE MEDICINA ESPECIALIZADA S.A.</t>
  </si>
  <si>
    <t>HOSPITAL SANTA ROSA</t>
  </si>
  <si>
    <t>HOSPITAL E MATERNIDADE SANTA JOANA S/A</t>
  </si>
  <si>
    <t>PRO MATRE PAULISTA</t>
  </si>
  <si>
    <t>HOSPITAL ESPERANCA SA</t>
  </si>
  <si>
    <t>MEMORIAL STAR</t>
  </si>
  <si>
    <t>HOSPITAL ALIANÇA</t>
  </si>
  <si>
    <t>HOSPITAL BARRA D´OR</t>
  </si>
  <si>
    <t>HOSPITAL ESPERANCA S</t>
  </si>
  <si>
    <t>HOSPITAL FLUMINENSE S/A</t>
  </si>
  <si>
    <t>NITEROI D´OR</t>
  </si>
  <si>
    <t>HOSPITAL MEMORIAL NOSSA SENHORA DAS NEVES LTDA - M</t>
  </si>
  <si>
    <t>HOSPITAL DAS NEVES</t>
  </si>
  <si>
    <t>HOSPITAL MONTE KLINIKUM S/S LTDA</t>
  </si>
  <si>
    <t>HOSPITAL NOSSA SENHORA DAS GRACAS</t>
  </si>
  <si>
    <t>HOSP. N.S DAS GRAÇAS</t>
  </si>
  <si>
    <t>HOSPITAL SANTA HELENA S/A</t>
  </si>
  <si>
    <t>STA HELENA REDE DOR</t>
  </si>
  <si>
    <t>HOSPITAL SANTA LUCIA S/A</t>
  </si>
  <si>
    <t>SANTA LUCIA</t>
  </si>
  <si>
    <t>HOSPITAL SAO CARLOS S.A.</t>
  </si>
  <si>
    <t>HOSPITAL SAO CARLOS</t>
  </si>
  <si>
    <t>HOSPITAL SAO RAFAEL S.A</t>
  </si>
  <si>
    <t>HOSPITAL SAO RAFAEL</t>
  </si>
  <si>
    <t>HOSPITAL VERA CRUZ S.A.</t>
  </si>
  <si>
    <t>HOSPITAL VERA CRUZ</t>
  </si>
  <si>
    <t>HOSPITALIS NUCLEO HOSPITALAR DE BARUERI LTDA</t>
  </si>
  <si>
    <t>HOSPITALIS NUCLEO</t>
  </si>
  <si>
    <t>HOST SERVICOS ADMINISTRATIVOS LTDA</t>
  </si>
  <si>
    <t>HOST</t>
  </si>
  <si>
    <t>HOSTESS ADMINISTRADORA DE HOTEIS LTDA</t>
  </si>
  <si>
    <t>HOTEL VIA CONTORNO</t>
  </si>
  <si>
    <t>HOT BEACH SUITES OLIMPIA - EMPREENDIMENTO IMOBILIA</t>
  </si>
  <si>
    <t>FERRASA</t>
  </si>
  <si>
    <t>HOTEIS CHAMI S A</t>
  </si>
  <si>
    <t>PRAIA IPANEMA</t>
  </si>
  <si>
    <t>HOTEIS DESIGN LTDA - ME</t>
  </si>
  <si>
    <t>HOTEIS DESIGN LTDA -</t>
  </si>
  <si>
    <t>HOTEIS E POUSADAS LE RENARD LTDA. - ME</t>
  </si>
  <si>
    <t>LE RENARD</t>
  </si>
  <si>
    <t>HOTEIS GLOBAL S/A</t>
  </si>
  <si>
    <t>HOROH BOUTIQUE HOTEL</t>
  </si>
  <si>
    <t>HOTEIS OTHON S A</t>
  </si>
  <si>
    <t>RIO OTHON PALACE HOT</t>
  </si>
  <si>
    <t>HOTEIS ROYAL PALM PLAZA LTDA.</t>
  </si>
  <si>
    <t>ROYAL PALM PLAZA</t>
  </si>
  <si>
    <t>HOTEIS SALINAS S/A</t>
  </si>
  <si>
    <t>HOTEIS SALINAS</t>
  </si>
  <si>
    <t>HOTEIS SEARA LTDA</t>
  </si>
  <si>
    <t>SEARA PRAIA HOTEL</t>
  </si>
  <si>
    <t>HOTEIS SEARA LTDA - ME</t>
  </si>
  <si>
    <t>PONTA MAR HOTEL</t>
  </si>
  <si>
    <t>HOTEL ALIANCA EXPRESS S/A</t>
  </si>
  <si>
    <t>HOTEL ALIANCA EXPRES</t>
  </si>
  <si>
    <t>HOTEL ANACA SAO CARLOS LTDA</t>
  </si>
  <si>
    <t>HOTEL ANACA</t>
  </si>
  <si>
    <t>HOTEL ARARAQUARA SUITES LTDA.</t>
  </si>
  <si>
    <t>HOTEL ARARAQUARA SUI</t>
  </si>
  <si>
    <t>HOTEL ARETE LTDA</t>
  </si>
  <si>
    <t>HOTEL ARETE</t>
  </si>
  <si>
    <t>HOTEL BELLAVISTA LTDA</t>
  </si>
  <si>
    <t>CHRIS PARK</t>
  </si>
  <si>
    <t>HOTEL BOURBON DE CURITIBA LTDA</t>
  </si>
  <si>
    <t>BOURBON CURITIBA</t>
  </si>
  <si>
    <t>HOTEL BOURBON DE FOZ DO IGUAÇU LTDA</t>
  </si>
  <si>
    <t>BOURBON ATIBAIA</t>
  </si>
  <si>
    <t>HOTEL BOUTIQUE TRANCOSO LTDA</t>
  </si>
  <si>
    <t>AMAIA TRANCOSO HOTE</t>
  </si>
  <si>
    <t>HOTEL BR 364 LTDA - ME</t>
  </si>
  <si>
    <t>HOTEL BR 364 LTDA</t>
  </si>
  <si>
    <t>HOTEL CABANA SUICA LTDA</t>
  </si>
  <si>
    <t>HOTEL CABANA SUICA</t>
  </si>
  <si>
    <t>HOTEL CAFE ROYAL DE MINAS LTDA</t>
  </si>
  <si>
    <t>HOTEL CAFE ROYAL DE</t>
  </si>
  <si>
    <t>HOTEL CANADA LTDA</t>
  </si>
  <si>
    <t>HOTEL CANADA</t>
  </si>
  <si>
    <t>HOTEL CANGAÇO EMP TUR LTDA EPP</t>
  </si>
  <si>
    <t>HOTEL CANGAÇO</t>
  </si>
  <si>
    <t>HOTEL CASA DA MONTANHA LTDA</t>
  </si>
  <si>
    <t>CASA DA MONTANHA</t>
  </si>
  <si>
    <t>HOTEL CHALE CAPITOLIO LTDA</t>
  </si>
  <si>
    <t>CHALE CAPITOLIO</t>
  </si>
  <si>
    <t>HOTEL COLINAS</t>
  </si>
  <si>
    <t>COLINAS-GOLDEN TULIP</t>
  </si>
  <si>
    <t>HOTEL COLLINE DE FRANCE LTDA - ME</t>
  </si>
  <si>
    <t>HOTEL COLLINE DE FRA</t>
  </si>
  <si>
    <t>HOTEL CONTINENTAL BUSINESS</t>
  </si>
  <si>
    <t>HOTEL CONTINENTAL</t>
  </si>
  <si>
    <t>HOTEL COSTA DO MARFIM LTDA</t>
  </si>
  <si>
    <t>HOTEL COSTA DO MARFI</t>
  </si>
  <si>
    <t>HOTEL CURITIBA CAPITAL S/A</t>
  </si>
  <si>
    <t>QOYA</t>
  </si>
  <si>
    <t>RADISSON CURITIBA</t>
  </si>
  <si>
    <t>QUALITY CURITIBA</t>
  </si>
  <si>
    <t>HOTEL DA FAZENDA DONA CAROLINA LTDA</t>
  </si>
  <si>
    <t>FAZENDA D. CAROLINA</t>
  </si>
  <si>
    <t>HOTEL DA PRACA ECO POUSADA LTDA - ME</t>
  </si>
  <si>
    <t>HOTEL DA PRACA</t>
  </si>
  <si>
    <t>HOTEL DE TURISMO PARQUE BALNEARIO LTDA</t>
  </si>
  <si>
    <t>PARQUE BALNEARIO</t>
  </si>
  <si>
    <t>HOTEL DELLAMARES DE UBATUBA LTDA</t>
  </si>
  <si>
    <t>HOTEL DELLAMARES</t>
  </si>
  <si>
    <t>HOTEL DO KK LTDA - ME</t>
  </si>
  <si>
    <t>HOTEL KK</t>
  </si>
  <si>
    <t>HOTEL E FAZENDA ROSA DOS VENTOS LTDA - EPP</t>
  </si>
  <si>
    <t>POUSADA ROSA DOS VEN</t>
  </si>
  <si>
    <t>HOTEL E RESORT MAGNÍFICO LTDA</t>
  </si>
  <si>
    <t>MAGNIFICO RESORT</t>
  </si>
  <si>
    <t>HOTEL ELDORADO LTDA</t>
  </si>
  <si>
    <t>ELDORADO ATIBAIA</t>
  </si>
  <si>
    <t>HOTEL ENCOSTA DA SERRA LTDA</t>
  </si>
  <si>
    <t>ENCOSTA DA SERRA</t>
  </si>
  <si>
    <t>HOTEL ESTUDIO SANTO REI LTDA</t>
  </si>
  <si>
    <t>HOTEL &amp; ESTUDIO SANT</t>
  </si>
  <si>
    <t>HOTEL FAZENDA FLORENÇA</t>
  </si>
  <si>
    <t>HOTEL FLORENÇA</t>
  </si>
  <si>
    <t>HOTEL FAZENDA LIMOEIRO DA CONCORDIA LTDA</t>
  </si>
  <si>
    <t>HOTEL LIMOEIRO</t>
  </si>
  <si>
    <t>HOTEL FAZENDA TRIUNFO LTDA ME</t>
  </si>
  <si>
    <t>HOTEL FAZENDA TRIUNF</t>
  </si>
  <si>
    <t>HOTEL FERNANDOPOLIS S.A</t>
  </si>
  <si>
    <t>HOTEL FERNANDOPOLIS</t>
  </si>
  <si>
    <t>HOTEL FITA AZUL LTDA - EPP</t>
  </si>
  <si>
    <t>HOTEL FITA AZUL</t>
  </si>
  <si>
    <t>HOTEL GLORIA LTDA -</t>
  </si>
  <si>
    <t>HOTEL GLORIA</t>
  </si>
  <si>
    <t>HOTEL GRAN ODARA LTDA</t>
  </si>
  <si>
    <t>GRAN ODARA HOTEL</t>
  </si>
  <si>
    <t>HOTEL HM LIMITADA - EPP</t>
  </si>
  <si>
    <t>HM PLAZA HOTEL</t>
  </si>
  <si>
    <t>HOTEL HOPPNER LTDA - ME</t>
  </si>
  <si>
    <t>HOTEL RITTA HOPPNER</t>
  </si>
  <si>
    <t>HOTEL ILHABELA TURISMO LTDA</t>
  </si>
  <si>
    <t>HOTEL ILHABELA</t>
  </si>
  <si>
    <t>HOTEL IPANEMA DA SERRA EIRELI - ME</t>
  </si>
  <si>
    <t>IPANEMA DA SERRA</t>
  </si>
  <si>
    <t>HOTEL J P LTDA</t>
  </si>
  <si>
    <t>HOTEL J.P</t>
  </si>
  <si>
    <t>HOTEL JATIUCA S/A</t>
  </si>
  <si>
    <t>HOTEL JATIUCA</t>
  </si>
  <si>
    <t>HOTEL JEQUITIMAR LTDA.</t>
  </si>
  <si>
    <t>HOTEL JEQUITIMAR</t>
  </si>
  <si>
    <t>HOTEL LAGHETTO GRAMADO LTDA</t>
  </si>
  <si>
    <t>HOTEL LAGHETTO</t>
  </si>
  <si>
    <t>HOTEL LE RELAIS LA BORIE LTDA</t>
  </si>
  <si>
    <t>LE RELAIS LA BORIE</t>
  </si>
  <si>
    <t>HOTEL MARCO INTERNACIONAL S.A.</t>
  </si>
  <si>
    <t>FASANO SP</t>
  </si>
  <si>
    <t>FASANO SP OCEAN BLUE</t>
  </si>
  <si>
    <t>FILIAL PANINI</t>
  </si>
  <si>
    <t>FASANO FILIAL PARIGI</t>
  </si>
  <si>
    <t>FASANO PARIGI BISTRO</t>
  </si>
  <si>
    <t>FASANO FILIAL PANINI</t>
  </si>
  <si>
    <t>FASANO TRATTORIA</t>
  </si>
  <si>
    <t>FASANO PANINI CFO</t>
  </si>
  <si>
    <t>FASANO FILIAL EMPORI</t>
  </si>
  <si>
    <t>FASANO PANINI SHOPS</t>
  </si>
  <si>
    <t>FILIAL EMPORIO FASAN</t>
  </si>
  <si>
    <t>HOTEL MASTER, RESTAURANTE E EVENTOS LTDA</t>
  </si>
  <si>
    <t>HOTEL MASTER</t>
  </si>
  <si>
    <t>HOTEL MATAO SUITES LTDA.</t>
  </si>
  <si>
    <t>MATAO OTHON SUÍTES</t>
  </si>
  <si>
    <t>HOTEL NACIONAL DE RIO PRETO LTDA.</t>
  </si>
  <si>
    <t>HOTEL NACIONAL</t>
  </si>
  <si>
    <t>HOTEL NACIONAL S/A</t>
  </si>
  <si>
    <t>NACIONAL BRASILIA</t>
  </si>
  <si>
    <t>HOTEL NOVO LIMEIRA LTDA - EPP</t>
  </si>
  <si>
    <t>CARLTON SUITES LIMEI</t>
  </si>
  <si>
    <t>HOTEL ORION JWF ITATIBA LTDA. - ME</t>
  </si>
  <si>
    <t>ORION JWF HOTEL</t>
  </si>
  <si>
    <t>HOTEL PEROLA BUZIOS LTDA EPP</t>
  </si>
  <si>
    <t>HOTEL PÉROLA BÚZIOS</t>
  </si>
  <si>
    <t>HOTEL PORTO DO PIUVA LTDA - EPP</t>
  </si>
  <si>
    <t>BARRA DO PIUVA PORTO</t>
  </si>
  <si>
    <t>HOTEL PORTO MADEIRA EIRELI - EPP</t>
  </si>
  <si>
    <t>HOTEL PORTO MADEIRA</t>
  </si>
  <si>
    <t>HOTEL PORTOBELLO S/A</t>
  </si>
  <si>
    <t>PORTOBELLO RESORT</t>
  </si>
  <si>
    <t>HOTEL POUSADA EXPERIENCE JOÃO FERNANDES LTDA-ME</t>
  </si>
  <si>
    <t>POUSADA EXPERIENCE</t>
  </si>
  <si>
    <t>HOTEL POUSADA MIRANTE DA COLYNA LTDA. - EPP</t>
  </si>
  <si>
    <t>MIRANTE DA COLYNA</t>
  </si>
  <si>
    <t>HOTEL POUSADA RIO AZUL LTDA</t>
  </si>
  <si>
    <t>POUS. RIO AZUL LODGE</t>
  </si>
  <si>
    <t>HOTEL POUSADA SAO RAFAEL EIRELI - ME</t>
  </si>
  <si>
    <t>POUSADA SAO RAFAEL</t>
  </si>
  <si>
    <t>HOTEL PRAIA DO PORTINHO LTDA -ME</t>
  </si>
  <si>
    <t>PRAIA DO PORTINHO</t>
  </si>
  <si>
    <t>HOTEL PRAIA DO SOL EIRELI - EPP</t>
  </si>
  <si>
    <t>HOTEL PRAIA DO SOL</t>
  </si>
  <si>
    <t>HOTEL RENAR LTDA</t>
  </si>
  <si>
    <t>HOTEL RENAR</t>
  </si>
  <si>
    <t>HOTEL RIO LANCASTER LTDA</t>
  </si>
  <si>
    <t>HOTEL RIO LANCASTER</t>
  </si>
  <si>
    <t>HOTEL RIO LISBOA LTDA - ME</t>
  </si>
  <si>
    <t>HOTEL 1900</t>
  </si>
  <si>
    <t>HOTEL ROUXINOL LTDA</t>
  </si>
  <si>
    <t>HOTEL SAGRES DE CAMPOS DO JORDAO LTDA</t>
  </si>
  <si>
    <t>HOTEL SAGRES</t>
  </si>
  <si>
    <t>HOTEL SAINT PETER SERVICOS DE HOTELARIA LTDA</t>
  </si>
  <si>
    <t>ST. PETER HOTEL</t>
  </si>
  <si>
    <t>HOTEL SANTA TEREZA LTDA</t>
  </si>
  <si>
    <t>SANTA TEREZA</t>
  </si>
  <si>
    <t>HOTEL SAO PAULO ADMINISTRADOR HOTELEIRO LTDA</t>
  </si>
  <si>
    <t>FASANO BELO HORIZONT</t>
  </si>
  <si>
    <t>HOTEL SERRA DA ESTRELA LTDA - EPP</t>
  </si>
  <si>
    <t>HOTEL SERRA DA ESTRE</t>
  </si>
  <si>
    <t>HOTEL SOLAR DO ARCO LTDA.</t>
  </si>
  <si>
    <t>HOTEL SOLAR DO ARCO</t>
  </si>
  <si>
    <t>HOTEL SPA NAU ROYAL LTDA</t>
  </si>
  <si>
    <t>HOTEL SPA NAU ROYAL</t>
  </si>
  <si>
    <t>HOTEL SURYAA LTDA</t>
  </si>
  <si>
    <t>HOTEL SURYAA</t>
  </si>
  <si>
    <t>HOTEL TORIBA LTDA</t>
  </si>
  <si>
    <t>HOTEL TURISMO PANTANAL DO NORTE LTDA - ME</t>
  </si>
  <si>
    <t>PURE BRASIL - ARARAS</t>
  </si>
  <si>
    <t>HOTEL VIALE CATARATAS LTDA</t>
  </si>
  <si>
    <t>HOTEL VIALE CATARATA</t>
  </si>
  <si>
    <t>HOTEL VILAMAR COPACABANA LTDA</t>
  </si>
  <si>
    <t>VILAMAR</t>
  </si>
  <si>
    <t>HOTELARIA ACCOR BRASIL S/A</t>
  </si>
  <si>
    <t>MERCURE SP PRIVILEGE</t>
  </si>
  <si>
    <t>NOVOTEL JARAGUÁ SP</t>
  </si>
  <si>
    <t>PAULISTA PRAIA HOTEL</t>
  </si>
  <si>
    <t>MERCURE SAO CAETANO</t>
  </si>
  <si>
    <t>NOVOTEL SANTOS</t>
  </si>
  <si>
    <t>MERCURE HOTEL BH</t>
  </si>
  <si>
    <t>MERCURE FORTALEZA</t>
  </si>
  <si>
    <t>MERCURE APARTMENTS B</t>
  </si>
  <si>
    <t>CAESAR BUSINESS BH</t>
  </si>
  <si>
    <t>HOTEL IBIS LIBERDADE</t>
  </si>
  <si>
    <t>ADAGIO HOTEL CURITIB</t>
  </si>
  <si>
    <t>ADAGIO ACCESS JUNDIA</t>
  </si>
  <si>
    <t>IBIS TAMBORÉ</t>
  </si>
  <si>
    <t>MERCURE BELA VISTA</t>
  </si>
  <si>
    <t>IBIS SALVADOR</t>
  </si>
  <si>
    <t>NOVOTEL SOROCABA</t>
  </si>
  <si>
    <t>MERCURE PINHEIROS</t>
  </si>
  <si>
    <t>HOTELARIA ACCOR S/A</t>
  </si>
  <si>
    <t>HOTELARIA ACCORINVEST BRASIL S.A</t>
  </si>
  <si>
    <t>CAESAR PARK IPANEMA</t>
  </si>
  <si>
    <t>HOTELARIA ALBA S.A.</t>
  </si>
  <si>
    <t>PULLMAN VILA OLIMPIA</t>
  </si>
  <si>
    <t>HOTELARIA BRASIL LTDA</t>
  </si>
  <si>
    <t>MATIZ HOTEL AEROPORT</t>
  </si>
  <si>
    <t>IAM DESIGN FLAT CAMP</t>
  </si>
  <si>
    <t>BEST WESTERN</t>
  </si>
  <si>
    <t>BW PREMIER AMERICAS</t>
  </si>
  <si>
    <t>BW PREMIER ARPOADOR</t>
  </si>
  <si>
    <t>HOTELARIA MAUA BRASIL LTDA - ME</t>
  </si>
  <si>
    <t>MAUA BRASIL HOTELARI</t>
  </si>
  <si>
    <t>HOTELARIA MAX LTDA - EPP</t>
  </si>
  <si>
    <t>PARANA PALACE HOTEL</t>
  </si>
  <si>
    <t>HOTELARIA PRAIA COMPRIDA LTDA - ME</t>
  </si>
  <si>
    <t>HOTELARIA PRAIA COMP</t>
  </si>
  <si>
    <t>HOTELINVEST SIX HOTELARIA LTDA</t>
  </si>
  <si>
    <t>HOTEL STAYBRIDGE</t>
  </si>
  <si>
    <t>HOTUR - ADMINISTRACAO E PARTICIPACAO LTDA</t>
  </si>
  <si>
    <t>HOTUR  ADMINISTRACÃO</t>
  </si>
  <si>
    <t>HR ARQUITETURA PROJETO E CONSULTORIA - EPP</t>
  </si>
  <si>
    <t>HR ARQUITETURA PROJE</t>
  </si>
  <si>
    <t>HRH GRAMADO EMPREENDIMENTO IMOBILIARIO LTDA</t>
  </si>
  <si>
    <t>HARD ROCK GRAMADO</t>
  </si>
  <si>
    <t>HRH ILHA DO SOL EMPREENDIMENTOS IMOBILIARIOS SPE S</t>
  </si>
  <si>
    <t>HARD ROCK CAFÉ</t>
  </si>
  <si>
    <t>HSBC LEASING ARRENDAMENTO MERCANTIL (BRASIL) S.A.</t>
  </si>
  <si>
    <t>HSBC LEASING ARRENDA</t>
  </si>
  <si>
    <t>HTL SP PARTICIPACOES S/A</t>
  </si>
  <si>
    <t>JW NAÇÕES UNIDAS SP</t>
  </si>
  <si>
    <t>Humberto Carlos da Costa</t>
  </si>
  <si>
    <t>Humberto Carlos da C</t>
  </si>
  <si>
    <t>HURRICANE HOTEIS LTDA</t>
  </si>
  <si>
    <t>CAFE JERI HOTEL</t>
  </si>
  <si>
    <t>HY EXPERIENCE LTDA</t>
  </si>
  <si>
    <t>HY BEACH FLATS</t>
  </si>
  <si>
    <t>Hyago Garcia</t>
  </si>
  <si>
    <t>HYPE ILHABELA ADMINISTRACAO E PARTICIPACOES LTDA.</t>
  </si>
  <si>
    <t>CASA DI SIRENA</t>
  </si>
  <si>
    <t>Ianna Karine Ramos Araujo</t>
  </si>
  <si>
    <t>Ianna Karine Ramos A</t>
  </si>
  <si>
    <t>IARA BRANDÃO</t>
  </si>
  <si>
    <t>IASMINE SOUZA</t>
  </si>
  <si>
    <t>IBIRAPUERA PARK HOTEL LT</t>
  </si>
  <si>
    <t>GRAND MERCURE IBIRAP</t>
  </si>
  <si>
    <t>ICH ADMINISTRACAO DE HOTEIS S A</t>
  </si>
  <si>
    <t>INTERCITY CAXIAS SUL</t>
  </si>
  <si>
    <t>AEROPORT PORTO ALEGR</t>
  </si>
  <si>
    <t>ICH ADMINISTRACAO DE HOTEIS S.A.</t>
  </si>
  <si>
    <t>INTERCITY FARIA LIMA</t>
  </si>
  <si>
    <t>INTERCITY TATUAPÉ</t>
  </si>
  <si>
    <t>ICH HOTEIS</t>
  </si>
  <si>
    <t>ICH ADMINISTRACAO DE</t>
  </si>
  <si>
    <t>ICH ADMINISTRACAO DE HOTEIS SA</t>
  </si>
  <si>
    <t>ICH</t>
  </si>
  <si>
    <t>IDRI COMERCIO LTDA ME</t>
  </si>
  <si>
    <t>IDRI</t>
  </si>
  <si>
    <t>IERE PARTICIPACOES LTDA</t>
  </si>
  <si>
    <t>IGREJA BATISTA MEMORIAL DE ALPHAVILLE</t>
  </si>
  <si>
    <t>HOTEL FAROL</t>
  </si>
  <si>
    <t>IGUASSU EXPERIENCE AGENCIA DE TURISMO LTDA</t>
  </si>
  <si>
    <t>IGUASSU</t>
  </si>
  <si>
    <t>IHC SAO PAULO HOTELARIA LTDA.</t>
  </si>
  <si>
    <t>INTERCONTINENTAL SP</t>
  </si>
  <si>
    <t>IKAIKA MAKANI EXPERIENCE HOTEL LTDA</t>
  </si>
  <si>
    <t>IKAIKA MAKANI</t>
  </si>
  <si>
    <t>IKAPE EMPREENDIMENTOS LTDA</t>
  </si>
  <si>
    <t>HOTEL IKAPÊ</t>
  </si>
  <si>
    <t>ILE DE PIPA ADMINISTRACAO HOTELEIRA LTDA</t>
  </si>
  <si>
    <t>M-GALLERY ILE PIPA</t>
  </si>
  <si>
    <t>ILHA BRANCA EXCLUSIVE POUSADA EIRELI</t>
  </si>
  <si>
    <t>ILHA BRANCA EXCLUSIV</t>
  </si>
  <si>
    <t>ILHA FLAT HOTEL</t>
  </si>
  <si>
    <t>ILHA PARADISO EMPREENDIMENTO IMOBILIARIO SPE LTDA</t>
  </si>
  <si>
    <t>CASA COSTA</t>
  </si>
  <si>
    <t>ILLONA BATITUCCI</t>
  </si>
  <si>
    <t>IMBUIA COMERCIAL LTDA</t>
  </si>
  <si>
    <t>IMBUIA COMERCIAL</t>
  </si>
  <si>
    <t>IMMOBATE - IMOBILIARIA LTDA</t>
  </si>
  <si>
    <t>TREE BIES RESORT</t>
  </si>
  <si>
    <t>IMOBILIARIA ALVES DA MOTTA SA</t>
  </si>
  <si>
    <t>YOO2 RJ</t>
  </si>
  <si>
    <t>YOO2  RJ</t>
  </si>
  <si>
    <t>IMPAR SERVICOS HOSPITALARES S/A</t>
  </si>
  <si>
    <t>HOSPITAL 9 DE JULHO</t>
  </si>
  <si>
    <t>CHN - COMPLEXO HOSPI</t>
  </si>
  <si>
    <t>IMPERIAL HOTEL LTDA</t>
  </si>
  <si>
    <t>IMPERIAL</t>
  </si>
  <si>
    <t>INA ROMITI</t>
  </si>
  <si>
    <t>INBOL - INSTITUTO BRASILIENSE DE OLHOS LTDA</t>
  </si>
  <si>
    <t>VISAO INSTITUTOS OFT</t>
  </si>
  <si>
    <t>INES CAROLINA GOMES</t>
  </si>
  <si>
    <t>INFINITY BLUE HOTEL LTDA</t>
  </si>
  <si>
    <t>INFINITY BLUE HOTEL</t>
  </si>
  <si>
    <t>INFORMOV LTDA</t>
  </si>
  <si>
    <t>INFORMOV</t>
  </si>
  <si>
    <t>IT´S INFORMOV LTDA</t>
  </si>
  <si>
    <t>INGRID BUGARIN</t>
  </si>
  <si>
    <t>INGRID MILLER</t>
  </si>
  <si>
    <t>INGRID PIRES</t>
  </si>
  <si>
    <t>Ingrid Silveira Panassol</t>
  </si>
  <si>
    <t>Ingrid Silveira Pana</t>
  </si>
  <si>
    <t>INNOVATIV INDUSTRIA E COMERCIO DE TECIDOS LTDA</t>
  </si>
  <si>
    <t>INNOVATIV INDUSTRIA</t>
  </si>
  <si>
    <t>INSOLITO BOUTIQUE HOTEL LTDA</t>
  </si>
  <si>
    <t>HOTEL INSOLITO</t>
  </si>
  <si>
    <t>INSTITUTO BRASILEIRO DE CONTROLE DO CANCER</t>
  </si>
  <si>
    <t>IBCC</t>
  </si>
  <si>
    <t>INSTITUTO COMVIVER LTDA</t>
  </si>
  <si>
    <t>INSTITUTO COMVIVER</t>
  </si>
  <si>
    <t>INSTITUTO DE RADIOLOGIA DE NATAL LTDA</t>
  </si>
  <si>
    <t>INSTI. RADIOL FLEURY</t>
  </si>
  <si>
    <t>INSTITUTO MISSIONARIO SERVOS DO SENHOR - IMSS</t>
  </si>
  <si>
    <t>SERVOS DO SENHOR</t>
  </si>
  <si>
    <t>INSTITUTO SECULAR DAS IRMAS DE MARIA DE SCHOENSTAT</t>
  </si>
  <si>
    <t>IRMAS DE MARIA DE SC</t>
  </si>
  <si>
    <t>INTELECHIA EMPREENDIMENTOS TURISTICOS LTDA</t>
  </si>
  <si>
    <t>INTELECHIA EMPREENDI</t>
  </si>
  <si>
    <t>INTERAMERICAN NETWORK COMUNICACAO E MARKETING LTDA</t>
  </si>
  <si>
    <t>INTERAMERICAN</t>
  </si>
  <si>
    <t>INTERCONTINENTAL HOTELS GROUP DO BRASIL LTDA.</t>
  </si>
  <si>
    <t>HOLIDAY INN MANAUS</t>
  </si>
  <si>
    <t>INTOWN ARQUITETURA E CONSTRUCAO LTDA ME</t>
  </si>
  <si>
    <t>INTOWN ARQUITETURA</t>
  </si>
  <si>
    <t>INVESTCORP PARTICIPACAO E GESTAO DE NEGOCIOS IMOBI</t>
  </si>
  <si>
    <t>GTIS - TANGARÁ</t>
  </si>
  <si>
    <t>IOP-PRODUTOS E SERVICOS DE QUIMIOTERAPIA LTDA</t>
  </si>
  <si>
    <t>IOP-PRODUTOS E SERVI</t>
  </si>
  <si>
    <t>IOP INSTITUTO ONCOLO</t>
  </si>
  <si>
    <t>IPIOCA EMPREENDIMENTOS IMOBILIÁRIOS</t>
  </si>
  <si>
    <t>RESORT IPIOCA BEACH</t>
  </si>
  <si>
    <t>IPL INHAUMA AGRO-PECUARIA LTDA - ME</t>
  </si>
  <si>
    <t>GRUPO SAGARANA</t>
  </si>
  <si>
    <t>IRACEMA AMORIM</t>
  </si>
  <si>
    <t>IRMANDADE DA SANTA CASA DE MISERICORDIA DE CURITIB</t>
  </si>
  <si>
    <t>HOSP MARCELINO CHAMP</t>
  </si>
  <si>
    <t>ISABEL CHAVEZ</t>
  </si>
  <si>
    <t>ISABEL CRISTINA</t>
  </si>
  <si>
    <t>ISABEL RITTSCHER</t>
  </si>
  <si>
    <t>ISABELA AMBRICO FAGUNDES</t>
  </si>
  <si>
    <t>ISABELA AMBRICO FAGU</t>
  </si>
  <si>
    <t>ISABELA DOMENE</t>
  </si>
  <si>
    <t>ISABELA FERREIRA MILLEN</t>
  </si>
  <si>
    <t>ISABELA FERREIRA MIL</t>
  </si>
  <si>
    <t>Isabela Lobo e Silva</t>
  </si>
  <si>
    <t>Isabela Rodrigues Da Silva</t>
  </si>
  <si>
    <t>Isabela Rodrigues Da</t>
  </si>
  <si>
    <t>ISABELLA ANGARITA</t>
  </si>
  <si>
    <t>ISABELLA OLIVEIRA</t>
  </si>
  <si>
    <t>Isabella Roxo</t>
  </si>
  <si>
    <t>ISADORA GARCEZ GAZOLA</t>
  </si>
  <si>
    <t>ISADORA GARCEZ GAZOL</t>
  </si>
  <si>
    <t>Isadora melo</t>
  </si>
  <si>
    <t>ISADORA OLIVITO BENEDINI</t>
  </si>
  <si>
    <t>ISADORA OLIVITO BENE</t>
  </si>
  <si>
    <t>ISADORA PRADO</t>
  </si>
  <si>
    <t>ISAIAS SALUTE</t>
  </si>
  <si>
    <t>ISANIC COMERCIO DE VINHOS E BEBIDAS LTDA</t>
  </si>
  <si>
    <t>ISANIC COMER ( VHOUS</t>
  </si>
  <si>
    <t>ISAURA AMARAL</t>
  </si>
  <si>
    <t>ITAICY DESTINOS TURISTICOS LTDA</t>
  </si>
  <si>
    <t>ITAICY DESTINOS</t>
  </si>
  <si>
    <t>ITAJUBA HOTEIS E TURISMO LTDA</t>
  </si>
  <si>
    <t>BAHIAMAR HOTEL</t>
  </si>
  <si>
    <t>ITALIAN PALACE HOTEL LTDA-ME</t>
  </si>
  <si>
    <t>ITALIAN PALACE HOTEL</t>
  </si>
  <si>
    <t>ITAPE MAR HOTELARIA E TURISMO LTDA - EPP</t>
  </si>
  <si>
    <t>HOTEL ITAPEMAR</t>
  </si>
  <si>
    <t>ITAPEMA SERVICOS DE HOTELARIA SA</t>
  </si>
  <si>
    <t>ITAPEMAR</t>
  </si>
  <si>
    <t>ITAPOROROCA HOTELARIA S/A</t>
  </si>
  <si>
    <t>ITC ADMINISTRACAO E HOTELARIA LTDA.</t>
  </si>
  <si>
    <t>SHERATON SP</t>
  </si>
  <si>
    <t>ITUPEVA HOTEIS CONVENÇOES E EVENTOS LTDA</t>
  </si>
  <si>
    <t>CYAN RESORT ITUPEVA</t>
  </si>
  <si>
    <t>IUNI PARTICIPACOES E SERVICOS S/A</t>
  </si>
  <si>
    <t>HOTEL FELLER</t>
  </si>
  <si>
    <t>IVANETE LINO COELHO UGEDA</t>
  </si>
  <si>
    <t>IVANETE LINO COELHO</t>
  </si>
  <si>
    <t>IVANI MIYASHIRO</t>
  </si>
  <si>
    <t>IVONILDES MORAES MIRANDA</t>
  </si>
  <si>
    <t>POUSADA HIBISCO</t>
  </si>
  <si>
    <t>IZABEL C FRIEDRICH</t>
  </si>
  <si>
    <t>Izabela Silveira Maia</t>
  </si>
  <si>
    <t>Izabela Silveira Mai</t>
  </si>
  <si>
    <t>IZABELLA SIMAS</t>
  </si>
  <si>
    <t>J &amp; N ENXOVAIS LTDA</t>
  </si>
  <si>
    <t>J &amp; N</t>
  </si>
  <si>
    <t>J BARROS ADMINISTRAÇÃO HOTELARIA</t>
  </si>
  <si>
    <t>HOTEL QUINTA DO PO</t>
  </si>
  <si>
    <t>J E BAR E RESTAURANTE LTDA - ME</t>
  </si>
  <si>
    <t>J E BAR E REST</t>
  </si>
  <si>
    <t>J F R COMERCIO DE MOVEIS E DECORACOES LTDA</t>
  </si>
  <si>
    <t>J F R</t>
  </si>
  <si>
    <t>J K COMERCIO DE UTILIDADES E DECORAÇÕES LTDA-ME</t>
  </si>
  <si>
    <t>J K</t>
  </si>
  <si>
    <t>J L V EMPREENDIMENTOS TURISTICOS LTDA - EPP</t>
  </si>
  <si>
    <t>POUSADA ABRACADABRA</t>
  </si>
  <si>
    <t>J R S TECIDOS LTDA - EPP</t>
  </si>
  <si>
    <t>RENATO TECIDOS</t>
  </si>
  <si>
    <t>J. C. A. MIZIARA - ME</t>
  </si>
  <si>
    <t>LEBLON MOTEL</t>
  </si>
  <si>
    <t>J. M. DINIZ CONFECCOES DE ROUPAS LTDA</t>
  </si>
  <si>
    <t>JOANA DINIZ</t>
  </si>
  <si>
    <t>J.A ATACADISTA EIRELI</t>
  </si>
  <si>
    <t>BOA ATACADISTA</t>
  </si>
  <si>
    <t>J.F. GOMES POUSADA EIRELI</t>
  </si>
  <si>
    <t>POUSADA APPLE HOUSE</t>
  </si>
  <si>
    <t>J.TAVARES CONFECCOES E ACESSORIOS LTDA</t>
  </si>
  <si>
    <t>LG CONFECCOES</t>
  </si>
  <si>
    <t>JABUTICABEIRA HOTELARIA E CULTURA EIRELI - EPP</t>
  </si>
  <si>
    <t>CASA QUATRO OITO</t>
  </si>
  <si>
    <t>JAC HOTEL LTDA</t>
  </si>
  <si>
    <t>IBIS TERESINA</t>
  </si>
  <si>
    <t>Jacqueline</t>
  </si>
  <si>
    <t>Jacqueline de Sousa Batista Figueiredo</t>
  </si>
  <si>
    <t>Jacqueline de Sousa</t>
  </si>
  <si>
    <t>JACQUELINE MESQUITA NOZIMA</t>
  </si>
  <si>
    <t>JACQUELINE MESQUITA</t>
  </si>
  <si>
    <t>JACQUELINE PRIOLLI</t>
  </si>
  <si>
    <t>Jade</t>
  </si>
  <si>
    <t>JAE HO LEE</t>
  </si>
  <si>
    <t>JAGUAR TOUR EMPREENDIMENTOS TURISTICOS EIRELI</t>
  </si>
  <si>
    <t>BARCO CUIABÁ</t>
  </si>
  <si>
    <t>JAGUARIBE PARTICIPAÇOES LTDA EPP</t>
  </si>
  <si>
    <t>JAGUARIBE</t>
  </si>
  <si>
    <t>JAIR FRANCISCO PÓ</t>
  </si>
  <si>
    <t>JAIR FRANCIS (VHOUSE</t>
  </si>
  <si>
    <t>JALAPAO EMPREENDIMENTOS LTDA</t>
  </si>
  <si>
    <t>JALAPAO EMPREENDIMEN</t>
  </si>
  <si>
    <t>JALT EMPREENDIMENTOS HOTELEIROS E PARTICIPACOES LT</t>
  </si>
  <si>
    <t>DUPLEX HOTEL</t>
  </si>
  <si>
    <t>Jamile Rabelo</t>
  </si>
  <si>
    <t>Jamile Ramos</t>
  </si>
  <si>
    <t>JAMILE VILANY DA SILVA LEITE</t>
  </si>
  <si>
    <t>JAMILE VILANY DA SIL</t>
  </si>
  <si>
    <t>JAMILTON GONCALVES DOS SANTOS - ME</t>
  </si>
  <si>
    <t>JAMILTON GONCALVES D</t>
  </si>
  <si>
    <t>JANAINA</t>
  </si>
  <si>
    <t>JANAINA ALEXI</t>
  </si>
  <si>
    <t>JANAÍNA ALVES FERNANDES</t>
  </si>
  <si>
    <t>JANAÍNA ALVES FERNAN</t>
  </si>
  <si>
    <t>JANAINA CARDOSO</t>
  </si>
  <si>
    <t>JANAINA COUTINHO</t>
  </si>
  <si>
    <t>Janaina Cristina Chagas Lopes</t>
  </si>
  <si>
    <t>Janaina Cristina Cha</t>
  </si>
  <si>
    <t>JANAINA KLICHOWSKI DE OLIVEIRA</t>
  </si>
  <si>
    <t>JANAINA KLICHOWSKI</t>
  </si>
  <si>
    <t>JANAÍNA VENÂNCIO</t>
  </si>
  <si>
    <t>JANDIRA VENAGLIA</t>
  </si>
  <si>
    <t>Jane Aline Gomes Da Silva Renato</t>
  </si>
  <si>
    <t>Jane Aline Gomes Da</t>
  </si>
  <si>
    <t>Janes do Amarante Vasconcelos</t>
  </si>
  <si>
    <t>Janes do Amarante Va</t>
  </si>
  <si>
    <t>JANINE CAPUA</t>
  </si>
  <si>
    <t>Janis azevedo</t>
  </si>
  <si>
    <t>JANUARIO &amp; SALES LTDA - ME</t>
  </si>
  <si>
    <t>HOTEL FAZENDINHA</t>
  </si>
  <si>
    <t>JAPY GOLF &amp; HOTEL LTDA</t>
  </si>
  <si>
    <t>JAPY GOLF &amp; HOTEL</t>
  </si>
  <si>
    <t>JAQUELINE</t>
  </si>
  <si>
    <t>JAQUELINE AZEVEDO DE AMORIM REGO</t>
  </si>
  <si>
    <t>JAQUELINE AZEVEDO DE</t>
  </si>
  <si>
    <t>Jaqueline Da Costa Santos</t>
  </si>
  <si>
    <t>Jaqueline Da Costa S</t>
  </si>
  <si>
    <t>Jaqueline Lemes Feboli Melhado</t>
  </si>
  <si>
    <t>Jaqueline Lemes Febo</t>
  </si>
  <si>
    <t>JAQUELINE WILKINS</t>
  </si>
  <si>
    <t>JARDIM DA AMAZONIA LTDA - ME</t>
  </si>
  <si>
    <t>POUSADA JD AMAZONIA</t>
  </si>
  <si>
    <t>JARDINS VIAGENS E GOURMET LTDA</t>
  </si>
  <si>
    <t>ROYAL JARDINS</t>
  </si>
  <si>
    <t>JAYANNE SALES FRANCO</t>
  </si>
  <si>
    <t>JC COMERCIO DE ROUPAS LTDA</t>
  </si>
  <si>
    <t>ZEBRA &amp; FRIENDS</t>
  </si>
  <si>
    <t>JDVB ADMINISTRACAO E HOTELARIA LTDA - ME</t>
  </si>
  <si>
    <t>ARENA COPACABANA</t>
  </si>
  <si>
    <t>JEAN CARLO HIGINO HOMES</t>
  </si>
  <si>
    <t>JEAN CARLO</t>
  </si>
  <si>
    <t>JENNIFER DRIELLE HEIDRICH</t>
  </si>
  <si>
    <t>JENNIFER DRIELLE HEI</t>
  </si>
  <si>
    <t>JEQUITIBAS EMPREENDIMENTOS E PARTICIPACOES LTDA</t>
  </si>
  <si>
    <t>JEQUITIBAS</t>
  </si>
  <si>
    <t>JESS FAGIONATO</t>
  </si>
  <si>
    <t>JÉSSICA BARBOSA</t>
  </si>
  <si>
    <t>JESSICA DEMENECK</t>
  </si>
  <si>
    <t>JESSICA RODRIGUES</t>
  </si>
  <si>
    <t>Jessica Rodrigues Da Silva</t>
  </si>
  <si>
    <t>Jessica Rodrigues Da</t>
  </si>
  <si>
    <t>JESSICA RUMMERY</t>
  </si>
  <si>
    <t>Jessica Traguetto Silva</t>
  </si>
  <si>
    <t>Jessica Traguetto Si</t>
  </si>
  <si>
    <t>Jessika Rufino</t>
  </si>
  <si>
    <t>JGOF HOTEIS LTDA</t>
  </si>
  <si>
    <t>HOTEL ESTORIL PRIME</t>
  </si>
  <si>
    <t>JHONE NEVES DA SILVA</t>
  </si>
  <si>
    <t>HPC MARESIAS</t>
  </si>
  <si>
    <t>JHSF EMPREENDIMENTOS VILLAGE 01 LTDA</t>
  </si>
  <si>
    <t>HOTEL SURF LODGE</t>
  </si>
  <si>
    <t>JHSF PARTICIPACOES S.A.</t>
  </si>
  <si>
    <t>FASANO JHSF</t>
  </si>
  <si>
    <t>JHSF REAL PARQUE S/A</t>
  </si>
  <si>
    <t>JI ADMINISTRACAO HOTELEIRA LTDA</t>
  </si>
  <si>
    <t>HOTEL IL CAMPANARIO</t>
  </si>
  <si>
    <t>JL MT LTDA</t>
  </si>
  <si>
    <t>JM CONSULTORIAS E REPRESENTACOES COMERCIAIS LTDA -</t>
  </si>
  <si>
    <t>JM REPRESENTACOES</t>
  </si>
  <si>
    <t>JM LIMA E CIA LTDA - ME</t>
  </si>
  <si>
    <t>MOTEL CHALEUR</t>
  </si>
  <si>
    <t>JNH HOTEIS LTDA</t>
  </si>
  <si>
    <t>NOMAA HOTEL</t>
  </si>
  <si>
    <t>JOANA DE FATIMA FARIAS DE SOUZA</t>
  </si>
  <si>
    <t>CANTO DO CURIÓ</t>
  </si>
  <si>
    <t>Joao Alexandre Cavalcante dos Santos</t>
  </si>
  <si>
    <t>Joao Alexandre Caval</t>
  </si>
  <si>
    <t>JOAO BATISTA ALVES GIRAO ME</t>
  </si>
  <si>
    <t>HOTEL BOLDO LEONEL</t>
  </si>
  <si>
    <t>Joao Beltrao</t>
  </si>
  <si>
    <t>JOÃO CARLOS BAROSSI</t>
  </si>
  <si>
    <t>JOAO FILINO DA SILVA</t>
  </si>
  <si>
    <t>DORMITORIO BELA VIST</t>
  </si>
  <si>
    <t>JOÃO GUILHERME BAMBOZZI ARTIMONTE</t>
  </si>
  <si>
    <t>JOÃO GUILHERME (VHOU</t>
  </si>
  <si>
    <t>JOAO LAPA</t>
  </si>
  <si>
    <t>JOÃO MARCIO  SOUSA</t>
  </si>
  <si>
    <t>JOÃO PAULO BATISTA CAMPI</t>
  </si>
  <si>
    <t>JOÃO PAULO (V HOUSE)</t>
  </si>
  <si>
    <t>Joao Paulo de Carvalho Mello</t>
  </si>
  <si>
    <t>Joao Paulo de Carval</t>
  </si>
  <si>
    <t>JOAO RODRIGUES MANTA HOTEIS DE TURISMO LTDA</t>
  </si>
  <si>
    <t>JOÃO WENDELL CAVALCANTI</t>
  </si>
  <si>
    <t>JOÃO WENDELL CAVALCA</t>
  </si>
  <si>
    <t>JOAQUIM FERREIRA SILVA FILHO</t>
  </si>
  <si>
    <t>JOAQUIM FERRE  (VHOU</t>
  </si>
  <si>
    <t>JOAQUIM RUBENS MONTEIRO ROCHA 04228553672</t>
  </si>
  <si>
    <t>CEDRO DA LAPA</t>
  </si>
  <si>
    <t>JOELMA FERNANDES</t>
  </si>
  <si>
    <t>Joeslene Cristina Barros</t>
  </si>
  <si>
    <t>Joeslene Cristina Ba</t>
  </si>
  <si>
    <t>JOHANNES GEORG MAYER</t>
  </si>
  <si>
    <t>COND. VILA VELEIROS</t>
  </si>
  <si>
    <t>JONAS BARCELLOS CORREA FILHO</t>
  </si>
  <si>
    <t>JONAS BARCELLOS</t>
  </si>
  <si>
    <t>JONAS BRIGER</t>
  </si>
  <si>
    <t>JORDANA MAGALHAES SIQUEIRA</t>
  </si>
  <si>
    <t>JORDANA SIQUEIRA</t>
  </si>
  <si>
    <t>Jordanya</t>
  </si>
  <si>
    <t>Jordhanna</t>
  </si>
  <si>
    <t>JORGE DE SOUZA MELO - ME</t>
  </si>
  <si>
    <t>POUSADA VILA NATAL</t>
  </si>
  <si>
    <t>JOSE CARLOS FERREIRA JUNIOR</t>
  </si>
  <si>
    <t>JOSE CARLOS FERREIRA</t>
  </si>
  <si>
    <t>JOSE CARLOS GUELERE MOTEL</t>
  </si>
  <si>
    <t>MOTEL FAZENDA</t>
  </si>
  <si>
    <t>JOSE CARLOS PAES LEME ARANTES &amp; CIA LTDA</t>
  </si>
  <si>
    <t>JOSE CARLOS</t>
  </si>
  <si>
    <t>JOSE DIOGO BASTOS NETO</t>
  </si>
  <si>
    <t>JOSE DIOGO (TRIPLEX)</t>
  </si>
  <si>
    <t>JOSE EUSTAQUIO MIRANDA</t>
  </si>
  <si>
    <t>POUSADA CHÃO D SERRA</t>
  </si>
  <si>
    <t>JOSE FERNANDO DISA DA SILVA</t>
  </si>
  <si>
    <t>FORMA ITAIM ( JOSE)</t>
  </si>
  <si>
    <t>Jose Jailton Ribeiro</t>
  </si>
  <si>
    <t>JOSE MARIA COELHO SULTANUM - ME</t>
  </si>
  <si>
    <t>POUSADA DA VILA</t>
  </si>
  <si>
    <t>JOSÉ RENATO FONSECA DA SILVEIRA</t>
  </si>
  <si>
    <t>JOSÉ RENATO FONSECA</t>
  </si>
  <si>
    <t>Jose Roberto Da Costa Junior</t>
  </si>
  <si>
    <t>Jose Roberto Da Cost</t>
  </si>
  <si>
    <t>Josiane Guesser Da Luz Mokwa</t>
  </si>
  <si>
    <t>Josiane Guesser Da L</t>
  </si>
  <si>
    <t>Josiane Silva</t>
  </si>
  <si>
    <t>JOSIANNY PRISCILLA LIMA SILVA</t>
  </si>
  <si>
    <t>JOSIANNY</t>
  </si>
  <si>
    <t>JOSINAIRA COSTA DOS SANTOS</t>
  </si>
  <si>
    <t>JOSINAIRA COSTA</t>
  </si>
  <si>
    <t>JOSIVAN CAITANO</t>
  </si>
  <si>
    <t>JOSIVAN</t>
  </si>
  <si>
    <t>JOSUL DA AMAZONIA EIRELI</t>
  </si>
  <si>
    <t>POUSADA PANTALEÃO</t>
  </si>
  <si>
    <t>JOYCE</t>
  </si>
  <si>
    <t>JOYCE MINATEL GAMA</t>
  </si>
  <si>
    <t>Jozeli Ferreira Rodrigues</t>
  </si>
  <si>
    <t>Jozeli Ferreira Rodr</t>
  </si>
  <si>
    <t>JPA LAVANDERIA INDUSTRIAL LTDA</t>
  </si>
  <si>
    <t>JPA LAVANDERIA INDUS</t>
  </si>
  <si>
    <t>JR EMPREENDIMENTOS HOTELEIROS LTDA</t>
  </si>
  <si>
    <t>MONA HOTEL- ANGA</t>
  </si>
  <si>
    <t>JRPH RESORT HOTEL PRIVE LTDA</t>
  </si>
  <si>
    <t>FAZENDINHA PRIVE</t>
  </si>
  <si>
    <t>JS COMERCIAL E UTILIDADES DOMESTICAS</t>
  </si>
  <si>
    <t>CASA ASIA</t>
  </si>
  <si>
    <t>JSVP EVENTOS LTDA</t>
  </si>
  <si>
    <t>TERRAS DE CLARA</t>
  </si>
  <si>
    <t>JUBARTE CONCEITO HOTEL LTDA</t>
  </si>
  <si>
    <t>JUBARTE BY INSOLITO</t>
  </si>
  <si>
    <t>JULIA ADAM EMPRESA DE MINERACAO E AGUAS S/A</t>
  </si>
  <si>
    <t>JUREMA RESORT</t>
  </si>
  <si>
    <t>JULIA ALMEIDA</t>
  </si>
  <si>
    <t>Julia Calazans Machado</t>
  </si>
  <si>
    <t>Julia Calazans Macha</t>
  </si>
  <si>
    <t>Julia Castro Martins</t>
  </si>
  <si>
    <t>Julia Emilia Pagung</t>
  </si>
  <si>
    <t>JULIA FRIGO</t>
  </si>
  <si>
    <t>JULIA JUN</t>
  </si>
  <si>
    <t>JULIA LEVORIN</t>
  </si>
  <si>
    <t>JULIA MOREIRA PIERONI</t>
  </si>
  <si>
    <t>JULIA MOREIRA</t>
  </si>
  <si>
    <t>JÚLIA PEDROSA</t>
  </si>
  <si>
    <t>Julia Trentini</t>
  </si>
  <si>
    <t>Julia Zandona</t>
  </si>
  <si>
    <t>Juliana Abrusio Florencio</t>
  </si>
  <si>
    <t>Juliana Abrusio Flor</t>
  </si>
  <si>
    <t>Juliana arias</t>
  </si>
  <si>
    <t>JULIANA BUTLER</t>
  </si>
  <si>
    <t>Juliana Carvalho</t>
  </si>
  <si>
    <t>JULIANA COSTA</t>
  </si>
  <si>
    <t>JULIANA DE AMORIM</t>
  </si>
  <si>
    <t>JULIANA</t>
  </si>
  <si>
    <t>JULIANA DE MATOS</t>
  </si>
  <si>
    <t>JULIANA DE PAULA</t>
  </si>
  <si>
    <t>Juliana Garahy Regus</t>
  </si>
  <si>
    <t>Juliana Machado Martins Fonseca</t>
  </si>
  <si>
    <t>Juliana Machado Mart</t>
  </si>
  <si>
    <t>JULIANA MAMBRE ALVES BONECKER</t>
  </si>
  <si>
    <t>JULIANA MAMBRE ALVES</t>
  </si>
  <si>
    <t>JULIANA MANSO DE ALMEIDA</t>
  </si>
  <si>
    <t>JULIANA MANSO</t>
  </si>
  <si>
    <t>Juliana Matoso Aliprandi</t>
  </si>
  <si>
    <t>Juliana Matoso Alipr</t>
  </si>
  <si>
    <t>JULIANA MONTEIRO FRANÇA MACEDO</t>
  </si>
  <si>
    <t>JULIANA MONTEIRO FRA</t>
  </si>
  <si>
    <t>JULIANA PAVARINA BALIEIRO MICALI</t>
  </si>
  <si>
    <t>JULIANA PAVARINA BAL</t>
  </si>
  <si>
    <t>JULIANA PIRES COSMETICOS E SOUVENIR LTDA</t>
  </si>
  <si>
    <t>JULIANA PIRES</t>
  </si>
  <si>
    <t>JULIANA SALAZAR 10794552722</t>
  </si>
  <si>
    <t>JULIANA SALAZAR</t>
  </si>
  <si>
    <t>JULIANA SANTOS DE SOUSA</t>
  </si>
  <si>
    <t>JULIANA SANTOS DE SO</t>
  </si>
  <si>
    <t>JULIANA SOUZA</t>
  </si>
  <si>
    <t>JULIANA TOCHINI GRASSO DE FRANCO</t>
  </si>
  <si>
    <t>JULIANA TOCHINI GRAS</t>
  </si>
  <si>
    <t>JULIANA ULIAN AVELAR</t>
  </si>
  <si>
    <t>JULIANA VALLE NAHAS</t>
  </si>
  <si>
    <t>JULIANA VERSOLATO</t>
  </si>
  <si>
    <t>JULIANE MONTEIRO DE ARAÚJO CAPELASSO</t>
  </si>
  <si>
    <t>JULIANE MONTEIRO DE</t>
  </si>
  <si>
    <t>Juliane Rawlyk Lopes Ribeiro</t>
  </si>
  <si>
    <t>Juliane Rawlyk Lopes</t>
  </si>
  <si>
    <t>Julianna Rojas</t>
  </si>
  <si>
    <t>JULIO MANFREDINI</t>
  </si>
  <si>
    <t>JULIO TAMOTSU AGARIE - ME</t>
  </si>
  <si>
    <t>JULIO</t>
  </si>
  <si>
    <t>JULIO VALENTE CECCHINI</t>
  </si>
  <si>
    <t>JULIO VALENTE CECCHI</t>
  </si>
  <si>
    <t>JUNIA</t>
  </si>
  <si>
    <t>JUQUEHY PRAIA HOTEL LTDA</t>
  </si>
  <si>
    <t>JUQUEHY PRAIA HOTEL</t>
  </si>
  <si>
    <t>JUQUEI BEACH HOTEL LTDA</t>
  </si>
  <si>
    <t>JUQUEI BEACH</t>
  </si>
  <si>
    <t>JUSSARA DE OLIVEIRA 22260129668</t>
  </si>
  <si>
    <t>SANTA VILA HOSPEDAGE</t>
  </si>
  <si>
    <t>JUVENTUDE ESPIRITA DE UBERL</t>
  </si>
  <si>
    <t>JUVENTUDE ESPIRITA D</t>
  </si>
  <si>
    <t>K AVENTURA LTDA</t>
  </si>
  <si>
    <t>K AVENTURA</t>
  </si>
  <si>
    <t>K08 BUNGALOUS GALINHOS EMPREENDIMENTOS DE HOTEIS</t>
  </si>
  <si>
    <t>K08 BUNGALOUS</t>
  </si>
  <si>
    <t>KA BRU BRAZIL HOTEIS LTDA. - EPP</t>
  </si>
  <si>
    <t>KA BRU BRAZIL</t>
  </si>
  <si>
    <t>KALID ARQUITETURA E TREINAMENTO PROFISSIONAL LTDA</t>
  </si>
  <si>
    <t>KALID ARQUITETURA</t>
  </si>
  <si>
    <t>KALINCA SCHWARZ</t>
  </si>
  <si>
    <t>KALLAS PORTO MARAVILHA EMPREENDIMENTOS IMOBILIARIO</t>
  </si>
  <si>
    <t>INTERCITY PORTO MARA</t>
  </si>
  <si>
    <t>KALYNE DE MEDEIROS NOBRE ALVES</t>
  </si>
  <si>
    <t>KALYNE DE MEDEIROS N</t>
  </si>
  <si>
    <t>KAMILA FUMAGALLI</t>
  </si>
  <si>
    <t>KAREN FERNANDES ALVES</t>
  </si>
  <si>
    <t>KAREN FERNANDES ALVE</t>
  </si>
  <si>
    <t>Karina Biavatti</t>
  </si>
  <si>
    <t>KARINA CECILIA BARCELOS</t>
  </si>
  <si>
    <t>KARINA CECILIA BARCE</t>
  </si>
  <si>
    <t>KARINA RAQUEL VALIMAREANU</t>
  </si>
  <si>
    <t>KARINA RAQUEL VALIMA</t>
  </si>
  <si>
    <t>KARINE VASSELAI MELLO</t>
  </si>
  <si>
    <t>KARINE VASSELAI</t>
  </si>
  <si>
    <t>KARIRI BEACH EMPREENDIMENTOS IMOBILIARIOS LTDA</t>
  </si>
  <si>
    <t>KARIRI BEACH</t>
  </si>
  <si>
    <t>KARL FREDRIK ARVID SVENSSON</t>
  </si>
  <si>
    <t>KARL FREDRIK</t>
  </si>
  <si>
    <t>Karla Karine Vieira Miranda</t>
  </si>
  <si>
    <t>Karla Karine Vieira</t>
  </si>
  <si>
    <t>KARLA PARENTE</t>
  </si>
  <si>
    <t>KARLA</t>
  </si>
  <si>
    <t>KARMEL LOPES FOLLY TEBET 11742039782</t>
  </si>
  <si>
    <t>KARMEL TEBET</t>
  </si>
  <si>
    <t>Karoline</t>
  </si>
  <si>
    <t>KATAYAMA SERVICOS LTDA</t>
  </si>
  <si>
    <t>LAVANDERIA KATAYAMA</t>
  </si>
  <si>
    <t>Katharine Dias</t>
  </si>
  <si>
    <t>KATIA FERNANDES</t>
  </si>
  <si>
    <t>Katyane Larayne Vilanova Da Silva</t>
  </si>
  <si>
    <t>Katyane Larayne Vila</t>
  </si>
  <si>
    <t>KAUANA BECKER (FASANO)</t>
  </si>
  <si>
    <t>KAUANA BECKER (FASAN</t>
  </si>
  <si>
    <t>KAVOD BRASIL COMERCIO E IMPORTACAO DE PRODUTOS DE</t>
  </si>
  <si>
    <t>KAVOD</t>
  </si>
  <si>
    <t>KAWAGISHI &amp; CIA LTDA - EPP</t>
  </si>
  <si>
    <t>KAWAGISHI</t>
  </si>
  <si>
    <t>KAWO KABIESILE COMERCIO E DECORACOES LTDA - EPP</t>
  </si>
  <si>
    <t>FASANO BAHIA</t>
  </si>
  <si>
    <t>KB EMPREENDIMENTOS HOTELEIROS LTDA</t>
  </si>
  <si>
    <t>POUSADA MAUI</t>
  </si>
  <si>
    <t>KELEN DE OLIVEIRA ATAIDE</t>
  </si>
  <si>
    <t>TRUPE BABY</t>
  </si>
  <si>
    <t>Kellen Souza Oliveira</t>
  </si>
  <si>
    <t>Kellen Souza Oliveir</t>
  </si>
  <si>
    <t>Kelly Cristina Chumber</t>
  </si>
  <si>
    <t>Kelly Cristina Chumb</t>
  </si>
  <si>
    <t>Kelly de Paiva</t>
  </si>
  <si>
    <t>Kelrelane mendes De Sousa</t>
  </si>
  <si>
    <t>Kelrelane mendes De</t>
  </si>
  <si>
    <t>Kenia Moser Ramos</t>
  </si>
  <si>
    <t>KENOA INVESTIMENTOS LTDA</t>
  </si>
  <si>
    <t>KENOA RESORT</t>
  </si>
  <si>
    <t>Kerley Bitencourt</t>
  </si>
  <si>
    <t>KEROLYN VALENTE DIEGUES</t>
  </si>
  <si>
    <t>KEROLYN VALENTE DIEG</t>
  </si>
  <si>
    <t>KHALIL OBEID &amp; CIA LTDA</t>
  </si>
  <si>
    <t>OBEID PLAZA HOTEL</t>
  </si>
  <si>
    <t>K-II RESORT ITA INCORPORADORA - SPE LTDA</t>
  </si>
  <si>
    <t>ATLANTICA CHAPECÓ</t>
  </si>
  <si>
    <t>KIJEME TRAVEL HOTEIS LTDA</t>
  </si>
  <si>
    <t>RESORT LA TORRE</t>
  </si>
  <si>
    <t>KIMBERLY FRANCINE ESIQUIEL ALBEQUERQUE</t>
  </si>
  <si>
    <t>KIMBERLY FRANCINE ES</t>
  </si>
  <si>
    <t>KINO EMPREENDIMENTO HOTELEIRO LTDA</t>
  </si>
  <si>
    <t>KINO EMPREENDIMENTO</t>
  </si>
  <si>
    <t>KISS ME MOTEL LTDA</t>
  </si>
  <si>
    <t>KISS ME MOTEL</t>
  </si>
  <si>
    <t>KLARIND - PROCESSOS DE HIGIENE E LOCACOES TEXTEIS</t>
  </si>
  <si>
    <t>KLARIND</t>
  </si>
  <si>
    <t>KLINKERFUSS &amp; ARANTES - HOTELARIA LTDA - EPP</t>
  </si>
  <si>
    <t>HOTEL KA</t>
  </si>
  <si>
    <t>KOESA INCORPORACAO E PARTICIPACAO LTDA</t>
  </si>
  <si>
    <t>AC MARRIOTT WKOERICH</t>
  </si>
  <si>
    <t>KOSERE SUITES LTDA.</t>
  </si>
  <si>
    <t>KOSERE</t>
  </si>
  <si>
    <t>KRBM NOR LTDA</t>
  </si>
  <si>
    <t>NÓR HOTEL</t>
  </si>
  <si>
    <t>KRM IMOBILIARIA LTDA</t>
  </si>
  <si>
    <t>KRYSS LITTLEWOOD</t>
  </si>
  <si>
    <t>KTR UTILIDADES DOMESTICAS</t>
  </si>
  <si>
    <t>KTR</t>
  </si>
  <si>
    <t>KUR HOTEL CLINICA GRAMADO LTDA</t>
  </si>
  <si>
    <t>KUROTEL GRAMADO</t>
  </si>
  <si>
    <t>KURIUWA HOTEL LTDA. - EPP</t>
  </si>
  <si>
    <t>KURIUWA HOTEL LTDA.</t>
  </si>
  <si>
    <t>L &amp; A CIRURGIA PLASTICA LTDA</t>
  </si>
  <si>
    <t>L &amp; A CIRURGIA PLAST</t>
  </si>
  <si>
    <t>L C BRANCO EMPREENDIMENTOS IMOBILIARIOS LTDA - EPP</t>
  </si>
  <si>
    <t>HOTEL WHITE PLAZA</t>
  </si>
  <si>
    <t>L C DE QUEIROZ SUZANO ME</t>
  </si>
  <si>
    <t>VALE DAS NASCENTE</t>
  </si>
  <si>
    <t>L TORMENA REPRESENTAÇÕES LTDA - ME</t>
  </si>
  <si>
    <t>L TORMENA</t>
  </si>
  <si>
    <t>L.E.B.S.P.E. EMPREENDIMENTOS E PARTICIPACOES LTDA.</t>
  </si>
  <si>
    <t>L.E.B.S.P.E. EMPREEN</t>
  </si>
  <si>
    <t>GRAND MERCURE ITAIM</t>
  </si>
  <si>
    <t>L.L SOARES - ME</t>
  </si>
  <si>
    <t>MAITEI</t>
  </si>
  <si>
    <t>L.M ORGANIZAÇÃO HOTELEIRA LTDA</t>
  </si>
  <si>
    <t>HOTEL PAIAGUAS</t>
  </si>
  <si>
    <t>LA BERGERIE GONCALVES TLDA</t>
  </si>
  <si>
    <t>POUSADA PATO VILA</t>
  </si>
  <si>
    <t>LA HOTELS EMPREENDIMENTOS 1 LTDA</t>
  </si>
  <si>
    <t>LA HOTELS EMPREENDIMENTOS 1 LTDA.</t>
  </si>
  <si>
    <t>PAULISTA PLAZA</t>
  </si>
  <si>
    <t>LA HOTELS EMPREENDIM</t>
  </si>
  <si>
    <t>LA ORGANIZAÇÃO PATRIMONIAL LTDA</t>
  </si>
  <si>
    <t>LA HOTEL</t>
  </si>
  <si>
    <t>LA PIANTA POUSADA MONTE VERDE LTDA</t>
  </si>
  <si>
    <t>LA PIANTA POUSADA MO</t>
  </si>
  <si>
    <t>LA SETE EMPREENDIMENTOS IMOBILIARIOS LTDA.</t>
  </si>
  <si>
    <t>LA SETE EMPREENDIMEN</t>
  </si>
  <si>
    <t>LA SUITE ADMINISTRACAO DE IMOVEIS PROPRIOS LTDA -</t>
  </si>
  <si>
    <t>BY DUSSOL</t>
  </si>
  <si>
    <t>LABNHOME MEDICINA E DIAGNOSTICA LTDA</t>
  </si>
  <si>
    <t>LABNHOME</t>
  </si>
  <si>
    <t>LAGES EXCLUSIVE RESORT LTDA</t>
  </si>
  <si>
    <t>LAGES RESORT</t>
  </si>
  <si>
    <t>LAGHETTO HOTEIS LTDA</t>
  </si>
  <si>
    <t>LAGHETTO HOTEIS</t>
  </si>
  <si>
    <t>LAGHETTO</t>
  </si>
  <si>
    <t>LAGHETTO HOTEIS LTDA SCP CHATEAU DU GOLDEN</t>
  </si>
  <si>
    <t>SCP CHATEAU DU GOLDE</t>
  </si>
  <si>
    <t>LAGOA DA ANTA EMPREENDIMENTOS</t>
  </si>
  <si>
    <t>RITZ LAGOA DA ANTA</t>
  </si>
  <si>
    <t>LAGOA SANTA SPE EMPREENDIMENTOS IMOBILIARIOS LTDA</t>
  </si>
  <si>
    <t>LAGOA SANTA SPE EMPR</t>
  </si>
  <si>
    <t>LAIS ELIAS SILVA SOUZA</t>
  </si>
  <si>
    <t>LAIS ELIAS SILVA</t>
  </si>
  <si>
    <t>Lais Faria Gomes</t>
  </si>
  <si>
    <t>LAÍS MAZZEGA</t>
  </si>
  <si>
    <t>LAÍSA TEIXEIRA</t>
  </si>
  <si>
    <t>LAKE SIDE APART HOTEL E CONVENTION LTDA</t>
  </si>
  <si>
    <t>VERT LAKE SIDE</t>
  </si>
  <si>
    <t>Lana Martins Menezes</t>
  </si>
  <si>
    <t>LANCASTER PARTICIPACOES E EMPREENDIMENTOS TURISTIC</t>
  </si>
  <si>
    <t>LANCASTER HOTEL</t>
  </si>
  <si>
    <t>LANFER EMPREENDIMENTOS IMOBILIARIOS E PARTICIPACOE</t>
  </si>
  <si>
    <t>LANFER EMPREENDIMENT</t>
  </si>
  <si>
    <t>LANX CAPITAL INVESTIMENTOS LTDA</t>
  </si>
  <si>
    <t>LANX</t>
  </si>
  <si>
    <t>LAPICQUE DO BRASIL EMPREENDIMENTOS IMOBILIARIOS LT</t>
  </si>
  <si>
    <t>UXUA CASA HOTEL</t>
  </si>
  <si>
    <t>Lara pasquero</t>
  </si>
  <si>
    <t>LARIANE DUARTE</t>
  </si>
  <si>
    <t>LARISSA DE LIMA</t>
  </si>
  <si>
    <t>LARISSA EMPREENDIMENTOS IMOBILIARIOS LTDA</t>
  </si>
  <si>
    <t>Larissa Gabriely Rodrigues Dos Santos</t>
  </si>
  <si>
    <t>Larissa Gabriely Rod</t>
  </si>
  <si>
    <t>LARISSA GERALDI CARRELA</t>
  </si>
  <si>
    <t>LARISSA FERALDI</t>
  </si>
  <si>
    <t>LARISSA JABUR VANZO</t>
  </si>
  <si>
    <t>LARISSA JABUR</t>
  </si>
  <si>
    <t>LARISSA MOCELIN VAZ</t>
  </si>
  <si>
    <t>LARISSA TOESCA</t>
  </si>
  <si>
    <t>LASSO EMPREENDIMENTOS TURISTICOS LTDA</t>
  </si>
  <si>
    <t>POUSADA MI SECRETO</t>
  </si>
  <si>
    <t>LAURA ALBA</t>
  </si>
  <si>
    <t>Laura de Aguiar Pereira</t>
  </si>
  <si>
    <t>Laura de Aguiar Pere</t>
  </si>
  <si>
    <t>LAURA GOULART DA ROCHA JOB</t>
  </si>
  <si>
    <t>LAURA GOULART JOB</t>
  </si>
  <si>
    <t>LAURA SEGARRA</t>
  </si>
  <si>
    <t>LAURA S.  FORMA ITAI</t>
  </si>
  <si>
    <t>LAV &amp; PRONTO LAVANDERIA LTDA</t>
  </si>
  <si>
    <t>LAVO HOTEL</t>
  </si>
  <si>
    <t>LAVANDERIA ASA BRANCA LTDA</t>
  </si>
  <si>
    <t>LAVANDERIA ASA BRANC</t>
  </si>
  <si>
    <t>LAVANDERIA DONA CATARINA - EIRELI</t>
  </si>
  <si>
    <t>DONA CATARINA LAVAND</t>
  </si>
  <si>
    <t>LAVEBRAS GESTAO DE TEXTEIS S.A.</t>
  </si>
  <si>
    <t>LAVEBRAS GESTAO DE T</t>
  </si>
  <si>
    <t>LAVEBRAS</t>
  </si>
  <si>
    <t>LAVE BRAS</t>
  </si>
  <si>
    <t>NORTELAV</t>
  </si>
  <si>
    <t>LAYLLA IORRANNY DE SOUZA MELO</t>
  </si>
  <si>
    <t>LAYLLA IORRANNY DE S</t>
  </si>
  <si>
    <t>Lazaro Luis</t>
  </si>
  <si>
    <t>LB MAPAS ME</t>
  </si>
  <si>
    <t>POUSADA 8 ILHAS</t>
  </si>
  <si>
    <t>LB1 HOTELARIA EIRELI</t>
  </si>
  <si>
    <t>GRUPO BITTAR</t>
  </si>
  <si>
    <t>LBX REPRESENTACAO COMERCIAL E EXPORTACAO LTDA</t>
  </si>
  <si>
    <t>UP CONCEPT DECOR</t>
  </si>
  <si>
    <t>LC COMERCIO DE BORDADOS LTDA</t>
  </si>
  <si>
    <t>BORDADOS E CIA</t>
  </si>
  <si>
    <t>LC EMPREENDIMENTOS IMOBILIARIOS SPE LTDA.</t>
  </si>
  <si>
    <t>LC EMPREENDIMENTOS I</t>
  </si>
  <si>
    <t>LCL COMERCIO DE ELET. LTDA</t>
  </si>
  <si>
    <t>LCL</t>
  </si>
  <si>
    <t>LE BEBE PRODUTOS INFANTIS</t>
  </si>
  <si>
    <t>LE BEBE</t>
  </si>
  <si>
    <t>LE BLANC LAVANDERIA LTDA - ME</t>
  </si>
  <si>
    <t>LE BLANC LAVANDERIA</t>
  </si>
  <si>
    <t>LE CANTON EMPREENDIMENTOS HOTELEIROS LTDA</t>
  </si>
  <si>
    <t>HOTEL LE CANTON</t>
  </si>
  <si>
    <t>LE GARDEN HOTEL LTDA</t>
  </si>
  <si>
    <t>LE GARDEN POUSADA BO</t>
  </si>
  <si>
    <t>LE PREMIER ADMINISTRADORA DE HOTEIS E CONDOMINIOS</t>
  </si>
  <si>
    <t>MONT BLANC PREMIUM</t>
  </si>
  <si>
    <t>LE PREVILEGE ADMINISTRADORA DE HOTEIS E CONDOMINIO</t>
  </si>
  <si>
    <t>ARAUCARIA PLAZA</t>
  </si>
  <si>
    <t>LE RELAIS DE MARAMBAIA POUSADA EIRELI - EPP</t>
  </si>
  <si>
    <t>LE RELAIS MARAMBAIA</t>
  </si>
  <si>
    <t>LE SOUK COMERCIO DE ACESSORIOS E DECORACOES LTDA -</t>
  </si>
  <si>
    <t>SOUK</t>
  </si>
  <si>
    <t>LEAL ROSA INDUSTRIA E COMERCIO E REPRESENTACOES LT</t>
  </si>
  <si>
    <t>ATIBAIA RESIDENCE HO</t>
  </si>
  <si>
    <t>LEILA ALBANO BEZERRA</t>
  </si>
  <si>
    <t>Leilane Karolina Rufino</t>
  </si>
  <si>
    <t>Leilane Karolina Ruf</t>
  </si>
  <si>
    <t>LEIZIAN DE SOUZA AMORIM</t>
  </si>
  <si>
    <t>LEIZIAN DE SOUZA AMO</t>
  </si>
  <si>
    <t>LENCOIS MODA CASA - EIRELI - ME</t>
  </si>
  <si>
    <t>LENÇOIS</t>
  </si>
  <si>
    <t>LENEFRAN LAVANDERIA LTDA - EPP</t>
  </si>
  <si>
    <t>TK TOALHEIRO</t>
  </si>
  <si>
    <t>LENEIDE FERNANDES MAIA</t>
  </si>
  <si>
    <t>RESTAURANTE MANGAI</t>
  </si>
  <si>
    <t>Leonard Rocha Lannes</t>
  </si>
  <si>
    <t>leonardo</t>
  </si>
  <si>
    <t>LEONARDO PERINA MANGEON</t>
  </si>
  <si>
    <t>LEONARDO PERINA MANG</t>
  </si>
  <si>
    <t>LEONARDO ROSENDO FIUZA</t>
  </si>
  <si>
    <t>LEONARDO ROSENDO FIU</t>
  </si>
  <si>
    <t>LEONICE APARECIDA QUARTAROLI FARIA - ME</t>
  </si>
  <si>
    <t>SEDAS &amp; SONHOS</t>
  </si>
  <si>
    <t>Leticia Andrade Cassidore</t>
  </si>
  <si>
    <t>Leticia Andrade Cass</t>
  </si>
  <si>
    <t>LETICIA GARCIA</t>
  </si>
  <si>
    <t>LETICIA GODINHO ARAUJO</t>
  </si>
  <si>
    <t>LETICIA GODINHO ARAU</t>
  </si>
  <si>
    <t>Leticia Luger Lopes</t>
  </si>
  <si>
    <t>LETICIA VALENTIM</t>
  </si>
  <si>
    <t>LFA AGENCIA DE VIAGENS E TURISMO LTDA - EPP</t>
  </si>
  <si>
    <t>QUEEN AMAZONIA</t>
  </si>
  <si>
    <t>LG DA CRUZ - CAMA E MESA EIRELLE</t>
  </si>
  <si>
    <t>LG</t>
  </si>
  <si>
    <t>LHOTEL LTDA</t>
  </si>
  <si>
    <t>L´HOTEL PORTOBAY</t>
  </si>
  <si>
    <t>LIA VERGUEIRO DA SILVA ROSARIO 32284663885</t>
  </si>
  <si>
    <t>FAZENDA VASSOURAL</t>
  </si>
  <si>
    <t>LICA CINELLI - CLINICA MEDICA EIRELI</t>
  </si>
  <si>
    <t>LICA CINELLI - CLINI</t>
  </si>
  <si>
    <t>LIDIA KIM</t>
  </si>
  <si>
    <t>Lidia Lins</t>
  </si>
  <si>
    <t>LIEBES LEBEN GESCHAFT LTDA</t>
  </si>
  <si>
    <t>LIEBES LEBEN GESCHAF</t>
  </si>
  <si>
    <t>LIFECENTER SISTEMA DE SAUDE S/A</t>
  </si>
  <si>
    <t>HOSPITAL LIFECENTER</t>
  </si>
  <si>
    <t>Ligia zotelli</t>
  </si>
  <si>
    <t>LIHO EMPREENDIMENTOS E PARTICIPACOES LTDA</t>
  </si>
  <si>
    <t>MOTEL UNO PRIME - MZ</t>
  </si>
  <si>
    <t>LILI EMPREENDIMENTOS TURISTICOS LTDA</t>
  </si>
  <si>
    <t>LILI TURISMO</t>
  </si>
  <si>
    <t>Liliam Aparecida Bizinha Costa</t>
  </si>
  <si>
    <t>Liliam Aparecida Biz</t>
  </si>
  <si>
    <t>LILIAM ZIER</t>
  </si>
  <si>
    <t>LILIAM (SITE)</t>
  </si>
  <si>
    <t>LILIAN AKEMI MIZUNO</t>
  </si>
  <si>
    <t>Lilian Alves Fernandes</t>
  </si>
  <si>
    <t>Lilian Alves Fernand</t>
  </si>
  <si>
    <t>LILIANE BATISTA</t>
  </si>
  <si>
    <t>LILY ENXOVAIS EIRELI - EPP</t>
  </si>
  <si>
    <t>CASA TRUSSARDI</t>
  </si>
  <si>
    <t>Lincoln Lopes de Oliveira</t>
  </si>
  <si>
    <t>Lincoln Lopes de Oli</t>
  </si>
  <si>
    <t>Lincoln Machado</t>
  </si>
  <si>
    <t>LINDA LIS AMARAL VELOSO MOURALO</t>
  </si>
  <si>
    <t>LINDA LIS AMARAL VEL</t>
  </si>
  <si>
    <t>LINDSAY TIBURTINO</t>
  </si>
  <si>
    <t>Liomar Luiz de Miranda Junior</t>
  </si>
  <si>
    <t>Liomar Luiz de Miran</t>
  </si>
  <si>
    <t>LIS LAVANDERIA INDUSTRIAL E SERVICOS LTDA</t>
  </si>
  <si>
    <t>LIS LAVANDERIA</t>
  </si>
  <si>
    <t>LIVEX HOTEIS TURISMO LTDA</t>
  </si>
  <si>
    <t>LIVEX HOTEIS TURISMO</t>
  </si>
  <si>
    <t>LIVI HOTELARIA E TURISMO LTDA</t>
  </si>
  <si>
    <t>LIVI HOTELARIA</t>
  </si>
  <si>
    <t>LIVIA</t>
  </si>
  <si>
    <t>LIVIA ALBUQUERQUE</t>
  </si>
  <si>
    <t>LIVIA ASUNTA FONSECA CALLEJAS</t>
  </si>
  <si>
    <t>LIVIA ASUNTA FONSECA</t>
  </si>
  <si>
    <t>Livia Costa</t>
  </si>
  <si>
    <t>Livia Ledier</t>
  </si>
  <si>
    <t>LIZANDRA COSTA</t>
  </si>
  <si>
    <t>LIZE GARCIA</t>
  </si>
  <si>
    <t>LIZETE DOS SANTOS RIBEIRO</t>
  </si>
  <si>
    <t>LIZETE DOS SANTOS RI</t>
  </si>
  <si>
    <t>LM2 HOME INDUSTRIA E COMERCIO DE ENXOVAIS LTDA</t>
  </si>
  <si>
    <t>LA MARIA BAMBINA</t>
  </si>
  <si>
    <t>LMRH BRASIL HOSPEDAGEM LTDA</t>
  </si>
  <si>
    <t>LMRH BRASIL HOSPEDAG</t>
  </si>
  <si>
    <t>LOCCITANE DO BRASIL S/A</t>
  </si>
  <si>
    <t>LOCCITANE</t>
  </si>
  <si>
    <t>LOFTY CONCEPT SHOWROOM E ESPACO DE EVENTOS EIRELI</t>
  </si>
  <si>
    <t>LOFTY CONCEPT SHOWRO</t>
  </si>
  <si>
    <t>LOJAS CIELLO MODA CASA LTDA ME</t>
  </si>
  <si>
    <t>LOJAS CIELLO</t>
  </si>
  <si>
    <t>LOJAS DE DEPARTAMENTOS MILIUM LTDA</t>
  </si>
  <si>
    <t>MILIUM</t>
  </si>
  <si>
    <t>LOJAS DE TECIDOS BANDEIRANTES DE MARINGA EIRELI ME</t>
  </si>
  <si>
    <t>BANDEIRANTES</t>
  </si>
  <si>
    <t>LOJAS P &amp; S LTDA</t>
  </si>
  <si>
    <t>LOJAS P &amp; S</t>
  </si>
  <si>
    <t>LOLA CURY - CONFECCAO E COMERCIO DE ARTIGOS TEXTEI</t>
  </si>
  <si>
    <t>LOLAHOME</t>
  </si>
  <si>
    <t>LOPES FIUZA ARQUITETOS ASSOCIADOS S.S</t>
  </si>
  <si>
    <t>LOPES FIUZA</t>
  </si>
  <si>
    <t>LORE BABY COMERCIO E ARTIGOS INFANTIS LTDA</t>
  </si>
  <si>
    <t>LORE BABY CAMPINAS</t>
  </si>
  <si>
    <t>LOREDANA ZANADREA DE OLIVEIRA</t>
  </si>
  <si>
    <t>LOREDANA ZANADREA DE</t>
  </si>
  <si>
    <t>LORENA ALMEIDA ALKIMIM</t>
  </si>
  <si>
    <t>LORENA ALMEIDA ALKIM</t>
  </si>
  <si>
    <t>LORENA SAGIONETI</t>
  </si>
  <si>
    <t>LORENATUR HOTEL LTDA</t>
  </si>
  <si>
    <t>HOTEL WZ JARDINS</t>
  </si>
  <si>
    <t>Lorenna Pereira Vieira</t>
  </si>
  <si>
    <t>Lorenna Pereira Viei</t>
  </si>
  <si>
    <t>LOUISE DE ARAUJO VIEIRA FENATO</t>
  </si>
  <si>
    <t>LOUISE DE ARAUJO VIE</t>
  </si>
  <si>
    <t>LP HOTEIS LTDA</t>
  </si>
  <si>
    <t>NOVOTEL LENÇOIS PAUL</t>
  </si>
  <si>
    <t>LPF COMERCIO E SERVICOS LTDA - ME</t>
  </si>
  <si>
    <t>LPF COMERCIO E SERVI</t>
  </si>
  <si>
    <t>LRL EMPREENDIMENTOS HOTELEIROS E PARTICIPACOES LTD</t>
  </si>
  <si>
    <t>MOTEL S.P.A.</t>
  </si>
  <si>
    <t>LS HOTEL LTDA</t>
  </si>
  <si>
    <t>LS HOTEL</t>
  </si>
  <si>
    <t>LS POUSADA</t>
  </si>
  <si>
    <t>POUSADA CASAS BRANCA</t>
  </si>
  <si>
    <t>LSH BARRA EMPREENDIMENTOS IMOBILIARIOS S.A.</t>
  </si>
  <si>
    <t>LSH HOTEL</t>
  </si>
  <si>
    <t>LT BORDIN ME</t>
  </si>
  <si>
    <t>LT BORDIN</t>
  </si>
  <si>
    <t>Lua Ferreira Barreto</t>
  </si>
  <si>
    <t>Luana De Souza Pinto</t>
  </si>
  <si>
    <t>LUANA FERNANDES MACHADO</t>
  </si>
  <si>
    <t>LUANA FERNANDES MACH</t>
  </si>
  <si>
    <t>Luana R Antunes</t>
  </si>
  <si>
    <t>LUANA RODRIGUES</t>
  </si>
  <si>
    <t>LUC LAVE LAVANDERIA INDUSTRIAL LTDA - EPP</t>
  </si>
  <si>
    <t>LAVEXPRESS</t>
  </si>
  <si>
    <t>LUCAS</t>
  </si>
  <si>
    <t>Lucas Bossaneli Lima</t>
  </si>
  <si>
    <t>LUCAS DE ALMEIDA MATTOS</t>
  </si>
  <si>
    <t>LUCAS DE ALMEIDA MAT</t>
  </si>
  <si>
    <t>Lucas Souza de Freitas</t>
  </si>
  <si>
    <t>Lucas Souza de Freit</t>
  </si>
  <si>
    <t>Lucas Vieira De Souza</t>
  </si>
  <si>
    <t>Lucas Vieira De Souz</t>
  </si>
  <si>
    <t>LUCÉLIA DOURADO</t>
  </si>
  <si>
    <t>LUCIA LEIKO YOKOI</t>
  </si>
  <si>
    <t>Lucia Monica De Lima</t>
  </si>
  <si>
    <t>Lucia Portugal</t>
  </si>
  <si>
    <t>Luciana Carvalho Correia</t>
  </si>
  <si>
    <t>Luciana Carvalho Cor</t>
  </si>
  <si>
    <t>LUCIANA CAVALHEIRO F. A. DE QUEIROZ</t>
  </si>
  <si>
    <t>LUCIANA CAVALHEIRO</t>
  </si>
  <si>
    <t>LUCIANA ESCOBEDO</t>
  </si>
  <si>
    <t>Luciana Figueiredo Novo De Munno</t>
  </si>
  <si>
    <t>Luciana Figueiredo N</t>
  </si>
  <si>
    <t>LUCIANA GAUDINO</t>
  </si>
  <si>
    <t>LUCIANA GINCO CORDEIRO</t>
  </si>
  <si>
    <t>LUCIANA GINCO CORDEI</t>
  </si>
  <si>
    <t>Luciana Gonzaga de Oliveira</t>
  </si>
  <si>
    <t>Luciana Gonzaga de O</t>
  </si>
  <si>
    <t>LUCIANA KRONBERG</t>
  </si>
  <si>
    <t>LUCIANA LEITE</t>
  </si>
  <si>
    <t>LUCIANA MEGALE</t>
  </si>
  <si>
    <t>LUCIANA PINHEIRO SOBREIRA</t>
  </si>
  <si>
    <t>LUCIANA</t>
  </si>
  <si>
    <t>LUCIANA ROSA FERREIRA LTDA</t>
  </si>
  <si>
    <t>AI SIM TELES</t>
  </si>
  <si>
    <t>Luciana/Ana Karolina</t>
  </si>
  <si>
    <t>LUCIANE BIANCON GEMELLI</t>
  </si>
  <si>
    <t>LUCIANE BIANCON GEME</t>
  </si>
  <si>
    <t>Luciane De Paula</t>
  </si>
  <si>
    <t>Luciano</t>
  </si>
  <si>
    <t>LUCIANO ARAÚJO</t>
  </si>
  <si>
    <t>LUCIETTO &amp; BORTOTI LTDA - ME</t>
  </si>
  <si>
    <t>TIO SAN HOTEL</t>
  </si>
  <si>
    <t>LUCILANE PINA DE CAMPOS FERREIRA</t>
  </si>
  <si>
    <t>LUCILANE PINA</t>
  </si>
  <si>
    <t>Lucilene Bueno De Oliveira</t>
  </si>
  <si>
    <t>Lucilene Bueno De Ol</t>
  </si>
  <si>
    <t>Lucilene Neves</t>
  </si>
  <si>
    <t>LUCIMAR CANDIDA PINTO</t>
  </si>
  <si>
    <t>LUCIMAR CANDIDA PINT</t>
  </si>
  <si>
    <t>LUCIMARA OLIVEIRA MENEZES</t>
  </si>
  <si>
    <t>LUCIMARA OLIVEIRA ME</t>
  </si>
  <si>
    <t>LUDJMILA ALBUQUERQUE</t>
  </si>
  <si>
    <t>Ludmila Buti Nakashima</t>
  </si>
  <si>
    <t>Ludmila Buti Nakashi</t>
  </si>
  <si>
    <t>Ludmilla Montarroyos</t>
  </si>
  <si>
    <t>LUIS FELIPE VARANDA DANTE</t>
  </si>
  <si>
    <t>LUIS FELIPE (VHOUSE)</t>
  </si>
  <si>
    <t>LUIS FERNANDO DA SILVA GOMES</t>
  </si>
  <si>
    <t>LUIS FERNANDO</t>
  </si>
  <si>
    <t>LUIS GUILHERME VIEIRA E VIEIRA 13085279776</t>
  </si>
  <si>
    <t>FAZENDA N SRA CONCEI</t>
  </si>
  <si>
    <t>LUIS LINS</t>
  </si>
  <si>
    <t>LUISA BRAGA JORGE</t>
  </si>
  <si>
    <t>LUISA MOREIRA LIMA</t>
  </si>
  <si>
    <t>LUISA PIRES</t>
  </si>
  <si>
    <t>LUISA RAMOS ARAGALO</t>
  </si>
  <si>
    <t>LUISA RAMOS</t>
  </si>
  <si>
    <t>LUIZ ALBERTO DE CASTRO SANTOS</t>
  </si>
  <si>
    <t>LUIZ ALBERTO DE CAST</t>
  </si>
  <si>
    <t>LUIZ AUGUSTO TEXEIRA</t>
  </si>
  <si>
    <t>LUIZ CLAUDIO</t>
  </si>
  <si>
    <t>VILAREJO AGROPERCUAR</t>
  </si>
  <si>
    <t>LUIZ DE O. ROZETTE FILHO EIRELI - EPP</t>
  </si>
  <si>
    <t>CHATEAU LA VILLETTE</t>
  </si>
  <si>
    <t>LUIZ EDUARDO TARQUINIO MONTEIRO DA COSTA</t>
  </si>
  <si>
    <t>FAZENDA STA VITORIA</t>
  </si>
  <si>
    <t>Luiza Carraro Montini</t>
  </si>
  <si>
    <t>Luiza Carraro Montin</t>
  </si>
  <si>
    <t>LUIZA CARVALHO</t>
  </si>
  <si>
    <t>LUIZA CITELI FAJARDO CASTRO</t>
  </si>
  <si>
    <t>LUIZA CITELI FAJARDO</t>
  </si>
  <si>
    <t>Luiza Dantas</t>
  </si>
  <si>
    <t>LUIZA DANTAS</t>
  </si>
  <si>
    <t>LUIZA LOBO DE SOUZA</t>
  </si>
  <si>
    <t>LUIZA LOBO</t>
  </si>
  <si>
    <t>LUIZA MITSUE HORI</t>
  </si>
  <si>
    <t>LUIZA NASR</t>
  </si>
  <si>
    <t>LUIZA SAAVEDRA</t>
  </si>
  <si>
    <t>LUMA MELO</t>
  </si>
  <si>
    <t>LUMIAR HOTEL E SPA LTDA</t>
  </si>
  <si>
    <t>PARADOR HOTEL LUMIAR</t>
  </si>
  <si>
    <t>Lunna Bianca Gomes</t>
  </si>
  <si>
    <t>LUX LAGANA CONSULTORIA EMPRESARIAL LTDA</t>
  </si>
  <si>
    <t>GIULIANA LAGANÁ</t>
  </si>
  <si>
    <t>LUXOR PARTICIPACAO S A</t>
  </si>
  <si>
    <t>FAZENDA PAO GRANDE</t>
  </si>
  <si>
    <t>LUZEIROS HOTEIS S/A.</t>
  </si>
  <si>
    <t>HOTEL LUZEIROS</t>
  </si>
  <si>
    <t>M D COUTINHO LTDA</t>
  </si>
  <si>
    <t>M D</t>
  </si>
  <si>
    <t>M I M COMERCIO DE MOVEIS EIRELI</t>
  </si>
  <si>
    <t>BABY CENTER</t>
  </si>
  <si>
    <t>M M G PEDROSA</t>
  </si>
  <si>
    <t>HOTEL SAMBAQUIS</t>
  </si>
  <si>
    <t>M M R SERVIÇOS DE HOSPEDAGEM E HOTELARIA LTDA - ME</t>
  </si>
  <si>
    <t>VIP MOTEL</t>
  </si>
  <si>
    <t>M P ACESSORIOS PARA DECORACAO LTDA - ME</t>
  </si>
  <si>
    <t>M P</t>
  </si>
  <si>
    <t>M X BARTOLOMEI HOSP CASA DE PEDRA</t>
  </si>
  <si>
    <t>CASA DE PEDRA</t>
  </si>
  <si>
    <t>M. L. SILVA SOBRINHO SERVICOS - ME</t>
  </si>
  <si>
    <t>M. L. SILVA SOBRINHO</t>
  </si>
  <si>
    <t>M.G.ANCHIETA &amp; E. RICCIARDI ESPETINHOS LTDA - ME</t>
  </si>
  <si>
    <t>VARANDA ESPETINHOS</t>
  </si>
  <si>
    <t>M.M. LAVANDERIA LTDA. - EPP</t>
  </si>
  <si>
    <t>M.M. LAVANDERIA LTDA</t>
  </si>
  <si>
    <t>M.MARCELLO L.B NETO HOSPEDAGEM EIRELI-ME</t>
  </si>
  <si>
    <t>CLIFFSIDE</t>
  </si>
  <si>
    <t>M3JA CAPITAL LTDA</t>
  </si>
  <si>
    <t>COMFORT JAGUARIUNA</t>
  </si>
  <si>
    <t xml:space="preserve">MA CHÉRIE COMÉRCIO DE MÓVEIS LTDA EPP
</t>
  </si>
  <si>
    <t>MA CHERIE</t>
  </si>
  <si>
    <t>MADRI HOSPEDAGEM E COMERCIO LTDA - EPP</t>
  </si>
  <si>
    <t>POUSADA  ALCATRAZES</t>
  </si>
  <si>
    <t>MAGALHÃES EMPREENDIMENTOS L.T.D.A- ME</t>
  </si>
  <si>
    <t>TAIPU DE FORA</t>
  </si>
  <si>
    <t>MAGALO HOTELARIA LTDA</t>
  </si>
  <si>
    <t>MAGALO HOTEL</t>
  </si>
  <si>
    <t>MAGDA CARERO</t>
  </si>
  <si>
    <t>MAGNA DINIZ HOTEL E TURISMO LTDA</t>
  </si>
  <si>
    <t>GRAN MAREIRO</t>
  </si>
  <si>
    <t>MAGNA HOTEIS E TURISMO LTDA</t>
  </si>
  <si>
    <t>MAREIRO HOTEL</t>
  </si>
  <si>
    <t>MAGNA PRAIA HOTEL LTDA</t>
  </si>
  <si>
    <t>CARMEL HOTEL</t>
  </si>
  <si>
    <t>MAHALA KAN SPRENGER HOFFMANN</t>
  </si>
  <si>
    <t>MAHALA KAN SPRENGER</t>
  </si>
  <si>
    <t>MAIOR AMOR COMERCIO DO VESTUARIO  LTDA</t>
  </si>
  <si>
    <t>MAIOR AMOR</t>
  </si>
  <si>
    <t>MAIRA BARROS SUZANO</t>
  </si>
  <si>
    <t>MAÍRA DE FATIMA MELLO DE MOURA RIBEIRO GARCIA</t>
  </si>
  <si>
    <t>MAÍRA DE FATIMA MELL</t>
  </si>
  <si>
    <t>Maira Holtz Cedraz</t>
  </si>
  <si>
    <t>MAIS COMERCIAL DE ALIMENTOS LTDA</t>
  </si>
  <si>
    <t>MAIS COMERCIAL</t>
  </si>
  <si>
    <t>MAISON LA ROCHELLE HOTEL FAZENDA LTDA</t>
  </si>
  <si>
    <t>MAISON LA ROCHELLE</t>
  </si>
  <si>
    <t>MAITEI EMPREENDIMENTOS TURISTICOS LTDA - ME</t>
  </si>
  <si>
    <t>MAITEI HOTEL</t>
  </si>
  <si>
    <t>MAIUMI JOBIM</t>
  </si>
  <si>
    <t>MAJULE ECOLODGE LTDA</t>
  </si>
  <si>
    <t>MAJULE</t>
  </si>
  <si>
    <t>MALAGA EMPREENDIMENTOS E PARTICIPACOES SOCIETARIAS</t>
  </si>
  <si>
    <t>MALAGA EMPREENDIMENT</t>
  </si>
  <si>
    <t>MALAI BEACH FORTALEZA LTDA</t>
  </si>
  <si>
    <t>MALAI BEACH</t>
  </si>
  <si>
    <t>MALAI MANSO HOTEL RESORT S.A.</t>
  </si>
  <si>
    <t>MALAI MANSO</t>
  </si>
  <si>
    <t>MALESSA PAULA DA SILVA</t>
  </si>
  <si>
    <t>MALESSA PAULA DA SIL</t>
  </si>
  <si>
    <t>MALUHIA PARTICIPACOES LTDA.</t>
  </si>
  <si>
    <t>HOTEL BRAGANÇA LAPA</t>
  </si>
  <si>
    <t>MANA HOTELARIA LTDA</t>
  </si>
  <si>
    <t>MANA HOTELARIA</t>
  </si>
  <si>
    <t>MANAGER SISTEMAS E SERVICOS LTDA - SCP</t>
  </si>
  <si>
    <t>CENTRAL PARK RESIDEN</t>
  </si>
  <si>
    <t>MANDI COLLECTION LTDA</t>
  </si>
  <si>
    <t>HURRICANE PRAIA</t>
  </si>
  <si>
    <t>MANHA MIRANDA T LAM</t>
  </si>
  <si>
    <t>POUSADA CAFÉ CULTURA</t>
  </si>
  <si>
    <t>MANHATTAN PARTICIPACOES E EMPREENDIMENTOS LTDA</t>
  </si>
  <si>
    <t>MANHATTAN</t>
  </si>
  <si>
    <t>MANHATTAN VACATION EMPREENDIMENTOS IMOBILIARIOS E</t>
  </si>
  <si>
    <t>KIAROA ECORESORT</t>
  </si>
  <si>
    <t>MANOELA GLATT</t>
  </si>
  <si>
    <t>MANPOWER SATFFING LTDA</t>
  </si>
  <si>
    <t>MANPOWER GROUP</t>
  </si>
  <si>
    <t>MANSUR E CARVALHO LTDA</t>
  </si>
  <si>
    <t>POUSADA VILA MINEIRA</t>
  </si>
  <si>
    <t>MANUELA CARVALHO</t>
  </si>
  <si>
    <t>Manuela Da Costa Ribeiro</t>
  </si>
  <si>
    <t>Manuela Da Costa Rib</t>
  </si>
  <si>
    <t>Manuela de Santana Araujo</t>
  </si>
  <si>
    <t>Manuela de Santana A</t>
  </si>
  <si>
    <t>MANUELA JACOB</t>
  </si>
  <si>
    <t>MANUELA MENDES SOARES</t>
  </si>
  <si>
    <t>MANUELA MENDES SOARE</t>
  </si>
  <si>
    <t>MAQUINE EMPREENDIMENTOS S.A.</t>
  </si>
  <si>
    <t>HOTEL OURO MINAS</t>
  </si>
  <si>
    <t>MAR BRASIL HOTEL LTDA - EPP</t>
  </si>
  <si>
    <t>MAR BRASIL HOTEL</t>
  </si>
  <si>
    <t>MAR D OURO HOTEL E PARQUE LTDA</t>
  </si>
  <si>
    <t>ECO RESORT ARRAIAL</t>
  </si>
  <si>
    <t>MAR PALACE COPACABANA HOTEL LTDA</t>
  </si>
  <si>
    <t>MAR PALACE COPACABAN</t>
  </si>
  <si>
    <t>MARA RUTH BAIAO DE CASTRO</t>
  </si>
  <si>
    <t>MARA RUTH BAIAO DE C</t>
  </si>
  <si>
    <t>MARA TURISMO HOTEL LTDA - EPP</t>
  </si>
  <si>
    <t>MARA TURISMO HOTEL L</t>
  </si>
  <si>
    <t>MARAGOGI BRISA RESORT LTDA</t>
  </si>
  <si>
    <t>MARAGOGI BRISA RESOR</t>
  </si>
  <si>
    <t>MARCA 4 PARTICIPACOES LTDA</t>
  </si>
  <si>
    <t>MARCA 4 PARTICIPACOE</t>
  </si>
  <si>
    <t>Marcel Ricardo Silva</t>
  </si>
  <si>
    <t>MARCELA BIRGUER</t>
  </si>
  <si>
    <t>TREND SHOT</t>
  </si>
  <si>
    <t>MARCELA BRITTO</t>
  </si>
  <si>
    <t>Marcela Casaggande</t>
  </si>
  <si>
    <t>MARCELA NAVARRETE  E OLIVEIRA BEZERRA</t>
  </si>
  <si>
    <t>MARCELA NAVARRETE  E</t>
  </si>
  <si>
    <t>MARCELA PEREIRA LOPEZ</t>
  </si>
  <si>
    <t>MARCELA PEREIRA</t>
  </si>
  <si>
    <t>MARCELA RIGOBELLO</t>
  </si>
  <si>
    <t>MARCELA SILVEIRA SOLHEID ZARDO</t>
  </si>
  <si>
    <t>MARCELA SILVEIRA</t>
  </si>
  <si>
    <t>MARCELA TOBAL SECCHES</t>
  </si>
  <si>
    <t>MARCELA TOBAL SECCHE</t>
  </si>
  <si>
    <t>MARCELA ZITUNE BRIGER</t>
  </si>
  <si>
    <t>MARCELA ZITUNE BRIGE</t>
  </si>
  <si>
    <t>Marcelapachecorusso@gmail.com</t>
  </si>
  <si>
    <t>Marcelapachecorusso@</t>
  </si>
  <si>
    <t>MARCELLE COSTA</t>
  </si>
  <si>
    <t>MARCELO CESAR DE PAULO MADEIRAS EIRELI - ME</t>
  </si>
  <si>
    <t>VISAGE SPA</t>
  </si>
  <si>
    <t>MARCELO FERNANDES PINTO</t>
  </si>
  <si>
    <t>MARCELO FERNANDES PI</t>
  </si>
  <si>
    <t>MARCELO KENJI FERREIRA EGASHIRA</t>
  </si>
  <si>
    <t>MARCELO KENJI FERREI</t>
  </si>
  <si>
    <t>MARCELO LUIZ SILVA</t>
  </si>
  <si>
    <t>MARCELO</t>
  </si>
  <si>
    <t>Marcelo Mainieri</t>
  </si>
  <si>
    <t>MARCELO NASCIMENTO</t>
  </si>
  <si>
    <t>Marcia Costalonga</t>
  </si>
  <si>
    <t>Marcia Cunha</t>
  </si>
  <si>
    <t>Marcia De Souza Puccini</t>
  </si>
  <si>
    <t>Marcia De Souza Pucc</t>
  </si>
  <si>
    <t>MARCIA DINIS</t>
  </si>
  <si>
    <t>Marcia Faria Branco Pontarolli</t>
  </si>
  <si>
    <t>Marcia Faria Branco</t>
  </si>
  <si>
    <t>MÁRCIA LIMA MARTINS</t>
  </si>
  <si>
    <t>Marcia Mello</t>
  </si>
  <si>
    <t>MARCIA REIS</t>
  </si>
  <si>
    <t>MARCIA</t>
  </si>
  <si>
    <t>MARCIA RESEK</t>
  </si>
  <si>
    <t>MARCIA VEZZANI</t>
  </si>
  <si>
    <t>MARCILIO DA SILVA BARROS</t>
  </si>
  <si>
    <t>POUSADA MARCILIO</t>
  </si>
  <si>
    <t>MÁRCIO DE SOUSA NAGAHASHI ME</t>
  </si>
  <si>
    <t>ESPAÇO NAGAHASHI</t>
  </si>
  <si>
    <t>MARCIO LUIZ BERTOLDI</t>
  </si>
  <si>
    <t>MARCIO MORETI - ME</t>
  </si>
  <si>
    <t>CASCATA IN  MOTEL</t>
  </si>
  <si>
    <t>MARCIO ZILO</t>
  </si>
  <si>
    <t>MARCIO ZILO (TRIPLEX</t>
  </si>
  <si>
    <t>MARCO ANTONIO</t>
  </si>
  <si>
    <t>MARCO ANTONIO ZAPPAROLI BUIATTI 00986757020</t>
  </si>
  <si>
    <t>VILLA PICCOLA ITALIA</t>
  </si>
  <si>
    <t>MARCO RAMIRO CARDOSO DO AMARAL</t>
  </si>
  <si>
    <t>MARCO RAMIRO CARDOSO</t>
  </si>
  <si>
    <t>MARCOLINO CONSTRUCOES LTDA</t>
  </si>
  <si>
    <t>QUALITY SUITESJOAO P</t>
  </si>
  <si>
    <t>MARCONI DALBUQUERQUE BARBOSA CHAVES</t>
  </si>
  <si>
    <t>MARCONI DALBUQUERQUE</t>
  </si>
  <si>
    <t>MARCONI PEIXOTO</t>
  </si>
  <si>
    <t>Marcos Chaves Viana</t>
  </si>
  <si>
    <t>MARCOS KARLOVIC JÚNIOR</t>
  </si>
  <si>
    <t>MARCOS KARLOVIC JÚNI</t>
  </si>
  <si>
    <t>MARGARETH WAGNE</t>
  </si>
  <si>
    <t>MARGARIDA MARINHO</t>
  </si>
  <si>
    <t>MARGIT REGINA DE OLIVEIRA SOARES - DECORACOES - ME</t>
  </si>
  <si>
    <t>MARGIT SOARES DECORA</t>
  </si>
  <si>
    <t>MARIA</t>
  </si>
  <si>
    <t>Maria Amelia Bittar</t>
  </si>
  <si>
    <t>Maria Amelia De Deus Fialho Ramires</t>
  </si>
  <si>
    <t>Maria Amelia De Deus</t>
  </si>
  <si>
    <t>Maria Aparecida Bazsni</t>
  </si>
  <si>
    <t>Maria Aparecida Bazs</t>
  </si>
  <si>
    <t>MARIA APARECIDA DA SILVA</t>
  </si>
  <si>
    <t>MARIA APARECIDA DA S</t>
  </si>
  <si>
    <t>MARIA APARECIDA GORGULHO DA SILVEIRA</t>
  </si>
  <si>
    <t>MARIA APARECIDA GORG</t>
  </si>
  <si>
    <t>MARIA AUGUSTA VIEIRA HADDAD</t>
  </si>
  <si>
    <t>MARIA AUGUSTA VIEIRA</t>
  </si>
  <si>
    <t>MARIA BETÂNIA FIRME DE BARROS</t>
  </si>
  <si>
    <t>MARIA BETÂNIA FIRME</t>
  </si>
  <si>
    <t>MARIA BUSSADE DERMATOLOGIA LTDA</t>
  </si>
  <si>
    <t>CLINICA  BUSSADE SP</t>
  </si>
  <si>
    <t>MARIA BUSSADE</t>
  </si>
  <si>
    <t>MARIA CILENE TAMIRES DO NASCIMENTO 06044024490</t>
  </si>
  <si>
    <t>PITANGA AMARELA</t>
  </si>
  <si>
    <t>MARIA CLÁUDIA WIMME</t>
  </si>
  <si>
    <t>Maria Cristina Silva</t>
  </si>
  <si>
    <t>MARIA DAS NEVES BRAID</t>
  </si>
  <si>
    <t>MARIA DAS NEVES</t>
  </si>
  <si>
    <t>Maria De Fatima Nascimento Da Silva</t>
  </si>
  <si>
    <t>Maria De Fatima Nasc</t>
  </si>
  <si>
    <t>MARIA DE FATIMA REZENDE CASTRO ALVES &amp; CIA LTDA -</t>
  </si>
  <si>
    <t>MARIA FATIMA</t>
  </si>
  <si>
    <t>MARIA DE LOURDES FERNANDES DE PAIVA</t>
  </si>
  <si>
    <t>MARIA DE LOURDES FER</t>
  </si>
  <si>
    <t>MARIA EDUARDA COSTA MARQUES</t>
  </si>
  <si>
    <t>MARIA EDUARDA COSTA</t>
  </si>
  <si>
    <t>MARIA EDUARDA DE MELO BARDI</t>
  </si>
  <si>
    <t>MARIA EDUARDA DE MEL</t>
  </si>
  <si>
    <t>MARIA EDUARDA MOREIRA DE MEDEIROA</t>
  </si>
  <si>
    <t>MARIA EDUARDA MOREIR</t>
  </si>
  <si>
    <t>Maria fernanda Cartaxo Silva</t>
  </si>
  <si>
    <t>Maria fernanda Carta</t>
  </si>
  <si>
    <t>MARIA FLOR CONFECCAO DE UNIFORMES LTDA</t>
  </si>
  <si>
    <t>MARIA FLOR</t>
  </si>
  <si>
    <t>MARIA HELENA MEDEIROS DE ASSIS</t>
  </si>
  <si>
    <t>MARIA HELENA MEDEIRO</t>
  </si>
  <si>
    <t>Maria Isabel Mota Paiva</t>
  </si>
  <si>
    <t>Maria Isabel Mota Pa</t>
  </si>
  <si>
    <t>Maria Kozow</t>
  </si>
  <si>
    <t>MARIA LIMA SANTOS (CHALÉS SQUASH)</t>
  </si>
  <si>
    <t>MARIA LIMA SANTOS</t>
  </si>
  <si>
    <t>MARIA LUISA COSTA GUIMARAES POUSADA - ME</t>
  </si>
  <si>
    <t>CHEZ LOUISE</t>
  </si>
  <si>
    <t>MARIA LUIZA</t>
  </si>
  <si>
    <t>MARIA LUIZA GALVÃO</t>
  </si>
  <si>
    <t>MARIA LUIZA TOLEDO LEITE DA ROCHA</t>
  </si>
  <si>
    <t>MARIA LUIZA (VHOUSE)</t>
  </si>
  <si>
    <t>MARIA MARIA CAMA MESA BANHO E PRESENTES LTDA</t>
  </si>
  <si>
    <t>MARIA MARIA CAMA MES</t>
  </si>
  <si>
    <t>MARIA ODETE BOREMAN</t>
  </si>
  <si>
    <t>MARIA ODETE</t>
  </si>
  <si>
    <t>MARIA PAULA DE SOUZA MARTINS</t>
  </si>
  <si>
    <t>MARIA PAULA DE SOUZA</t>
  </si>
  <si>
    <t>MARIA RITA GOMES CLEMENTINO</t>
  </si>
  <si>
    <t>MARIA RITA GOMES CL</t>
  </si>
  <si>
    <t>MARIA TERESA COSTA</t>
  </si>
  <si>
    <t>MARIA TERESA ETRUSCO VIEIRA - ME</t>
  </si>
  <si>
    <t>CASA TURQUESA</t>
  </si>
  <si>
    <t>Maria Ulian Gomes</t>
  </si>
  <si>
    <t>MARIANA AURIEMO</t>
  </si>
  <si>
    <t>Mariana Azevedo Resende</t>
  </si>
  <si>
    <t>Mariana Azevedo Rese</t>
  </si>
  <si>
    <t>Mariana Branco Mattei</t>
  </si>
  <si>
    <t>Mariana Branco Matte</t>
  </si>
  <si>
    <t>MARIANA CAJADO</t>
  </si>
  <si>
    <t>MARIANA CARVALHO</t>
  </si>
  <si>
    <t>MARIANA DE VASCONCELLOS SIEMONE</t>
  </si>
  <si>
    <t>MARIANA DE VASCONCEL</t>
  </si>
  <si>
    <t>MARIANA DOTTO</t>
  </si>
  <si>
    <t>MARIANA GRIESBACH</t>
  </si>
  <si>
    <t>Mariana Magalhaes</t>
  </si>
  <si>
    <t>MARIANA MAIA</t>
  </si>
  <si>
    <t>MARIANA MARTINS DOS SANTOS</t>
  </si>
  <si>
    <t>MARIANA MARTINS DOS</t>
  </si>
  <si>
    <t>Mariana Martins Ramos Loureco</t>
  </si>
  <si>
    <t>Mariana Martins Ramo</t>
  </si>
  <si>
    <t>MARIANA MOHR LOLIS</t>
  </si>
  <si>
    <t>MARIANA OPPITZ</t>
  </si>
  <si>
    <t>Mariana Paulon</t>
  </si>
  <si>
    <t>MARIANA PEREIRA MUNDIM GARLIPP</t>
  </si>
  <si>
    <t>MARIANA PEREIRA MUND</t>
  </si>
  <si>
    <t>MARIANA PEZZUTO</t>
  </si>
  <si>
    <t>MARIANA PUCCINI MEDEIROS ENGELKE</t>
  </si>
  <si>
    <t>MARIANA PUCCINI</t>
  </si>
  <si>
    <t>MARIANA SILVA</t>
  </si>
  <si>
    <t>MARIANA TOZZI BERNARDINO DAVID GUARINI</t>
  </si>
  <si>
    <t>MARIANA TOZZI BERNAR</t>
  </si>
  <si>
    <t>MARIANA VITÓRIA DE LIMA</t>
  </si>
  <si>
    <t>MARIANA VITÓRIA DE L</t>
  </si>
  <si>
    <t>Mariane Nascimento</t>
  </si>
  <si>
    <t>MARIANNA BAUER MULLES</t>
  </si>
  <si>
    <t>MARIANNA BAUER MULLE</t>
  </si>
  <si>
    <t>MARIELA DEGAN</t>
  </si>
  <si>
    <t>Marilene Alves Costa Maciel</t>
  </si>
  <si>
    <t>Marilene Alves Costa</t>
  </si>
  <si>
    <t>MARILENE BALDI JACOB - ME</t>
  </si>
  <si>
    <t>MARILENE</t>
  </si>
  <si>
    <t>Marilene Do Amaral Pagliasse</t>
  </si>
  <si>
    <t>Marilene Do Amaral P</t>
  </si>
  <si>
    <t>Marilene Maria</t>
  </si>
  <si>
    <t>MARILEO ADMINISTRADORA DE BENS PROPRIOS LTDA - ME</t>
  </si>
  <si>
    <t>MARILEO ADM (VHOUSE)</t>
  </si>
  <si>
    <t>Marilia Cavalcante De Sousa</t>
  </si>
  <si>
    <t>Marilia Cavalcante D</t>
  </si>
  <si>
    <t>MARILIA CHAVES</t>
  </si>
  <si>
    <t>MARILIA FRANCO</t>
  </si>
  <si>
    <t>Marilia gabriela Oliveira Ferrer</t>
  </si>
  <si>
    <t>Marilia gabriela Oli</t>
  </si>
  <si>
    <t>MARÍLIA MILO</t>
  </si>
  <si>
    <t>MARINA ASCAR</t>
  </si>
  <si>
    <t>MARINA BORELLI</t>
  </si>
  <si>
    <t>MARINA CASADO</t>
  </si>
  <si>
    <t>MARINA CUNEO DE SOUZA 08130814919</t>
  </si>
  <si>
    <t>MCUNEO DESIGN DE INT</t>
  </si>
  <si>
    <t>MARINA FISCHER REITZFELD</t>
  </si>
  <si>
    <t>MARINA FISCHER REITZ</t>
  </si>
  <si>
    <t>Marina Gontijo</t>
  </si>
  <si>
    <t>MARINA GUIMARAES</t>
  </si>
  <si>
    <t>MARINA MENDS PASQUALOTTO</t>
  </si>
  <si>
    <t>MARINA MENDS PASQUAL</t>
  </si>
  <si>
    <t>MARINA NIEYAMA</t>
  </si>
  <si>
    <t>MARINA NOGUEIRA MN BEM-ESTAR LTDA</t>
  </si>
  <si>
    <t>MARINA NOGUEIRA MN B</t>
  </si>
  <si>
    <t>MARINA VLACIC MORAIS</t>
  </si>
  <si>
    <t>MARCIA VLACIC MORAIS</t>
  </si>
  <si>
    <t>MARINHO CAMPELO ENGENHARIA LTDA</t>
  </si>
  <si>
    <t>MARCA ENGENHARIA</t>
  </si>
  <si>
    <t>Marisa Cristina da Silva</t>
  </si>
  <si>
    <t>Marisa Cristina da S</t>
  </si>
  <si>
    <t>Marisa S O Ramos</t>
  </si>
  <si>
    <t>MARISTA S.A</t>
  </si>
  <si>
    <t>WTC BY ATLANTICA</t>
  </si>
  <si>
    <t>MARISTELA RODRIGUES - ME</t>
  </si>
  <si>
    <t>POUSADA CASA GIALLA</t>
  </si>
  <si>
    <t>MARJORYE SCHELLE MAGALHÃES</t>
  </si>
  <si>
    <t>MARJORYE  ( V HOUSE)</t>
  </si>
  <si>
    <t>MARK DOUMEN</t>
  </si>
  <si>
    <t>MARLENE MATTATIA - ME</t>
  </si>
  <si>
    <t>M. MATTATIA</t>
  </si>
  <si>
    <t>MARLI MARIA DOS SANTOS</t>
  </si>
  <si>
    <t>MARLI</t>
  </si>
  <si>
    <t>MARQUISE EMPREENDIMENTOS S/A</t>
  </si>
  <si>
    <t>GRAN MARQUISE</t>
  </si>
  <si>
    <t>MARTA</t>
  </si>
  <si>
    <t>MARTA ELIZANGELA HONORIO DE LIMA</t>
  </si>
  <si>
    <t>MARTA ELIZANGELA HON</t>
  </si>
  <si>
    <t>MARTA GUIMARAES</t>
  </si>
  <si>
    <t>MARTA PRADO</t>
  </si>
  <si>
    <t>MARTA RAMOS REZENDE DE CHANTAL</t>
  </si>
  <si>
    <t>MARTA RAMOS REZENDE</t>
  </si>
  <si>
    <t>Marta Viana Alvarino da Silva</t>
  </si>
  <si>
    <t>Marta Viana Alvarino</t>
  </si>
  <si>
    <t>MARTHA DAMASCENO DE CARVALHO - ME</t>
  </si>
  <si>
    <t>POUSADA TAJUPÁ</t>
  </si>
  <si>
    <t>MARTINS DESPACHOS E ASSESSORIA EM LOGISTICA LTDA</t>
  </si>
  <si>
    <t>MARTINS DESPACHOS</t>
  </si>
  <si>
    <t>MARTINS PANTALEAO COMERCIO DE MOVEIS E ROUPAS INFA</t>
  </si>
  <si>
    <t>MARTINS PANTALEAO CO</t>
  </si>
  <si>
    <t>MARTONIO ESTANISLAU DE AUMEIDA PINTO</t>
  </si>
  <si>
    <t>MARTONIO ( VHOUSE)</t>
  </si>
  <si>
    <t>MARVICS EMPREENDIMENTOS E PARTICIPACOES LTDA</t>
  </si>
  <si>
    <t>UNIQUE BARRA FUNDA</t>
  </si>
  <si>
    <t>Marx Gomes da Silva</t>
  </si>
  <si>
    <t>MARY KAY DO BRASIL LTDA</t>
  </si>
  <si>
    <t>MARY KAY</t>
  </si>
  <si>
    <t>MASB 43 SPE EMPREENDIMENTOS IMOBILIARIOS S.A.</t>
  </si>
  <si>
    <t>MASB 43 SPE EMPREEND</t>
  </si>
  <si>
    <t>MATERNIDADE DE CAMPINAS</t>
  </si>
  <si>
    <t>HOSPITAL MATERNIDADE</t>
  </si>
  <si>
    <t>MATHEUS GOMES AGUIAR REZENDE</t>
  </si>
  <si>
    <t>MATHEUS GOMES AGUIAR</t>
  </si>
  <si>
    <t>MATHEUS TERRES</t>
  </si>
  <si>
    <t>MATHEUS VIEIRA FERNANDES - ME</t>
  </si>
  <si>
    <t>KIBUTZ MOTEL</t>
  </si>
  <si>
    <t>MATTAR &amp; CIA LTDA - EPP</t>
  </si>
  <si>
    <t>MATTAR</t>
  </si>
  <si>
    <t>MAURA BERNAUER</t>
  </si>
  <si>
    <t>Maura Bourroul</t>
  </si>
  <si>
    <t>Mauricio Beckert</t>
  </si>
  <si>
    <t>MAURICIO THOMAZ ARQUITETURA LTDA</t>
  </si>
  <si>
    <t>MAURICIO THOMAZ ARQU</t>
  </si>
  <si>
    <t>MAURO GALVAO DE SOUSA</t>
  </si>
  <si>
    <t>MAURO GALVAO DE SOUS</t>
  </si>
  <si>
    <t>MAVI DO BRASIL EMPREENDIMENTOS IMOB EIRELI - EPP</t>
  </si>
  <si>
    <t>CASA ALMA ( UXUA)</t>
  </si>
  <si>
    <t>MAVSA RESORT CONVENTION SPA EIRELI</t>
  </si>
  <si>
    <t>MAVSA RESORT</t>
  </si>
  <si>
    <t>MAX CLEAN LAVANDERIA LTDA - EPP</t>
  </si>
  <si>
    <t>LAVANDERIA MAX CLEAN</t>
  </si>
  <si>
    <t>MAXIM´S SERVIÇOS DE HOTELARIA EIRELI</t>
  </si>
  <si>
    <t>REDE VIP MOTEL</t>
  </si>
  <si>
    <t>MAYANA NERY DE OLIVEIRA MENDES S SALLES</t>
  </si>
  <si>
    <t>MAYANA NERY - TUCA</t>
  </si>
  <si>
    <t>Mayara Soares Da Rosa</t>
  </si>
  <si>
    <t>Mayara Soares Da Ros</t>
  </si>
  <si>
    <t xml:space="preserve">MAYRA CHINELLATO
</t>
  </si>
  <si>
    <t>MAZOMBOS HOTEIS E TURISMO LTDA</t>
  </si>
  <si>
    <t>BANGALOS GAMELEIRO</t>
  </si>
  <si>
    <t>MAZZAROPI HOTEIS E SERVICOS LT</t>
  </si>
  <si>
    <t>MAZZAROPI HOTEIS E S</t>
  </si>
  <si>
    <t>MB LOBO HOSPEDAGEM LTDA</t>
  </si>
  <si>
    <t>LOBO URBAN STAV</t>
  </si>
  <si>
    <t>MCS PARTICIPACOES LTDA.</t>
  </si>
  <si>
    <t>MCS PARTICIPACOES LT</t>
  </si>
  <si>
    <t>MD POUSADA TERRAMARE GUAPE MG EIRELI</t>
  </si>
  <si>
    <t>POUSADA TERRAMARE</t>
  </si>
  <si>
    <t>MECENAS BAR &amp; ARTE EIRELI
CASA DE FRANCISCA</t>
  </si>
  <si>
    <t>MECENAS BAR &amp; ARTE</t>
  </si>
  <si>
    <t>MEDICINA RMF SERVIÇOS MEDICOS LTDA</t>
  </si>
  <si>
    <t>CLINICA AILLE</t>
  </si>
  <si>
    <t>MEG ADMINISTRACAO DE BENS E CONSULTORIA LTDA - ME</t>
  </si>
  <si>
    <t>MEG ADMIN (V HOUSE)</t>
  </si>
  <si>
    <t>MEG ENXOVAIS EIRELI - EPP</t>
  </si>
  <si>
    <t>MEG</t>
  </si>
  <si>
    <t>MEGALAV INDUSTRIA COMERCIO E SERVICOS DE BENEFICIA</t>
  </si>
  <si>
    <t>MEGALAV</t>
  </si>
  <si>
    <t>MEIOMAR SOCIEDADE COMERCIAL LTDA</t>
  </si>
  <si>
    <t>POUSADA FILO</t>
  </si>
  <si>
    <t>MEIRA LINS HOTEIS LTDA</t>
  </si>
  <si>
    <t>NANNAI RESORT &amp; SPA</t>
  </si>
  <si>
    <t>MEIRELLES SCHOUTEN &amp; CIA. LTDA - ME</t>
  </si>
  <si>
    <t>RESTAURANTE NO CAMIN</t>
  </si>
  <si>
    <t>MEL E LIMAO CONFECCOES LTDA - ME</t>
  </si>
  <si>
    <t>MEL E LIMAO</t>
  </si>
  <si>
    <t>MELIA BRASIL ADMINIST HOTELEIRA E COMERCIAL LTDA</t>
  </si>
  <si>
    <t>MELIA BRASIL 21</t>
  </si>
  <si>
    <t>MELIA BRASIL ADMINISTRAÇÃO HOTELARIA E COMERCIAL</t>
  </si>
  <si>
    <t>MELIA BRASIL ADMINISTRACAO HOTELEIRA E COMERCIAL L</t>
  </si>
  <si>
    <t>BY MELIÁ TATUAPE</t>
  </si>
  <si>
    <t>MELIÁ INNSIDE ITAIM</t>
  </si>
  <si>
    <t>TRYP NAÇÕES UNIDAS</t>
  </si>
  <si>
    <t>MELIA INNSIDE JK</t>
  </si>
  <si>
    <t>TRYP PAULISTA</t>
  </si>
  <si>
    <t>MELIA PAULISTA</t>
  </si>
  <si>
    <t>MELIÁ HIGIENÓPOLIS</t>
  </si>
  <si>
    <t>MELIÁ CAMPINAS</t>
  </si>
  <si>
    <t>TRYP ITAIM</t>
  </si>
  <si>
    <t>MELIA IBIRAPUERA</t>
  </si>
  <si>
    <t>MELIA JD EUROPA</t>
  </si>
  <si>
    <t>MELIA CORPORATIVO</t>
  </si>
  <si>
    <t>TRYP BERRINI</t>
  </si>
  <si>
    <t>MELIA BRASILIA ADMINISTRAÇÃO HOTELARIA E COMERCIAL</t>
  </si>
  <si>
    <t>MELIA BRASILIA</t>
  </si>
  <si>
    <t>melina</t>
  </si>
  <si>
    <t>MELINA TOFFANELLO</t>
  </si>
  <si>
    <t>MELNICK EVEN CASTANHEIRA EMPREEND. IMOB. SPE LTDA</t>
  </si>
  <si>
    <t>PONTAL</t>
  </si>
  <si>
    <t>MELNICK EVEN PINHEIRO EMPREENDIMENTO IMOBILIARIO S</t>
  </si>
  <si>
    <t>DR TIMOTEO</t>
  </si>
  <si>
    <t>MELONGENA PARTICIPACOES LTDA</t>
  </si>
  <si>
    <t>MELONGENA PARTICIPAC</t>
  </si>
  <si>
    <t>TULIP INN SANTA FELI</t>
  </si>
  <si>
    <t>MEMORIAL STAR S/A</t>
  </si>
  <si>
    <t>MENEZES SERVICOS ADMINISTRATIVOS LTDA</t>
  </si>
  <si>
    <t>MERAK EMPREENDIMENTOS E PARTICIPACOES LTDA.</t>
  </si>
  <si>
    <t>TULIP INN COPACABANA</t>
  </si>
  <si>
    <t>MERANO SPA URBANO LTDA</t>
  </si>
  <si>
    <t>MERANO SPA URBANO</t>
  </si>
  <si>
    <t>MERCEDES</t>
  </si>
  <si>
    <t>MERCURE HOTEL GOLDEN</t>
  </si>
  <si>
    <t>HOTELARIA ACCOR BRAS</t>
  </si>
  <si>
    <t>MERF PARTICIPACOES LTDA.</t>
  </si>
  <si>
    <t>MERF PAR</t>
  </si>
  <si>
    <t>MF ANGRA EMPREENDIMENTOS IMOBILIÁRIOS</t>
  </si>
  <si>
    <t>HOTEL DO BOSQUE ANGR</t>
  </si>
  <si>
    <t>MGC PARTICIPACOES LTDA</t>
  </si>
  <si>
    <t>MGC PARTICIPACOES</t>
  </si>
  <si>
    <t>MGM SERVIÇÕS DE BELEZA LTDA - ME</t>
  </si>
  <si>
    <t>ZENA SPA -RITZ LAGOA</t>
  </si>
  <si>
    <t>MH BRASILIA ADMINISTRADORA DE EMPREENDIMENTOS LTDA</t>
  </si>
  <si>
    <t>LET´S IDEA BRASILIA</t>
  </si>
  <si>
    <t>MH INN EMPREENDIMENTOS IMOBILIARIOS SPE LTDA.</t>
  </si>
  <si>
    <t>SLEEP INN JACAREÍ</t>
  </si>
  <si>
    <t>MH INN JACAREI</t>
  </si>
  <si>
    <t>Michael Almeida</t>
  </si>
  <si>
    <t>Michaele chiodini</t>
  </si>
  <si>
    <t>MICHELE ALMODI FERREIRA</t>
  </si>
  <si>
    <t>MICHELE ALMODI FERRE</t>
  </si>
  <si>
    <t>Michele Martinhago</t>
  </si>
  <si>
    <t>MICHELLE GODINHO DA SILVA</t>
  </si>
  <si>
    <t>MICHELLE GODINHO DA</t>
  </si>
  <si>
    <t>MICHELLE XAVIER</t>
  </si>
  <si>
    <t>SORELLE PRESENTES</t>
  </si>
  <si>
    <t>Miguel Angelo Barbosa</t>
  </si>
  <si>
    <t>Miguel Angelo Barbos</t>
  </si>
  <si>
    <t>Miguel Calmon</t>
  </si>
  <si>
    <t>MIKI HIROSHE ASSESSORIA - ME</t>
  </si>
  <si>
    <t>HLOFT</t>
  </si>
  <si>
    <t>MILENA BATTALHINI</t>
  </si>
  <si>
    <t>Milena carvalho</t>
  </si>
  <si>
    <t>Milena Fonseca</t>
  </si>
  <si>
    <t>Milena Reis de Oliveira</t>
  </si>
  <si>
    <t>Milena Reis de Olive</t>
  </si>
  <si>
    <t>MILENA SORDI</t>
  </si>
  <si>
    <t>MILFRIOS DISTRIBUIDORA DE PRODUTOS ALIMENTICIOS LT</t>
  </si>
  <si>
    <t>MILFRIOS</t>
  </si>
  <si>
    <t>MIMI MAMA LTDA</t>
  </si>
  <si>
    <t>MIMI MAMA</t>
  </si>
  <si>
    <t>MIMOO TOYS AND DOLLS LTDA</t>
  </si>
  <si>
    <t>MIMOO TOYS´N DOLLS</t>
  </si>
  <si>
    <t>MINAS LIDER HOTEL LTDA-ME</t>
  </si>
  <si>
    <t>HOTEL STOP INN</t>
  </si>
  <si>
    <t>MIO SPA URBANO LTDA ME</t>
  </si>
  <si>
    <t>MIO SPA</t>
  </si>
  <si>
    <t>MIRAGE HOSPEDAGEM LTDA - ME</t>
  </si>
  <si>
    <t>MIRAGE HOTEL</t>
  </si>
  <si>
    <t>MIRIAN CARDOSO RODRIGUES ECHENIQUE</t>
  </si>
  <si>
    <t>MIRIAN CARDOSO RODRI</t>
  </si>
  <si>
    <t>MISAEL MOREIRA BARBOSA</t>
  </si>
  <si>
    <t>MISAEL</t>
  </si>
  <si>
    <t>Mislene Rocha</t>
  </si>
  <si>
    <t>Mitalli Mayumi Neves Sato</t>
  </si>
  <si>
    <t>Mitalli Mayumi Neves</t>
  </si>
  <si>
    <t>MIX LAVANDERIA INDUSTRIAL LTDA</t>
  </si>
  <si>
    <t>MIX LAVANDERIA</t>
  </si>
  <si>
    <t>MIXX DIGITAL - SERVICOS DE INFORMACAO NA INTERNET</t>
  </si>
  <si>
    <t>MIXX DIGITAL</t>
  </si>
  <si>
    <t>MKZ EMPRESA HOTELEIRA LTDA</t>
  </si>
  <si>
    <t>HOTEL GUARANY</t>
  </si>
  <si>
    <t>ML OPERADORES DE TURISMO LTDA</t>
  </si>
  <si>
    <t>NANNAI NORONHA</t>
  </si>
  <si>
    <t>MLM TURISMO LTDA - ME</t>
  </si>
  <si>
    <t>POUSADA NANAI</t>
  </si>
  <si>
    <t>MMQ PARTICIPACOES LTDA</t>
  </si>
  <si>
    <t>MMQ PARTICIPACOES LT</t>
  </si>
  <si>
    <t>Moema Matos Carvalho</t>
  </si>
  <si>
    <t>MONDRIAN SUITE HOTEL LTDA - ME</t>
  </si>
  <si>
    <t>MONDRIAN</t>
  </si>
  <si>
    <t>MONICA ANNUNZIATA</t>
  </si>
  <si>
    <t>MÔNICA BANDEIRA DE MELO</t>
  </si>
  <si>
    <t>MÔNICA BANDEIRA DE M</t>
  </si>
  <si>
    <t>Monica Laurenti</t>
  </si>
  <si>
    <t>MONICA MAGALHAES PEGADO - ME</t>
  </si>
  <si>
    <t>MONICA SIMOES</t>
  </si>
  <si>
    <t>MONICA PIRES</t>
  </si>
  <si>
    <t>MONICA TUKIAMA</t>
  </si>
  <si>
    <t>Monique Carvalho</t>
  </si>
  <si>
    <t>Monique De Oliveira Rodrigues</t>
  </si>
  <si>
    <t>Monique De Oliveira</t>
  </si>
  <si>
    <t>MONOO &amp; PEREIRA LTDA - ME</t>
  </si>
  <si>
    <t>MONOO &amp; PEREIRA LTDA</t>
  </si>
  <si>
    <t>MONTE HILAIRE EMPREENDIMENTOS HOTELEIROS S.A.</t>
  </si>
  <si>
    <t>HOTEL CANOPY JARDINS</t>
  </si>
  <si>
    <t>MONTE PASCOAL PRAIA HOTEL LTDA</t>
  </si>
  <si>
    <t>MONTE PASCOAL PRAIA</t>
  </si>
  <si>
    <t>Morgana Cardoso de Oliveira</t>
  </si>
  <si>
    <t>Morgana Cardoso de O</t>
  </si>
  <si>
    <t>MORGANA SUCOLOTTI PANOSSO</t>
  </si>
  <si>
    <t>MORGANA SUCOLOTTI PA</t>
  </si>
  <si>
    <t>MORUMBY HOTEIS LTDA</t>
  </si>
  <si>
    <t>HYATT SAO PAULO</t>
  </si>
  <si>
    <t>MOTEL ARVOREDO LTDA</t>
  </si>
  <si>
    <t>MOTEL STILO</t>
  </si>
  <si>
    <t>MOTEL BR 376 LTDA - ME</t>
  </si>
  <si>
    <t>MOTEL SEQUE SABE.</t>
  </si>
  <si>
    <t>MOTEL CHAVELLE LTDA</t>
  </si>
  <si>
    <t>MOTEL CHAVELLE</t>
  </si>
  <si>
    <t>MOTEL VENEZA DE FRANCA LTDA - ME</t>
  </si>
  <si>
    <t>MOTEL VENEZA</t>
  </si>
  <si>
    <t>MOTEL VOLARE LTDA</t>
  </si>
  <si>
    <t>MOTEL VOLARE</t>
  </si>
  <si>
    <t>MOVEIS NOVA SANTA RITA LTDA</t>
  </si>
  <si>
    <t>MOVEIS NOVA SANTA RI</t>
  </si>
  <si>
    <t>MP HOTELARIA REPRESENTACOES LTDA - ME</t>
  </si>
  <si>
    <t>MP HOTELARIA</t>
  </si>
  <si>
    <t>MPC LTDA (DUE)</t>
  </si>
  <si>
    <t>MPD INVESTIMENTOS IMOBILIARIOS LTDA.</t>
  </si>
  <si>
    <t>GOK</t>
  </si>
  <si>
    <t>MPX CONSTRUCOES, HOTELARIA, EMPREENDIMENTOS IMOBIL</t>
  </si>
  <si>
    <t>MPX CONSTRUCOES, HOT</t>
  </si>
  <si>
    <t>MR POUSADA E BISTRÔ LTDA ME</t>
  </si>
  <si>
    <t>POUSADA VILA CARMEL</t>
  </si>
  <si>
    <t>MRIOS CLINICA MEDICA</t>
  </si>
  <si>
    <t>MRL HOTEIS UBATUBA EIRELI - ME</t>
  </si>
  <si>
    <t>MRL HOTEIS</t>
  </si>
  <si>
    <t>MSC CONSULTORIA EMPRESARIAL</t>
  </si>
  <si>
    <t>MSC</t>
  </si>
  <si>
    <t>MSV BRASIL EMPREENDIMENTOS E TURISMO LTDA</t>
  </si>
  <si>
    <t>POUSADA KUARASY</t>
  </si>
  <si>
    <t>MT MIL CONSULTORIA LTDA</t>
  </si>
  <si>
    <t>TATIANA ZIOLLI</t>
  </si>
  <si>
    <t>MUCUGE VILLAGE RESORT HOTEL S/A</t>
  </si>
  <si>
    <t>MUCUGE PARTICIPACOES</t>
  </si>
  <si>
    <t>KUARA HOTEL</t>
  </si>
  <si>
    <t>MULTLAZER POUSADA LTDA</t>
  </si>
  <si>
    <t>THERMAS DA MATA HCC</t>
  </si>
  <si>
    <t>MUNDO DO ENXOVAL EIRELI</t>
  </si>
  <si>
    <t>FERNANDO</t>
  </si>
  <si>
    <t>MUNICIPIO DE FRANCISCO SA</t>
  </si>
  <si>
    <t>HOSP FRANCISC DE SÁ</t>
  </si>
  <si>
    <t>MUNUS SERVICOS ESPECIALIZADOS LTDA.</t>
  </si>
  <si>
    <t>SOTERO HOTEL</t>
  </si>
  <si>
    <t>MV HOTELARIA LTDA</t>
  </si>
  <si>
    <t>HOTEL GREEN VILLAGE</t>
  </si>
  <si>
    <t>MVC HOTEIS E TURISMO LTDA</t>
  </si>
  <si>
    <t>CASA DE SANT ANTONIO</t>
  </si>
  <si>
    <t>MVC PARNAIBA - HOTEIS LTDA</t>
  </si>
  <si>
    <t>HOTEL DE CHARME</t>
  </si>
  <si>
    <t>MY BLEND COMERCIO E REPRESENTACAO LIMITADA</t>
  </si>
  <si>
    <t>MY BLEND</t>
  </si>
  <si>
    <t>MYLENE SAGAS</t>
  </si>
  <si>
    <t>MYLLA OKUHARA</t>
  </si>
  <si>
    <t>N. P. EMPREENDIMENTOS LTDA</t>
  </si>
  <si>
    <t>FAZENDA CAPOAVA</t>
  </si>
  <si>
    <t>NABOA PRODUÇÕES LTDA</t>
  </si>
  <si>
    <t>NABOA</t>
  </si>
  <si>
    <t>NACAMU POUSADA EIRELI - EPP</t>
  </si>
  <si>
    <t>NACAMU POUSADA EIREL</t>
  </si>
  <si>
    <t>NACARAPINA HOSPEDAGEM LTDA</t>
  </si>
  <si>
    <t>NACARAPINA</t>
  </si>
  <si>
    <t>Nadia Gisella Afonso</t>
  </si>
  <si>
    <t>NADIA L. GUIMARAES - MOVEIS - EPP</t>
  </si>
  <si>
    <t>LA POLTRONA</t>
  </si>
  <si>
    <t>NADIN ALI JEBAHI</t>
  </si>
  <si>
    <t>NADJA INFLUENCER</t>
  </si>
  <si>
    <t>NAIARA BATISTA</t>
  </si>
  <si>
    <t>NAIARA MENDES BIANCHETTI NORONHA</t>
  </si>
  <si>
    <t>NAIARA MENDES BIANCH</t>
  </si>
  <si>
    <t>NAILLA DEL NERO</t>
  </si>
  <si>
    <t>NATALIA DEL NERO</t>
  </si>
  <si>
    <t>Naira Jatoba Xavier</t>
  </si>
  <si>
    <t>NARA GIANINI VICTORIA</t>
  </si>
  <si>
    <t>NARA GIANINI VICTORI</t>
  </si>
  <si>
    <t>Nariman Handouss</t>
  </si>
  <si>
    <t>NASPOLINI EMPREENDIMENTOS E PARTICIPACOES LTDA</t>
  </si>
  <si>
    <t>HOTEL NASPOLINI</t>
  </si>
  <si>
    <t>natalia</t>
  </si>
  <si>
    <t>Natalia Baraldi Cogo</t>
  </si>
  <si>
    <t>NATALIA CHAMUSCA</t>
  </si>
  <si>
    <t>NATALIA DE CASTRO MANGEON</t>
  </si>
  <si>
    <t>NATALIA DE CASTRO MA</t>
  </si>
  <si>
    <t>NATALIA FRANZ DA COSTA DIAS</t>
  </si>
  <si>
    <t>NATALIA FRANZ DA COS</t>
  </si>
  <si>
    <t>NATÁLIA GUIMARÃES FERREIRA</t>
  </si>
  <si>
    <t>NATÁLIA GUIMARÃES FE</t>
  </si>
  <si>
    <t>NATALIA MAIA FENELON BARSALOBRE EIRELI</t>
  </si>
  <si>
    <t>LOJAS CINCO MARIAS</t>
  </si>
  <si>
    <t>NATALIA QUINTAL DE ARAÚJO</t>
  </si>
  <si>
    <t>NATALIA QUINTAL DE A</t>
  </si>
  <si>
    <t>Natalia Roncalli</t>
  </si>
  <si>
    <t>Natalia Santarem Francisco</t>
  </si>
  <si>
    <t>Natalia Santarem Fra</t>
  </si>
  <si>
    <t>NATALIA SILVEIRA</t>
  </si>
  <si>
    <t>Natalia Vartuli</t>
  </si>
  <si>
    <t>Natalina Jesus De Lima</t>
  </si>
  <si>
    <t>Natalina Jesus De Li</t>
  </si>
  <si>
    <t>NATHALIA CAETANO LOBO</t>
  </si>
  <si>
    <t>NATHALIA CAETANO</t>
  </si>
  <si>
    <t>Nathalia Custodio Legramandi</t>
  </si>
  <si>
    <t>Nathalia Custodio Le</t>
  </si>
  <si>
    <t>Nathalia Lucia Martins Da Silva</t>
  </si>
  <si>
    <t>Nathalia Lucia Marti</t>
  </si>
  <si>
    <t>NATHALIA LUZIA DE SOUSA SILVA CORREA</t>
  </si>
  <si>
    <t>NATHALIA LUZIA DE SO</t>
  </si>
  <si>
    <t>Nathalie Helena Piccioli da Silva</t>
  </si>
  <si>
    <t>Nathalie Helena Picc</t>
  </si>
  <si>
    <t>NATHASCHA K P STRASS POUSADA LTDA</t>
  </si>
  <si>
    <t>DOM HOTEL BOUTIQUE</t>
  </si>
  <si>
    <t>NAVES BORGES NEGOCIOS IMOBILIARIOS LTDA - ME</t>
  </si>
  <si>
    <t>NAVES BORGES (VHOUSE</t>
  </si>
  <si>
    <t>Nayana Nascimento Da Pureza</t>
  </si>
  <si>
    <t>Nayana Nascimento Da</t>
  </si>
  <si>
    <t>NAYARA A.G.DIAS ME</t>
  </si>
  <si>
    <t>CONDESSA</t>
  </si>
  <si>
    <t>Nayara Santos Ribeiro</t>
  </si>
  <si>
    <t>Nayara Santos Ribeir</t>
  </si>
  <si>
    <t>NAZARE - UNIVERSIDADE DA LUZ</t>
  </si>
  <si>
    <t>NAZARE UNIV. UNILUZ</t>
  </si>
  <si>
    <t>NEERAJ DUGGAL</t>
  </si>
  <si>
    <t>NEERAJ</t>
  </si>
  <si>
    <t>Nelson Fernandes</t>
  </si>
  <si>
    <t>Nepsi</t>
  </si>
  <si>
    <t>Nerci Ciarlini</t>
  </si>
  <si>
    <t>NESTING DO BRASIL PARTICIPAÇÕES LTDA</t>
  </si>
  <si>
    <t>NESTING DO BRASIL</t>
  </si>
  <si>
    <t>Nicolli Silva</t>
  </si>
  <si>
    <t>Nikki</t>
  </si>
  <si>
    <t>Nilcemar de Oliveira Guimaraes</t>
  </si>
  <si>
    <t>Nilcemar de Oliveira</t>
  </si>
  <si>
    <t>NILO SIGNORINI JUNIOR</t>
  </si>
  <si>
    <t>NILO SIGNORINI (VHOU</t>
  </si>
  <si>
    <t>NILSA ELIANA DE SOUZA - ME</t>
  </si>
  <si>
    <t>NILSA ELIANA DE SOUZ</t>
  </si>
  <si>
    <t>NILZETE HENRIQUE PEREIRA</t>
  </si>
  <si>
    <t>FORMA ITAIM</t>
  </si>
  <si>
    <t>NINA MATERNA ASSESSORIA MATERNID</t>
  </si>
  <si>
    <t>NINA MATERNA</t>
  </si>
  <si>
    <t>NINHO OBJETOS UNICOS E KIDS LTDA</t>
  </si>
  <si>
    <t>NINHO KIDS DESIGN</t>
  </si>
  <si>
    <t>NINOU POR MON PETIT COMERCIO DE ROUPAS INFANTIS LT</t>
  </si>
  <si>
    <t>NINOU POR MON PETIT</t>
  </si>
  <si>
    <t>NIPOLAV LAVANDERIA LTDA</t>
  </si>
  <si>
    <t>BUDHA SPA</t>
  </si>
  <si>
    <t>nise firmo</t>
  </si>
  <si>
    <t>NITA PALACE HOTEL LTDA - ME</t>
  </si>
  <si>
    <t>NITA PALACE</t>
  </si>
  <si>
    <t>NOBILE GESTÃO DE EMP.LTDA-SCP</t>
  </si>
  <si>
    <t>WYNDHAM GOLDEN FOZ</t>
  </si>
  <si>
    <t>NOBILE GESTAO DE EMPREENDIMENTOS LTDA</t>
  </si>
  <si>
    <t>NOBILE SUITES CONGON</t>
  </si>
  <si>
    <t>NOBILE SUITES RECIFE</t>
  </si>
  <si>
    <t>NOBILE GESTAO DE EMPREENDIMENTOS SCP 001 LTDA</t>
  </si>
  <si>
    <t>WYNDHAM BERRINI SAO</t>
  </si>
  <si>
    <t>Noemi De Souza Guimaraes</t>
  </si>
  <si>
    <t>Noemi De Souza Guima</t>
  </si>
  <si>
    <t>Noemi Ester da Silva</t>
  </si>
  <si>
    <t>NORDE SERVIÇOS DE ESCRITORIO LTDA</t>
  </si>
  <si>
    <t>NORDE SERVIÇOS</t>
  </si>
  <si>
    <t>NORMANDY HOTEL LTDA</t>
  </si>
  <si>
    <t>NORMANDY HOTEL</t>
  </si>
  <si>
    <t>NORTE BUSINESS HOTELARIA E TURISMO EIRELI - EPP</t>
  </si>
  <si>
    <t>GRAN LUMNI HOTEL</t>
  </si>
  <si>
    <t>NOSSA CASA COM. DE UTILIDADES E DECORAÇÕES LTDA</t>
  </si>
  <si>
    <t>NOSSA CASA</t>
  </si>
  <si>
    <t>NOSTRO BEEF ALIMENTOS IMPORTAÇÃO E EXPORTAÇÃO EIRE</t>
  </si>
  <si>
    <t>NOSTRO BEEF ALIMENTO</t>
  </si>
  <si>
    <t>NOUMI EMPREENDIMENTOS HOTELEIROS LTDA - EPP</t>
  </si>
  <si>
    <t>NOUMI EMPREENDIMENTO</t>
  </si>
  <si>
    <t>NOVA EMPREENDIMENTOS HOTELEIROS LTDA</t>
  </si>
  <si>
    <t>MERCURE MACEIÓ</t>
  </si>
  <si>
    <t>NOVA RIOTEL EMPREENDIMENTOS HOTELEIROS LTDA</t>
  </si>
  <si>
    <t>FAIRMONT RIO DE JANE</t>
  </si>
  <si>
    <t>NOVA SOLUCAO CONFECCOES LTDA - ME</t>
  </si>
  <si>
    <t>NOVA SOLUCAO CONFECC</t>
  </si>
  <si>
    <t>NOVA TH EMPREENDIMENTOS E INCORPORAÇÃO LTDA</t>
  </si>
  <si>
    <t>FASANO CLUB</t>
  </si>
  <si>
    <t>NOVAES CUNHA EMPREENDIMENTOS TURISTICOS LTDA</t>
  </si>
  <si>
    <t>NOVOTELL RECIFE</t>
  </si>
  <si>
    <t>NUCLEO - APRENDIZAGEM E DESENVOLVIMENTO LTDA - ME</t>
  </si>
  <si>
    <t>NUCLEO</t>
  </si>
  <si>
    <t>Nueide</t>
  </si>
  <si>
    <t>NUNUI COMERCIO LTDA</t>
  </si>
  <si>
    <t>NUNUI BOUTIQUE</t>
  </si>
  <si>
    <t>NUOVO BETTI HOTEIS LTDA</t>
  </si>
  <si>
    <t>VILLA BEBEK HOTEL</t>
  </si>
  <si>
    <t>NURIA FERNADA SANTIAGO COTTET</t>
  </si>
  <si>
    <t>NURIA FERNADA SANTIA</t>
  </si>
  <si>
    <t>NYSSIO FERREIRA LUZ</t>
  </si>
  <si>
    <t>O BROTO DE FLOR COMERCIO DE DESCARTAVEIS LTDA.</t>
  </si>
  <si>
    <t>O BROTO DE FLOR COME</t>
  </si>
  <si>
    <t>O CACAU EVENTOS LTDA</t>
  </si>
  <si>
    <t>CACAU EVENTOS LTDA</t>
  </si>
  <si>
    <t>O. M. SUITES LTDA</t>
  </si>
  <si>
    <t>UNIQUE MOTEL</t>
  </si>
  <si>
    <t>OASIS PLAZA HOTEL LTDA - ME</t>
  </si>
  <si>
    <t>OASIS PLAZA HOTEL LT</t>
  </si>
  <si>
    <t>OBRA PRONTA ENGENHEIROS ASSOCIADOS S/S</t>
  </si>
  <si>
    <t>OBRA PRONTA ENGENHEI</t>
  </si>
  <si>
    <t>OBRAS SOCIAIS UNIVERSITARIAS E CULTURAIS</t>
  </si>
  <si>
    <t>OBRAS SOCIAIS UNIVER</t>
  </si>
  <si>
    <t>OBSERVA CLINICA OFTALMOLOGICA LTDA</t>
  </si>
  <si>
    <t>FAZENDA CACHOEIRA BO</t>
  </si>
  <si>
    <t>ODEBRECHT REALIZACOES SP 16 - EMPREENDIMENTO IMOBI</t>
  </si>
  <si>
    <t>OFICIO ZEN CENTRO DE ESTETICA LTDA</t>
  </si>
  <si>
    <t>OFICIO ZEN</t>
  </si>
  <si>
    <t>OGP ALOJAMENTOS SAMBAQUIS LTDA</t>
  </si>
  <si>
    <t>ALOJAMENTOS SAMBAQUI</t>
  </si>
  <si>
    <t>OIA COMERCIO E REPRESENTAÇÕES EIRELI-EPP</t>
  </si>
  <si>
    <t>LB HOME</t>
  </si>
  <si>
    <t>OLIMPIA DA CONCEICAO PAIS DA COSTA - ME</t>
  </si>
  <si>
    <t>OLIMPIA</t>
  </si>
  <si>
    <t>OLINTO RODRIGUES DE ARRUDA E OUTRO</t>
  </si>
  <si>
    <t>FAZENDA LIMOEIRO</t>
  </si>
  <si>
    <t>OLIVEIRA &amp; OLIVEIRA COMERCIO INFANTIL LTDA.</t>
  </si>
  <si>
    <t>TUNIKINHA BABY</t>
  </si>
  <si>
    <t>OLIVEIRA E MEDEIROS LTDA</t>
  </si>
  <si>
    <t>OLIVEIRA E MEDEIROS</t>
  </si>
  <si>
    <t>OLIVIA PAGANINI</t>
  </si>
  <si>
    <t>ONCO STAR SP ONCOLOGIA LTDA (REDE D´OR)</t>
  </si>
  <si>
    <t>R DOR VILA NOVA STAR</t>
  </si>
  <si>
    <t>ONGF.ORGANIZACAO NAO GOVERNAMENTAL FUTURONG - ACAO</t>
  </si>
  <si>
    <t>FUTURONG</t>
  </si>
  <si>
    <t>OPCAO - INVESTIMENTOS LTDA</t>
  </si>
  <si>
    <t>OPCAO - INVESTIMENTO</t>
  </si>
  <si>
    <t>OPERADORA HOTELEIRA VILLA ROSSA LTDA</t>
  </si>
  <si>
    <t>VILLA ROSSA</t>
  </si>
  <si>
    <t>OPPORTUNITY FUNDO DE INVESTIMENTO IMOBILIARIO</t>
  </si>
  <si>
    <t>ARETÊ</t>
  </si>
  <si>
    <t>OPPORTUNITY METRICA LTDA</t>
  </si>
  <si>
    <t>OPPORTUNITY METRICA</t>
  </si>
  <si>
    <t>ORDER&amp;DESIGN COMERCIO E SERVICOS DE ORGANIZACAO DE</t>
  </si>
  <si>
    <t>ORDER &amp; DESIGN</t>
  </si>
  <si>
    <t>ORGANIZACAO DO DIVINO SALVADOR</t>
  </si>
  <si>
    <t>RADISSON IBIRAPUERA</t>
  </si>
  <si>
    <t>ORGANIZACOES M MENDES HOTEIS LTDA</t>
  </si>
  <si>
    <t>SUNTORY BUSINESS</t>
  </si>
  <si>
    <t>ORGBRISTOL ORGANIZACOES BRISTOL LTDA</t>
  </si>
  <si>
    <t>REDE BRISTOL DE HOTE</t>
  </si>
  <si>
    <t>ORICANA POUSADA E RESTAURANTE LTDA - ME</t>
  </si>
  <si>
    <t>POUSADA BARRA DO BIE</t>
  </si>
  <si>
    <t>ORLA EMPREENDIMENTOS TURISTICOS LTDA - EPP</t>
  </si>
  <si>
    <t>MOTEL GIRO D´AGUA</t>
  </si>
  <si>
    <t>ORLA RIO CONCESSIONARIA LTDA.</t>
  </si>
  <si>
    <t>ORLA RIO CONCESSIONA</t>
  </si>
  <si>
    <t>ORPEXPLOIT BRASIL RESI. E CLINICAS PARA IDOSOS LTD</t>
  </si>
  <si>
    <t>ORPEXPLOIT</t>
  </si>
  <si>
    <t>ORTOMED MEDICINA ESP EM ORTOPEDIA REUMAT E TRAUMAT</t>
  </si>
  <si>
    <t>ORTOMED MEDICINA</t>
  </si>
  <si>
    <t>ORX EMPREENDIMENTOS LIMITADA</t>
  </si>
  <si>
    <t>LAKE VILAS</t>
  </si>
  <si>
    <t>OSDE EMPREENDIMENTOS TURISTICOS EIRELI</t>
  </si>
  <si>
    <t>OSMAR MARTINS</t>
  </si>
  <si>
    <t>OSTUNI ADMINISTRAÇÃO HOTELARIA LTDA</t>
  </si>
  <si>
    <t>FASANO ITAIM</t>
  </si>
  <si>
    <t>OTB INDUSTRIA E COMERCIO DE COMPONENTES E TECNOLOG</t>
  </si>
  <si>
    <t>OTB INVISIBLE PEN</t>
  </si>
  <si>
    <t>OTELI ASSESSORIA E CONSULTORIA LTDA</t>
  </si>
  <si>
    <t>OTELI</t>
  </si>
  <si>
    <t>OTJ - EMPREENDIMENTOS E PARTICIPACOES LTDA. - EPP</t>
  </si>
  <si>
    <t>OTJ - EMPREENDIMENTO</t>
  </si>
  <si>
    <t>P CRISPINIANO &amp; CIA LTDA - EPP</t>
  </si>
  <si>
    <t>P CRISPINIANO</t>
  </si>
  <si>
    <t>P J HOTEIS LTDA</t>
  </si>
  <si>
    <t>REFUGIO DA VILA</t>
  </si>
  <si>
    <t>P S BEACH HOTEIS LTDA</t>
  </si>
  <si>
    <t>VILA ANGATU</t>
  </si>
  <si>
    <t>P. P GIRARD SERVICOS E INTERMEDIACAO</t>
  </si>
  <si>
    <t>BANGALÔ BELÉM</t>
  </si>
  <si>
    <t>P.1 - ADMINISTRACAO EM COMPLEXOS IMOBILIARIOS LTDA</t>
  </si>
  <si>
    <t>MERCURE SANTO ANDRE</t>
  </si>
  <si>
    <t>P.2 - ADMINISTRACAO EM COMPLEXOS IMOBILIARIOS LTDA</t>
  </si>
  <si>
    <t>HOLIDAY INN ANHEMBI</t>
  </si>
  <si>
    <t>PACÍFICO OPERAÇÕES HOSPITALARES S.A</t>
  </si>
  <si>
    <t>SÃO LUIZ  CAMPINAS</t>
  </si>
  <si>
    <t>PACIFICO OPERACOES HOSPITALARES S.A.</t>
  </si>
  <si>
    <t>SÃO LUIZ GUARULHOS</t>
  </si>
  <si>
    <t>PADOM BUSINESS HOTEL BRAGANCA LTDA</t>
  </si>
  <si>
    <t>PADOM HOTEL</t>
  </si>
  <si>
    <t>PADRAO ARGIL EMPREENDIMENTOS LTDA. - EPP</t>
  </si>
  <si>
    <t>PADRÃO ARGIL</t>
  </si>
  <si>
    <t>PAGANO ADMINISTRACAO HOTELEIRA LTDA</t>
  </si>
  <si>
    <t>TRANS RIBEIRÃO PRETO</t>
  </si>
  <si>
    <t>PAIAGUAS HOTEIS LTDA</t>
  </si>
  <si>
    <t>PAIAGUAS HOTEIS</t>
  </si>
  <si>
    <t>PAIVA E VASCO HOTEIS LTDA - ME</t>
  </si>
  <si>
    <t>HOTEL PORTO MACEIÓ</t>
  </si>
  <si>
    <t>PALACIO TANGARA DESENVOLVIMENTO IMOBILIARIO E EXPL</t>
  </si>
  <si>
    <t>PALACIO TANGARA</t>
  </si>
  <si>
    <t>PALÁCIO TANGARÁ</t>
  </si>
  <si>
    <t>Paloma Coura</t>
  </si>
  <si>
    <t>PAMEL PATRIMONIAL MELO LTDA - EPP</t>
  </si>
  <si>
    <t>PAMEL PATRIMONIAL</t>
  </si>
  <si>
    <t>PANO &amp; COR A MODA EM TECIDOS LTDA</t>
  </si>
  <si>
    <t>PANO &amp; COR</t>
  </si>
  <si>
    <t>Paola paz Silveira</t>
  </si>
  <si>
    <t>Paola Sousa Campos Figueira</t>
  </si>
  <si>
    <t>Paola Sousa Campos F</t>
  </si>
  <si>
    <t>PAPI TEXTIL LTDA</t>
  </si>
  <si>
    <t>PAPIRO BUTIQUE HOTEL LTDA</t>
  </si>
  <si>
    <t>PAPIRO BUTIQUE HOTEL</t>
  </si>
  <si>
    <t>PARAISO - ADMINISTRADORA HOTELEIRA LTDA PARAISO SP</t>
  </si>
  <si>
    <t>TRYP BY WHYNDHAMPARA</t>
  </si>
  <si>
    <t>PARANOA HOTEIS E TURISMO LTDA</t>
  </si>
  <si>
    <t>PARANOA HOTEIS</t>
  </si>
  <si>
    <t>PARQUE HOTEL FAZENDA MUTEMA LTDA - ME</t>
  </si>
  <si>
    <t>PARQUE HOTEL FAZENDA</t>
  </si>
  <si>
    <t>PARU BOUTIQUE HOTEL LTDA.</t>
  </si>
  <si>
    <t>PARU</t>
  </si>
  <si>
    <t>PATCH E BORDADOS ARTIGOS DE DECORACAO LTDA - ME</t>
  </si>
  <si>
    <t>PATCH E BORDADOS</t>
  </si>
  <si>
    <t>PATHFINDER EMPREENDIMENTOS E PARTICIPACOES S.A.</t>
  </si>
  <si>
    <t>PORTO BAY RIO</t>
  </si>
  <si>
    <t>Patricia  Helena Koch</t>
  </si>
  <si>
    <t>Patricia  Helena Koc</t>
  </si>
  <si>
    <t>PATRICIA BATISTA</t>
  </si>
  <si>
    <t>Patricia Cardoso Motta</t>
  </si>
  <si>
    <t>Patricia Cardoso Mot</t>
  </si>
  <si>
    <t>PATRICIA DE OLIVEIRA GALINA</t>
  </si>
  <si>
    <t>PATRICIA DE OLIVEIRA</t>
  </si>
  <si>
    <t>Patricia Farenzena (Made In Guarda)</t>
  </si>
  <si>
    <t>Patricia Farenzena (</t>
  </si>
  <si>
    <t>Patricia Franca</t>
  </si>
  <si>
    <t>patricia gabriele</t>
  </si>
  <si>
    <t>PATRICIA GLENDA</t>
  </si>
  <si>
    <t>PATRICIA LUCA</t>
  </si>
  <si>
    <t>PATRICIA MACHADO CARRIJO</t>
  </si>
  <si>
    <t>PATRICIA MACHADO CAR</t>
  </si>
  <si>
    <t>PATRICIA MARINO</t>
  </si>
  <si>
    <t>PATRICIA</t>
  </si>
  <si>
    <t>Patricia Menegazzo Barcelos</t>
  </si>
  <si>
    <t>Patricia Menegazzo B</t>
  </si>
  <si>
    <t>PATRICIA MIGUERES</t>
  </si>
  <si>
    <t>Patricia Moreira Bis</t>
  </si>
  <si>
    <t>PATRICIA PONTES</t>
  </si>
  <si>
    <t>PATRICKY ROSA DA CRUZ</t>
  </si>
  <si>
    <t>PATRICKY ROSA DA CRU</t>
  </si>
  <si>
    <t>PATRIJAPE EMPREENDIMENTOS IMOBILIÁRIOS LTDA</t>
  </si>
  <si>
    <t>HOMELIKE</t>
  </si>
  <si>
    <t>PAULA ARRUDA</t>
  </si>
  <si>
    <t>PAULA BITTENCOURT</t>
  </si>
  <si>
    <t>PAULA CANDALAFT</t>
  </si>
  <si>
    <t>PAULA CORDEIRO MARCHESE DA SILVA</t>
  </si>
  <si>
    <t>PAULA CORDEIRO MARCH</t>
  </si>
  <si>
    <t>PAULA CRISTINA PEIXOTO RIBEIRO</t>
  </si>
  <si>
    <t>PAULA CRISTINA PEIXO</t>
  </si>
  <si>
    <t>Paula Macieira Magalhaes</t>
  </si>
  <si>
    <t>Paula Macieira Magal</t>
  </si>
  <si>
    <t>PAULA MORAES</t>
  </si>
  <si>
    <t>PAULA</t>
  </si>
  <si>
    <t>PAULA WHITAKER</t>
  </si>
  <si>
    <t>Paula Yamaguti</t>
  </si>
  <si>
    <t>PAULINEIA Magalhaes Alves</t>
  </si>
  <si>
    <t>PAULINEIA Magalhaes</t>
  </si>
  <si>
    <t>PAULISTA PRAIA HOTEL S/A</t>
  </si>
  <si>
    <t>MAR HOTEL RECIFE</t>
  </si>
  <si>
    <t>SUMMERVILLE ALL INCL</t>
  </si>
  <si>
    <t>HOTEL ATLANTE PLAZA</t>
  </si>
  <si>
    <t>Paulo</t>
  </si>
  <si>
    <t>PAULO DE ALMEIDA NOBRE</t>
  </si>
  <si>
    <t>PAULO DE ALMEIDA NOB</t>
  </si>
  <si>
    <t>PAULO FERNANDES CAMPILONGO</t>
  </si>
  <si>
    <t>PAULO FERN ( VHOUSE)</t>
  </si>
  <si>
    <t>Paulo Henrique Moraes</t>
  </si>
  <si>
    <t>Paulo Henrique Morae</t>
  </si>
  <si>
    <t>PAULO RENAN RIBEIRO</t>
  </si>
  <si>
    <t>PAULO SÉRGIO MARQUEZ ARAUJO</t>
  </si>
  <si>
    <t>PAULO SÉRGIO MARQUEZ</t>
  </si>
  <si>
    <t>PAULUCIO &amp; OLIVEIRA LTDA</t>
  </si>
  <si>
    <t>VITORIA REGIA HOTEL</t>
  </si>
  <si>
    <t>PAUSA HOTEL LTDA</t>
  </si>
  <si>
    <t>PAUSA PRAIA PONTAL</t>
  </si>
  <si>
    <t>PAXIS ADMINISTRAÇÃO E HOTELARIA LTDA</t>
  </si>
  <si>
    <t>HOTEL HERITAGE</t>
  </si>
  <si>
    <t>PDR ADMINISTRADORA DE BENS LTDA</t>
  </si>
  <si>
    <t>PDR ADMINISTRADORA D</t>
  </si>
  <si>
    <t>PE COMERCIO DE TECIDOS LTDA</t>
  </si>
  <si>
    <t>CASA BLANCA TECIDOS</t>
  </si>
  <si>
    <t>PEDRO ALEXANDRE DIAS DE OLIVEIRA</t>
  </si>
  <si>
    <t>PEDRO</t>
  </si>
  <si>
    <t xml:space="preserve">PEDRO ALEXANDRE SILVA RABÊLO
</t>
  </si>
  <si>
    <t>PEDRO ALEXANDRE SILV</t>
  </si>
  <si>
    <t>Pedro Farias da Cruz</t>
  </si>
  <si>
    <t>Pedro Henrique Clemente dos Reis</t>
  </si>
  <si>
    <t>Pedro Henrique Cleme</t>
  </si>
  <si>
    <t>PEDRO HENRIQUE CORDEIRO PIRES</t>
  </si>
  <si>
    <t>PEDRO HENRIQUE CORDE</t>
  </si>
  <si>
    <t>PEDRO JANIO BARBOSA XAVIER</t>
  </si>
  <si>
    <t>POUSADA ASAHI</t>
  </si>
  <si>
    <t>PEDRO TAQUES EMPREENDIMENTOS IMOBILIARIOS LTDA.</t>
  </si>
  <si>
    <t>PEDROSA &amp; CUNHA LTDA</t>
  </si>
  <si>
    <t>PEDROSA &amp; CUNHA</t>
  </si>
  <si>
    <t>PENA &amp; OGANDO PRODUTOS NUTRICIONAIS EIRELI</t>
  </si>
  <si>
    <t>PENA &amp; OGANDO PRODUT</t>
  </si>
  <si>
    <t>PENÍNSULA BAIANA OH BAR LTDA – ME</t>
  </si>
  <si>
    <t>OBAR</t>
  </si>
  <si>
    <t>PEOPLE SERVICOS TEMPORARIOS LTDA</t>
  </si>
  <si>
    <t>PEOPLE SERVICOS</t>
  </si>
  <si>
    <t>PERBONI &amp; PERBONI LTDA</t>
  </si>
  <si>
    <t>PERBONI BRASIL</t>
  </si>
  <si>
    <t>PERFECT BRASIL COMÉRCIO E SERVIÇOS LTDA</t>
  </si>
  <si>
    <t>PERFECT SERVIÇOS</t>
  </si>
  <si>
    <t>PERFORMACE OPALINA ADMINISTRAÇÃO DE HOTEIS LTDA</t>
  </si>
  <si>
    <t>NOVOTEL BOTAFOGO</t>
  </si>
  <si>
    <t>PEROLA REGINA MARTINS COSTA</t>
  </si>
  <si>
    <t>PEROLA REGINA MARTIN</t>
  </si>
  <si>
    <t>PETIT 4 YOU AND FOR ALL LTDA</t>
  </si>
  <si>
    <t>PETIT4YOU AND FOR AL</t>
  </si>
  <si>
    <t>PEZZIN CONFECÇOES LTDA</t>
  </si>
  <si>
    <t>PEZZIN CONFECÇOES</t>
  </si>
  <si>
    <t>PGA ADMINISTRADORA DE HOTEIS LTDA</t>
  </si>
  <si>
    <t>WESTIN</t>
  </si>
  <si>
    <t>PH MT LTDA ME</t>
  </si>
  <si>
    <t>PHARMA LIMIRIO INDÚSTRIA FARMACEUTICA LTDA-EPP</t>
  </si>
  <si>
    <t>PHARMA LIMIRIO INDÚS</t>
  </si>
  <si>
    <t>PHENOM CAPITAL ADMINISTRADORA DE RECURSOS S.A</t>
  </si>
  <si>
    <t>PHENOM CAPITAL</t>
  </si>
  <si>
    <t>PICINGUABA LTDA - EPP</t>
  </si>
  <si>
    <t>POUSADA PICINGUABA</t>
  </si>
  <si>
    <t>PIEMONTE FLORIPA INCOPORACOES SPE LTDA</t>
  </si>
  <si>
    <t>PIEMONTE MIRAGIO</t>
  </si>
  <si>
    <t>PIEMONTE P70 RUA BUENOS AIRES SPE LTDA</t>
  </si>
  <si>
    <t>PIEMONTE P70</t>
  </si>
  <si>
    <t>Pierre goes</t>
  </si>
  <si>
    <t>PINA REIS ARTIGOS DE DECORAÇÃO EIRELI - ME</t>
  </si>
  <si>
    <t>PINA</t>
  </si>
  <si>
    <t>PINGO D AGUA AGRICOLA E PESQUEIRA S/A</t>
  </si>
  <si>
    <t>FAZENDA MATA VELHA</t>
  </si>
  <si>
    <t>PIZZOL &amp; ALEXANDRE LTDA - ME</t>
  </si>
  <si>
    <t>PIZZOL</t>
  </si>
  <si>
    <t>PLANET BARRA EMPREENDIMENTOS LTDA</t>
  </si>
  <si>
    <t>KIAROA ECO-LUXURY</t>
  </si>
  <si>
    <t>PLANTRAVEL PLANEJAMENTO VIAGENS E TURISMO LTDA.</t>
  </si>
  <si>
    <t>THE TIME OTHON SUITE</t>
  </si>
  <si>
    <t>PLASTICA SAUDE SERVIÇOS MÉDICOS S/A</t>
  </si>
  <si>
    <t>PLASTICA SAUDE</t>
  </si>
  <si>
    <t>PLASTICOS GRETO - EIRELI</t>
  </si>
  <si>
    <t>PLASTICOS GRETO - EI</t>
  </si>
  <si>
    <t>PLATINA COMERCIO DE MATERIAIS P/ CONSTRUCAO E SERV</t>
  </si>
  <si>
    <t>PLATINA COMERCIO DE</t>
  </si>
  <si>
    <t>PLAZA BRASILIA HOTEIS E TURISMO LTDA BPH</t>
  </si>
  <si>
    <t>BRASILIA PALACE</t>
  </si>
  <si>
    <t>PLB CONSULTORIA EMPRESARIAL LTDA</t>
  </si>
  <si>
    <t>PLATINUM LOUNGE BAR</t>
  </si>
  <si>
    <t>PLENO REVESTIMENTOS MINERAIS LTDA</t>
  </si>
  <si>
    <t>PLENO REVESTIMENTO</t>
  </si>
  <si>
    <t>PN ATIVIDADES DE CONSULTORIA E GESTAO EMPRESARIAL</t>
  </si>
  <si>
    <t>PN CONSULTORIA</t>
  </si>
  <si>
    <t>PNEUBIG COMERCIAL LTDA</t>
  </si>
  <si>
    <t>ROMEYKA PARK HOTEL</t>
  </si>
  <si>
    <t>POJUCA S/A</t>
  </si>
  <si>
    <t>TIVOLI SP MOFFAREJ</t>
  </si>
  <si>
    <t>TIVOLI PRAIA DO FORT</t>
  </si>
  <si>
    <t>PONTA DE INHAMBUPE HOTELARIA LTDA</t>
  </si>
  <si>
    <t>PRIMA INOVA</t>
  </si>
  <si>
    <t>POUSADA ALDEOLA</t>
  </si>
  <si>
    <t>POR DO SOL HOTEIS E TURISMO LTDA - ME</t>
  </si>
  <si>
    <t>POUSADA MANATI</t>
  </si>
  <si>
    <t>PORCIONATO &amp; COL LTDA ME</t>
  </si>
  <si>
    <t>PORCIONATO</t>
  </si>
  <si>
    <t>PORFIRIO DOS SANTOS E SANTOS LTDA - ME</t>
  </si>
  <si>
    <t>CORPUS MOTEL</t>
  </si>
  <si>
    <t>PORTO DA LUA LTDA - ME</t>
  </si>
  <si>
    <t>POUSADA PORTO DA LUA</t>
  </si>
  <si>
    <t>PORTO DA PAZ ECOPOUSADA EIRELI</t>
  </si>
  <si>
    <t>PORTO DA PAZ ECOPOUS</t>
  </si>
  <si>
    <t>PORTO DA PONTA INCORPORADORA IMOBILIÁRIA SPE LTDA</t>
  </si>
  <si>
    <t>MAKTUB EXPERIENCES</t>
  </si>
  <si>
    <t>PORTO GERAES PRAIA HOTEL LTDA - ME</t>
  </si>
  <si>
    <t>PORTO GERAES PRAIA H</t>
  </si>
  <si>
    <t>POSTO DA TORRE EIRELI - EPP</t>
  </si>
  <si>
    <t>THE UNION</t>
  </si>
  <si>
    <t>POUSADA &amp; LANCHONETE HIBISCO LTDA - ME</t>
  </si>
  <si>
    <t>POUSADA ACONCHEGO LTDA - EPP</t>
  </si>
  <si>
    <t>POUSADA ACONCHEGO</t>
  </si>
  <si>
    <t>POUSADA ALTO DA LAPA</t>
  </si>
  <si>
    <t>POUSADA ALTO DA NEBLINA</t>
  </si>
  <si>
    <t>ALTO DA NEBLINA</t>
  </si>
  <si>
    <t>POUSADA ARCO IRIS PRAIA DO FUTURO LTDA - ME</t>
  </si>
  <si>
    <t>POUSADA ARCO IRIS</t>
  </si>
  <si>
    <t>POUSADA ARENA CASTELAO LTDA</t>
  </si>
  <si>
    <t>ARENA CASTELAO</t>
  </si>
  <si>
    <t>POUSADA ATOBA LTDA ME</t>
  </si>
  <si>
    <t>POUSADA ATOBA</t>
  </si>
  <si>
    <t>POUSADA BACELAR LTDA</t>
  </si>
  <si>
    <t>POUSADA BACELAR</t>
  </si>
  <si>
    <t>POUSADA BELLA TERRA LTDA</t>
  </si>
  <si>
    <t>POUSADA BELLA TERRA</t>
  </si>
  <si>
    <t>POUSADA CAMURIM GRANDE LTDA</t>
  </si>
  <si>
    <t>POUSADA CAMURIM GRAN</t>
  </si>
  <si>
    <t>POUSADA CANTO DO PORTO LTDA EPP</t>
  </si>
  <si>
    <t>CANTO DO PORTO</t>
  </si>
  <si>
    <t>POUSADA CAPIM DO MATO LTDA</t>
  </si>
  <si>
    <t>CAPIM DO MATO</t>
  </si>
  <si>
    <t>POUSADA CASA MAR LTDA - ME</t>
  </si>
  <si>
    <t>POUSADA CASA MAR</t>
  </si>
  <si>
    <t>POUSADA CASAS DOS CORAIS PATACHO LTDA</t>
  </si>
  <si>
    <t>CASA CORAIS PATACHO</t>
  </si>
  <si>
    <t>POUSADA CEU AZUL LTDA</t>
  </si>
  <si>
    <t>POUSADA CEU AZUL</t>
  </si>
  <si>
    <t>POUSADA CHEIRO DA TERRA LTDA</t>
  </si>
  <si>
    <t>POUSADA VITORINO</t>
  </si>
  <si>
    <t>POUSADA CHEVERNY LTDA - EPP</t>
  </si>
  <si>
    <t>POUSADA CHEVERNY</t>
  </si>
  <si>
    <t>POUSADA CIPO DO QUADRADO LTDA</t>
  </si>
  <si>
    <t>CIPO DO QUADRADO</t>
  </si>
  <si>
    <t>POUSADA COLINA DOS VENTOS LTDA - ME</t>
  </si>
  <si>
    <t>POUSADA COLINA</t>
  </si>
  <si>
    <t>POUSADA CORAIS DO BITINGUI LTDA</t>
  </si>
  <si>
    <t>POUSADA CORAIS DO BI</t>
  </si>
  <si>
    <t>POUSADA DA AMENDOEIRA LIMITADA - EPP</t>
  </si>
  <si>
    <t>POUSADA AMENDOEIRA</t>
  </si>
  <si>
    <t>POUSADA DA MONTANHA EIRELI - ME</t>
  </si>
  <si>
    <t>POUSADA DA MONTANHA</t>
  </si>
  <si>
    <t>POUSADA DI MARI LTDA - ME</t>
  </si>
  <si>
    <t>POUSADA DI MARI</t>
  </si>
  <si>
    <t>POUSADA DO CEDRO EIRELI</t>
  </si>
  <si>
    <t>POUSADA DO CEDRO</t>
  </si>
  <si>
    <t>POUSADA DO PARQUE LTDA - ME</t>
  </si>
  <si>
    <t>POUSADA DO PARQUE</t>
  </si>
  <si>
    <t>POUSADA DO TOQUE LTDA - ME</t>
  </si>
  <si>
    <t>POUSADA DO TOQUE</t>
  </si>
  <si>
    <t>POUSADA DO VALE LTDA</t>
  </si>
  <si>
    <t>POUSADA DO VALE</t>
  </si>
  <si>
    <t>POUSADA DONA BENDITA LTDA</t>
  </si>
  <si>
    <t>POUSADA DONA BENDITA</t>
  </si>
  <si>
    <t>POUSADA DOS CHAS LTDA - EPP</t>
  </si>
  <si>
    <t>POUSADA DOS CHAS</t>
  </si>
  <si>
    <t>POUSADA DOS PINGUINS LTDA - ME</t>
  </si>
  <si>
    <t>POUSADA DOS PINGUINS</t>
  </si>
  <si>
    <t>POUSADA E EVENTOS SERRA VELHA LTDA</t>
  </si>
  <si>
    <t>POUSADA SERRA VELHA</t>
  </si>
  <si>
    <t>POUSADA E LOCADORA DE VEICULOS SOLAR DOS VENTOS LT</t>
  </si>
  <si>
    <t>POUSADA E RESTAURANTE CAJUEIRO NATIVO LTDA - ME</t>
  </si>
  <si>
    <t>POUSADA CAJUEIRO</t>
  </si>
  <si>
    <t>POUSADA E RESTAURANTE VILA SERRA DA LUZ EIRELI - M</t>
  </si>
  <si>
    <t>VILA SERRA DA LUZ</t>
  </si>
  <si>
    <t>POUSADA E RESTAURANTE VISTA DA SERRA UNIAO LTDA -</t>
  </si>
  <si>
    <t>HOTEL FAZENDA UNIÃO</t>
  </si>
  <si>
    <t>POUSADA ECOLOGICA AKANA LTDA</t>
  </si>
  <si>
    <t>POUSADA AKANÃ</t>
  </si>
  <si>
    <t>POUSADA ENLUARADA LTDA - ME</t>
  </si>
  <si>
    <t>POUSADA 4 LUAS</t>
  </si>
  <si>
    <t>POUSADA ENSEADA DAS GARCAS EIRELI - ME</t>
  </si>
  <si>
    <t>ENSEADA DAS GARCAS</t>
  </si>
  <si>
    <t>POUSADA ESTRELA DAGUA LTDA.</t>
  </si>
  <si>
    <t>ESTRELA D´AGUA</t>
  </si>
  <si>
    <t>POUSADA FAZENDA SAO FRANCISCO DO CORUMBAU LTDA - E</t>
  </si>
  <si>
    <t>FAZENDA CORUMBAU</t>
  </si>
  <si>
    <t>POUSADA FAZENDA VIRA LTDA</t>
  </si>
  <si>
    <t>POUSADA FAZENDA VIRA</t>
  </si>
  <si>
    <t>POUSADA FIGUEIRA DA SERRA LTDA</t>
  </si>
  <si>
    <t>POUSADA FLORENCA LTDA</t>
  </si>
  <si>
    <t>POUSADA FLORENCA LTD</t>
  </si>
  <si>
    <t>POUSADA FRANCO DE ALMEIDA EIRELI - EPP</t>
  </si>
  <si>
    <t>POUSADA EL GORDO</t>
  </si>
  <si>
    <t>POUSADA GRANJA CORDOBA EIRELI</t>
  </si>
  <si>
    <t>POUSADA GRANJA CORDO</t>
  </si>
  <si>
    <t>POUSADA HAKUNA MATATA LTDA - ME</t>
  </si>
  <si>
    <t>POUSADA HAKUNA MATAT</t>
  </si>
  <si>
    <t>POUSADA INDIANA LTDA</t>
  </si>
  <si>
    <t>ZORAH BEACH HOTEL</t>
  </si>
  <si>
    <t>POUSADA KALANGO LTDA</t>
  </si>
  <si>
    <t>POUSADA KALANGO</t>
  </si>
  <si>
    <t>POUSADA KALIMAN LTDA</t>
  </si>
  <si>
    <t>POUSADA KALIMAN</t>
  </si>
  <si>
    <t>POUSADA KALUANA GRUPO PROSPAR LTDA</t>
  </si>
  <si>
    <t>POUSADA KALUANA</t>
  </si>
  <si>
    <t>POUSADA LAMBARI MONTANHA HOTEL LTDA - ME</t>
  </si>
  <si>
    <t>POUSADA LAMBARI</t>
  </si>
  <si>
    <t>POUSADA LE REFUGE LTDA - ME</t>
  </si>
  <si>
    <t>POUSADA LE REFUGE LT</t>
  </si>
  <si>
    <t>POUSADA LITERARIA LTDA - ME</t>
  </si>
  <si>
    <t>POUSADA LITERARIA</t>
  </si>
  <si>
    <t>POUSADA LUZES DO PATACHO LTDA</t>
  </si>
  <si>
    <t>POUSADA LUZES DO PAT</t>
  </si>
  <si>
    <t>POUSADA MANACA DA SERRA LTDA</t>
  </si>
  <si>
    <t>POUSADA SAVOY</t>
  </si>
  <si>
    <t>POUSADA MANGABEIRAS LTDA. - ME</t>
  </si>
  <si>
    <t>POUSADA MANGABEIRAS</t>
  </si>
  <si>
    <t>POUSADA MAR ATLANTICO LTDA ME</t>
  </si>
  <si>
    <t>POUSADA MAR ATLANTIC</t>
  </si>
  <si>
    <t>POUSADA MARAVILHA LTDA.</t>
  </si>
  <si>
    <t>POUSADA MARAVILHA</t>
  </si>
  <si>
    <t>POUSADA MARIA FLOR LTDA</t>
  </si>
  <si>
    <t>POUSADA MARIA FLOR</t>
  </si>
  <si>
    <t>POUSADA MAYA LTDA - ME</t>
  </si>
  <si>
    <t>POUSADA MAYA LTDA</t>
  </si>
  <si>
    <t>POUSADA MENINO DE OURO</t>
  </si>
  <si>
    <t>MENINO DE OURO</t>
  </si>
  <si>
    <t>POUSADA MIGLIORINI LTDA</t>
  </si>
  <si>
    <t>POUSADA XUE</t>
  </si>
  <si>
    <t>POUSADA MORADA DOS BOUGAINVILLES</t>
  </si>
  <si>
    <t>POUSADA MOURADA DOS</t>
  </si>
  <si>
    <t>POUSADA NATIVA LTDA</t>
  </si>
  <si>
    <t>BEIJUPIRA LODGE NORO</t>
  </si>
  <si>
    <t>POUSADA ORATORIO LTDA - ME</t>
  </si>
  <si>
    <t>POUSADA ORATORIO</t>
  </si>
  <si>
    <t>POUSADA PADRE CICERO LTDA. - EPP</t>
  </si>
  <si>
    <t>POUSADA PADRE CICERO</t>
  </si>
  <si>
    <t>POUSADA PARAISO DO ATLANTICO LTDA</t>
  </si>
  <si>
    <t>POUSADA PARAISO DO A</t>
  </si>
  <si>
    <t>POUSADA PARAISO EMPREENDIMENTOS TURISTICOS EIRELI</t>
  </si>
  <si>
    <t>POUSADA PARAISO</t>
  </si>
  <si>
    <t>POUSADA PENHASCO EIRELI</t>
  </si>
  <si>
    <t>POUSADA PENHASCO EIR</t>
  </si>
  <si>
    <t>POUSADA PERAINDA LTDA - ME</t>
  </si>
  <si>
    <t>POUSADA  PERAINDA</t>
  </si>
  <si>
    <t>POUSADA POUSO DE MINAS LTDA - EPP</t>
  </si>
  <si>
    <t>POUSADA</t>
  </si>
  <si>
    <t>POUSADA PRAIA DE AREMBEPE LTDA</t>
  </si>
  <si>
    <t>POUSADA A CAPELA</t>
  </si>
  <si>
    <t>POUSADA PRAIA SANTA TEREZA EIRELI</t>
  </si>
  <si>
    <t>POUSADA PRAIA SANTA</t>
  </si>
  <si>
    <t>POUSADA PURA VIDA MARESIAS LTDA</t>
  </si>
  <si>
    <t>POUSADA PURA VIDA</t>
  </si>
  <si>
    <t>POUSADA QUATRO ESTACOES DE PINHAL LTDA - EPP</t>
  </si>
  <si>
    <t>POUS QUATRO ESTAÇÕES</t>
  </si>
  <si>
    <t>POUSADA RECANTO DA VILLA LTDA</t>
  </si>
  <si>
    <t>RECANTO DA VILLA</t>
  </si>
  <si>
    <t>POUSADA RECANTO DAS ARARAS LTDA - ME</t>
  </si>
  <si>
    <t>POUSADA RECANTO DAS</t>
  </si>
  <si>
    <t>POUSADA SERRA DO JORDÃO</t>
  </si>
  <si>
    <t>SERRA DO JORDÃO</t>
  </si>
  <si>
    <t>POUSADA SUITES NATIVAS LTDA - ME</t>
  </si>
  <si>
    <t>POUS SUITES NATIVAS</t>
  </si>
  <si>
    <t>POUSADA TAPIOCANGA RESORT LTDA - ME</t>
  </si>
  <si>
    <t>VILLA COMENDADOR</t>
  </si>
  <si>
    <t>POUSADA TELHADO DE OURO LTDA - ME</t>
  </si>
  <si>
    <t>POUS TELHADO DE OURO</t>
  </si>
  <si>
    <t>POUSADA TERRAS ALTAS VISCONDE DE MAUA EIRELI - ME</t>
  </si>
  <si>
    <t>POUSADA TERRAS ALTAS</t>
  </si>
  <si>
    <t xml:space="preserve">POUSADA TIMONEIRO LTDA
</t>
  </si>
  <si>
    <t>POUSADA MARIA MAR</t>
  </si>
  <si>
    <t>POUSADA TOCA DA CORUJA LTDA. - ME</t>
  </si>
  <si>
    <t>POUSADA TOCA DA CORU</t>
  </si>
  <si>
    <t>POUSADA TRES NACOES LTDA - ME</t>
  </si>
  <si>
    <t>POUSADA TRES NACOES</t>
  </si>
  <si>
    <t>POUSADA VILA DO MAR LTDA</t>
  </si>
  <si>
    <t>POUSADA VILA DO MAR</t>
  </si>
  <si>
    <t>POUSADA VILA DO OUTEIRO EMPREENDIMENTOS LTDA</t>
  </si>
  <si>
    <t>POUSADA VILA DO OUTE</t>
  </si>
  <si>
    <t>POUSADA VILA KEBAYA LTDA</t>
  </si>
  <si>
    <t>VILA KEBAYA</t>
  </si>
  <si>
    <t>POUSADA VILLA BUENA VISTA LTDA - ME</t>
  </si>
  <si>
    <t>POUSADA VILLA BUENA</t>
  </si>
  <si>
    <t>POUSADA VILLA DAMORE LTDA - ME</t>
  </si>
  <si>
    <t>POUSADA VILLA DAMORE</t>
  </si>
  <si>
    <t>POUSADA VILLA MANTIQUEIRA SOARES VILELA POUSAD ME</t>
  </si>
  <si>
    <t>VILLA MANTIQUEIRA</t>
  </si>
  <si>
    <t>POUSADA VILLAGES LTDA - ME</t>
  </si>
  <si>
    <t>POUSADA VILLAGES</t>
  </si>
  <si>
    <t>POUSADA XUE LTDA - ME</t>
  </si>
  <si>
    <t>POUSADA ZE MARIA LTDA</t>
  </si>
  <si>
    <t>POUSADA ZE MARIA</t>
  </si>
  <si>
    <t>POUSADAS ESPECIAIS LTDA</t>
  </si>
  <si>
    <t>POUSADA PIANO PIANO</t>
  </si>
  <si>
    <t>POUSATUR POUSADA LTDA - ME</t>
  </si>
  <si>
    <t>PRAIA DE SANTO ANDRE DEVELOPMENT PATRIMONIAL LTDA</t>
  </si>
  <si>
    <t>PRAIA DO ESTALEIRO EVENTOS E HOSPEDAGEM LTDA - ME</t>
  </si>
  <si>
    <t>PRAIA DO ESTALEIRO E</t>
  </si>
  <si>
    <t>PRAIAMAR CORPORATE EMPREENDIMENTOS IMOBILIARIOS LT</t>
  </si>
  <si>
    <t>HOTEL SHERATON SANTO</t>
  </si>
  <si>
    <t>PRAXIS ADMINISTRADORA E PARTICIPAÇÃO LTDA</t>
  </si>
  <si>
    <t>PRAXIS</t>
  </si>
  <si>
    <t>PRECISA MARCAS E PATENTES LTDA</t>
  </si>
  <si>
    <t>PRECISA MARCAS</t>
  </si>
  <si>
    <t>PREDIAL E ADMINISTRADORA HOTEIS PLAZA S.A</t>
  </si>
  <si>
    <t>BAHIA PLAZA HOTEL</t>
  </si>
  <si>
    <t>PREMA CONSULTORIA EMPRESARIAL LTDA.</t>
  </si>
  <si>
    <t>PREMA CONSULTORIA EM</t>
  </si>
  <si>
    <t>PREVENT SENIOR PRIVATE OPERADORA DE SAUDE LTDA</t>
  </si>
  <si>
    <t>PREVENT SENIOR GASTR</t>
  </si>
  <si>
    <t>PREVENT SENIOR VILA</t>
  </si>
  <si>
    <t>H.S.M - DUBAI</t>
  </si>
  <si>
    <t>PRIMA CASA UTILIDADES DOMESTICAS LTDA</t>
  </si>
  <si>
    <t>PRIMA</t>
  </si>
  <si>
    <t>PRIME REPRESENTACOES LTDA - ME</t>
  </si>
  <si>
    <t>PRIME REPRESENTACOES</t>
  </si>
  <si>
    <t>Priscila Di Piero Ribeiro</t>
  </si>
  <si>
    <t>Priscila Di Piero Ri</t>
  </si>
  <si>
    <t>PRISCILA MARCAL</t>
  </si>
  <si>
    <t>PRISCILA MUNDIM</t>
  </si>
  <si>
    <t>Priscila Neiro Navi</t>
  </si>
  <si>
    <t>PRISCILLA CRISTIANE MOREIRA BUYS</t>
  </si>
  <si>
    <t>PRISCILLA CRISTIANE</t>
  </si>
  <si>
    <t>PRISCILLA GUERRA DOS SANTOS</t>
  </si>
  <si>
    <t>PRISCILLA GUERRA DOS</t>
  </si>
  <si>
    <t>PRISCILLA SARAIVA</t>
  </si>
  <si>
    <t>Priscilla veiga</t>
  </si>
  <si>
    <t>Priscylla Angeles Alves Coutinho</t>
  </si>
  <si>
    <t>Priscylla Angeles Al</t>
  </si>
  <si>
    <t>PRIVALIA SERVICOS DE INFORMACAO LTDA.</t>
  </si>
  <si>
    <t>PRIVALIA SERVICOS</t>
  </si>
  <si>
    <t>PRO BEACH ESPORTES LTDA</t>
  </si>
  <si>
    <t>ARENA BEACH</t>
  </si>
  <si>
    <t>PROCAVE INVESTIMENTOS E INCORPORAÇOES LTDA</t>
  </si>
  <si>
    <t>MERCUR ITAJAI PROCAV</t>
  </si>
  <si>
    <t>PROMENADE APART HOTEIS LTDA</t>
  </si>
  <si>
    <t>BH PLATINUM</t>
  </si>
  <si>
    <t>PROMENADE</t>
  </si>
  <si>
    <t>PROMENADE RIO</t>
  </si>
  <si>
    <t>PROMENADE APART HOTEIS LTDA.</t>
  </si>
  <si>
    <t>PROMENADE APART HOTE</t>
  </si>
  <si>
    <t>PROMENADE APART HOTEIS LTDA. - ME</t>
  </si>
  <si>
    <t>PROMENADE PALLADIUM</t>
  </si>
  <si>
    <t>PROMENADE CASA DEL M</t>
  </si>
  <si>
    <t>PROMENADE VISCONTI</t>
  </si>
  <si>
    <t>PROMOÇÃO SOCIAL EDUCATIVA E CULTURAL</t>
  </si>
  <si>
    <t>PROMOÇÃO SOCIAL EDUC</t>
  </si>
  <si>
    <t>PROSPER EXECUTIVE HOTEL LTDA</t>
  </si>
  <si>
    <t>PROSPER HOTEL</t>
  </si>
  <si>
    <t>PRPAR PARTICIPACOES LTDA</t>
  </si>
  <si>
    <t>PRPAR PARTICIPACOES</t>
  </si>
  <si>
    <t>PS SOLUÇÕES E COMERCIO EIRELLI</t>
  </si>
  <si>
    <t>PS SOLUÇÕES</t>
  </si>
  <si>
    <t>PURE BRAZIL AGENCIA DE VIAGENS E TURISMO</t>
  </si>
  <si>
    <t>PURE BRAZIL</t>
  </si>
  <si>
    <t>Q ADMINISTRACAO E REPRESENTACAO DE IMOVEIS LTDA</t>
  </si>
  <si>
    <t>Q APARTMENTS</t>
  </si>
  <si>
    <t>Q2 EMPREENDIMENTOS E ADMINISTRAÇÃO DE IMOVEIS LTDA</t>
  </si>
  <si>
    <t>QUADRA IMOVEIS LTDA</t>
  </si>
  <si>
    <t>QUADRA REALTY</t>
  </si>
  <si>
    <t>QUADRA REALTY IMOB. E PART. EM EMPREEND. LTDA</t>
  </si>
  <si>
    <t>BELONG STAY</t>
  </si>
  <si>
    <t>QUADRADO DE CHARME POUSADA LTDA</t>
  </si>
  <si>
    <t>QUADRADO DE CHARME</t>
  </si>
  <si>
    <t>QUADRADO ESTRELA - RESTAURANTE, COMERCIO E TURISMO</t>
  </si>
  <si>
    <t>QUADRADO ESTRELA</t>
  </si>
  <si>
    <t>QUALY ENGENHARIA LTDA</t>
  </si>
  <si>
    <t>QUALY ENGENHARIA</t>
  </si>
  <si>
    <t>QUATTROEMME PAR ADMINISTRACAO DE BENS LTDA.</t>
  </si>
  <si>
    <t>QUATTROEMME (TRIPLEX</t>
  </si>
  <si>
    <t>QUEBRA-NOZ SERVICOS DE HOTELARIA LTDA</t>
  </si>
  <si>
    <t>QUEBRA N0Z</t>
  </si>
  <si>
    <t>QUEEN VICTORIA INCORPORAÇÃO LTDA</t>
  </si>
  <si>
    <t>QUEILA DUTRA VARELA</t>
  </si>
  <si>
    <t>QUENIA PEIXOTO</t>
  </si>
  <si>
    <t>QUINTA DA PAZ COBRANCA LTDA ME</t>
  </si>
  <si>
    <t>QUINTA DA PAZ</t>
  </si>
  <si>
    <t>QUINTA DOS PINHAIS - EIRELI</t>
  </si>
  <si>
    <t>POUSADA QUINTA PINHA</t>
  </si>
  <si>
    <t>QUINTA DY ENGENHO EMPREENDIMENTOS HOTELEIROS LTDA</t>
  </si>
  <si>
    <t>QUINTA DY ENGENHO EM</t>
  </si>
  <si>
    <t>QUINTA HOTELS LTDA - ME</t>
  </si>
  <si>
    <t>QUINTA DAS VIDEIRAS</t>
  </si>
  <si>
    <t>R. S. DA COSTA</t>
  </si>
  <si>
    <t>PRETO PANTALEAO</t>
  </si>
  <si>
    <t>R.E ADMINISTRACAO DE BENS PROPRIOS LTDA</t>
  </si>
  <si>
    <t>ISADORA/RODOLFO</t>
  </si>
  <si>
    <t>RACHEL AQUILLA</t>
  </si>
  <si>
    <t>RACHEL BEYRUTH MARQUINA</t>
  </si>
  <si>
    <t>RACHEL BEYRUTH MARQU</t>
  </si>
  <si>
    <t>RAFAEL BRETAS</t>
  </si>
  <si>
    <t>Rafael De souza Monteiro</t>
  </si>
  <si>
    <t>Rafael De souza Mont</t>
  </si>
  <si>
    <t>Rafael Iwasaki</t>
  </si>
  <si>
    <t>Rafael Oliveira Schmidt Alcoba</t>
  </si>
  <si>
    <t>Rafael Oliveira Schm</t>
  </si>
  <si>
    <t>RAFAEL PASSOS</t>
  </si>
  <si>
    <t>Rafael Reis (A/C Elio  Dias)</t>
  </si>
  <si>
    <t>Rafael Reis (A/C Eli</t>
  </si>
  <si>
    <t>RAFAEL SARTORI PARISE</t>
  </si>
  <si>
    <t>RAFAEL</t>
  </si>
  <si>
    <t>RAFAEL SILVA GARCIA 34233956801</t>
  </si>
  <si>
    <t>MIXMASTER</t>
  </si>
  <si>
    <t>RAFAELA CRISTINA ZARPELON</t>
  </si>
  <si>
    <t>RAFAELA CRISTINA ZAR</t>
  </si>
  <si>
    <t>RAFAELA GOMES NUNES LACOPO</t>
  </si>
  <si>
    <t>RAFAELA GOMES</t>
  </si>
  <si>
    <t>RAFAELA PAVAN</t>
  </si>
  <si>
    <t>RAFAELLA BARALDO</t>
  </si>
  <si>
    <t>RAFAELLA SANTOS</t>
  </si>
  <si>
    <t>Rafhael Sena</t>
  </si>
  <si>
    <t>RAGABESH INDUSTRIA E COMERCIO DE CONFECÇÕES LTDA</t>
  </si>
  <si>
    <t>BABIES R US DO BRASI</t>
  </si>
  <si>
    <t>RAGAZZI ADVOCACIA E CONSULTORIA EMPRESARIAL</t>
  </si>
  <si>
    <t>RAGAZZI ADVOCACIA E</t>
  </si>
  <si>
    <t>Railda ramos evangelista</t>
  </si>
  <si>
    <t>Railda ramos evangel</t>
  </si>
  <si>
    <t>Rainnyelle Chinayra Mendes Oliveira da Silva</t>
  </si>
  <si>
    <t>Rainnyelle Chinayra</t>
  </si>
  <si>
    <t>RAMADA PLAZA CURITIBA RAYON LTDA.</t>
  </si>
  <si>
    <t>RAMADA RAYON</t>
  </si>
  <si>
    <t>RAMFEJ COMERCIO E SERVICOS DE EQUIPAMENTOS CONTRA</t>
  </si>
  <si>
    <t>RAMFEJ COMERCIO</t>
  </si>
  <si>
    <t>RAMILOS HOTELARIA LTDA</t>
  </si>
  <si>
    <t>POUSADA RAMILOS</t>
  </si>
  <si>
    <t>RANIA ABOU SAAD</t>
  </si>
  <si>
    <t>RAPHAEL FELIPPE VELOSO DOS SANTOS POUSADA</t>
  </si>
  <si>
    <t>POUSADA AHAVANOAH</t>
  </si>
  <si>
    <t>RAPHAEL NICOLETTI</t>
  </si>
  <si>
    <t>Raphael Rodrigues</t>
  </si>
  <si>
    <t>Raphaela Ozolio Mairinck Santos</t>
  </si>
  <si>
    <t>Raphaela Ozolio Mair</t>
  </si>
  <si>
    <t>Raphaella Faria Vilarinho Sousa</t>
  </si>
  <si>
    <t>Raphaella Faria Vila</t>
  </si>
  <si>
    <t>RAQUEL ARARIPE</t>
  </si>
  <si>
    <t>Raquel Do Nascimento Perez</t>
  </si>
  <si>
    <t>Raquel Do Nascimento</t>
  </si>
  <si>
    <t>Raquel Esteves Ribeiro</t>
  </si>
  <si>
    <t>Raquel Esteves Ribei</t>
  </si>
  <si>
    <t>Raquel Mendes Carrijo</t>
  </si>
  <si>
    <t>Raquel Mendes Carrij</t>
  </si>
  <si>
    <t>Raquel Pacheco Teixeira</t>
  </si>
  <si>
    <t>Raquel Pacheco Teixe</t>
  </si>
  <si>
    <t>RAQUEL QUINTANILIA</t>
  </si>
  <si>
    <t>RAQUEL SANTANA</t>
  </si>
  <si>
    <t>RARUS HOTEL LTDA - ME</t>
  </si>
  <si>
    <t>RARUS HOTEL LTDA - M</t>
  </si>
  <si>
    <t>Raul Jacob</t>
  </si>
  <si>
    <t>RAVI DO BRASIL LTDA</t>
  </si>
  <si>
    <t>SALAMÊ MINGUÊ</t>
  </si>
  <si>
    <t>RC EMPREENDIMENTOS E PARTICIPACOES LTDA - ME</t>
  </si>
  <si>
    <t>RC EMPREENDIMENTOS E</t>
  </si>
  <si>
    <t>RCD EMPREENDIMENTOS LTDA</t>
  </si>
  <si>
    <t>MAJESTIC PALACE HOTE</t>
  </si>
  <si>
    <t>RCI BRASIL - PRESTAÇÃO DE SERVIÇOS DE INTERCÂMBIO</t>
  </si>
  <si>
    <t>RCI BRASIL</t>
  </si>
  <si>
    <t>RCP APOIO ADMINISTRATIVO EIRELI</t>
  </si>
  <si>
    <t>RCP APOIO ADMINISTRA</t>
  </si>
  <si>
    <t>RCS COMERCIO DE VESTUARIO LTDA</t>
  </si>
  <si>
    <t>LO.LLO PER BAMBINI</t>
  </si>
  <si>
    <t>REAL E BENEMERITA ASSOCIACAO PORTUGUESA DE BENEFIC</t>
  </si>
  <si>
    <t>BP SÃO PAULO</t>
  </si>
  <si>
    <t>REAL ESTATE DEVELOPMENT CO. CONSULTORIA LTDA</t>
  </si>
  <si>
    <t>REDCO</t>
  </si>
  <si>
    <t>REAL KIDS COMERCIO DE PRODUTOS INFANTIS LTDA.</t>
  </si>
  <si>
    <t>REAL KIDS</t>
  </si>
  <si>
    <t>REAL VILLA BELLA HOTELARIA E TURISMO LTDA - EPP</t>
  </si>
  <si>
    <t>REAL VILLA BELA</t>
  </si>
  <si>
    <t>REALIZACOES TURISTICAS RIO COPA LTDA</t>
  </si>
  <si>
    <t>MAR IPANEMA</t>
  </si>
  <si>
    <t>REALMAK SERVICOS E COMERCIO LTDA - EPP</t>
  </si>
  <si>
    <t>A REALMAK</t>
  </si>
  <si>
    <t>Rebeca</t>
  </si>
  <si>
    <t>REBECA ANDREOSI</t>
  </si>
  <si>
    <t>REDE D´OR SAO LUIZ S.A.</t>
  </si>
  <si>
    <t>HOSPITAL STA HELENA</t>
  </si>
  <si>
    <t>HOSPITAL JABAQUARA</t>
  </si>
  <si>
    <t>PERINATAL CAXIAS DOR</t>
  </si>
  <si>
    <t>HOSPITAL QUINTA D´OR</t>
  </si>
  <si>
    <t>REDE D´OR SÃO LUIZ S.A.</t>
  </si>
  <si>
    <t>PERINATAL BARRA</t>
  </si>
  <si>
    <t>REDE DOR SAO LUIZ S.A</t>
  </si>
  <si>
    <t>HOSPITAL SAO CAETANO</t>
  </si>
  <si>
    <t>REDE DOR SAO LUIZ S.A.</t>
  </si>
  <si>
    <t>HOSPITAL COPA DOR</t>
  </si>
  <si>
    <t>HOSPITAL COPA STAR</t>
  </si>
  <si>
    <t>HOSPITAL SANTA LUZIA</t>
  </si>
  <si>
    <t>SAO LUIZ  ITAIM</t>
  </si>
  <si>
    <t>MATERNIDADE SAO LUIZ</t>
  </si>
  <si>
    <t>REDE MORIAH SAÚDE LTDA</t>
  </si>
  <si>
    <t>HOSPITAL MORIAH</t>
  </si>
  <si>
    <t>REDE PRIMAVERA - ASSISTENCIA MEDICA HOSPITALAR LTD</t>
  </si>
  <si>
    <t>REDE PRIMAVERA</t>
  </si>
  <si>
    <t>REEF BUZIOS HOTEL LTDA</t>
  </si>
  <si>
    <t>CONCEPT HOTEL</t>
  </si>
  <si>
    <t>REGA COMERCIO DE MODA E ACESSORIOS EIRELI - ME</t>
  </si>
  <si>
    <t>REGA</t>
  </si>
  <si>
    <t>REGINA B S SIQUEIRA</t>
  </si>
  <si>
    <t>REGINA SIQUEIRA</t>
  </si>
  <si>
    <t>REGINA CRISTINA BARBOSA</t>
  </si>
  <si>
    <t>REGINA CRISTINA BARB</t>
  </si>
  <si>
    <t>REGINA FILIZOLA</t>
  </si>
  <si>
    <t>REIK EMPREENDIMENTOS E ADMINISTRACAO DE BENS PROPR</t>
  </si>
  <si>
    <t>REIK EMPRE (VHOUSE)</t>
  </si>
  <si>
    <t>REINALDO MACHADO</t>
  </si>
  <si>
    <t>RENAISSANCE DO BRASIL HOTELARIA LTDA</t>
  </si>
  <si>
    <t>RENAISSANCE</t>
  </si>
  <si>
    <t>RENAN OLIVEIRA FERNANDES</t>
  </si>
  <si>
    <t>RENAN OLIVEIRA FERNA</t>
  </si>
  <si>
    <t>RENATA</t>
  </si>
  <si>
    <t>RENATA ANDREIA DOS SANTOS</t>
  </si>
  <si>
    <t>RENATA ANDREIA DOS S</t>
  </si>
  <si>
    <t>RENATA APARECIDA DO PRADO COSTA</t>
  </si>
  <si>
    <t>RENATA APARECIDA DO</t>
  </si>
  <si>
    <t>RENATA GRACIELE CARVALHO</t>
  </si>
  <si>
    <t>RENATA GRACIELE CARV</t>
  </si>
  <si>
    <t>RENATA KAPPS GONÇALVES</t>
  </si>
  <si>
    <t>RENATA KAPPS GONÇALV</t>
  </si>
  <si>
    <t>Renata leite</t>
  </si>
  <si>
    <t>RENATA LISBOA OLIVEIRA</t>
  </si>
  <si>
    <t>RENATA LISBOA OLIVEI</t>
  </si>
  <si>
    <t>RENATA MARIA TOMITAKE - EPP</t>
  </si>
  <si>
    <t>RENATA PADILHA ACCIOLY</t>
  </si>
  <si>
    <t>RENATA PADILHA ACCIO</t>
  </si>
  <si>
    <t>RENATA RESENDE COSTA E SILVA</t>
  </si>
  <si>
    <t>LO.LLO KIDS</t>
  </si>
  <si>
    <t>RENATA SCHMITT</t>
  </si>
  <si>
    <t>RENATA SILVA PEDIDO OLIST</t>
  </si>
  <si>
    <t>RENATA SILVA</t>
  </si>
  <si>
    <t>Renata Thorp</t>
  </si>
  <si>
    <t>Renata Torres de Assis Nogueira</t>
  </si>
  <si>
    <t>Renata Torres de Ass</t>
  </si>
  <si>
    <t>RENATA XAVIER</t>
  </si>
  <si>
    <t>RENATA ZARZUR</t>
  </si>
  <si>
    <t>RENATO TECIDOS LTDA</t>
  </si>
  <si>
    <t>RENATO</t>
  </si>
  <si>
    <t>RENDA PARTICIPACOES S/A</t>
  </si>
  <si>
    <t>RENDA</t>
  </si>
  <si>
    <t>RENE KUHLMAN</t>
  </si>
  <si>
    <t>RENTV S/A LOCADORA DE TELEVISORES</t>
  </si>
  <si>
    <t>RENTV S/A</t>
  </si>
  <si>
    <t>REQUINTE DE BUZIOS POUSADA LTDA - ME</t>
  </si>
  <si>
    <t>MARINA BUZIOS</t>
  </si>
  <si>
    <t>RESERVA PRAIA HOTEL LTDA - ME</t>
  </si>
  <si>
    <t>RESERVA PRAIA HOTEL</t>
  </si>
  <si>
    <t>RESID ILHA RASA LTDA</t>
  </si>
  <si>
    <t>RESID ILHA RASA</t>
  </si>
  <si>
    <t>RESORT MIRAMAR BRASIL LTDA</t>
  </si>
  <si>
    <t>GRAND OCA MARAGOGI</t>
  </si>
  <si>
    <t>RESTAURANTE FURMAN EIRELI - ME</t>
  </si>
  <si>
    <t>MOTEL ACQUA</t>
  </si>
  <si>
    <t>RESTAURANTE GERO LTDA</t>
  </si>
  <si>
    <t>RESTAURANTE ROUXINOL EIRELI - EPP</t>
  </si>
  <si>
    <t>HOTEL ROUXINOL</t>
  </si>
  <si>
    <t>RESTOQUE COMERCIO E CONFECCOES DE ROUPAS S/A</t>
  </si>
  <si>
    <t>DUDALINA</t>
  </si>
  <si>
    <t>RESULTS ASSESSORIA E ADMINISTRACAO LTDA</t>
  </si>
  <si>
    <t>TRAVEL INN BOULEVARD</t>
  </si>
  <si>
    <t>RF PARTICIPACOES E EMPREENDIMENTOS LTDA</t>
  </si>
  <si>
    <t>RF PARTICIPACOES</t>
  </si>
  <si>
    <t>RFSA REPRESENTACAO COMERCIAL LTDA - EPP</t>
  </si>
  <si>
    <t>RFSA REPRES (VHOUSE)</t>
  </si>
  <si>
    <t>RGF SERVICOS MEDICOS LTDA</t>
  </si>
  <si>
    <t>GRAZIELLY</t>
  </si>
  <si>
    <t>RH EMPREENDIMENTO IMOBILIÁRIOS LTDA</t>
  </si>
  <si>
    <t>RH EMPREENDIMENTO</t>
  </si>
  <si>
    <t>RH HOTELARIA LTDA</t>
  </si>
  <si>
    <t>ZAYA MOTEL</t>
  </si>
  <si>
    <t>RH2D INDUSTRIA E COMERCIO LTDA</t>
  </si>
  <si>
    <t>ILUMINA DECORACOES</t>
  </si>
  <si>
    <t>RIA HOTELARIA SUSTENTAVEL LTDA</t>
  </si>
  <si>
    <t>RESORT VILA GALE CAB</t>
  </si>
  <si>
    <t>Ricardo Costa Elias</t>
  </si>
  <si>
    <t>Ricardo Freitas da Silva</t>
  </si>
  <si>
    <t>Ricardo Freitas da S</t>
  </si>
  <si>
    <t>RICARDO GONÇALVES</t>
  </si>
  <si>
    <t>RICARDO GONÇALVES SANCHEZ</t>
  </si>
  <si>
    <t>POUSADA SAN ANTONIO</t>
  </si>
  <si>
    <t>RICARDO LOPES DELNERI</t>
  </si>
  <si>
    <t>RICARDO LOP.-TRIPLEX</t>
  </si>
  <si>
    <t>RICARDO ROCHA ALMADA</t>
  </si>
  <si>
    <t>RICARDO ROCHA (VHOUS</t>
  </si>
  <si>
    <t>RICCI &amp; BARTOLONI LIMITADA - ME</t>
  </si>
  <si>
    <t>RICCI &amp; BARTOLONI LI</t>
  </si>
  <si>
    <t>RICCIELLY STRASSACAPA</t>
  </si>
  <si>
    <t>RICCIELLY STRASSACAP</t>
  </si>
  <si>
    <t>RIFOLES PRAIA HOTEL LTDA.</t>
  </si>
  <si>
    <t>VOGAL LUXURY BEACH H</t>
  </si>
  <si>
    <t>RIO ATLANTICA HOTEL S/A</t>
  </si>
  <si>
    <t>HILTON COPACABANA</t>
  </si>
  <si>
    <t>RIO AVE COMERCIO E INDUSTRIA LTDA</t>
  </si>
  <si>
    <t>RIO AVE COMERCIO E I</t>
  </si>
  <si>
    <t>RIO INN ART E CAFE BARRA LTDA</t>
  </si>
  <si>
    <t>RIO INN ART E CAFE B</t>
  </si>
  <si>
    <t>RIO INN ART HOSPEDAGEM LTDA</t>
  </si>
  <si>
    <t>RIO INN</t>
  </si>
  <si>
    <t>RIO JV PARTNERS PARTICIPACOES LTDA</t>
  </si>
  <si>
    <t>GRAND HYATT RJ</t>
  </si>
  <si>
    <t>RIO PARAHYBA GUESTHOUSE EIRELI - ME</t>
  </si>
  <si>
    <t>RIO PARAHYBA GUESTHO</t>
  </si>
  <si>
    <t>RIO PRETO PARTNERS HOTEIS LTDA</t>
  </si>
  <si>
    <t>HYATT PLACE RIO PRET</t>
  </si>
  <si>
    <t>RIOBARRA EMPREENDIMENTOS IMOBILIARIOS LTDA</t>
  </si>
  <si>
    <t>RIO BARRA EMPREEND</t>
  </si>
  <si>
    <t>RITA CLAUDIA  JACCINTHO</t>
  </si>
  <si>
    <t>CLAUDIA  JACCINTHO</t>
  </si>
  <si>
    <t>RITA DE CASSIA COSTA CABIB EIRELI - EPP</t>
  </si>
  <si>
    <t>JU COSTTA</t>
  </si>
  <si>
    <t>Rita de Cassia Silva</t>
  </si>
  <si>
    <t>RITA DE CASSIA SIMOES</t>
  </si>
  <si>
    <t>RITA DE CASSIA SIMOE</t>
  </si>
  <si>
    <t>RITA PALMIERI</t>
  </si>
  <si>
    <t>RITA REGINA</t>
  </si>
  <si>
    <t>RIVIERA EMPREENDIMENTOS IMOBILIARIOS LTDA</t>
  </si>
  <si>
    <t>HILTON GARDEN INN</t>
  </si>
  <si>
    <t>RLA EMPREENDIMENTOS HOTELEIROS E PARTICIPACOES LTD</t>
  </si>
  <si>
    <t>SOFT MOTEL</t>
  </si>
  <si>
    <t>RM CONFECCOES E BRINDES LTDA - ME</t>
  </si>
  <si>
    <t>YUMI BRINDES E BOLSA</t>
  </si>
  <si>
    <t>RM LOJA VIRTUAL LTDA</t>
  </si>
  <si>
    <t>ROBERTA MAGALHAES</t>
  </si>
  <si>
    <t>ROANA LACERDA</t>
  </si>
  <si>
    <t>Roberta Interaminense</t>
  </si>
  <si>
    <t>Roberta Interaminens</t>
  </si>
  <si>
    <t>ROBERTA MAGALHAES MARIANI</t>
  </si>
  <si>
    <t>ROBERTA MAGALHAES MA</t>
  </si>
  <si>
    <t>Roberta Marques Lisboa ROCHA</t>
  </si>
  <si>
    <t>Roberta Marques Lisb</t>
  </si>
  <si>
    <t>ROBERTA ROHENKOHL</t>
  </si>
  <si>
    <t>Roberta Valverde</t>
  </si>
  <si>
    <t>ROBERTO GUTTMANN SERWACZAK SLOWINSKI</t>
  </si>
  <si>
    <t>ROBERTO GUTT ( VHOUS</t>
  </si>
  <si>
    <t>ROBERTO MIGUEL SIQUEIRA</t>
  </si>
  <si>
    <t>MORADA DAS ILHAS</t>
  </si>
  <si>
    <t>RODOLFO ELSAS</t>
  </si>
  <si>
    <t>RODRIGO COLSATO DA SILVA</t>
  </si>
  <si>
    <t>RODRIGO</t>
  </si>
  <si>
    <t>RODRIGO GALVÃO</t>
  </si>
  <si>
    <t>RODRIGO INFANTE - ME</t>
  </si>
  <si>
    <t>CLEARTEX LAVANDERIA</t>
  </si>
  <si>
    <t>RODRIGO VOLPONI</t>
  </si>
  <si>
    <t>Rodrigo Wegner</t>
  </si>
  <si>
    <t>RODRIGUES DE MOURA ASSESSORIA EMPRESARIAL EIRELI</t>
  </si>
  <si>
    <t>PROSPER EXECUTIVE HO</t>
  </si>
  <si>
    <t>ROJEMAC IMPORTACAO E EXPORTACAO LIMITADA</t>
  </si>
  <si>
    <t>ROJEMAC</t>
  </si>
  <si>
    <t>ROMA SERVICOS DE RESTAURACAO, CONSTRUCAO E ADMINIS</t>
  </si>
  <si>
    <t>TIVOLI BELEM</t>
  </si>
  <si>
    <t>ROMAIN VILLE MOTEL LTDA</t>
  </si>
  <si>
    <t>APPLE MOTEL</t>
  </si>
  <si>
    <t>ROMILIA ALMEIDA</t>
  </si>
  <si>
    <t>ROMILDA ALMEIDA</t>
  </si>
  <si>
    <t>ROSA DO SOL TURISMO LTDA</t>
  </si>
  <si>
    <t>GUNGA PORANGA HOTEL</t>
  </si>
  <si>
    <t>Rosana Aparecida Gravato</t>
  </si>
  <si>
    <t>Rosana Aparecida Gra</t>
  </si>
  <si>
    <t>Rosana F.C. Alves</t>
  </si>
  <si>
    <t>Rosana Lopes Amancio do Nascimento</t>
  </si>
  <si>
    <t>Rosana Lopes Amancio</t>
  </si>
  <si>
    <t xml:space="preserve">ROSANA MARIA MAIOLINO VOLPE
</t>
  </si>
  <si>
    <t>ROSANA</t>
  </si>
  <si>
    <t>Rosana Martins</t>
  </si>
  <si>
    <t>Rosana Santos</t>
  </si>
  <si>
    <t>ROSANGELA BOTASSO</t>
  </si>
  <si>
    <t>ROSANGELA DALCOLMO</t>
  </si>
  <si>
    <t>ROSANGELA JOHANNPETER</t>
  </si>
  <si>
    <t>ROSANGELA JOHANNPETE</t>
  </si>
  <si>
    <t>ROSANNA MEHLER</t>
  </si>
  <si>
    <t>Roseli De Oliveira Correa Cruz</t>
  </si>
  <si>
    <t>Roseli De Oliveira C</t>
  </si>
  <si>
    <t>ROSELI PAVARINA</t>
  </si>
  <si>
    <t>Roseli Santos</t>
  </si>
  <si>
    <t>ROSELI SCHILAGI</t>
  </si>
  <si>
    <t>ROSENE TEREZINHA</t>
  </si>
  <si>
    <t>ROSENILDA AMADO DOS SANTOS</t>
  </si>
  <si>
    <t>ROSENILDA AMADO DOS</t>
  </si>
  <si>
    <t>ROSIMAR DE ALMEIDA CABRAL</t>
  </si>
  <si>
    <t>ROSIMAR DE ALMEIDA C</t>
  </si>
  <si>
    <t>ROVEDA HOTEIS LTDA</t>
  </si>
  <si>
    <t>ZAYA</t>
  </si>
  <si>
    <t>BANGALO MOTEL (ZAYA)</t>
  </si>
  <si>
    <t>ROYAL OLIMPIA ADMINISTRADORA HOTELEIRA E PARTICIPA</t>
  </si>
  <si>
    <t>ROYAL OLIMPIA</t>
  </si>
  <si>
    <t>ROYAL PALM OPERADORA HOTELEIRA LTDA</t>
  </si>
  <si>
    <t>ROYAL INDAIATUBA</t>
  </si>
  <si>
    <t>ROYAL PALM OPERADORA</t>
  </si>
  <si>
    <t>ROYAL PALM OPERADORA HOTELEIRA LTDA - ANHANGUERA</t>
  </si>
  <si>
    <t>ROYAL PALM ANHANGUER</t>
  </si>
  <si>
    <t>ROYAL TOWERS S/A</t>
  </si>
  <si>
    <t>ROYAL  SAVASSI</t>
  </si>
  <si>
    <t>RRMV SERVICOS EIRELI</t>
  </si>
  <si>
    <t>ROOTS RESORT</t>
  </si>
  <si>
    <t>RS RESORT LTDA</t>
  </si>
  <si>
    <t>CHALÉ DOS LAGOS</t>
  </si>
  <si>
    <t>RSF ORGANIZAÇÃO DE EVENTOS E EXPOSIÇÕES EIRELI</t>
  </si>
  <si>
    <t>RSF ORGANIZAÇÃO DE E</t>
  </si>
  <si>
    <t>RUACH EMPREENDIMENTOS LTDA - ME</t>
  </si>
  <si>
    <t>DOLPHIN HOTEL</t>
  </si>
  <si>
    <t>RUBENS MARCONDES PEREIRA SOBRINHO</t>
  </si>
  <si>
    <t>RUBENS MARCON (VHOUS</t>
  </si>
  <si>
    <t>RUBIA BARBOSA CHAVES</t>
  </si>
  <si>
    <t>RUBIA BARBOSA</t>
  </si>
  <si>
    <t>RUDIBERTO ZINI POUSADA</t>
  </si>
  <si>
    <t>POUSADA RECANTO DO L</t>
  </si>
  <si>
    <t>Ruth Maria Pereira Ono</t>
  </si>
  <si>
    <t>Ruth Maria Pereira O</t>
  </si>
  <si>
    <t>RUTLAND BRASIL ADMINISTRACAO HOTELEIRA LTDA</t>
  </si>
  <si>
    <t>CASA MARQUES</t>
  </si>
  <si>
    <t>RV HOTEIS LTDA - EPP</t>
  </si>
  <si>
    <t>KAETÉ</t>
  </si>
  <si>
    <t>S R L COSMO UTILIDADES E SERVICOS - EPP</t>
  </si>
  <si>
    <t>DISBAL</t>
  </si>
  <si>
    <t>S. M. HOTEL SAO JOSE DOS CAMPOS LTDA - ME</t>
  </si>
  <si>
    <t>SAN MARCO HOTEL</t>
  </si>
  <si>
    <t>S. T. R. B. DA SILVA - ME</t>
  </si>
  <si>
    <t>CASARAO VILLA DO IMP</t>
  </si>
  <si>
    <t>SABRINA ENXOVAIS LTDA ME</t>
  </si>
  <si>
    <t>SABRINA</t>
  </si>
  <si>
    <t>SABRINA MAIA</t>
  </si>
  <si>
    <t>Sabrina Picoli</t>
  </si>
  <si>
    <t>Sabrinna Ferreira Davila</t>
  </si>
  <si>
    <t>Sabrinna Ferreira Da</t>
  </si>
  <si>
    <t>SAINT MERRI BRASIL LTDA.</t>
  </si>
  <si>
    <t>SAINT MERRI</t>
  </si>
  <si>
    <t>SAINT TROPEZ PRAIA HOTEL EIRELI - EPP</t>
  </si>
  <si>
    <t>SAINT TROPEZ PRAIA</t>
  </si>
  <si>
    <t>SAITER HOTEIS LTDA</t>
  </si>
  <si>
    <t>QUALITY AEROPORTO VI</t>
  </si>
  <si>
    <t>SALAO DUE LTDA</t>
  </si>
  <si>
    <t>DUE</t>
  </si>
  <si>
    <t>SALDANHA EMPREENDIMENTOS TURISTICOS EIRELI - ME</t>
  </si>
  <si>
    <t>RESERVA DO PATACHO</t>
  </si>
  <si>
    <t>SALEH POUSADA DO LAGO LTDA-ME</t>
  </si>
  <si>
    <t>POUSADA DO LAGO</t>
  </si>
  <si>
    <t>Samanta Lana Fernandes</t>
  </si>
  <si>
    <t>Samanta Lana Fernand</t>
  </si>
  <si>
    <t>SAMILA CHAMPOSKI</t>
  </si>
  <si>
    <t>SAMURAI ADMINISTRACAO E SERVICOS DE HOTELARIA LTDA</t>
  </si>
  <si>
    <t>MARINA ALL SUITES</t>
  </si>
  <si>
    <t>SAND BUZIOS HOTEL LTDA</t>
  </si>
  <si>
    <t>SAND BUZIOS HOTEL</t>
  </si>
  <si>
    <t>SANDRA ALVES PEDRO MACHADO</t>
  </si>
  <si>
    <t>SANDRA ALVES PEDRO</t>
  </si>
  <si>
    <t>SANDRA BRAND</t>
  </si>
  <si>
    <t>SANDRA CRISTINA FILGUEIRAS DE ALMEIDA</t>
  </si>
  <si>
    <t>SANDRA CRISTINA FILG</t>
  </si>
  <si>
    <t>SANDRA CRISTINA RIBEIRO</t>
  </si>
  <si>
    <t>SANDRA CRISTINA RIBE</t>
  </si>
  <si>
    <t>SANDRA FREITAS</t>
  </si>
  <si>
    <t>SANDRA GONZAGA DE OLIVEIRA</t>
  </si>
  <si>
    <t>SANDRA GONZ ( VHOSE</t>
  </si>
  <si>
    <t>Sandra Magalhaes Kool Monteiro</t>
  </si>
  <si>
    <t>Sandra Magalhaes Koo</t>
  </si>
  <si>
    <t>Sandra mara Badini nacif</t>
  </si>
  <si>
    <t>Sandra mara Badini n</t>
  </si>
  <si>
    <t>SANDRA MARIA PASSOS ALMEIDA - EPP</t>
  </si>
  <si>
    <t>CARRANCA GRANDE HOTE</t>
  </si>
  <si>
    <t>Sandra matoso</t>
  </si>
  <si>
    <t>SANDRA MELRO</t>
  </si>
  <si>
    <t>SANDRA MESSIAS NEVES</t>
  </si>
  <si>
    <t>SANDRA PAIVA</t>
  </si>
  <si>
    <t>SANDRA</t>
  </si>
  <si>
    <t>SANDRA REGINA DA SILVA RIBEIRO</t>
  </si>
  <si>
    <t>SANDRA REGINA DA SIL</t>
  </si>
  <si>
    <t>Sandra Regina Marcheti Veiga</t>
  </si>
  <si>
    <t>Sandra Regina Marche</t>
  </si>
  <si>
    <t>SANDRA SANCHES SOLLITO</t>
  </si>
  <si>
    <t>SANDRA SANCHES SOLLI</t>
  </si>
  <si>
    <t>SANE MARIA CARVALHO DA CUNHA</t>
  </si>
  <si>
    <t>SANE MARIA CARVALHO</t>
  </si>
  <si>
    <t>SANGALETTI CONSULTORIA, PLANEJAMENTO E CONSTRUCAO</t>
  </si>
  <si>
    <t>SANGALETTI CONSULTOR</t>
  </si>
  <si>
    <t>Sansa Akegawa</t>
  </si>
  <si>
    <t>SANTA INN HOTEL EIRELI EPP</t>
  </si>
  <si>
    <t>SANTA INN HOTEL</t>
  </si>
  <si>
    <t>SANTA VIVIANE PARTICIPACOES EIRELI</t>
  </si>
  <si>
    <t>SANTA VIVIANE PARTIC</t>
  </si>
  <si>
    <t>SANTIAGO PRADO PARENTES FORTES</t>
  </si>
  <si>
    <t>SANTIAGO PRADO (VHOU</t>
  </si>
  <si>
    <t>SANTO ALEIXO EMPREENDIMENTOS AGROPECUARIOS LTDA</t>
  </si>
  <si>
    <t>SANTO ALEIXO EMPREEN</t>
  </si>
  <si>
    <t>SANTOS &amp; MAROS LTDA</t>
  </si>
  <si>
    <t>SÃO LUIZ CAMPINAS - REDE DOR</t>
  </si>
  <si>
    <t>SAO LUIZ CAMPINAS</t>
  </si>
  <si>
    <t>SÃO LUIZ HOTELARIA LTDA</t>
  </si>
  <si>
    <t>FAZENDA SÃO LUIZ</t>
  </si>
  <si>
    <t>SAO SEBASTIAO DO RIO DE JANEIRO ADMINISTRACAO DE R</t>
  </si>
  <si>
    <t>FASANO RIO RESTAURAN</t>
  </si>
  <si>
    <t>SAO SEBASTIAO DO RIO DE JANEIRO ADMINISTRADORA HOT</t>
  </si>
  <si>
    <t>FASANO RIO</t>
  </si>
  <si>
    <t>SARA BEATRIZ VOLPATO</t>
  </si>
  <si>
    <t>SARA VOLPATO INTERIO</t>
  </si>
  <si>
    <t>Sara Dantas</t>
  </si>
  <si>
    <t>Sara Stefany Martins Silva</t>
  </si>
  <si>
    <t>Sara Stefany Martins</t>
  </si>
  <si>
    <t>Sarah</t>
  </si>
  <si>
    <t>SARAH</t>
  </si>
  <si>
    <t>Sarah Carneiro</t>
  </si>
  <si>
    <t>SARAH CHAVES</t>
  </si>
  <si>
    <t>SATELITAL BRASIL COMERCIO LTDA</t>
  </si>
  <si>
    <t>MARY KAY - MATRIZ</t>
  </si>
  <si>
    <t>SAUIPE S/A</t>
  </si>
  <si>
    <t>SBE ENT HOLDINGS LLC</t>
  </si>
  <si>
    <t>HOTEL OPENINGS</t>
  </si>
  <si>
    <t>SCHIER HAUS EMPREENDIMENTOS HOTELEIROS LTDA</t>
  </si>
  <si>
    <t>HOTEL WOOD</t>
  </si>
  <si>
    <t>SCM EMPREENDIMENTOS E PARTICIPAÇÕES LTDA.</t>
  </si>
  <si>
    <t>SCM</t>
  </si>
  <si>
    <t>SCP ADMINISTRADORA HOTEL PAMPULHA</t>
  </si>
  <si>
    <t>QUALITY PAMPULHA</t>
  </si>
  <si>
    <t>SEAGRASS SERVICOS DE SPA E BELEZA LTDA.</t>
  </si>
  <si>
    <t>AIGAI SPA</t>
  </si>
  <si>
    <t>SEAMAR HOTEIS LTDA - ME</t>
  </si>
  <si>
    <t>HOTEL SEAMAR</t>
  </si>
  <si>
    <t>SEARCH HOTEL</t>
  </si>
  <si>
    <t>BUZIOS MAR HOTEL</t>
  </si>
  <si>
    <t>SEBASTIÃO RODRIGUES DE SOUZA CHURRASCARIA</t>
  </si>
  <si>
    <t>VILA REAL APART HOTE</t>
  </si>
  <si>
    <t>SECRETO LUXURY BOUTIQUE LTDA</t>
  </si>
  <si>
    <t>SECRETO LUXURY</t>
  </si>
  <si>
    <t>SEEDS TERAPIAS INTEGRATIVAS LTDA</t>
  </si>
  <si>
    <t>SEEDS TERAPIAS</t>
  </si>
  <si>
    <t>SEI PRESTACAO DE SERVICOS LTDA</t>
  </si>
  <si>
    <t>SEI NOVO NEGOCIO 24</t>
  </si>
  <si>
    <t>SELETA DISTRIBUIDORA E ATACADO LTDA</t>
  </si>
  <si>
    <t>SELETA DISTRIBUIDORA</t>
  </si>
  <si>
    <t>SELMA IGNES JACOVACCI ALVES FERREIRA</t>
  </si>
  <si>
    <t>SELMA IGNES JACOVACC</t>
  </si>
  <si>
    <t>SELMA ILIANA DA SILVA - ME</t>
  </si>
  <si>
    <t>SELMA</t>
  </si>
  <si>
    <t>Selma Maria Carneiro Bisi</t>
  </si>
  <si>
    <t>Selma Maria Carneiro</t>
  </si>
  <si>
    <t>SERENITAS BEACH HOUSE LTDA</t>
  </si>
  <si>
    <t>SERENITAS BEACH</t>
  </si>
  <si>
    <t>SERGIO LUIS CAMPOS DE MORAIS - ME</t>
  </si>
  <si>
    <t>ADESSO KIDS</t>
  </si>
  <si>
    <t>SERGIO LUIZ DOTTA</t>
  </si>
  <si>
    <t>SERGIO MARTINEZ CARO &amp; CIA LTDA</t>
  </si>
  <si>
    <t>HOTEL RESID APPEL</t>
  </si>
  <si>
    <t>SERRA AZUL PLAZA HOTEL LRDA - ME</t>
  </si>
  <si>
    <t>SERRA AZUL PLAZA</t>
  </si>
  <si>
    <t>SERRA GRANDE EMPREENDIMENTOS TURISTICOS SA</t>
  </si>
  <si>
    <t>SERRA GRANDE</t>
  </si>
  <si>
    <t>SERRA HOTELARIA E HOSPEDAGEM LTDA</t>
  </si>
  <si>
    <t>VILLAGES MOTEL(SERRA</t>
  </si>
  <si>
    <t>SERRAMAR HOTELARIA E SERVICOS LTDA</t>
  </si>
  <si>
    <t>SERRAMAR HOTELARIA</t>
  </si>
  <si>
    <t>SERVICO NACIONAL DE APRENDIZAGEM COMERCIAL</t>
  </si>
  <si>
    <t>HOTEL SENAC MATO GRO</t>
  </si>
  <si>
    <t>SERVICO NACIONAL DE APRENDIZAGEM COMERCIAL SENAC</t>
  </si>
  <si>
    <t>GRANDE HOTEL S PEDRO</t>
  </si>
  <si>
    <t>GRANDE HOTEL SENAC</t>
  </si>
  <si>
    <t>SERVICO SOCIAL DO COMERCIO - ADMINISTRACAO REGIONA</t>
  </si>
  <si>
    <t>SESC MINAS GERAIS</t>
  </si>
  <si>
    <t>SH SAO PAULO MEMBERS CLUB LTDA</t>
  </si>
  <si>
    <t>SOHO HOTEL</t>
  </si>
  <si>
    <t>SHAIANY DE MELO CARVALHO</t>
  </si>
  <si>
    <t>SHAIANY DE MELO CARV</t>
  </si>
  <si>
    <t>SHEILA DA MATA</t>
  </si>
  <si>
    <t>SHEILA MARTINS FERREIRA</t>
  </si>
  <si>
    <t>SHEILA MARTINS</t>
  </si>
  <si>
    <t>SHEILA MEIRA DA SILVA</t>
  </si>
  <si>
    <t>SHEILA MEIRA DA SILV</t>
  </si>
  <si>
    <t>Sheila Vasconcelos Da Silva</t>
  </si>
  <si>
    <t>Sheila Vasconcelos D</t>
  </si>
  <si>
    <t>SHEYLA KESIA LUCIANA MENDES REIA</t>
  </si>
  <si>
    <t>SHEYLA</t>
  </si>
  <si>
    <t>Shirlaine souza</t>
  </si>
  <si>
    <t>SHOPPING CENTER COSTA DOURADA S/A</t>
  </si>
  <si>
    <t>INTERCITY SUAPE</t>
  </si>
  <si>
    <t>Sidnei</t>
  </si>
  <si>
    <t>SIGNATURE BOUTIQUE LTDA</t>
  </si>
  <si>
    <t>LOJA HOTEL CATARATAS</t>
  </si>
  <si>
    <t>Silas Rodrigues Ferreira</t>
  </si>
  <si>
    <t>Silas Rodrigues Ferr</t>
  </si>
  <si>
    <t>SILMARA RUMAN ENXOVAIS</t>
  </si>
  <si>
    <t>SILMARA BEBE</t>
  </si>
  <si>
    <t>SILVA E ONOFRE LTDA</t>
  </si>
  <si>
    <t>Silvana Maiara Roedel</t>
  </si>
  <si>
    <t>Silvana Maiara Roede</t>
  </si>
  <si>
    <t>SILVANA OTAVIANA DOS SANTOS PAIXÃO</t>
  </si>
  <si>
    <t>SILVANA OTAVIANA DO</t>
  </si>
  <si>
    <t>Silvia Define</t>
  </si>
  <si>
    <t>SILVIA HELENA BARREIROS UBATUBA - EPP</t>
  </si>
  <si>
    <t>SILVIA HELENA BARREI</t>
  </si>
  <si>
    <t>SILVIA LEYSER</t>
  </si>
  <si>
    <t>SILVIA LEYSER (SITE)</t>
  </si>
  <si>
    <t>Silvia Povoa</t>
  </si>
  <si>
    <t>SIMONE SALEH</t>
  </si>
  <si>
    <t>SINATRA BRAZIL PARTICIPACOES S.A.</t>
  </si>
  <si>
    <t>RESID INC</t>
  </si>
  <si>
    <t>SINTTA STAY LTDA</t>
  </si>
  <si>
    <t>SINTTA STAY</t>
  </si>
  <si>
    <t>SIQUINI EDITORIAL E EVENTHOS LTDA - EPP</t>
  </si>
  <si>
    <t>SIQUINI</t>
  </si>
  <si>
    <t>SISTEMA ITALIANO LAVASECCO LTDA - EPP</t>
  </si>
  <si>
    <t>TRUMP</t>
  </si>
  <si>
    <t>SK AUTOMOTIVE S/A - DISTRIBUIDORA DE AUTOPECAS</t>
  </si>
  <si>
    <t>SK</t>
  </si>
  <si>
    <t>SKYLINE WORLDWIDE CONSULTORIA E GESTAO DE ACOMODAC</t>
  </si>
  <si>
    <t>SKYLINE WORLDWIDE -</t>
  </si>
  <si>
    <t>SLAVIERO EMPREENDIMENTOS HOTELEIROS LTDA</t>
  </si>
  <si>
    <t>SLAVIERO EMPREENDIME</t>
  </si>
  <si>
    <t>SLAVIERO CURITIBA</t>
  </si>
  <si>
    <t>SLS RECANTO DA BELEZA LTDA</t>
  </si>
  <si>
    <t>SLS RECANTO DA BELEZ</t>
  </si>
  <si>
    <t>SMART &amp; CHARM COMERCIO EXTERIOR LTDA</t>
  </si>
  <si>
    <t>SMART &amp; CHARM COMERC</t>
  </si>
  <si>
    <t>SMILE DESIGN CONSULTORIO ODONTOLOGICO LTDA.</t>
  </si>
  <si>
    <t>SMILE DESIGN</t>
  </si>
  <si>
    <t>SMJ - CONSTRUTORA &amp; TERRAPLENAGEM - EIRELI</t>
  </si>
  <si>
    <t>SM CONSTRUTORA</t>
  </si>
  <si>
    <t>SNC DO BRASIL COMERCIO DE EQUIPAMENTOS EIRELI</t>
  </si>
  <si>
    <t>TOTAL BABY STORE</t>
  </si>
  <si>
    <t>SOBRADO DA VILA EMPREENDIMENTOS TURISTICOS LTDA -</t>
  </si>
  <si>
    <t>SOBRADO DA VILA</t>
  </si>
  <si>
    <t>SOC BENEFICENTE DE SENHORAS HOSPITAL SIRIO LIBANE</t>
  </si>
  <si>
    <t>SIRIO LIBANES</t>
  </si>
  <si>
    <t>SOC PORTUGUESA DE BENEFICENCIA DE SANTO ANDRE</t>
  </si>
  <si>
    <t>HOSP. SANTO ANDRE</t>
  </si>
  <si>
    <t>SOCETE - HOLDING PATRIMONIAL LTDA</t>
  </si>
  <si>
    <t>SOCETE HOLDING PATRI</t>
  </si>
  <si>
    <t>SOCIEDADE BEIRA RIO DE HOTEIS E TURISMO LTDA</t>
  </si>
  <si>
    <t>POUSADA PARDIEIRO</t>
  </si>
  <si>
    <t>SOCIEDADE BENEFICENTE DE SENHORAS - HOSPITAL SIRIO</t>
  </si>
  <si>
    <t>SIRIO LIBANES DF</t>
  </si>
  <si>
    <t>SÍRIO LIBANÊS CONSOL</t>
  </si>
  <si>
    <t>SOCIEDADE BENF ISRAELITABRAS HOSPITAL ALBERT EISTE</t>
  </si>
  <si>
    <t>HOSP ALBERT EINSTEIN</t>
  </si>
  <si>
    <t>SOCIEDADE DE ESTUDOS CIENTIFICOS CULTURAIS E ARTIS</t>
  </si>
  <si>
    <t>ANA WISTUBA</t>
  </si>
  <si>
    <t>SOCIEDADE ESPORTIVA PALMEIRAS</t>
  </si>
  <si>
    <t>CLUBE PALMEIRAS</t>
  </si>
  <si>
    <t>SOCIEDADE HOTELEIRA PRACA CASTRO ALVES S/A</t>
  </si>
  <si>
    <t>FASANO SALVADOR</t>
  </si>
  <si>
    <t>SOCIMED SERVICOS HOSPITALARES LTDA</t>
  </si>
  <si>
    <t>SOCIMED SERVIÇOS</t>
  </si>
  <si>
    <t>SOFIA BRANDAO</t>
  </si>
  <si>
    <t>SOFISTIC HOTEIS CNA LTDA</t>
  </si>
  <si>
    <t>SOFISTIC HOTEIS CNA</t>
  </si>
  <si>
    <t>SOL A SOL LAVANDERIA E PASSADORIA LTDA - ME</t>
  </si>
  <si>
    <t>SOL A SOL LAVANDERIA</t>
  </si>
  <si>
    <t>SOL MORENCO</t>
  </si>
  <si>
    <t>SOLAR DO IMPERIO HOTEL E RESTAURANTE LTDA.</t>
  </si>
  <si>
    <t>SOLAR DO IMPERIO 2</t>
  </si>
  <si>
    <t>SOLIDEZ SEGURANCA E VIGILANCIA LTDA</t>
  </si>
  <si>
    <t>SOLIDEZ SEGURANCA E</t>
  </si>
  <si>
    <t>SOLUCAO CERAMICA COMERCIO LTDA</t>
  </si>
  <si>
    <t>PORTO BELLO SHOP GAB</t>
  </si>
  <si>
    <t>SONHO DO CEU VESTUARIO LTDA ME</t>
  </si>
  <si>
    <t>SONHO DO CEU</t>
  </si>
  <si>
    <t>SONIA</t>
  </si>
  <si>
    <t>SONIA REGINA BATISTA</t>
  </si>
  <si>
    <t>SONIA REGINA</t>
  </si>
  <si>
    <t>SOPHIA CORAZZA</t>
  </si>
  <si>
    <t>SORMANE SILVA DE ARAUJO</t>
  </si>
  <si>
    <t>SORMANE</t>
  </si>
  <si>
    <t>SOROCABA PARK HOTEL LTDA</t>
  </si>
  <si>
    <t>GRUPO ACME</t>
  </si>
  <si>
    <t>SOTEL CANELA LTDA</t>
  </si>
  <si>
    <t>SOTEL CANELA</t>
  </si>
  <si>
    <t>SOTEL HOTELARIA MACEIO LTDA</t>
  </si>
  <si>
    <t>SOTEL MACEIO</t>
  </si>
  <si>
    <t>SP MIDIA LTDA</t>
  </si>
  <si>
    <t>NUTRIGESTON</t>
  </si>
  <si>
    <t>SPA CHANDRA GARUDA LTDA</t>
  </si>
  <si>
    <t>SPA CHANDRA GARUDA L</t>
  </si>
  <si>
    <t>SPA CHANDRA GARUDA LTDA - EPP</t>
  </si>
  <si>
    <t>SPA FASANO SP</t>
  </si>
  <si>
    <t>SPA FAORO LTDA - ME</t>
  </si>
  <si>
    <t>SPA FAORO</t>
  </si>
  <si>
    <t>SPAVENTURA HOTELARIA E EVENTOS LTDA</t>
  </si>
  <si>
    <t>FAZENDA MORROS VERDE</t>
  </si>
  <si>
    <t>SPAZIO IPANEMA LTDA</t>
  </si>
  <si>
    <t>SPAZIO ASSOCIADOS</t>
  </si>
  <si>
    <t>SPAZIO RESIDENCIAL LTDA</t>
  </si>
  <si>
    <t>SPAZIO RESIDENCIAL</t>
  </si>
  <si>
    <t>SPCIA 01 - EMPREENDIMENTO IMOBILIARIO LTDA.</t>
  </si>
  <si>
    <t>OR SP34(PADRAO ARGIL</t>
  </si>
  <si>
    <t>SPCIA 03 - EMPREENDIMENTO IMOBILIARIO LTDA.</t>
  </si>
  <si>
    <t>PADRAO ARGIL - ROYAL</t>
  </si>
  <si>
    <t>SPE CACHOEIRO RESIDENCE HOTEL LTDA</t>
  </si>
  <si>
    <t>CACHOEIRO RESIDENCE</t>
  </si>
  <si>
    <t>SPE JFL VO699 EMPREENDIMENTO IMOBILIARIO S.A.</t>
  </si>
  <si>
    <t>VO699 EMPREENDIMENTO</t>
  </si>
  <si>
    <t>SPE PORTUGAL EMPREENDIMENTOS E INVESTIMENTOS IMOBI</t>
  </si>
  <si>
    <t>HOTEL CLARION GOIANI</t>
  </si>
  <si>
    <t>SPE PORTUGAL HOTEL EMPREENDIMENTOS IMOBILIARIOS LT</t>
  </si>
  <si>
    <t>HOTEL ORION GOIANIA</t>
  </si>
  <si>
    <t>SPORTSWORLD EVENTOS LTDA</t>
  </si>
  <si>
    <t>SPORTSWORLD RJ</t>
  </si>
  <si>
    <t>SQUARE FARIA LIMA EMPREENDIMENTOS SPE LTDA</t>
  </si>
  <si>
    <t>BUCK ENGENHARIA</t>
  </si>
  <si>
    <t>SQUID DIGITAL MEDIA CHANNEL LTDA - ME</t>
  </si>
  <si>
    <t>SR ENXOVAIS PERSONALIZADOS LTDA</t>
  </si>
  <si>
    <t>CASA ELEGANCE</t>
  </si>
  <si>
    <t>SSTT GROUP GESTAO EMPRESARIAL EIRELI</t>
  </si>
  <si>
    <t>REGINA SEGUI</t>
  </si>
  <si>
    <t>ST HUBERTUS HOTEIS DE TURISMO LTDA - EPP</t>
  </si>
  <si>
    <t>ST HUBERTUS HOTEIS</t>
  </si>
  <si>
    <t>STA CURSOS LTDA - ME</t>
  </si>
  <si>
    <t>CASA DE PERAINDA</t>
  </si>
  <si>
    <t>STATE GRID BRAZIL HOLDING S.A.</t>
  </si>
  <si>
    <t>STATE GRID</t>
  </si>
  <si>
    <t>Ste Vieira</t>
  </si>
  <si>
    <t>STEPHANIE</t>
  </si>
  <si>
    <t>STEPHANIE BASSO</t>
  </si>
  <si>
    <t>STEPHANIE GERMANO</t>
  </si>
  <si>
    <t>STEPHANUS LAVANDERIA LTDA</t>
  </si>
  <si>
    <t>QUALITY CLEANERS</t>
  </si>
  <si>
    <t>STOCK CLINICA MEDICA LTDA</t>
  </si>
  <si>
    <t>HOSPITAL ONE DAY</t>
  </si>
  <si>
    <t>STUDIO DO SONO RDB COLCHOES E DECORACOES LTDA - ME</t>
  </si>
  <si>
    <t>STUDIO DO SONO</t>
  </si>
  <si>
    <t>STUDIO KOTI CONSTRUCAO E DECORACAO LTDA</t>
  </si>
  <si>
    <t>STUDIO KOTI</t>
  </si>
  <si>
    <t>STUDIO N MOBILI DESIGN - EIRELI - EPP</t>
  </si>
  <si>
    <t>STUDIO N MOBILI DESI</t>
  </si>
  <si>
    <t>SUELI JURADO</t>
  </si>
  <si>
    <t>SUELI RIBEIRO DE ABREU</t>
  </si>
  <si>
    <t>SUELI RIBEIRO DE ABR</t>
  </si>
  <si>
    <t>SUELLEN MATOS PEREIRA</t>
  </si>
  <si>
    <t>SUELLEN MATOS PEREIR</t>
  </si>
  <si>
    <t>Suellen Santos Mendes Vuolo</t>
  </si>
  <si>
    <t>Suellen Santos Mende</t>
  </si>
  <si>
    <t>SUITE HOTEL LTDA - ME</t>
  </si>
  <si>
    <t>HOTEL TUR -MOTE NIJA</t>
  </si>
  <si>
    <t>SUITES CONDOMINIUM</t>
  </si>
  <si>
    <t>QUALITY HOTEL</t>
  </si>
  <si>
    <t>SUMA BEACH CLUBE LTDA.</t>
  </si>
  <si>
    <t>NANO BEACH CLUBE</t>
  </si>
  <si>
    <t>SUMAYA GOMES DA SILVA</t>
  </si>
  <si>
    <t>SUMAYA GOMES DA SILV</t>
  </si>
  <si>
    <t>SUPERMERCADO ALABARCE LTDA</t>
  </si>
  <si>
    <t>SUPERMERCADO ALABARC</t>
  </si>
  <si>
    <t>SUPPORT ADMINISTRACAO E SERVICOS S/S LTDA</t>
  </si>
  <si>
    <t>HOLIDAY INN FORTALEZ</t>
  </si>
  <si>
    <t>SURYA-PAN EMPREENDIMENTOS LTDA.</t>
  </si>
  <si>
    <t>SURYA-PAN</t>
  </si>
  <si>
    <t>SUSANA SCHAUSTZ</t>
  </si>
  <si>
    <t>Susanny Costa Vidal Resende</t>
  </si>
  <si>
    <t>Susanny Costa Vidal</t>
  </si>
  <si>
    <t>SUSYE BARBOSA</t>
  </si>
  <si>
    <t>Suzana Batista Comissario Oliveira</t>
  </si>
  <si>
    <t>Suzana Batista Comis</t>
  </si>
  <si>
    <t>Suzana Garcia</t>
  </si>
  <si>
    <t>Suzane Araujo Florindo</t>
  </si>
  <si>
    <t>Suzane Araujo Florin</t>
  </si>
  <si>
    <t>Suzi Mary Caresia</t>
  </si>
  <si>
    <t>SVANHILT BENKE</t>
  </si>
  <si>
    <t>WEE HOTELARIA</t>
  </si>
  <si>
    <t>SWEDEN EMPREEENDIMENTOS IMOBILIARIOS E HOTELARIA</t>
  </si>
  <si>
    <t>BARRACUDA BOUTIQUE H</t>
  </si>
  <si>
    <t>SWEDEN EMPREENDIMENTOS IMOBILIARIOS E HOTELARIA LT</t>
  </si>
  <si>
    <t>POUS VILA BARRACUDA</t>
  </si>
  <si>
    <t>SWEET PEA COMERCIO DE ROUPAS E OBJETOS PARA CASA L</t>
  </si>
  <si>
    <t>SWEET</t>
  </si>
  <si>
    <t>T R TRIDICO REPRESENTANTE PRODUTOS MEDICOS-HOSPITA</t>
  </si>
  <si>
    <t>T R TRIDICO REPRESEN</t>
  </si>
  <si>
    <t>T&amp;C DECORACOES LTDA</t>
  </si>
  <si>
    <t>LURI DECORACOES</t>
  </si>
  <si>
    <t>T. W. GUAIMBE - EXCLUSIVE SUITES HOTEL LTDA - ME</t>
  </si>
  <si>
    <t>TW GAIMBÊ EXCLUSIVE</t>
  </si>
  <si>
    <t>T.R.DE SOUZA ARTIGOS INFANTIS LTDA</t>
  </si>
  <si>
    <t>SONHO DE BEBE</t>
  </si>
  <si>
    <t>T2 ALBUQUERQUE COMERCIO LTDA</t>
  </si>
  <si>
    <t>Taiane de Oliveira Jacobina</t>
  </si>
  <si>
    <t>Taiane de Oliveira J</t>
  </si>
  <si>
    <t>TAINAH OLIVEIRA</t>
  </si>
  <si>
    <t>TAIS DE ARAUJO GOMES</t>
  </si>
  <si>
    <t>TAIS MOREIRA DE MELO BUOZI</t>
  </si>
  <si>
    <t>TAIS MOREIRA DE MELO</t>
  </si>
  <si>
    <t>Tais Resende</t>
  </si>
  <si>
    <t>TALITA DE CASTRO BORGES SOUSA</t>
  </si>
  <si>
    <t>TALITA DE CASTRO BOR</t>
  </si>
  <si>
    <t>Talita Domingues Papa</t>
  </si>
  <si>
    <t>Talita Domingues Pap</t>
  </si>
  <si>
    <t>TALITA GOMES</t>
  </si>
  <si>
    <t>TALJ EMPREENDIMENTOS E PARTICIPACOES LTDA</t>
  </si>
  <si>
    <t>DUNAS UP MOTEL - MZL</t>
  </si>
  <si>
    <t>TAM AVIACAO EXECUTIVA E TAXI AEREO</t>
  </si>
  <si>
    <t>TAM AVIAÇÃO</t>
  </si>
  <si>
    <t>TAMARA SHELLY</t>
  </si>
  <si>
    <t>TAMY ICHIY</t>
  </si>
  <si>
    <t>Tania Maria Dos Reis Santos Marins</t>
  </si>
  <si>
    <t>Tania Maria Dos Reis</t>
  </si>
  <si>
    <t>TANIA MARIA FERREIRA DA SILVA</t>
  </si>
  <si>
    <t>TANIA MARIA FERREIRA</t>
  </si>
  <si>
    <t>TANIA MARIA PITHON SILVA - ME</t>
  </si>
  <si>
    <t>TANIA MARIA</t>
  </si>
  <si>
    <t>TAPEREBA EMPREENDIMENTOS IMOBILIARIOS LTDA</t>
  </si>
  <si>
    <t>EVEN IMPL. E GESTÃO</t>
  </si>
  <si>
    <t>TARCISIO MORAES</t>
  </si>
  <si>
    <t>TAROBA INDUSTRIA HOTELEIRA LTDA</t>
  </si>
  <si>
    <t>TATIANA BORGES NUNES</t>
  </si>
  <si>
    <t>TATIANA FISCINA DE SANTANA LTDA</t>
  </si>
  <si>
    <t>SOMMOS SPA</t>
  </si>
  <si>
    <t>TATIANA GUAZZELLI</t>
  </si>
  <si>
    <t>TATIANA LAGO</t>
  </si>
  <si>
    <t>TATIANA ZIOLLI FREZZURA MIL</t>
  </si>
  <si>
    <t>TATIANA ZIOLLI FREZZ</t>
  </si>
  <si>
    <t>TATIANE ANTONIO MOISSINIO</t>
  </si>
  <si>
    <t>TATIANE ANTONIO MOIS</t>
  </si>
  <si>
    <t>TATIANE REBEKA HOROBINISKI ZATT</t>
  </si>
  <si>
    <t>TATIANE REBEKA HOROB</t>
  </si>
  <si>
    <t>Tatiele</t>
  </si>
  <si>
    <t>TATUA EMPREENDIMENTOS TURISTICOS EIRELI</t>
  </si>
  <si>
    <t>POUSADA TATUA</t>
  </si>
  <si>
    <t>TATYANNA BRUSADELLI DOUAT</t>
  </si>
  <si>
    <t>TATYANNA BRUSADELLI</t>
  </si>
  <si>
    <t>TAUA GRANDE HOTEL DE ARAXA E TERMAS LTDA</t>
  </si>
  <si>
    <t>TAUA GRANDE HOTEL</t>
  </si>
  <si>
    <t>TAUA HOTEL E CONVENTION ALEXÂNIA LTDA</t>
  </si>
  <si>
    <t>TAUA HOTEL ALEXÂNIA</t>
  </si>
  <si>
    <t>TAUÁ HOTEL E CONVENTION ATIBAIA LTDA</t>
  </si>
  <si>
    <t>TAUÁ HOTEL ATIBAIA</t>
  </si>
  <si>
    <t>TAUA RESORT CAETE LTDH</t>
  </si>
  <si>
    <t>TAUA RESORT CAETE</t>
  </si>
  <si>
    <t>TAYANA SANTIAGO SEZANA ROCHA COMERCIO</t>
  </si>
  <si>
    <t>ALECRIM ENXOVAL</t>
  </si>
  <si>
    <t>TAYARA ALVARENGA FERNANDES</t>
  </si>
  <si>
    <t>TAYARA ALVARENGA FER</t>
  </si>
  <si>
    <t>TC OPERAÇÕES TURISTICAS LTDA</t>
  </si>
  <si>
    <t>WYNDHAM CLUB BRASIL</t>
  </si>
  <si>
    <t>TEAM VILLAGE EMPREENDIMENTOS E PARTICIPACOES LTDA.</t>
  </si>
  <si>
    <t>RITA MENDONÇA</t>
  </si>
  <si>
    <t>TEAMPLUS EVENTOS LTDA.</t>
  </si>
  <si>
    <t>TEAMPLUS EVENTOS</t>
  </si>
  <si>
    <t>TECHLAV - TECNOLOGIA LAVAGEM E ESTERILIZACAO S/A</t>
  </si>
  <si>
    <t>TECHLAV</t>
  </si>
  <si>
    <t>TECIDOS MIRAMONTES LTDA</t>
  </si>
  <si>
    <t>TECIDOS MIRAMONTES</t>
  </si>
  <si>
    <t>TECIDOS TITA LTDA</t>
  </si>
  <si>
    <t>TITA</t>
  </si>
  <si>
    <t>TEJU-ACU ECO POUSADA LIMITADA - EPP</t>
  </si>
  <si>
    <t>TEJU-ACU ECO POUSADA</t>
  </si>
  <si>
    <t>TEMPLO DO SER</t>
  </si>
  <si>
    <t>teresa cristina pinheiro franco</t>
  </si>
  <si>
    <t>teresa cristina pinh</t>
  </si>
  <si>
    <t>TERRAVISTA BOUTIQUE EMPREENDIMENTO IMOBILIARIO SPE</t>
  </si>
  <si>
    <t>TERRAVISTA BOUTIQUE</t>
  </si>
  <si>
    <t>THAINA</t>
  </si>
  <si>
    <t>Thaina De Brito Da Silva</t>
  </si>
  <si>
    <t>Thaina De Brito Da S</t>
  </si>
  <si>
    <t>Thais Arroyo</t>
  </si>
  <si>
    <t>THAIS DA MOTA WAINSTOK</t>
  </si>
  <si>
    <t>THAIS DA MOTA WAINST</t>
  </si>
  <si>
    <t>Thais demarchi Mendes</t>
  </si>
  <si>
    <t>Thais demarchi Mende</t>
  </si>
  <si>
    <t>THAÍS GONÇALVES DIAS</t>
  </si>
  <si>
    <t>THAIS HUBER APOCALYPSE NIGOGHOSIAN</t>
  </si>
  <si>
    <t>THAIS HUBER</t>
  </si>
  <si>
    <t>Thais Lasso</t>
  </si>
  <si>
    <t>THAIS NOGUEIRA ABRANCHES</t>
  </si>
  <si>
    <t>THAIS NOGUEIRA ABRAN</t>
  </si>
  <si>
    <t>Thais Oliveira</t>
  </si>
  <si>
    <t>Thais Paiva De Oliveira Arroyo</t>
  </si>
  <si>
    <t>Thais Paiva De Olive</t>
  </si>
  <si>
    <t xml:space="preserve">THAÍS PAULUCI
</t>
  </si>
  <si>
    <t>Thais Pella Gusmao</t>
  </si>
  <si>
    <t>THAIS PINTO NEVES - HOTEL CAMPING</t>
  </si>
  <si>
    <t>HOTEL CAMPING</t>
  </si>
  <si>
    <t>THAIS SILVIA OLIVEIRA</t>
  </si>
  <si>
    <t>THAIS SILVIA OLIVEIR</t>
  </si>
  <si>
    <t>THAIS TOURINHO</t>
  </si>
  <si>
    <t>Thaise De Almeida Mendes</t>
  </si>
  <si>
    <t>Thaise De Almeida Me</t>
  </si>
  <si>
    <t>THAMIRES ZAGO</t>
  </si>
  <si>
    <t>THATHIANA VELÁZQUEZ</t>
  </si>
  <si>
    <t>Thatiane Ferreira Xavier</t>
  </si>
  <si>
    <t>Thatiane Ferreira Xa</t>
  </si>
  <si>
    <t>THAYNAN COSTA</t>
  </si>
  <si>
    <t>Thayse Fernandes Cardoso</t>
  </si>
  <si>
    <t>Thayse Fernandes Car</t>
  </si>
  <si>
    <t>Thayse Machado</t>
  </si>
  <si>
    <t>THE HILL EMPREENDIMENTOS HOTELEIROS LTDA.</t>
  </si>
  <si>
    <t>THE HILL EMPREENDIME</t>
  </si>
  <si>
    <t>THE ROYAL PALM RESIDENCE &amp; TOWER LTDA</t>
  </si>
  <si>
    <t>ROYAL PALM TOWER</t>
  </si>
  <si>
    <t>THE ROYAL PALM RESIDENCE &amp; TOWER LTDA.</t>
  </si>
  <si>
    <t>THE ROYAL RESIDENCE</t>
  </si>
  <si>
    <t>THE UNION HOTEL LTDA</t>
  </si>
  <si>
    <t>THE UNION HOTEL</t>
  </si>
  <si>
    <t>THEO AMA FONSECA 29895027850</t>
  </si>
  <si>
    <t>THEO AMA FONSECA</t>
  </si>
  <si>
    <t>THEO FONSECA</t>
  </si>
  <si>
    <t>THEO</t>
  </si>
  <si>
    <t>THERESINHA ACCO 67123805968</t>
  </si>
  <si>
    <t>MARIA LUIZA ATELIE</t>
  </si>
  <si>
    <t>THERMAS PARK RESORT &amp; SPA LTDA - EPP</t>
  </si>
  <si>
    <t>THERMAS PARK OLÍMPIA</t>
  </si>
  <si>
    <t>THIAGO RUGGIERO</t>
  </si>
  <si>
    <t>HOTEL ANACÃ SÃO CARL</t>
  </si>
  <si>
    <t>THIBÉRIO RANIERI REBOUÇAS TAVARES</t>
  </si>
  <si>
    <t>THIBÉRIO</t>
  </si>
  <si>
    <t>THOMAS OSBORN</t>
  </si>
  <si>
    <t>SOFIA BONA AREAL</t>
  </si>
  <si>
    <t>Thomas Viana de Souza</t>
  </si>
  <si>
    <t>Thomas Viana de Souz</t>
  </si>
  <si>
    <t xml:space="preserve">THYANE DANTAS DE OLIVEIRA 
</t>
  </si>
  <si>
    <t>THYANE DANTAS</t>
  </si>
  <si>
    <t>TIC TIC TAC CRECHE LTDA - EPP</t>
  </si>
  <si>
    <t>TIC TIC TAC</t>
  </si>
  <si>
    <t>TIERRA BRASIL HOTEL LTDA - EPP</t>
  </si>
  <si>
    <t>POUSADA TUTABEL</t>
  </si>
  <si>
    <t>TIKYS COMERCIO DE ROUPAS, BRINQUEDOS E ACESSORIOS</t>
  </si>
  <si>
    <t>TIKYS</t>
  </si>
  <si>
    <t>TISSIANI HOTEIS E TURISMO BRASIL LTDA</t>
  </si>
  <si>
    <t>HOTEL TISSIANI GRAMA</t>
  </si>
  <si>
    <t>TITRIZ MOVEIS E ACESSORIOS INFANTIS EIRELI</t>
  </si>
  <si>
    <t>BICHO PAPÃO ST JUSTI</t>
  </si>
  <si>
    <t>TJ HOTEIS LTDA</t>
  </si>
  <si>
    <t>VERT HOTEL SPA</t>
  </si>
  <si>
    <t>TMC STUDIO LTDA</t>
  </si>
  <si>
    <t>TUDO MENOS CESTA STU</t>
  </si>
  <si>
    <t>TOPEMA COZINHAS PROFISSIONAIS INDUSTRIA E COMERCIO</t>
  </si>
  <si>
    <t>TOPEMA</t>
  </si>
  <si>
    <t>TORRE MAIOR EMPREENDIMENTOS IMOBILIARIOS LTDA - EP</t>
  </si>
  <si>
    <t>TORRE MAIOR EMPREEND</t>
  </si>
  <si>
    <t>TOSCANINI EMPREENDIMENTOS IMOBILIARIOS LTDA.</t>
  </si>
  <si>
    <t>TOSCANINI EMPREENDIM</t>
  </si>
  <si>
    <t>TOYA EMPREENDIMENTOS AGROPECUARIOS LTDA - ME</t>
  </si>
  <si>
    <t>TOYA EMPRE (VHOUSE)</t>
  </si>
  <si>
    <t>Tracy Da Silva Bezerra</t>
  </si>
  <si>
    <t>Tracy Da Silva Bezer</t>
  </si>
  <si>
    <t>TRAMANDAI HOTELARIA LTDA.</t>
  </si>
  <si>
    <t>MERCURE BATEL</t>
  </si>
  <si>
    <t>TRANSAMERICA COMERCIAL E SERVICOS LTDA</t>
  </si>
  <si>
    <t>THE FIRST SOROCABA</t>
  </si>
  <si>
    <t>FILIAL BARRA</t>
  </si>
  <si>
    <t>TRANSAMERICA PERDIZE</t>
  </si>
  <si>
    <t>TRANSAMERICA COMERCIAL E SERVIÇOS LTDA</t>
  </si>
  <si>
    <t>TRANSAMERICA CAMPOS</t>
  </si>
  <si>
    <t>TRANSAMERICA PLAZA</t>
  </si>
  <si>
    <t>TRANSAMERICA COMERCIAL E SERVICOS LTDA SCP</t>
  </si>
  <si>
    <t>TRANSAMERICA BERRINI</t>
  </si>
  <si>
    <t>TRANSAMERICA COMERCIAL E SERVIÇOS LTDA SCP ROYAL</t>
  </si>
  <si>
    <t>VICTORIA PLACE</t>
  </si>
  <si>
    <t>TRANSAMERICA DE HOTEIS NORDESTE LTDA</t>
  </si>
  <si>
    <t>TRANSAMERICA BAHIA</t>
  </si>
  <si>
    <t>TRAVESSIA PANTANAL TRANSPORTE E TURISMO LTDA - EPP</t>
  </si>
  <si>
    <t>BARCO JACARÉ</t>
  </si>
  <si>
    <t>TRES MARIAS TURISMO LTDA - EPP</t>
  </si>
  <si>
    <t>TRES MARIAS TURISMO</t>
  </si>
  <si>
    <t>TRES TRES MEIA CAMA E MESA LTDA EPP</t>
  </si>
  <si>
    <t>TRES TRES MEIA</t>
  </si>
  <si>
    <t>TRESCALLO COMERCIO E PARTICIPACOES LTDA.</t>
  </si>
  <si>
    <t>TRESCALLO</t>
  </si>
  <si>
    <t>TRESCE IMOBILIARIA LTDA</t>
  </si>
  <si>
    <t>TRESCE IMOBILIÁRIA</t>
  </si>
  <si>
    <t>TRIANON APART-HOTEL LTDA</t>
  </si>
  <si>
    <t>TRIANON APART HOTEL</t>
  </si>
  <si>
    <t>TRN FLATS SERVICOS DE HOSPEDAGEM LTDA</t>
  </si>
  <si>
    <t>TRN BEACH</t>
  </si>
  <si>
    <t>TRU HOTELARIA COMERCIO, IMPORTACAO E EXPORTACAO DE</t>
  </si>
  <si>
    <t>TRUSSARDI</t>
  </si>
  <si>
    <t>TS ITU HOTEL EMPREENDIMENTO IMOBILIARIO S.A</t>
  </si>
  <si>
    <t>NOVOTEL ITU</t>
  </si>
  <si>
    <t>TULIPA EMPREENDIMENTOS E PARTICIPACOES LTDA</t>
  </si>
  <si>
    <t>TULIPA EMPREENDIMENT</t>
  </si>
  <si>
    <t>TUTTO BAMBINO COMERCIO DE ARTIGOS INFANTIS LTDA</t>
  </si>
  <si>
    <t>TUTTO</t>
  </si>
  <si>
    <t>TUTUS BABY LTDA</t>
  </si>
  <si>
    <t>TWMT CLINICA MEDICA LTDA</t>
  </si>
  <si>
    <t>DR THEO TWMT</t>
  </si>
  <si>
    <t>TX AGROPECUARIA E TURISMO S.A.</t>
  </si>
  <si>
    <t>TXAI ITACARÉ</t>
  </si>
  <si>
    <t>UAU - DECORACAO DE INTERIORES E DESENHOS TECNICOS</t>
  </si>
  <si>
    <t>UAU DECORACAO DE INT</t>
  </si>
  <si>
    <t>UCHOA CONSTRUCOES LTDA</t>
  </si>
  <si>
    <t>POUSADA FLOR DE LIS</t>
  </si>
  <si>
    <t>Uelba Saturnino Bispo</t>
  </si>
  <si>
    <t>Uelba Saturnino Bisp</t>
  </si>
  <si>
    <t>UGO CARDINALI</t>
  </si>
  <si>
    <t>UHA HOTELARIA E EMPREENDIMENTOS EIRELI</t>
  </si>
  <si>
    <t>PLAZA INN</t>
  </si>
  <si>
    <t>UHT INVESTIMENTOS, PART. E EMP. HOTELEIROS LTDA</t>
  </si>
  <si>
    <t>GRAND PALLADIUM BA</t>
  </si>
  <si>
    <t>UIUI O SUPERMERCADO DO BEBE - EIRELI</t>
  </si>
  <si>
    <t>SUPERMERCADO DO BEBE</t>
  </si>
  <si>
    <t>UMBELINA POUSADA BOUTIQUE LTDA.</t>
  </si>
  <si>
    <t>POUSADA UMBELINA</t>
  </si>
  <si>
    <t>UNIMED DE LIMEIRA COOPERATIVA DE TRABALHO MEDICO</t>
  </si>
  <si>
    <t>HOSPITAL UNIMED LIME</t>
  </si>
  <si>
    <t>UNIMED LITORAL COOPERATIVA DE TRABALHO MEDICO LTDA</t>
  </si>
  <si>
    <t>UNIMED LITORAL</t>
  </si>
  <si>
    <t>UNIQUE - IMAGEM PROTESES E MEDICINA S/S LTDA - ME</t>
  </si>
  <si>
    <t>UNIQUE - IMAGEM,PROT</t>
  </si>
  <si>
    <t>UNIQUE - SERVICOS DE HOTELARIA E ALIMENTACAO, COME</t>
  </si>
  <si>
    <t>UNIQUE SP</t>
  </si>
  <si>
    <t>UNIQUE ENXOVAIS EIRELI - ME</t>
  </si>
  <si>
    <t>UNIQUE</t>
  </si>
  <si>
    <t>UNIQUE GARDEN EMPREENDIMENTOS HOTELEIROS INDUSTRIA</t>
  </si>
  <si>
    <t>UNIQUE GARDEN EMPREE</t>
  </si>
  <si>
    <t>UNIQUE GIFTS PRESENTES LTDA - EPP</t>
  </si>
  <si>
    <t>UNIQUE GIFTS</t>
  </si>
  <si>
    <t>UNIVERSO DE  MADAME</t>
  </si>
  <si>
    <t>QUINTAL DA MADAME</t>
  </si>
  <si>
    <t>UNU HANEI ADMINISTRACAO HOTELARIA E COMERCIAL LTDA</t>
  </si>
  <si>
    <t>URBAN BY UNU HOTELS</t>
  </si>
  <si>
    <t>UP ASSET PEPE HOTEL LTDA</t>
  </si>
  <si>
    <t>MERCURE BARRA TIJUCA</t>
  </si>
  <si>
    <t>UPCON SPE 11 EMPREENDIMENTOS IMOBILIARIOS LTDA</t>
  </si>
  <si>
    <t>SLEEP IN GUARULHOS</t>
  </si>
  <si>
    <t>URSULA DE PAULA DIAS DE SOUSA</t>
  </si>
  <si>
    <t>URSULA DE PAULA</t>
  </si>
  <si>
    <t>USCOCOVICH E ULZEFER LTDA - EPP</t>
  </si>
  <si>
    <t>USCOCOVICH E ULZEFER</t>
  </si>
  <si>
    <t>UTILITARIA COMERCIAL DE UTENSILIOS DOMESTICOS LTDA</t>
  </si>
  <si>
    <t>POUSADA CORES DO MAR</t>
  </si>
  <si>
    <t>V.H.GUILL MORAES DE CARVALHO NOGUEIRA</t>
  </si>
  <si>
    <t>V.H.GUILL MORAES DE</t>
  </si>
  <si>
    <t>V2 HOTEIS E TURISMO LTDA</t>
  </si>
  <si>
    <t>HOTEL PORTO DA PRAIA</t>
  </si>
  <si>
    <t>VACANCES EMPREENDIMENTOS TURISTICOS LTDA - ME</t>
  </si>
  <si>
    <t>VACANCES EMPREENDIME</t>
  </si>
  <si>
    <t>VAGALUME LAB PRODUÇOES ART. E TEND. AUDIOVISUAIS L</t>
  </si>
  <si>
    <t>VLAB</t>
  </si>
  <si>
    <t>Vagna De Fatima Pereira Dib</t>
  </si>
  <si>
    <t>Vagna De Fatima Pere</t>
  </si>
  <si>
    <t>VALE S.A.</t>
  </si>
  <si>
    <t>AEROVALE</t>
  </si>
  <si>
    <t>VALE SERRA MAR HOTEL E SERVICOS LTDA</t>
  </si>
  <si>
    <t>KEEP SUITES</t>
  </si>
  <si>
    <t>VALERIA</t>
  </si>
  <si>
    <t>Valeria Furquim carneiro dos Santos</t>
  </si>
  <si>
    <t>Valeria Furquim carn</t>
  </si>
  <si>
    <t>VALERIA OLIVEIRA DA SILVA</t>
  </si>
  <si>
    <t>VALERIA OLIVEIRA DA</t>
  </si>
  <si>
    <t>VALERIA ROSA BRANCALE BADAN FERNANDES</t>
  </si>
  <si>
    <t>VALERIA ROSA BRANCAL</t>
  </si>
  <si>
    <t>VALESCA MOURA</t>
  </si>
  <si>
    <t>Valkiria Silveira</t>
  </si>
  <si>
    <t>Valquiria Ajala Modesto</t>
  </si>
  <si>
    <t>Valquiria Ajala Mode</t>
  </si>
  <si>
    <t>VAN DER HOEVEN ESTUFAS AGRICOLAS LTDA</t>
  </si>
  <si>
    <t>VAN DER HOEVEN</t>
  </si>
  <si>
    <t>VAN THILLO CASA TRANCOSO PATRIMONIAL LTDA</t>
  </si>
  <si>
    <t>VAN THILLO CASA TRAN</t>
  </si>
  <si>
    <t>Vanda Lopes garcia</t>
  </si>
  <si>
    <t>VANDA PEREIRA LEITAO</t>
  </si>
  <si>
    <t>vander marcos machado</t>
  </si>
  <si>
    <t>vander marcos machad</t>
  </si>
  <si>
    <t>VANDERLEI ALVES CARDOSO</t>
  </si>
  <si>
    <t>VANDERLEI ALVES</t>
  </si>
  <si>
    <t>Vanessa Barcelos Rodrigues</t>
  </si>
  <si>
    <t>Vanessa Barcelos Rod</t>
  </si>
  <si>
    <t>VANESSA BIANCA FURTADO VILAS BOAS</t>
  </si>
  <si>
    <t>VANESSA BIANCA FURTA</t>
  </si>
  <si>
    <t>Vanessa Cristina Coutinho</t>
  </si>
  <si>
    <t>Vanessa Cristina Cou</t>
  </si>
  <si>
    <t>Vanessa dos Santos Schwan</t>
  </si>
  <si>
    <t>Vanessa dos Santos S</t>
  </si>
  <si>
    <t>Vanessa Feliciano</t>
  </si>
  <si>
    <t>Vanessa Ferreira</t>
  </si>
  <si>
    <t>vanessa helena faria</t>
  </si>
  <si>
    <t>VANESSA LOZANO</t>
  </si>
  <si>
    <t>VANESSA MAYANA ALVES BAAD</t>
  </si>
  <si>
    <t>VANESSA MAYANA ALVES</t>
  </si>
  <si>
    <t>VANESSA PASSONI SILVA</t>
  </si>
  <si>
    <t>VANESSA PASSONI SILV</t>
  </si>
  <si>
    <t>Vanessa Zanatta</t>
  </si>
  <si>
    <t>VANIA BIADOLLA</t>
  </si>
  <si>
    <t>VÂNIA COELHO BARBIERI</t>
  </si>
  <si>
    <t>VÂNIA COELHO BARBIER</t>
  </si>
  <si>
    <t>Vanilza De Assis Prata Carvalho</t>
  </si>
  <si>
    <t>Vanilza De Assis Pra</t>
  </si>
  <si>
    <t>VANINA MARIA KIENER</t>
  </si>
  <si>
    <t>VANINA</t>
  </si>
  <si>
    <t>VANSA HOTELARIA LTDA</t>
  </si>
  <si>
    <t>IPANEMA PLAZA</t>
  </si>
  <si>
    <t>Vanubia Soares</t>
  </si>
  <si>
    <t>VARANDAS DE AGUAS BELAS EMPREENDIMENTOS TURISTICOS</t>
  </si>
  <si>
    <t>VARANDAS BEACH</t>
  </si>
  <si>
    <t>VENEZA DIESEL COMERCIO LTDA</t>
  </si>
  <si>
    <t>VENEZA DIESEL COMERC</t>
  </si>
  <si>
    <t>VENEZA ENXOVAIS LTDA</t>
  </si>
  <si>
    <t>VENTO FORTE EMPREENDIMENTO IMOBILIARIO LTDA.</t>
  </si>
  <si>
    <t>VENTO FORTE - PREA</t>
  </si>
  <si>
    <t>VENTURE CAPITAL PARTICIPACOES E INVESTIMENTOS S.A.</t>
  </si>
  <si>
    <t>HARD ROCK SERTANEJO</t>
  </si>
  <si>
    <t>VERA LUCIA CARDOSO GALI</t>
  </si>
  <si>
    <t>VERA LUCIA CARDOSO G</t>
  </si>
  <si>
    <t>VERA MARIA OLIVEIRA MARTINS PACHI 03362877800</t>
  </si>
  <si>
    <t>VP EVENTOS</t>
  </si>
  <si>
    <t>VERA PAGANI</t>
  </si>
  <si>
    <t>Veridiana.Loja</t>
  </si>
  <si>
    <t>VERITAS ENTIDADE DE PESQUISA E EDUCACAO RESSURREIC</t>
  </si>
  <si>
    <t>VESPER</t>
  </si>
  <si>
    <t>Veronica De Jesus Santos</t>
  </si>
  <si>
    <t>Veronica De Jesus Sa</t>
  </si>
  <si>
    <t>VERONICA SOARES DE MATOS</t>
  </si>
  <si>
    <t>VERONICA MATOS</t>
  </si>
  <si>
    <t>Veronica Soares Lage</t>
  </si>
  <si>
    <t>VERONICE BORDINHÃO HOFFMANN</t>
  </si>
  <si>
    <t>HOFFMANN DESIGNER</t>
  </si>
  <si>
    <t>VERSACE LOCACAO E ADMINISTRACAO DE IMOVEIS LTDA</t>
  </si>
  <si>
    <t>VERSACE LOCACAO E AD</t>
  </si>
  <si>
    <t>VERSATTO COMERCIO DE ALIMENTOS LTDA</t>
  </si>
  <si>
    <t>VERSATTO COMERCIO</t>
  </si>
  <si>
    <t>VETANCO DO BRASIL IMPORTACAO E EXPORTACAO LTDA</t>
  </si>
  <si>
    <t>VETANCO DO BRASIL IM</t>
  </si>
  <si>
    <t>VETOR NORTE 1 EMPREENDIMENTOS IMOBILIARIOS SPE LTD</t>
  </si>
  <si>
    <t>VETOR NORTE 1 EMPREE</t>
  </si>
  <si>
    <t>VIA APPIA EMPREENDIMENTOS HOTELEIROS S/A</t>
  </si>
  <si>
    <t>CASAMORADA GO INN ES</t>
  </si>
  <si>
    <t>VIA CATARINA HOTELARIA E PARTICIPACOES LTDA</t>
  </si>
  <si>
    <t>VIA CATARINA</t>
  </si>
  <si>
    <t>VIA DOS CORAIS EMPREENDIMENTOS TURISTICOS LTDA</t>
  </si>
  <si>
    <t>HOTEL VIA DOS CORAIS</t>
  </si>
  <si>
    <t>VIA SUL MOTEL LTDA</t>
  </si>
  <si>
    <t>VIA SUL MOTEL</t>
  </si>
  <si>
    <t>VIACAO COMETA S A</t>
  </si>
  <si>
    <t>COMETA</t>
  </si>
  <si>
    <t>VICENTE FRAGA MARES GUIA</t>
  </si>
  <si>
    <t>VICENTE FRAGA MARES</t>
  </si>
  <si>
    <t>Victor</t>
  </si>
  <si>
    <t>VICTOR COSTA MENDONÇA DA SILVA</t>
  </si>
  <si>
    <t>VICTOR COSTA MENDONÇ</t>
  </si>
  <si>
    <t>Victor de Paula Gil</t>
  </si>
  <si>
    <t>Victoria Alves Vieira</t>
  </si>
  <si>
    <t>Victoria Alves Vieir</t>
  </si>
  <si>
    <t>Victoria Carolina</t>
  </si>
  <si>
    <t>Victoria Diogo</t>
  </si>
  <si>
    <t>Victoria Freitas Lopes</t>
  </si>
  <si>
    <t>Victoria Freitas Lop</t>
  </si>
  <si>
    <t>VICTORIA VASCONCELOS</t>
  </si>
  <si>
    <t>VIENA SIDERURGICA S/A</t>
  </si>
  <si>
    <t>VIENA SIDERURGICA S/</t>
  </si>
  <si>
    <t>VILA DA SALGA EMPREENDIMENTOS E PARTICIPACOES SPE</t>
  </si>
  <si>
    <t>VILA DA SALGA EMPREE</t>
  </si>
  <si>
    <t>VILA DO FAROL HOTEIS E TURISMO LTDA</t>
  </si>
  <si>
    <t>HOTEL VILA DO FAROL</t>
  </si>
  <si>
    <t>VILA FORMOSA PARTICIPACOES LTDA</t>
  </si>
  <si>
    <t>QUALITY BLUMENAU</t>
  </si>
  <si>
    <t>VILA MINAS POUSADA LTDA</t>
  </si>
  <si>
    <t>VILA MINAS POUSADA</t>
  </si>
  <si>
    <t>VILA REAL E REAL LTDA</t>
  </si>
  <si>
    <t>SWING MOTEL VILA REA</t>
  </si>
  <si>
    <t>VILLA AMAZONIA HOTELARIA LTDA - EPP</t>
  </si>
  <si>
    <t>VILLA AMAZONIA</t>
  </si>
  <si>
    <t>VILLA D´OZIO HOTEL LTDA</t>
  </si>
  <si>
    <t>VILLA D´OZIO</t>
  </si>
  <si>
    <t>VILLA DO VALE HOTEL EIRELI</t>
  </si>
  <si>
    <t>VILLA DO VALE BOUTIQ</t>
  </si>
  <si>
    <t>VILLA PARANAGUA HOTEL E SPA LTDA</t>
  </si>
  <si>
    <t>VILLA PARANAGUA</t>
  </si>
  <si>
    <t>VILLA TERRAMARE NEGOCIOS IMOBILIARIOS SPE - LTDA</t>
  </si>
  <si>
    <t>VILLA TRIACCA HOTEL VINICOLA &amp; SPA LTDA</t>
  </si>
  <si>
    <t>VILLA TRIACCA HOTEL</t>
  </si>
  <si>
    <t>VILLA VALDUGA EIRELI EPP</t>
  </si>
  <si>
    <t>POUSADA VILA VALDUGA</t>
  </si>
  <si>
    <t>VILLAGIO EMBU RESORT</t>
  </si>
  <si>
    <t>HOTEL VILLAGIO</t>
  </si>
  <si>
    <t>VILLAGIO MOTEL LTDA</t>
  </si>
  <si>
    <t>MOTEL VILLAGIO</t>
  </si>
  <si>
    <t>VINHAS DO CIPO HOTEL FAZENDA SPE LTDA - EPP</t>
  </si>
  <si>
    <t>POUSADA VINHAS CIPO</t>
  </si>
  <si>
    <t>Vinicius Liberato</t>
  </si>
  <si>
    <t>VINILAK QUIMICA EIRELI - EPP</t>
  </si>
  <si>
    <t>VINILAK  ( VHOUSE)</t>
  </si>
  <si>
    <t>VIRGILIO ISIDRO DE CAIRES FREITAS</t>
  </si>
  <si>
    <t>LOJA MEU CHEIRO</t>
  </si>
  <si>
    <t>VIRGINIA COSTA MARQUES</t>
  </si>
  <si>
    <t>VIRGINIA COSTA MARQU</t>
  </si>
  <si>
    <t>VIRGINIA EMPREENDIMENTOS HOTELEIROS LTDA.</t>
  </si>
  <si>
    <t>INTERCITY PÁTIO PIND</t>
  </si>
  <si>
    <t>VIRGINIA SANCHES RODRIGUES CALDAS</t>
  </si>
  <si>
    <t>VIRGINIA SANCHES ROD</t>
  </si>
  <si>
    <t>VITAL REPRESENTAÇÕES LTDA EPP</t>
  </si>
  <si>
    <t>VITAL REPRESENTAÇÕES</t>
  </si>
  <si>
    <t>VITOR</t>
  </si>
  <si>
    <t>Vitor Trigo</t>
  </si>
  <si>
    <t>VITORIA DECORACOES E CORTINAS EIRELI EPP</t>
  </si>
  <si>
    <t>VITORIA</t>
  </si>
  <si>
    <t>VITORIA JULIANA RENISZ</t>
  </si>
  <si>
    <t>VITORIA JULIANA RENI</t>
  </si>
  <si>
    <t>Vitoria Lisboa</t>
  </si>
  <si>
    <t>VITRINE GLOBALTECH LAVANDERIA LTDA</t>
  </si>
  <si>
    <t>VITRINE GLOBALTECH L</t>
  </si>
  <si>
    <t>VIVA CLEAN LAVANDERIA LTDA</t>
  </si>
  <si>
    <t>VIVA CLEAN LAVANDERI</t>
  </si>
  <si>
    <t>VIVER O BRASIL EMPREENDIMENTOS LTDA</t>
  </si>
  <si>
    <t>POUSADA TAUANA</t>
  </si>
  <si>
    <t>VIVIAN BETINA KOPSCH 05129530900</t>
  </si>
  <si>
    <t>CHALES POMERODE</t>
  </si>
  <si>
    <t>VIVIAN PEREIRA</t>
  </si>
  <si>
    <t>Viviana</t>
  </si>
  <si>
    <t>Viviane Barbosa da Silva</t>
  </si>
  <si>
    <t>Viviane Barbosa da S</t>
  </si>
  <si>
    <t>Viviane Descrove</t>
  </si>
  <si>
    <t>VIVIANE GRAZIELLE SILVA</t>
  </si>
  <si>
    <t>VIVIANE GRAZIELLE SI</t>
  </si>
  <si>
    <t>VIVIANE QUEIROGA</t>
  </si>
  <si>
    <t>VIVIAN QUEIROGA</t>
  </si>
  <si>
    <t>VIVIANE SCATAMACCHIA</t>
  </si>
  <si>
    <t>Vivien Foreis</t>
  </si>
  <si>
    <t>VLADIA CORDEIRO</t>
  </si>
  <si>
    <t>VOAR AVIATION TAXI AEREO E MANUTENCAO LTDA.</t>
  </si>
  <si>
    <t>VOETUR TURISMO E REPRESENTAÇÕES LTDA</t>
  </si>
  <si>
    <t>VOETUR TURISMO</t>
  </si>
  <si>
    <t>VOGA NAUTICA LTDA - ME</t>
  </si>
  <si>
    <t>INCORPORADORA ATMOSF</t>
  </si>
  <si>
    <t>VOGAL LUXURY BEACH HOTEL &amp; SPA LTDA</t>
  </si>
  <si>
    <t>VOGAL LUXURY BEACH</t>
  </si>
  <si>
    <t>VOLO ARMAZENAGEM E LOGISTICA LTDA</t>
  </si>
  <si>
    <t>VOLO LOGISTICA</t>
  </si>
  <si>
    <t>VS HOTELERIA EIRELI - EPP</t>
  </si>
  <si>
    <t>VILA DA SANTA</t>
  </si>
  <si>
    <t>VST EVENTOS LTDA</t>
  </si>
  <si>
    <t>HOTEL SANTA TERESA</t>
  </si>
  <si>
    <t>W F ARMELIN MOVEIS LTDA</t>
  </si>
  <si>
    <t>BABY ROOM MOVEIS INF</t>
  </si>
  <si>
    <t>W. A. VILELA</t>
  </si>
  <si>
    <t>CASARÃO VILA DO IMPE</t>
  </si>
  <si>
    <t>WA COMERCIO DE ALIMENTOS EIRELI - EPP</t>
  </si>
  <si>
    <t>MAISE MANSO</t>
  </si>
  <si>
    <t>WACEL OLIVEIRA LTDA</t>
  </si>
  <si>
    <t>WAGNER CURTOLO - ME</t>
  </si>
  <si>
    <t>BRUMIE AR CONDICIONA</t>
  </si>
  <si>
    <t>Waldenir Alves De Siqueira Wal Siqueira</t>
  </si>
  <si>
    <t>Waldenir Alves De Si</t>
  </si>
  <si>
    <t>Walerio Rosa</t>
  </si>
  <si>
    <t>WAREHOUSE VI EMPREENDIMENTOS IMOBILIARIOS S/A.</t>
  </si>
  <si>
    <t>FAZENDA MARAMBAIA</t>
  </si>
  <si>
    <t>WECLAP EVENTOS LTDA.</t>
  </si>
  <si>
    <t>wenice pereira</t>
  </si>
  <si>
    <t>WESTWING COMERCIO VAREJISTA EIRELI</t>
  </si>
  <si>
    <t>WESTWING</t>
  </si>
  <si>
    <t>WESTWING COMERCIO VAREJISTA S.A.</t>
  </si>
  <si>
    <t>WESTWING - CORRETO</t>
  </si>
  <si>
    <t>WGL MS-VH EMPREENDIMENTOS IMOBILIARIOS SPE LTDA</t>
  </si>
  <si>
    <t>WGL MS-VH (VHOUSE)</t>
  </si>
  <si>
    <t>WHR HOTELARIA SPE LTDA SCP02</t>
  </si>
  <si>
    <t>WYNDHAM GARDEN SP</t>
  </si>
  <si>
    <t>WINDSOR ADMINISTRACAO DE HOTEIS E SERVICOS S.A</t>
  </si>
  <si>
    <t>WINDSOR GUANABARA</t>
  </si>
  <si>
    <t>WINDSOR PALACE</t>
  </si>
  <si>
    <t>WINDSOR ASTURIAS</t>
  </si>
  <si>
    <t>WINDSOR COPA</t>
  </si>
  <si>
    <t>WINDSOR FLORIDA</t>
  </si>
  <si>
    <t>WINDSOR MANTINIQUE</t>
  </si>
  <si>
    <t>WINDSOR ADMINISTRACAO DE HOTEIS E SERVICOS S.A.</t>
  </si>
  <si>
    <t>WINDSOR MIRAMAR</t>
  </si>
  <si>
    <t>WINDSOR PLAZA BRASIL</t>
  </si>
  <si>
    <t>WINDSOR CALIFORNIA</t>
  </si>
  <si>
    <t>WINDSOR BRASILIA</t>
  </si>
  <si>
    <t>WINDSOR EXCELSIOR</t>
  </si>
  <si>
    <t>WINDSOR MARAPENDI</t>
  </si>
  <si>
    <t>WINDSOR LEME</t>
  </si>
  <si>
    <t>WINDSOR ADMINISTRACAO DE HOTELS E SERVIÇOS S.A.</t>
  </si>
  <si>
    <t>WINDSOR PLAZA COPA.</t>
  </si>
  <si>
    <t>WINDSOR BARRA HOTEL LTDA</t>
  </si>
  <si>
    <t>WINDSOR BARRA</t>
  </si>
  <si>
    <t>WISH S.A</t>
  </si>
  <si>
    <t>WISH HOTEL DA BAHIA</t>
  </si>
  <si>
    <t>WISH S.A CORPORATIVO</t>
  </si>
  <si>
    <t>WISH S.A.</t>
  </si>
  <si>
    <t>WISH SERRANO GRAMADO</t>
  </si>
  <si>
    <t>WISH S.A. NATAL</t>
  </si>
  <si>
    <t>WISH NATAL</t>
  </si>
  <si>
    <t>WK DESIGN HOTEL</t>
  </si>
  <si>
    <t>LK DESIGN HOTEL</t>
  </si>
  <si>
    <t>WONDERLAND BABY &amp; KIDS COMERCIO LTDA</t>
  </si>
  <si>
    <t>WONDERLAND BABY &amp; KI</t>
  </si>
  <si>
    <t>WR EMPREENDIMENTOS IMOBILIARIOS LTDA</t>
  </si>
  <si>
    <t>WR EMPREENDIMENTOS</t>
  </si>
  <si>
    <t>WYN COMERCIO ELETRONICO LTDA - ME</t>
  </si>
  <si>
    <t>WYN COMERCIO</t>
  </si>
  <si>
    <t>YA ADMINISTRADORA LTDA</t>
  </si>
  <si>
    <t>HOTEL ORIXAS</t>
  </si>
  <si>
    <t>Yanna Costa Soares Cerejo</t>
  </si>
  <si>
    <t>Yanna Costa Soares C</t>
  </si>
  <si>
    <t>Yanne Hancio</t>
  </si>
  <si>
    <t>Yasmin Mendes</t>
  </si>
  <si>
    <t>YASMIN ROSSI</t>
  </si>
  <si>
    <t>Yasmin Saccon</t>
  </si>
  <si>
    <t>YURAN SPE NEGOCIOS EMPRESARIAIS E HOTELEIROS LTDA</t>
  </si>
  <si>
    <t>HIGI HOTEL</t>
  </si>
  <si>
    <t>ZANK BOUTIQUE HOTEL LTDA</t>
  </si>
  <si>
    <t>ZANK BOUTIQUE HOTEL</t>
  </si>
  <si>
    <t>ZAXION CONFECCOES LTDA EPP</t>
  </si>
  <si>
    <t>ZAXION (ALGARVE VIX)</t>
  </si>
  <si>
    <t>ZEAX EXPERTISE ADM. E CONSUL. EMPRESARIAL LTDA</t>
  </si>
  <si>
    <t>DROPS FLORIANÓPOLIS</t>
  </si>
  <si>
    <t>ZISSOU ASSESSORIA E CONSULTORIA EM ARTIGOS DO SONO</t>
  </si>
  <si>
    <t>ZISSOU</t>
  </si>
  <si>
    <t>ZISSOU ASSESSORIA E COSULTORIA EM ARTIGOS DO SONO</t>
  </si>
  <si>
    <t>Cliente</t>
  </si>
  <si>
    <t>Pedido</t>
  </si>
  <si>
    <t xml:space="preserve">Nome Fantasia </t>
  </si>
  <si>
    <t xml:space="preserve">Razão Social </t>
  </si>
  <si>
    <t>Item</t>
  </si>
  <si>
    <t>Qtd pçs Enviadas</t>
  </si>
  <si>
    <t>Data Envio</t>
  </si>
  <si>
    <t xml:space="preserve">Qtd pçs Retornadas </t>
  </si>
  <si>
    <t>Data Retorno Produção</t>
  </si>
  <si>
    <t xml:space="preserve">Qtd pçs Pendetente </t>
  </si>
  <si>
    <t>Peças Com Defeitos</t>
  </si>
  <si>
    <t>NF FAF/TC</t>
  </si>
  <si>
    <t>NF OFICINA</t>
  </si>
  <si>
    <t>S/ NF</t>
  </si>
  <si>
    <t>Valor Unit</t>
  </si>
  <si>
    <t>Valot Total</t>
  </si>
  <si>
    <t>Data Vencimento</t>
  </si>
  <si>
    <t>Entrada Manual</t>
  </si>
  <si>
    <t>Observações</t>
  </si>
  <si>
    <t>Status Entrega</t>
  </si>
  <si>
    <t xml:space="preserve">Status Peças </t>
  </si>
  <si>
    <t>31</t>
  </si>
  <si>
    <t>SIM</t>
  </si>
  <si>
    <t>32</t>
  </si>
  <si>
    <t xml:space="preserve">SIM </t>
  </si>
  <si>
    <t>33</t>
  </si>
  <si>
    <t>34</t>
  </si>
  <si>
    <t>•</t>
  </si>
  <si>
    <t>Data Prometida  Entrega</t>
  </si>
  <si>
    <t xml:space="preserve">Codigo Produto </t>
  </si>
  <si>
    <t>Dias Para Entrega</t>
  </si>
  <si>
    <t>1</t>
  </si>
  <si>
    <t>SIGNUS BMP INFORMATICA LTDA</t>
  </si>
  <si>
    <t>SIGNUS</t>
  </si>
  <si>
    <t>00000000000000</t>
  </si>
  <si>
    <t>2</t>
  </si>
  <si>
    <t>[REVISAR] IMPORTAÇÃO DO XML</t>
  </si>
  <si>
    <t>[REVISAR] IMPORTAÇÃO</t>
  </si>
  <si>
    <t>78851366000161</t>
  </si>
  <si>
    <t>3</t>
  </si>
  <si>
    <t>KARSTEN S.A.</t>
  </si>
  <si>
    <t>82640558000104</t>
  </si>
  <si>
    <t>4</t>
  </si>
  <si>
    <t>33374984000120</t>
  </si>
  <si>
    <t>5</t>
  </si>
  <si>
    <t>03961189000177</t>
  </si>
  <si>
    <t>6</t>
  </si>
  <si>
    <t>62413877001648</t>
  </si>
  <si>
    <t>7</t>
  </si>
  <si>
    <t>TECIDOS SAN NICOLAS DO BRASIL LTDA.</t>
  </si>
  <si>
    <t>TECIDOS SAN NICOLAS</t>
  </si>
  <si>
    <t>16649509000108</t>
  </si>
  <si>
    <t>8</t>
  </si>
  <si>
    <t>DAMA DE OUROS EMBALAGENS LTDA</t>
  </si>
  <si>
    <t>OFICINA DAMA DE OURO</t>
  </si>
  <si>
    <t>04482639000101</t>
  </si>
  <si>
    <t>9</t>
  </si>
  <si>
    <t>04433548000186</t>
  </si>
  <si>
    <t>10</t>
  </si>
  <si>
    <t>09476898000143</t>
  </si>
  <si>
    <t>11</t>
  </si>
  <si>
    <t>10509154000167</t>
  </si>
  <si>
    <t>12</t>
  </si>
  <si>
    <t>13097951000172</t>
  </si>
  <si>
    <t>13</t>
  </si>
  <si>
    <t>12839339000165</t>
  </si>
  <si>
    <t>14</t>
  </si>
  <si>
    <t>04128770000175</t>
  </si>
  <si>
    <t>15</t>
  </si>
  <si>
    <t>46744694000172</t>
  </si>
  <si>
    <t>16</t>
  </si>
  <si>
    <t>85406411000134</t>
  </si>
  <si>
    <t>17</t>
  </si>
  <si>
    <t>ALEXANDRINA FILOMENA TRINDADE MATEUS DA SILVA - ME</t>
  </si>
  <si>
    <t>ALEXANDRINA FILOMENA</t>
  </si>
  <si>
    <t>00170005000162</t>
  </si>
  <si>
    <t>18</t>
  </si>
  <si>
    <t>10473920000180</t>
  </si>
  <si>
    <t>19</t>
  </si>
  <si>
    <t>14295166000197</t>
  </si>
  <si>
    <t>20</t>
  </si>
  <si>
    <t>52160330000148</t>
  </si>
  <si>
    <t>21</t>
  </si>
  <si>
    <t>75364570000755</t>
  </si>
  <si>
    <t>22</t>
  </si>
  <si>
    <t>75364570001050</t>
  </si>
  <si>
    <t>23</t>
  </si>
  <si>
    <t>06911229000164</t>
  </si>
  <si>
    <t>24</t>
  </si>
  <si>
    <t>00974137000147</t>
  </si>
  <si>
    <t>25</t>
  </si>
  <si>
    <t>01995883000180</t>
  </si>
  <si>
    <t>26</t>
  </si>
  <si>
    <t>04003261000116</t>
  </si>
  <si>
    <t>27</t>
  </si>
  <si>
    <t>12910328000205</t>
  </si>
  <si>
    <t>28</t>
  </si>
  <si>
    <t>16589852000104</t>
  </si>
  <si>
    <t>29</t>
  </si>
  <si>
    <t>ASSOCIACAO DE HOTEIS ROTEIROS DE CHARME</t>
  </si>
  <si>
    <t>ASSOCIACAO DE HOTEIS</t>
  </si>
  <si>
    <t>39449293000205</t>
  </si>
  <si>
    <t>30</t>
  </si>
  <si>
    <t>02223966007207</t>
  </si>
  <si>
    <t>02223966005778</t>
  </si>
  <si>
    <t>02223966004372</t>
  </si>
  <si>
    <t>02223966001195</t>
  </si>
  <si>
    <t>02223966002167</t>
  </si>
  <si>
    <t>35</t>
  </si>
  <si>
    <t>02223966003643</t>
  </si>
  <si>
    <t>36</t>
  </si>
  <si>
    <t>24556300000110</t>
  </si>
  <si>
    <t>37</t>
  </si>
  <si>
    <t>00886257000516</t>
  </si>
  <si>
    <t>38</t>
  </si>
  <si>
    <t>00886257000788</t>
  </si>
  <si>
    <t>39</t>
  </si>
  <si>
    <t>05476115000170</t>
  </si>
  <si>
    <t>40</t>
  </si>
  <si>
    <t>32579013000234</t>
  </si>
  <si>
    <t>41</t>
  </si>
  <si>
    <t>10931249000174</t>
  </si>
  <si>
    <t>42</t>
  </si>
  <si>
    <t>33957796000477</t>
  </si>
  <si>
    <t>43</t>
  </si>
  <si>
    <t>08723106000559</t>
  </si>
  <si>
    <t>44</t>
  </si>
  <si>
    <t>04364546000263</t>
  </si>
  <si>
    <t>45</t>
  </si>
  <si>
    <t>08723106001288</t>
  </si>
  <si>
    <t>46</t>
  </si>
  <si>
    <t>66542002001788</t>
  </si>
  <si>
    <t>47</t>
  </si>
  <si>
    <t>10923105000176</t>
  </si>
  <si>
    <t>48</t>
  </si>
  <si>
    <t>03069059000558</t>
  </si>
  <si>
    <t>49</t>
  </si>
  <si>
    <t>10229790000135</t>
  </si>
  <si>
    <t>50</t>
  </si>
  <si>
    <t>21109731000492</t>
  </si>
  <si>
    <t>51</t>
  </si>
  <si>
    <t>08294533000135</t>
  </si>
  <si>
    <t>52</t>
  </si>
  <si>
    <t>00687681000108</t>
  </si>
  <si>
    <t>53</t>
  </si>
  <si>
    <t>09106157000170</t>
  </si>
  <si>
    <t>54</t>
  </si>
  <si>
    <t>13980847000121</t>
  </si>
  <si>
    <t>55</t>
  </si>
  <si>
    <t>04662776000128</t>
  </si>
  <si>
    <t>56</t>
  </si>
  <si>
    <t>46745311000180</t>
  </si>
  <si>
    <t>57</t>
  </si>
  <si>
    <t>09329878000140</t>
  </si>
  <si>
    <t>58</t>
  </si>
  <si>
    <t>00841478000144</t>
  </si>
  <si>
    <t>59</t>
  </si>
  <si>
    <t>CARRERA ENGENHARIA LTDA - ME</t>
  </si>
  <si>
    <t>CARRERA ENGENHARIA L</t>
  </si>
  <si>
    <t>00110396000120</t>
  </si>
  <si>
    <t>60</t>
  </si>
  <si>
    <t>13101510000105</t>
  </si>
  <si>
    <t>61</t>
  </si>
  <si>
    <t>86701463000104</t>
  </si>
  <si>
    <t>62</t>
  </si>
  <si>
    <t>CASTELLI CONFECCAO DE BORDADOS INDUSTRIAIS LTDA</t>
  </si>
  <si>
    <t>CASTELLI BORDADOS IN</t>
  </si>
  <si>
    <t>05824187000161</t>
  </si>
  <si>
    <t>63</t>
  </si>
  <si>
    <t>02839603000107</t>
  </si>
  <si>
    <t>64</t>
  </si>
  <si>
    <t>35869841000114</t>
  </si>
  <si>
    <t>65</t>
  </si>
  <si>
    <t>12567102000172</t>
  </si>
  <si>
    <t>66</t>
  </si>
  <si>
    <t>05392993000108</t>
  </si>
  <si>
    <t>67</t>
  </si>
  <si>
    <t>84956994000104</t>
  </si>
  <si>
    <t>68</t>
  </si>
  <si>
    <t>13527741000177</t>
  </si>
  <si>
    <t>69</t>
  </si>
  <si>
    <t>01751194000120</t>
  </si>
  <si>
    <t>70</t>
  </si>
  <si>
    <t>11793527000137</t>
  </si>
  <si>
    <t>71</t>
  </si>
  <si>
    <t>03731004000138</t>
  </si>
  <si>
    <t>72</t>
  </si>
  <si>
    <t>COMERCIAL DE ZIPERES E ARMARINHOS 25 LTDA.</t>
  </si>
  <si>
    <t>ARMARINHOS 25</t>
  </si>
  <si>
    <t>47201850000545</t>
  </si>
  <si>
    <t>73</t>
  </si>
  <si>
    <t>43212943000190</t>
  </si>
  <si>
    <t>74</t>
  </si>
  <si>
    <t>05799240000111</t>
  </si>
  <si>
    <t>75</t>
  </si>
  <si>
    <t>04291676000132</t>
  </si>
  <si>
    <t>76</t>
  </si>
  <si>
    <t>05597887000160</t>
  </si>
  <si>
    <t>77</t>
  </si>
  <si>
    <t>07031414000127</t>
  </si>
  <si>
    <t>78</t>
  </si>
  <si>
    <t>68003409000103</t>
  </si>
  <si>
    <t>79</t>
  </si>
  <si>
    <t>11809505000118</t>
  </si>
  <si>
    <t>80</t>
  </si>
  <si>
    <t>04489744000172</t>
  </si>
  <si>
    <t>81</t>
  </si>
  <si>
    <t>16530651000123</t>
  </si>
  <si>
    <t>82</t>
  </si>
  <si>
    <t>05795763000190</t>
  </si>
  <si>
    <t>83</t>
  </si>
  <si>
    <t>37634870000122</t>
  </si>
  <si>
    <t>84</t>
  </si>
  <si>
    <t>00897902000172</t>
  </si>
  <si>
    <t>85</t>
  </si>
  <si>
    <t>00897902001497</t>
  </si>
  <si>
    <t>86</t>
  </si>
  <si>
    <t>75982058000187</t>
  </si>
  <si>
    <t>87</t>
  </si>
  <si>
    <t>04908757000139</t>
  </si>
  <si>
    <t>88</t>
  </si>
  <si>
    <t>CRISTIANE DE OLIVEIRA FREIRE LOPES - ME</t>
  </si>
  <si>
    <t>CRISANY CONFECCOES</t>
  </si>
  <si>
    <t>21235780000129</t>
  </si>
  <si>
    <t>89</t>
  </si>
  <si>
    <t>28193449000132</t>
  </si>
  <si>
    <t>90</t>
  </si>
  <si>
    <t>07289900000301</t>
  </si>
  <si>
    <t>91</t>
  </si>
  <si>
    <t>82509571000110</t>
  </si>
  <si>
    <t>92</t>
  </si>
  <si>
    <t>DANIELA TOMBINI IND.E COM. DE CONFECCOES LTDA.</t>
  </si>
  <si>
    <t>DANIELA TOMBINI IND.</t>
  </si>
  <si>
    <t>73846347000123</t>
  </si>
  <si>
    <t>93</t>
  </si>
  <si>
    <t>DELMA C LEIVA OFICINA ARTE DA COSTURA - ME</t>
  </si>
  <si>
    <t>OFICINA ARTE DA COST</t>
  </si>
  <si>
    <t>16688349000106</t>
  </si>
  <si>
    <t>94</t>
  </si>
  <si>
    <t>DETECIDOS-CONFECCOES LTDA - EPP</t>
  </si>
  <si>
    <t>DETECIDOS-CONFECCOES</t>
  </si>
  <si>
    <t>59798330000117</t>
  </si>
  <si>
    <t>95</t>
  </si>
  <si>
    <t>81071623000661</t>
  </si>
  <si>
    <t>96</t>
  </si>
  <si>
    <t>81071623000238</t>
  </si>
  <si>
    <t>97</t>
  </si>
  <si>
    <t>81071623001048</t>
  </si>
  <si>
    <t>98</t>
  </si>
  <si>
    <t>81071623001129</t>
  </si>
  <si>
    <t>99</t>
  </si>
  <si>
    <t>81071623000823</t>
  </si>
  <si>
    <t>100</t>
  </si>
  <si>
    <t>81071623000580</t>
  </si>
  <si>
    <t>101</t>
  </si>
  <si>
    <t>81071623001200</t>
  </si>
  <si>
    <t>102</t>
  </si>
  <si>
    <t>81071623000408</t>
  </si>
  <si>
    <t>103</t>
  </si>
  <si>
    <t>12027621000148</t>
  </si>
  <si>
    <t>104</t>
  </si>
  <si>
    <t>08765086000155</t>
  </si>
  <si>
    <t>105</t>
  </si>
  <si>
    <t>91428516000197</t>
  </si>
  <si>
    <t>106</t>
  </si>
  <si>
    <t>40421406000162</t>
  </si>
  <si>
    <t>107</t>
  </si>
  <si>
    <t>03036750000101</t>
  </si>
  <si>
    <t>108</t>
  </si>
  <si>
    <t>DUBAL E RECH LTDA - ME</t>
  </si>
  <si>
    <t>DUBAL E RECH LTDA -</t>
  </si>
  <si>
    <t>12047144000182</t>
  </si>
  <si>
    <t>109</t>
  </si>
  <si>
    <t>02736152000182</t>
  </si>
  <si>
    <t>110</t>
  </si>
  <si>
    <t>14237715000177</t>
  </si>
  <si>
    <t>111</t>
  </si>
  <si>
    <t>12769994000194</t>
  </si>
  <si>
    <t>112</t>
  </si>
  <si>
    <t>07477174000199</t>
  </si>
  <si>
    <t>113</t>
  </si>
  <si>
    <t>17114848000144</t>
  </si>
  <si>
    <t>114</t>
  </si>
  <si>
    <t>EM VIANA CONFECCOES - ME</t>
  </si>
  <si>
    <t>ELZA</t>
  </si>
  <si>
    <t>19981123000189</t>
  </si>
  <si>
    <t>115</t>
  </si>
  <si>
    <t>29435005002687</t>
  </si>
  <si>
    <t>116</t>
  </si>
  <si>
    <t>29435005007212</t>
  </si>
  <si>
    <t>117</t>
  </si>
  <si>
    <t>08217742000185</t>
  </si>
  <si>
    <t>118</t>
  </si>
  <si>
    <t>03778521000324</t>
  </si>
  <si>
    <t>119</t>
  </si>
  <si>
    <t>03778521000243</t>
  </si>
  <si>
    <t>120</t>
  </si>
  <si>
    <t>09080009000124</t>
  </si>
  <si>
    <t>121</t>
  </si>
  <si>
    <t>33742164000305</t>
  </si>
  <si>
    <t>122</t>
  </si>
  <si>
    <t>08059567000145</t>
  </si>
  <si>
    <t>123</t>
  </si>
  <si>
    <t>05898322000113</t>
  </si>
  <si>
    <t>124</t>
  </si>
  <si>
    <t>05690907000143</t>
  </si>
  <si>
    <t>125</t>
  </si>
  <si>
    <t>FATEX INDUSTRIA, COMERCIO, IMPORTACAO, EXPORTACAO</t>
  </si>
  <si>
    <t>FATEX INDUSTRIA, COM</t>
  </si>
  <si>
    <t>07280722000196</t>
  </si>
  <si>
    <t>126</t>
  </si>
  <si>
    <t>02508112000183</t>
  </si>
  <si>
    <t>127</t>
  </si>
  <si>
    <t>FIO A FIO REPRESENTACAO COMERCIAL LTDA</t>
  </si>
  <si>
    <t>JANINE PEREIRA CASQU</t>
  </si>
  <si>
    <t>13749462000158</t>
  </si>
  <si>
    <t>128</t>
  </si>
  <si>
    <t>08275419000168</t>
  </si>
  <si>
    <t>129</t>
  </si>
  <si>
    <t>65501256000128</t>
  </si>
  <si>
    <t>130</t>
  </si>
  <si>
    <t>54991369000132</t>
  </si>
  <si>
    <t>131</t>
  </si>
  <si>
    <t>05944546000114</t>
  </si>
  <si>
    <t>132</t>
  </si>
  <si>
    <t>49822844000107</t>
  </si>
  <si>
    <t>133</t>
  </si>
  <si>
    <t>61062212000198</t>
  </si>
  <si>
    <t>134</t>
  </si>
  <si>
    <t>01636325000128</t>
  </si>
  <si>
    <t>135</t>
  </si>
  <si>
    <t>04133268000152</t>
  </si>
  <si>
    <t>136</t>
  </si>
  <si>
    <t>03741349000172</t>
  </si>
  <si>
    <t>137</t>
  </si>
  <si>
    <t>07687928000801</t>
  </si>
  <si>
    <t>138</t>
  </si>
  <si>
    <t>18473718000241</t>
  </si>
  <si>
    <t>139</t>
  </si>
  <si>
    <t>03697971000120</t>
  </si>
  <si>
    <t>140</t>
  </si>
  <si>
    <t>GM2 IMPORTACAO E EXPORTACAO LTDA - ME</t>
  </si>
  <si>
    <t>GM2 IMPORTACAO E EXP</t>
  </si>
  <si>
    <t>10250443000194</t>
  </si>
  <si>
    <t>141</t>
  </si>
  <si>
    <t>04835820000316</t>
  </si>
  <si>
    <t>142</t>
  </si>
  <si>
    <t>02880567000125</t>
  </si>
  <si>
    <t>143</t>
  </si>
  <si>
    <t>11507791000167</t>
  </si>
  <si>
    <t>144</t>
  </si>
  <si>
    <t>05072493000199</t>
  </si>
  <si>
    <t>145</t>
  </si>
  <si>
    <t>04312910000241</t>
  </si>
  <si>
    <t>146</t>
  </si>
  <si>
    <t>21284585000199</t>
  </si>
  <si>
    <t>147</t>
  </si>
  <si>
    <t>42414912000583</t>
  </si>
  <si>
    <t>148</t>
  </si>
  <si>
    <t>11418617000148</t>
  </si>
  <si>
    <t>149</t>
  </si>
  <si>
    <t>15274655000125</t>
  </si>
  <si>
    <t>150</t>
  </si>
  <si>
    <t>12083302000150</t>
  </si>
  <si>
    <t>151</t>
  </si>
  <si>
    <t>08100676002102</t>
  </si>
  <si>
    <t>152</t>
  </si>
  <si>
    <t>08100676000592</t>
  </si>
  <si>
    <t>153</t>
  </si>
  <si>
    <t>76659820002367</t>
  </si>
  <si>
    <t>154</t>
  </si>
  <si>
    <t>08381176000142</t>
  </si>
  <si>
    <t>155</t>
  </si>
  <si>
    <t>33200049001461</t>
  </si>
  <si>
    <t>156</t>
  </si>
  <si>
    <t>46134425000194</t>
  </si>
  <si>
    <t>157</t>
  </si>
  <si>
    <t>10353107000177</t>
  </si>
  <si>
    <t>158</t>
  </si>
  <si>
    <t>06941151000120</t>
  </si>
  <si>
    <t>159</t>
  </si>
  <si>
    <t>78943321000117</t>
  </si>
  <si>
    <t>160</t>
  </si>
  <si>
    <t>77707099000190</t>
  </si>
  <si>
    <t>161</t>
  </si>
  <si>
    <t>17392461000230</t>
  </si>
  <si>
    <t>162</t>
  </si>
  <si>
    <t>85158772000109</t>
  </si>
  <si>
    <t>163</t>
  </si>
  <si>
    <t>03554611000170</t>
  </si>
  <si>
    <t>164</t>
  </si>
  <si>
    <t>03554611000331</t>
  </si>
  <si>
    <t>165</t>
  </si>
  <si>
    <t>BLEEV CURITIBA</t>
  </si>
  <si>
    <t>03554611000412</t>
  </si>
  <si>
    <t>166</t>
  </si>
  <si>
    <t>73141095000137</t>
  </si>
  <si>
    <t>167</t>
  </si>
  <si>
    <t>29154572000107</t>
  </si>
  <si>
    <t>168</t>
  </si>
  <si>
    <t>11154212000140</t>
  </si>
  <si>
    <t>169</t>
  </si>
  <si>
    <t>83822254000112</t>
  </si>
  <si>
    <t>170</t>
  </si>
  <si>
    <t>02414419000204</t>
  </si>
  <si>
    <t>171</t>
  </si>
  <si>
    <t>03225390000196</t>
  </si>
  <si>
    <t>172</t>
  </si>
  <si>
    <t>03221095000161</t>
  </si>
  <si>
    <t>173</t>
  </si>
  <si>
    <t>03127744000160</t>
  </si>
  <si>
    <t>174</t>
  </si>
  <si>
    <t>28703478000105</t>
  </si>
  <si>
    <t>175</t>
  </si>
  <si>
    <t>07364551000183</t>
  </si>
  <si>
    <t>176</t>
  </si>
  <si>
    <t>33089871000182</t>
  </si>
  <si>
    <t>177</t>
  </si>
  <si>
    <t>09056494000109</t>
  </si>
  <si>
    <t>178</t>
  </si>
  <si>
    <t>04438454000108</t>
  </si>
  <si>
    <t>179</t>
  </si>
  <si>
    <t>11075151000125</t>
  </si>
  <si>
    <t>180</t>
  </si>
  <si>
    <t>46745006000199</t>
  </si>
  <si>
    <t>181</t>
  </si>
  <si>
    <t>09967852008705</t>
  </si>
  <si>
    <t>182</t>
  </si>
  <si>
    <t>09967852013539</t>
  </si>
  <si>
    <t>183</t>
  </si>
  <si>
    <t>02419765000358</t>
  </si>
  <si>
    <t>184</t>
  </si>
  <si>
    <t>02419765000439</t>
  </si>
  <si>
    <t>185</t>
  </si>
  <si>
    <t>05236519000197</t>
  </si>
  <si>
    <t>186</t>
  </si>
  <si>
    <t>08805504000190</t>
  </si>
  <si>
    <t>187</t>
  </si>
  <si>
    <t>53518684000184</t>
  </si>
  <si>
    <t>188</t>
  </si>
  <si>
    <t>09604474000117</t>
  </si>
  <si>
    <t>189</t>
  </si>
  <si>
    <t>81399230000177</t>
  </si>
  <si>
    <t>190</t>
  </si>
  <si>
    <t>60884855000316</t>
  </si>
  <si>
    <t>191</t>
  </si>
  <si>
    <t>IMPRESSORA IPIRANGA LTDA</t>
  </si>
  <si>
    <t>IMPRESSORA IPIRANGA</t>
  </si>
  <si>
    <t>84691419000127</t>
  </si>
  <si>
    <t>192</t>
  </si>
  <si>
    <t>INDUSTRIA E COMERCIO DE CONFECCOES EVI LTDA</t>
  </si>
  <si>
    <t>CONFECCOES EVI</t>
  </si>
  <si>
    <t>44680957000100</t>
  </si>
  <si>
    <t>193</t>
  </si>
  <si>
    <t>44968220000260</t>
  </si>
  <si>
    <t>194</t>
  </si>
  <si>
    <t>J2MB PARTICIPACOES LTDA</t>
  </si>
  <si>
    <t>J2MB</t>
  </si>
  <si>
    <t>05356033000192</t>
  </si>
  <si>
    <t>195</t>
  </si>
  <si>
    <t>JAIR CERQUEIRA LIMA</t>
  </si>
  <si>
    <t>BANDEIRA BRASIL MODA</t>
  </si>
  <si>
    <t>15610523000127</t>
  </si>
  <si>
    <t>196</t>
  </si>
  <si>
    <t>03847110000181</t>
  </si>
  <si>
    <t>197</t>
  </si>
  <si>
    <t>02025529000195</t>
  </si>
  <si>
    <t>198</t>
  </si>
  <si>
    <t>07037213000137</t>
  </si>
  <si>
    <t>199</t>
  </si>
  <si>
    <t>13356559000109</t>
  </si>
  <si>
    <t>200</t>
  </si>
  <si>
    <t>17021263000180</t>
  </si>
  <si>
    <t>201</t>
  </si>
  <si>
    <t>09055007000185</t>
  </si>
  <si>
    <t>202</t>
  </si>
  <si>
    <t>73917395000165</t>
  </si>
  <si>
    <t>203</t>
  </si>
  <si>
    <t>08270559000143</t>
  </si>
  <si>
    <t>204</t>
  </si>
  <si>
    <t>KARSTEN COMERCIO E SERVICOS DE DISTRIBUICAO LTDA</t>
  </si>
  <si>
    <t>KARSTEN COMERCIO E S</t>
  </si>
  <si>
    <t>09261989000161</t>
  </si>
  <si>
    <t>205</t>
  </si>
  <si>
    <t>KIKI BORDADOS E COMERCIO LTDA - ME</t>
  </si>
  <si>
    <t>DJO MODAS</t>
  </si>
  <si>
    <t>03493884000151</t>
  </si>
  <si>
    <t>206</t>
  </si>
  <si>
    <t>10411602000438</t>
  </si>
  <si>
    <t>207</t>
  </si>
  <si>
    <t>16796126000154</t>
  </si>
  <si>
    <t>208</t>
  </si>
  <si>
    <t>58762691000140</t>
  </si>
  <si>
    <t>209</t>
  </si>
  <si>
    <t>08723106000982</t>
  </si>
  <si>
    <t>210</t>
  </si>
  <si>
    <t>04812539000104</t>
  </si>
  <si>
    <t>211</t>
  </si>
  <si>
    <t>09109567000922</t>
  </si>
  <si>
    <t>212</t>
  </si>
  <si>
    <t>09109567000680</t>
  </si>
  <si>
    <t>213</t>
  </si>
  <si>
    <t>LE SENSE CONFECCOES INDUSTRIA E COMERCIO LTDA - ME</t>
  </si>
  <si>
    <t>LE SENSE CONFECCOES</t>
  </si>
  <si>
    <t>05168325000100</t>
  </si>
  <si>
    <t>214</t>
  </si>
  <si>
    <t>13185066000145</t>
  </si>
  <si>
    <t>215</t>
  </si>
  <si>
    <t>07463372000101</t>
  </si>
  <si>
    <t>216</t>
  </si>
  <si>
    <t>10736732000106</t>
  </si>
  <si>
    <t>217</t>
  </si>
  <si>
    <t>13709816000130</t>
  </si>
  <si>
    <t>218</t>
  </si>
  <si>
    <t>06272575000140</t>
  </si>
  <si>
    <t>219</t>
  </si>
  <si>
    <t>06272575004560</t>
  </si>
  <si>
    <t>220</t>
  </si>
  <si>
    <t>07764767000217</t>
  </si>
  <si>
    <t>221</t>
  </si>
  <si>
    <t>13955051000119</t>
  </si>
  <si>
    <t>222</t>
  </si>
  <si>
    <t>09265590000159</t>
  </si>
  <si>
    <t>223</t>
  </si>
  <si>
    <t>35434844000125</t>
  </si>
  <si>
    <t>224</t>
  </si>
  <si>
    <t>LIFT CONFECCOES LTDA - ME</t>
  </si>
  <si>
    <t>LIFT CONFECCOES</t>
  </si>
  <si>
    <t>04404583000177</t>
  </si>
  <si>
    <t>225</t>
  </si>
  <si>
    <t>LUCIA APARECIDA GRADINAR DA SILVA - EPP</t>
  </si>
  <si>
    <t>OLGA CONFECCOES</t>
  </si>
  <si>
    <t>11674853000125</t>
  </si>
  <si>
    <t>226</t>
  </si>
  <si>
    <t>14042073000150</t>
  </si>
  <si>
    <t>227</t>
  </si>
  <si>
    <t>M. M. GOMES BORDIGNON - ME</t>
  </si>
  <si>
    <t>M. M. GOMES BORDIGNO</t>
  </si>
  <si>
    <t>01209202000100</t>
  </si>
  <si>
    <t>228</t>
  </si>
  <si>
    <t>03900089000130</t>
  </si>
  <si>
    <t>229</t>
  </si>
  <si>
    <t>02333096000135</t>
  </si>
  <si>
    <t>230</t>
  </si>
  <si>
    <t>37069853000270</t>
  </si>
  <si>
    <t>231</t>
  </si>
  <si>
    <t>16393613000176</t>
  </si>
  <si>
    <t>232</t>
  </si>
  <si>
    <t>02481828000134</t>
  </si>
  <si>
    <t>233</t>
  </si>
  <si>
    <t>03414078000140</t>
  </si>
  <si>
    <t>234</t>
  </si>
  <si>
    <t>86858628000148</t>
  </si>
  <si>
    <t>235</t>
  </si>
  <si>
    <t>02936476000164</t>
  </si>
  <si>
    <t>236</t>
  </si>
  <si>
    <t>07406242000129</t>
  </si>
  <si>
    <t>237</t>
  </si>
  <si>
    <t>12210760000102</t>
  </si>
  <si>
    <t>238</t>
  </si>
  <si>
    <t>11768816000186</t>
  </si>
  <si>
    <t>239</t>
  </si>
  <si>
    <t>11570984000162</t>
  </si>
  <si>
    <t>240</t>
  </si>
  <si>
    <t>01273335000146</t>
  </si>
  <si>
    <t>241</t>
  </si>
  <si>
    <t>62413877003500</t>
  </si>
  <si>
    <t>242</t>
  </si>
  <si>
    <t>62413877003772</t>
  </si>
  <si>
    <t>243</t>
  </si>
  <si>
    <t>62413877002377</t>
  </si>
  <si>
    <t>244</t>
  </si>
  <si>
    <t>62413877003420</t>
  </si>
  <si>
    <t>245</t>
  </si>
  <si>
    <t>62413877004159</t>
  </si>
  <si>
    <t>246</t>
  </si>
  <si>
    <t>62413877001800</t>
  </si>
  <si>
    <t>247</t>
  </si>
  <si>
    <t>62413877003349</t>
  </si>
  <si>
    <t>248</t>
  </si>
  <si>
    <t>62413877001214</t>
  </si>
  <si>
    <t>249</t>
  </si>
  <si>
    <t>62413877004310</t>
  </si>
  <si>
    <t>250</t>
  </si>
  <si>
    <t>62413877003268</t>
  </si>
  <si>
    <t>251</t>
  </si>
  <si>
    <t>62413877001990</t>
  </si>
  <si>
    <t>252</t>
  </si>
  <si>
    <t>09259358000612</t>
  </si>
  <si>
    <t>253</t>
  </si>
  <si>
    <t>09259358000531</t>
  </si>
  <si>
    <t>254</t>
  </si>
  <si>
    <t>09390705000218</t>
  </si>
  <si>
    <t>255</t>
  </si>
  <si>
    <t>16746872000133</t>
  </si>
  <si>
    <t>256</t>
  </si>
  <si>
    <t>63360234000160</t>
  </si>
  <si>
    <t>257</t>
  </si>
  <si>
    <t>04200982000116</t>
  </si>
  <si>
    <t>258</t>
  </si>
  <si>
    <t>04268621000101</t>
  </si>
  <si>
    <t>259</t>
  </si>
  <si>
    <t>41295288000156</t>
  </si>
  <si>
    <t>260</t>
  </si>
  <si>
    <t>60342425000100</t>
  </si>
  <si>
    <t>261</t>
  </si>
  <si>
    <t>02850723000105</t>
  </si>
  <si>
    <t>262</t>
  </si>
  <si>
    <t>14626296000165</t>
  </si>
  <si>
    <t>263</t>
  </si>
  <si>
    <t>03909885000134</t>
  </si>
  <si>
    <t>264</t>
  </si>
  <si>
    <t>02732767000130</t>
  </si>
  <si>
    <t>265</t>
  </si>
  <si>
    <t>02237129000143</t>
  </si>
  <si>
    <t>266</t>
  </si>
  <si>
    <t>01137184000107</t>
  </si>
  <si>
    <t>267</t>
  </si>
  <si>
    <t>12107271000120</t>
  </si>
  <si>
    <t>268</t>
  </si>
  <si>
    <t>04225192000195</t>
  </si>
  <si>
    <t>269</t>
  </si>
  <si>
    <t>60428406000100</t>
  </si>
  <si>
    <t>270</t>
  </si>
  <si>
    <t>15055008000122</t>
  </si>
  <si>
    <t>271</t>
  </si>
  <si>
    <t>67965855000128</t>
  </si>
  <si>
    <t>272</t>
  </si>
  <si>
    <t>11206050000146</t>
  </si>
  <si>
    <t>273</t>
  </si>
  <si>
    <t>P. D. VIEIRA - CONFECCOES - EPP</t>
  </si>
  <si>
    <t>P. D. VIEIRA - CONFE</t>
  </si>
  <si>
    <t>15502638000106</t>
  </si>
  <si>
    <t>274</t>
  </si>
  <si>
    <t>PAULO HENRIQUE CARVALHO PENHALVES 41577080831</t>
  </si>
  <si>
    <t>LA BELLE</t>
  </si>
  <si>
    <t>19738784000188</t>
  </si>
  <si>
    <t>275</t>
  </si>
  <si>
    <t>05119692000105</t>
  </si>
  <si>
    <t>276</t>
  </si>
  <si>
    <t>28359032000105</t>
  </si>
  <si>
    <t>277</t>
  </si>
  <si>
    <t>03500924000145</t>
  </si>
  <si>
    <t>278</t>
  </si>
  <si>
    <t>13250998000558</t>
  </si>
  <si>
    <t>279</t>
  </si>
  <si>
    <t>13250998000124</t>
  </si>
  <si>
    <t>280</t>
  </si>
  <si>
    <t>03444566000109</t>
  </si>
  <si>
    <t>281</t>
  </si>
  <si>
    <t>05618132000103</t>
  </si>
  <si>
    <t>282</t>
  </si>
  <si>
    <t>20939356000100</t>
  </si>
  <si>
    <t>283</t>
  </si>
  <si>
    <t>06058894000157</t>
  </si>
  <si>
    <t>284</t>
  </si>
  <si>
    <t>00512196000101</t>
  </si>
  <si>
    <t>285</t>
  </si>
  <si>
    <t>05972108000160</t>
  </si>
  <si>
    <t>286</t>
  </si>
  <si>
    <t>04964690000150</t>
  </si>
  <si>
    <t>287</t>
  </si>
  <si>
    <t>04876700000103</t>
  </si>
  <si>
    <t>288</t>
  </si>
  <si>
    <t>11032917000194</t>
  </si>
  <si>
    <t>289</t>
  </si>
  <si>
    <t>10768764000185</t>
  </si>
  <si>
    <t>290</t>
  </si>
  <si>
    <t>00143127000160</t>
  </si>
  <si>
    <t>291</t>
  </si>
  <si>
    <t>02930133000192</t>
  </si>
  <si>
    <t>292</t>
  </si>
  <si>
    <t>07082596000165</t>
  </si>
  <si>
    <t>293</t>
  </si>
  <si>
    <t>04475972000193</t>
  </si>
  <si>
    <t>294</t>
  </si>
  <si>
    <t>07956338000160</t>
  </si>
  <si>
    <t>295</t>
  </si>
  <si>
    <t>09509776000106</t>
  </si>
  <si>
    <t>296</t>
  </si>
  <si>
    <t>13358793000167</t>
  </si>
  <si>
    <t>297</t>
  </si>
  <si>
    <t>07621134000179</t>
  </si>
  <si>
    <t>298</t>
  </si>
  <si>
    <t>05302356000284</t>
  </si>
  <si>
    <t>299</t>
  </si>
  <si>
    <t>04473417000122</t>
  </si>
  <si>
    <t>300</t>
  </si>
  <si>
    <t>41023243000122</t>
  </si>
  <si>
    <t>301</t>
  </si>
  <si>
    <t>10467772000191</t>
  </si>
  <si>
    <t>302</t>
  </si>
  <si>
    <t>19819544000108</t>
  </si>
  <si>
    <t>303</t>
  </si>
  <si>
    <t>03994793000108</t>
  </si>
  <si>
    <t>304</t>
  </si>
  <si>
    <t>PRIVATE LABEL - COMERCIO DE VESTUARIO - EIRELI - E</t>
  </si>
  <si>
    <t>PRIVATE LABEL</t>
  </si>
  <si>
    <t>19154612000167</t>
  </si>
  <si>
    <t>305</t>
  </si>
  <si>
    <t>PROFIRMAN COMERCIO E REPRESENTACOES LTDA - ME</t>
  </si>
  <si>
    <t>PROFIRMAN COMERCIO E</t>
  </si>
  <si>
    <t>02768788000106</t>
  </si>
  <si>
    <t>306</t>
  </si>
  <si>
    <t>06325665002014</t>
  </si>
  <si>
    <t>307</t>
  </si>
  <si>
    <t>06325665001476</t>
  </si>
  <si>
    <t>308</t>
  </si>
  <si>
    <t>06325665002871</t>
  </si>
  <si>
    <t>309</t>
  </si>
  <si>
    <t>06325665002286</t>
  </si>
  <si>
    <t>310</t>
  </si>
  <si>
    <t>06325665002952</t>
  </si>
  <si>
    <t>311</t>
  </si>
  <si>
    <t>06325665002600</t>
  </si>
  <si>
    <t>312</t>
  </si>
  <si>
    <t>06325665002790</t>
  </si>
  <si>
    <t>313</t>
  </si>
  <si>
    <t>04950702000197</t>
  </si>
  <si>
    <t>314</t>
  </si>
  <si>
    <t>01915448000106</t>
  </si>
  <si>
    <t>315</t>
  </si>
  <si>
    <t>07763237000173</t>
  </si>
  <si>
    <t>316</t>
  </si>
  <si>
    <t>RAFF-BORD COMERCIO E SERVICOS LTDA. - ME</t>
  </si>
  <si>
    <t>RAFF-BORD COMERCIO E</t>
  </si>
  <si>
    <t>52678208000168</t>
  </si>
  <si>
    <t>317</t>
  </si>
  <si>
    <t>59555888000171</t>
  </si>
  <si>
    <t>318</t>
  </si>
  <si>
    <t>03470477000200</t>
  </si>
  <si>
    <t>319</t>
  </si>
  <si>
    <t>00762199000276</t>
  </si>
  <si>
    <t>320</t>
  </si>
  <si>
    <t>06047087000996</t>
  </si>
  <si>
    <t>321</t>
  </si>
  <si>
    <t>50001338000136</t>
  </si>
  <si>
    <t>322</t>
  </si>
  <si>
    <t>08080657000118</t>
  </si>
  <si>
    <t>323</t>
  </si>
  <si>
    <t>19950363000116</t>
  </si>
  <si>
    <t>324</t>
  </si>
  <si>
    <t>15915074000125</t>
  </si>
  <si>
    <t>325</t>
  </si>
  <si>
    <t>04509250000293</t>
  </si>
  <si>
    <t>326</t>
  </si>
  <si>
    <t>04967657000183</t>
  </si>
  <si>
    <t>327</t>
  </si>
  <si>
    <t>17869188000101</t>
  </si>
  <si>
    <t>328</t>
  </si>
  <si>
    <t>03752464000142</t>
  </si>
  <si>
    <t>329</t>
  </si>
  <si>
    <t>73198574000351</t>
  </si>
  <si>
    <t>330</t>
  </si>
  <si>
    <t>13433459000120</t>
  </si>
  <si>
    <t>331</t>
  </si>
  <si>
    <t>03709814006390</t>
  </si>
  <si>
    <t>332</t>
  </si>
  <si>
    <t>00619232000122</t>
  </si>
  <si>
    <t>333</t>
  </si>
  <si>
    <t>00936348000195</t>
  </si>
  <si>
    <t>334</t>
  </si>
  <si>
    <t>14169550000143</t>
  </si>
  <si>
    <t>335</t>
  </si>
  <si>
    <t>88243522000165</t>
  </si>
  <si>
    <t>336</t>
  </si>
  <si>
    <t>04641463000193</t>
  </si>
  <si>
    <t>337</t>
  </si>
  <si>
    <t>08696145000180</t>
  </si>
  <si>
    <t>338</t>
  </si>
  <si>
    <t>08543077000209</t>
  </si>
  <si>
    <t>339</t>
  </si>
  <si>
    <t>05996268000149</t>
  </si>
  <si>
    <t>340</t>
  </si>
  <si>
    <t>08609628000109</t>
  </si>
  <si>
    <t>341</t>
  </si>
  <si>
    <t>TEXTIL MN COMERCIO DE TECIDOS E CONFECCOES LTDA.</t>
  </si>
  <si>
    <t>TEXTIL MN COMERCIO D</t>
  </si>
  <si>
    <t>06311274000188</t>
  </si>
  <si>
    <t>342</t>
  </si>
  <si>
    <t>02292153000185</t>
  </si>
  <si>
    <t>343</t>
  </si>
  <si>
    <t>13167132000154</t>
  </si>
  <si>
    <t>344</t>
  </si>
  <si>
    <t>19093993000111</t>
  </si>
  <si>
    <t>345</t>
  </si>
  <si>
    <t>00420255000103</t>
  </si>
  <si>
    <t>346</t>
  </si>
  <si>
    <t>02286568000146</t>
  </si>
  <si>
    <t>347</t>
  </si>
  <si>
    <t>03109168000128</t>
  </si>
  <si>
    <t>348</t>
  </si>
  <si>
    <t>75526608000153</t>
  </si>
  <si>
    <t>349</t>
  </si>
  <si>
    <t>12030755000118</t>
  </si>
  <si>
    <t>350</t>
  </si>
  <si>
    <t>03778464000111</t>
  </si>
  <si>
    <t>351</t>
  </si>
  <si>
    <t>00306218000179</t>
  </si>
  <si>
    <t>352</t>
  </si>
  <si>
    <t>13657562000154</t>
  </si>
  <si>
    <t>353</t>
  </si>
  <si>
    <t>07039656000167</t>
  </si>
  <si>
    <t>354</t>
  </si>
  <si>
    <t>KARSTEN NORDESTE INDUSTRIA TEXTIL LTDA</t>
  </si>
  <si>
    <t>KARSTEN NORDESTE IND</t>
  </si>
  <si>
    <t>07640208000114</t>
  </si>
  <si>
    <t>355</t>
  </si>
  <si>
    <t>82640558001410</t>
  </si>
  <si>
    <t>356</t>
  </si>
  <si>
    <t>DAUNE TRAVESSEIROS DE PENAS LTDA</t>
  </si>
  <si>
    <t>DAUNE TRAVESSEIROS D</t>
  </si>
  <si>
    <t>00026410000292</t>
  </si>
  <si>
    <t>357</t>
  </si>
  <si>
    <t>FLEX PILLOW CONFECCOES LTDA - ME</t>
  </si>
  <si>
    <t>FLEX PILLOW CONFECCO</t>
  </si>
  <si>
    <t>13828831000106</t>
  </si>
  <si>
    <t>358</t>
  </si>
  <si>
    <t>POLIURETANOS BRASIL LTDA</t>
  </si>
  <si>
    <t>POLIURETANOS BRASIL</t>
  </si>
  <si>
    <t>04559672000192</t>
  </si>
  <si>
    <t>359</t>
  </si>
  <si>
    <t>IBIZA INDUSTRIA E COMERCIO DE MALHAS LTDA - EPP</t>
  </si>
  <si>
    <t>IBIZA INDUSTRIA E CO</t>
  </si>
  <si>
    <t>04959154000166</t>
  </si>
  <si>
    <t>360</t>
  </si>
  <si>
    <t>T4E INDUSTRIA, COMERCIO, IMPORTACAO E EXPORTACAO L</t>
  </si>
  <si>
    <t>T4E INDUSTRIA, COMER</t>
  </si>
  <si>
    <t>01703245000148</t>
  </si>
  <si>
    <t>361</t>
  </si>
  <si>
    <t>A A PASSOS EMBALAGENS LTDA - ME</t>
  </si>
  <si>
    <t>A A PASSOS EMBALAGEN</t>
  </si>
  <si>
    <t>01566445000104</t>
  </si>
  <si>
    <t>362</t>
  </si>
  <si>
    <t>COMPANHIA INDUSTRIAL CATAGUASES</t>
  </si>
  <si>
    <t>COMPANHIA INDUSTRIAL</t>
  </si>
  <si>
    <t>19526748000827</t>
  </si>
  <si>
    <t>363</t>
  </si>
  <si>
    <t>COMERCIAL DE ZIPERES</t>
  </si>
  <si>
    <t>47201850000464</t>
  </si>
  <si>
    <t>364</t>
  </si>
  <si>
    <t>SABTEX - INDUSTRIA E COMERCIO LTDA</t>
  </si>
  <si>
    <t>SABTEX - INDUSTRIA E</t>
  </si>
  <si>
    <t>14385585000110</t>
  </si>
  <si>
    <t>365</t>
  </si>
  <si>
    <t>TIELEMANS DO BRASIL LTDA - ME</t>
  </si>
  <si>
    <t>FOTOTRICO</t>
  </si>
  <si>
    <t>11188926000179</t>
  </si>
  <si>
    <t>366</t>
  </si>
  <si>
    <t>SULTEXTIL S/A INDUSTRIA DE TECIDOS</t>
  </si>
  <si>
    <t>SULTEXTIL</t>
  </si>
  <si>
    <t>91409698000663</t>
  </si>
  <si>
    <t>367</t>
  </si>
  <si>
    <t>HITECH ETIQUETAS LTDA</t>
  </si>
  <si>
    <t>HITECH ETIQUETAS LTD</t>
  </si>
  <si>
    <t>06295068000121</t>
  </si>
  <si>
    <t>368</t>
  </si>
  <si>
    <t>AUTO POSTO POLI BUTANTA LTDA</t>
  </si>
  <si>
    <t>POSTO ELISEU</t>
  </si>
  <si>
    <t>14028177000100</t>
  </si>
  <si>
    <t>369</t>
  </si>
  <si>
    <t>INTERQUIM INDUSTRIA QUIMICA LTDA</t>
  </si>
  <si>
    <t>INTERQUIM</t>
  </si>
  <si>
    <t>04886934000123</t>
  </si>
  <si>
    <t>370</t>
  </si>
  <si>
    <t>R.MOTTA COMERCIAL LTDA - ME</t>
  </si>
  <si>
    <t>R.MOTTA COMERCIAL LT</t>
  </si>
  <si>
    <t>59257006000191</t>
  </si>
  <si>
    <t>371</t>
  </si>
  <si>
    <t>NESTLE BRASIL LTDA.</t>
  </si>
  <si>
    <t>60409075011863</t>
  </si>
  <si>
    <t>372</t>
  </si>
  <si>
    <t>QUALIRUBBER BORRACHAS E PLASTICOS LTDA - ME</t>
  </si>
  <si>
    <t>QUALIRUBBER</t>
  </si>
  <si>
    <t>06252661000190</t>
  </si>
  <si>
    <t>373</t>
  </si>
  <si>
    <t>ADESSO MOVEIS &amp; DESIGN LTDA - ME</t>
  </si>
  <si>
    <t>ADESSO MOVEIS &amp; DESI</t>
  </si>
  <si>
    <t>10880761000139</t>
  </si>
  <si>
    <t>374</t>
  </si>
  <si>
    <t>CASA DOS BEBEDOUROS LTDA</t>
  </si>
  <si>
    <t>CASA DOS BEBEDOUROS</t>
  </si>
  <si>
    <t>05075302000142</t>
  </si>
  <si>
    <t>375</t>
  </si>
  <si>
    <t>TOTAL COMERCIAL IMPORTADORA E EXPORTADORA LTDA</t>
  </si>
  <si>
    <t>TOTAL COMERCIAL</t>
  </si>
  <si>
    <t>18018837000123</t>
  </si>
  <si>
    <t>376</t>
  </si>
  <si>
    <t>ASLAN COMERCIO DE ARMARINHOS LTDA</t>
  </si>
  <si>
    <t>ASLAN COMERCIO DE AR</t>
  </si>
  <si>
    <t>48296420000274</t>
  </si>
  <si>
    <t>377</t>
  </si>
  <si>
    <t>ALTAIR NOVAES - ME</t>
  </si>
  <si>
    <t>FLORA 35</t>
  </si>
  <si>
    <t>02236100000147</t>
  </si>
  <si>
    <t>378</t>
  </si>
  <si>
    <t>EDUVAL INDUSTRIA E COMERCIO DE CONFECCOES LTDA.</t>
  </si>
  <si>
    <t>EDUVAL INDUSTRIA E C</t>
  </si>
  <si>
    <t>62830211000109</t>
  </si>
  <si>
    <t>379</t>
  </si>
  <si>
    <t>COATS CORRENTE LTDA</t>
  </si>
  <si>
    <t>CORRENTE</t>
  </si>
  <si>
    <t>61148052002300</t>
  </si>
  <si>
    <t>380</t>
  </si>
  <si>
    <t>BRASEMBA INDUSTRIA E COMERCIO DE EMBALAGENS LTDA -</t>
  </si>
  <si>
    <t>BRASEMBA INDUSTRIA E</t>
  </si>
  <si>
    <t>56695620000147</t>
  </si>
  <si>
    <t>381</t>
  </si>
  <si>
    <t>ARCHIVE HOUSE COMERCIO IMPORTACAO E EXPORTACAO DE</t>
  </si>
  <si>
    <t>ARCHIVE HOUSE COMERC</t>
  </si>
  <si>
    <t>07747919000192</t>
  </si>
  <si>
    <t>382</t>
  </si>
  <si>
    <t>QUIMESP QUIMICA LTDA.</t>
  </si>
  <si>
    <t>QUIMESP QUIMICA LTDA</t>
  </si>
  <si>
    <t>53393690000152</t>
  </si>
  <si>
    <t>383</t>
  </si>
  <si>
    <t>AGASSETE COMERCIO E INDUSTRIA LTDA - ME</t>
  </si>
  <si>
    <t>AGASSETE COMERCIO E</t>
  </si>
  <si>
    <t>61567996000297</t>
  </si>
  <si>
    <t>384</t>
  </si>
  <si>
    <t>COMERCIAL ELETRICA TABAPUA LTDA - EPP</t>
  </si>
  <si>
    <t>COMERCIAL ELETRICA T</t>
  </si>
  <si>
    <t>62200290000174</t>
  </si>
  <si>
    <t>385</t>
  </si>
  <si>
    <t>INDUSTRIA TEXTIL MARIA DE NAZARETH LTDA</t>
  </si>
  <si>
    <t>INDUSTRIA TEXTIL MAR</t>
  </si>
  <si>
    <t>43263359000164</t>
  </si>
  <si>
    <t>386</t>
  </si>
  <si>
    <t>TOP LINE ETIQUETAS LTDA</t>
  </si>
  <si>
    <t>ESTAMPA ETIQUETAS</t>
  </si>
  <si>
    <t>03161581000131</t>
  </si>
  <si>
    <t>387</t>
  </si>
  <si>
    <t>ROZAC COMERCIO IMPORTACAO E EXPORTACAO DE PRODUTOS</t>
  </si>
  <si>
    <t>ROZAC COMERCIO IMPOR</t>
  </si>
  <si>
    <t>05629653000310</t>
  </si>
  <si>
    <t>388</t>
  </si>
  <si>
    <t>ARTECA VITORIA IMPORTACAO E EXPORTACAO LTDA</t>
  </si>
  <si>
    <t>ARTECA VITORIA IMPOR</t>
  </si>
  <si>
    <t>03446617000123</t>
  </si>
  <si>
    <t>389</t>
  </si>
  <si>
    <t>TRISOFT TEXTIL LTDA</t>
  </si>
  <si>
    <t>55895544000150</t>
  </si>
  <si>
    <t>390</t>
  </si>
  <si>
    <t>R.A2PRINT ETIQUETAS LTDA - ME</t>
  </si>
  <si>
    <t>RA2 PRINT</t>
  </si>
  <si>
    <t>08022646000181</t>
  </si>
  <si>
    <t>391</t>
  </si>
  <si>
    <t>SATO AUTO-ID DO BRASIL LTDA</t>
  </si>
  <si>
    <t>SATO AUTO-ID DO BRAS</t>
  </si>
  <si>
    <t>59910539000120</t>
  </si>
  <si>
    <t>392</t>
  </si>
  <si>
    <t>PETTENATI SA INDUSTRIA TEXTIL</t>
  </si>
  <si>
    <t>PETTENATI SA INDUSTR</t>
  </si>
  <si>
    <t>88613658000110</t>
  </si>
  <si>
    <t>393</t>
  </si>
  <si>
    <t>MARANTEX COMERCIO DE TECIDOS E RETALHOS LTDA - EPP</t>
  </si>
  <si>
    <t>MARANTEX COMERCIO DE</t>
  </si>
  <si>
    <t>71871560000160</t>
  </si>
  <si>
    <t>394</t>
  </si>
  <si>
    <t>CORDOFLEX INDUSTRIA E COMERCIO LTDA - EPP</t>
  </si>
  <si>
    <t>CORDOFLEX</t>
  </si>
  <si>
    <t>04093144000190</t>
  </si>
  <si>
    <t>395</t>
  </si>
  <si>
    <t>EMILIA PLASTICOS LTDA</t>
  </si>
  <si>
    <t>EMILIA PLASTICOS LTD</t>
  </si>
  <si>
    <t>11746175000169</t>
  </si>
  <si>
    <t>396</t>
  </si>
  <si>
    <t>CAVEMAC INDL E COML DE MAQS IMP E EXP LTDA</t>
  </si>
  <si>
    <t>CAVEMAC</t>
  </si>
  <si>
    <t>48036552000186</t>
  </si>
  <si>
    <t>397</t>
  </si>
  <si>
    <t>MENEGHEL INDUSTRIA TEXTIL LTDA</t>
  </si>
  <si>
    <t>MENEGHEL INDUSTRIA T</t>
  </si>
  <si>
    <t>43248863000195</t>
  </si>
  <si>
    <t>398</t>
  </si>
  <si>
    <t>A. MICHELOTTI - AK - COMERCIO E CONFECCAO DE UNIFO</t>
  </si>
  <si>
    <t>A.MICHELOTTI UNIFORM</t>
  </si>
  <si>
    <t>02933387000164</t>
  </si>
  <si>
    <t>399</t>
  </si>
  <si>
    <t>FOXSTEXTIL COMERCIO DE TECIDOS LTDA - ME</t>
  </si>
  <si>
    <t>FOXSTEXTIL COMERCIO</t>
  </si>
  <si>
    <t>11420277000190</t>
  </si>
  <si>
    <t>400</t>
  </si>
  <si>
    <t>INDUSTRIA DE FELTROS SANTA FE S A</t>
  </si>
  <si>
    <t>INDUSTRIA DE FELTROS</t>
  </si>
  <si>
    <t>60730512000135</t>
  </si>
  <si>
    <t>401</t>
  </si>
  <si>
    <t>GARCIA EMBALAGENS PROMOCIONAIS LTDA - EIRELI - EPP</t>
  </si>
  <si>
    <t>SACOLA &amp; CIA</t>
  </si>
  <si>
    <t>02789359000115</t>
  </si>
  <si>
    <t>402</t>
  </si>
  <si>
    <t>29435005005198</t>
  </si>
  <si>
    <t>403</t>
  </si>
  <si>
    <t>ELETROPAULO METROPOLITANA ELETRICIDADE DE SAO PAUL</t>
  </si>
  <si>
    <t>ENEL</t>
  </si>
  <si>
    <t>61695227000193</t>
  </si>
  <si>
    <t>404</t>
  </si>
  <si>
    <t>LOCAWEB SERVICOS DE INTERNET S.A.</t>
  </si>
  <si>
    <t>LOCAWEB</t>
  </si>
  <si>
    <t>02351877000152</t>
  </si>
  <si>
    <t>405</t>
  </si>
  <si>
    <t>TIM CELULAR S.A.</t>
  </si>
  <si>
    <t>04206050000180</t>
  </si>
  <si>
    <t>406</t>
  </si>
  <si>
    <t>ISAO DESIGN E COMUNICACAO LTDA</t>
  </si>
  <si>
    <t>ISAO DESIGN E COMUNI</t>
  </si>
  <si>
    <t>07284255000172</t>
  </si>
  <si>
    <t>407</t>
  </si>
  <si>
    <t>MAURICIO MORATA DE JESUS - ME</t>
  </si>
  <si>
    <t>EVOLUCAO ENCOMENDA E</t>
  </si>
  <si>
    <t>09498038000100</t>
  </si>
  <si>
    <t>408</t>
  </si>
  <si>
    <t>PROMOBOM AUTOPASS S.A.</t>
  </si>
  <si>
    <t>PROMOBOM AUTOPASS S.</t>
  </si>
  <si>
    <t>07140538000140</t>
  </si>
  <si>
    <t>409</t>
  </si>
  <si>
    <t>REED EXHIBITIONS ALCANTARA MACHADO LTDA</t>
  </si>
  <si>
    <t>REED EXHIBITIONS ALC</t>
  </si>
  <si>
    <t>02162646000109</t>
  </si>
  <si>
    <t>410</t>
  </si>
  <si>
    <t>SINDICATO DOS LOJISTAS DOCOMERCIO DE SAO PAULO</t>
  </si>
  <si>
    <t>SINDICATO DOS LOJIST</t>
  </si>
  <si>
    <t>62661269000176</t>
  </si>
  <si>
    <t>411</t>
  </si>
  <si>
    <t>SINDICATO DOS OFICIAIS ALFAIATES, COSTUREIRAS E TR</t>
  </si>
  <si>
    <t>SINDCOST</t>
  </si>
  <si>
    <t>62812573000177</t>
  </si>
  <si>
    <t>412</t>
  </si>
  <si>
    <t>SODEXO PASS DO BRASIL SERVICOS E COMERCIO S.A.</t>
  </si>
  <si>
    <t>SODEXO PASS DO BRASI</t>
  </si>
  <si>
    <t>69034668000156</t>
  </si>
  <si>
    <t>413</t>
  </si>
  <si>
    <t>TELEFONICA BRASIL S.A.</t>
  </si>
  <si>
    <t>TELEFONICA BRASIL S.</t>
  </si>
  <si>
    <t>02558157000162</t>
  </si>
  <si>
    <t>414</t>
  </si>
  <si>
    <t>UNIPRESS JATO TRANSPORTES E LOGISTICA LTDA</t>
  </si>
  <si>
    <t>UNIPRESS JATO TRANSP</t>
  </si>
  <si>
    <t>04029498000176</t>
  </si>
  <si>
    <t>415</t>
  </si>
  <si>
    <t>BRASPRESS TRANSPORTES URGENTES LTDA</t>
  </si>
  <si>
    <t>BRASPRESS</t>
  </si>
  <si>
    <t>48740351002109</t>
  </si>
  <si>
    <t>416</t>
  </si>
  <si>
    <t>KHARISMA TRANSPORTES RAPIDO LTDA</t>
  </si>
  <si>
    <t>KHARISMA TRANSPORTES</t>
  </si>
  <si>
    <t>43591718000102</t>
  </si>
  <si>
    <t>417</t>
  </si>
  <si>
    <t>12791199000100</t>
  </si>
  <si>
    <t>418</t>
  </si>
  <si>
    <t>S.M.L. TRANSPORTES E TURISMO LTDA - ME</t>
  </si>
  <si>
    <t>S.M.L. TURISMO</t>
  </si>
  <si>
    <t>03824931000100</t>
  </si>
  <si>
    <t>419</t>
  </si>
  <si>
    <t>TRANSPORTES VT LTDA</t>
  </si>
  <si>
    <t>41758160000343</t>
  </si>
  <si>
    <t>420</t>
  </si>
  <si>
    <t>CENTRO AUTOMOTIVO NIPO BRASILEIRO COMERCIO DE PECA</t>
  </si>
  <si>
    <t>CENTRO AUTOMOTIVO NI</t>
  </si>
  <si>
    <t>47334057000190</t>
  </si>
  <si>
    <t>421</t>
  </si>
  <si>
    <t>CIA DE SANEAMENTO BASICO DO ESTADO DE SAO PAULO SA</t>
  </si>
  <si>
    <t>SABESP</t>
  </si>
  <si>
    <t>43776517000180</t>
  </si>
  <si>
    <t>422</t>
  </si>
  <si>
    <t>LAGROTTA AZZURRA INDUSTRIA E COMERCIO DE CONFECCOE</t>
  </si>
  <si>
    <t>LAGROTTA AZZURRA IND</t>
  </si>
  <si>
    <t>00451915000466</t>
  </si>
  <si>
    <t>423</t>
  </si>
  <si>
    <t>MONICA DE FREITAS SILVA - ME</t>
  </si>
  <si>
    <t>MF BUFFET</t>
  </si>
  <si>
    <t>07023606000191</t>
  </si>
  <si>
    <t>424</t>
  </si>
  <si>
    <t>NC SISTEMAS CONTABIL LTDA - ME</t>
  </si>
  <si>
    <t>NC SISTEMAS CONTABIL</t>
  </si>
  <si>
    <t>09339494000108</t>
  </si>
  <si>
    <t>425</t>
  </si>
  <si>
    <t>MAKO EMPREENDIMENTOS IMOBILIARIOS LTDA - ME</t>
  </si>
  <si>
    <t>MAKO EMPREENDIMENTOS</t>
  </si>
  <si>
    <t>65898942000184</t>
  </si>
  <si>
    <t>426</t>
  </si>
  <si>
    <t>FEDEX BRASIL LOGISTICA E TRANSPORTE S.A.</t>
  </si>
  <si>
    <t>RAPIDAO COMETA</t>
  </si>
  <si>
    <t>10970887000102</t>
  </si>
  <si>
    <t>427</t>
  </si>
  <si>
    <t>V.M.S. CORDEIRO &amp; CIA LTDA - ME</t>
  </si>
  <si>
    <t>BELLAGIO REPRESENTAC</t>
  </si>
  <si>
    <t>12806200000115</t>
  </si>
  <si>
    <t>428</t>
  </si>
  <si>
    <t>PENA DE JESUS &amp; JESUS LTDA - ME</t>
  </si>
  <si>
    <t>PAULO DE JESUS</t>
  </si>
  <si>
    <t>03225755000182</t>
  </si>
  <si>
    <t>429</t>
  </si>
  <si>
    <t>APSILVA &amp; MAROLIV - COMERCIO E PRESTACAO DE SERVIC</t>
  </si>
  <si>
    <t>APSILVA &amp; MAROLIV -</t>
  </si>
  <si>
    <t>05433424000163</t>
  </si>
  <si>
    <t>430</t>
  </si>
  <si>
    <t>COMPELLI SEGURANCA, SAUDE E QUALIDADE DE VIDA LTDA</t>
  </si>
  <si>
    <t>COMPELLI</t>
  </si>
  <si>
    <t>12605854000180</t>
  </si>
  <si>
    <t>431</t>
  </si>
  <si>
    <t>DIGITAL LINE TELECOMUNICACOES LTDA - EPP</t>
  </si>
  <si>
    <t>DIGITAL LINE TELECOM</t>
  </si>
  <si>
    <t>00874678000101</t>
  </si>
  <si>
    <t>432</t>
  </si>
  <si>
    <t>EDITORA GPHR LTDA - ME</t>
  </si>
  <si>
    <t>EDITORA GPHR LTDA -</t>
  </si>
  <si>
    <t>07730994000140</t>
  </si>
  <si>
    <t>433</t>
  </si>
  <si>
    <t>EDITORA NOVA GESTAO LTDA - EPP</t>
  </si>
  <si>
    <t>EDITORA NOVA GESTAO</t>
  </si>
  <si>
    <t>12028303000100</t>
  </si>
  <si>
    <t>434</t>
  </si>
  <si>
    <t>ELIMAQ COMERCIO DE MAQUINAS E ACESSORIOS LTDA - ME</t>
  </si>
  <si>
    <t>ELIMAQ COMERCIO DE M</t>
  </si>
  <si>
    <t>67816868000135</t>
  </si>
  <si>
    <t>435</t>
  </si>
  <si>
    <t>LAR E COMPANHIA COMERCIO E REPRESENTACOES DE TECID</t>
  </si>
  <si>
    <t>LAR E COMPANHIA COME</t>
  </si>
  <si>
    <t>58879602000140</t>
  </si>
  <si>
    <t>436</t>
  </si>
  <si>
    <t>09081458000197</t>
  </si>
  <si>
    <t>437</t>
  </si>
  <si>
    <t>FURUKAWA IMOVEIS LTDA - EPP</t>
  </si>
  <si>
    <t>FURUKAWA IMOVEIS LTD</t>
  </si>
  <si>
    <t>18298476000116</t>
  </si>
  <si>
    <t>438</t>
  </si>
  <si>
    <t>AG REPRESENTACOES COMERCIAIS LTDA - ME</t>
  </si>
  <si>
    <t>AG REPRESENTACOES</t>
  </si>
  <si>
    <t>14830369000136</t>
  </si>
  <si>
    <t>439</t>
  </si>
  <si>
    <t>SENNA TECH COM.E SERVICOS PREDIAIS EIRELI</t>
  </si>
  <si>
    <t>ALPHA</t>
  </si>
  <si>
    <t>20137826000104</t>
  </si>
  <si>
    <t>440</t>
  </si>
  <si>
    <t>ALPHA TRIADE PROTECAO E SERVICOS PREDIAIS EIRELI -</t>
  </si>
  <si>
    <t>ALPHA TRIADE PROTECA</t>
  </si>
  <si>
    <t>07683449000140</t>
  </si>
  <si>
    <t>441</t>
  </si>
  <si>
    <t>AO IMPERADOR DAS MAQUINAS LTDA - EPP</t>
  </si>
  <si>
    <t>AO IMPERADOR DAS MAQ</t>
  </si>
  <si>
    <t>60467743000106</t>
  </si>
  <si>
    <t>442</t>
  </si>
  <si>
    <t>AYFLEX SERVICOS DE DIVISORIAS E FORROS LTDA - ME</t>
  </si>
  <si>
    <t>AYFLEX</t>
  </si>
  <si>
    <t>10336165000192</t>
  </si>
  <si>
    <t>443</t>
  </si>
  <si>
    <t>BR COMERCIO DE INFORMATICA LTDA - EPP</t>
  </si>
  <si>
    <t>BR COM</t>
  </si>
  <si>
    <t>05751154000139</t>
  </si>
  <si>
    <t>444</t>
  </si>
  <si>
    <t>BUDI IND COM DE MALHAS LT</t>
  </si>
  <si>
    <t>BUDI</t>
  </si>
  <si>
    <t>63089775000103</t>
  </si>
  <si>
    <t>445</t>
  </si>
  <si>
    <t>CASTELINHO TECIDOS E TECIDOS EIRELI</t>
  </si>
  <si>
    <t>CASTELINHO</t>
  </si>
  <si>
    <t>43558600000182</t>
  </si>
  <si>
    <t>446</t>
  </si>
  <si>
    <t>CELMAR EMPACOTAMENTO DE PRODUTOS ALIMENTICIOS LTDA</t>
  </si>
  <si>
    <t>CELMAR</t>
  </si>
  <si>
    <t>69023075000194</t>
  </si>
  <si>
    <t>447</t>
  </si>
  <si>
    <t>CIDTECH LOCACOES E SERVICOS LTDA - EPP</t>
  </si>
  <si>
    <t>CIDTECH LOCACOES E S</t>
  </si>
  <si>
    <t>01686295000164</t>
  </si>
  <si>
    <t>448</t>
  </si>
  <si>
    <t>COMERCIAL GALLO FERROS LTDA</t>
  </si>
  <si>
    <t>COMERCIAL GALLO FERR</t>
  </si>
  <si>
    <t>00992936000146</t>
  </si>
  <si>
    <t>449</t>
  </si>
  <si>
    <t>IMPORTADORA VPG TEXTIL LTDA</t>
  </si>
  <si>
    <t>IMPORTADORA VPG TEXT</t>
  </si>
  <si>
    <t>11201128000130</t>
  </si>
  <si>
    <t>450</t>
  </si>
  <si>
    <t>IMPRESSORA MAYER LTDA</t>
  </si>
  <si>
    <t>IMPRESSORA MAYER LTD</t>
  </si>
  <si>
    <t>75786459000161</t>
  </si>
  <si>
    <t>451</t>
  </si>
  <si>
    <t>INOVAX MX CONFECCOES LTDA</t>
  </si>
  <si>
    <t>FENOMENAL INTERNATIO</t>
  </si>
  <si>
    <t>14924092000100</t>
  </si>
  <si>
    <t>452</t>
  </si>
  <si>
    <t>INTELIG TELECOMUNICACOES LTDA.</t>
  </si>
  <si>
    <t>INTELIG TELECOMUNICA</t>
  </si>
  <si>
    <t>02421421000626</t>
  </si>
  <si>
    <t>453</t>
  </si>
  <si>
    <t>ITALY-COLA COMERCIO DE PRODUTOS TEXTEIS LTDA</t>
  </si>
  <si>
    <t>ITALY-COLA COMERCIO</t>
  </si>
  <si>
    <t>01397823000165</t>
  </si>
  <si>
    <t>454</t>
  </si>
  <si>
    <t>JAMEF TRANSPORTES LIMITADA</t>
  </si>
  <si>
    <t>JAMEF</t>
  </si>
  <si>
    <t>20147617000141</t>
  </si>
  <si>
    <t>455</t>
  </si>
  <si>
    <t>JR SERVICOS DE REPRESENTACAO LTDA - ME</t>
  </si>
  <si>
    <t>JR REPRESENTACOES</t>
  </si>
  <si>
    <t>20302207000128</t>
  </si>
  <si>
    <t>456</t>
  </si>
  <si>
    <t>KARSTEN COMERCIO TEXTIL LTDA</t>
  </si>
  <si>
    <t>KARSTEN COMERCIO TEX</t>
  </si>
  <si>
    <t>16605598000182</t>
  </si>
  <si>
    <t>457</t>
  </si>
  <si>
    <t>KAZA ASSESSORIA EMPRESARIAL EIRELI</t>
  </si>
  <si>
    <t>KAZA ASSESSORIA EMPR</t>
  </si>
  <si>
    <t>18497101000185</t>
  </si>
  <si>
    <t>458</t>
  </si>
  <si>
    <t>L B SERVICOS DE COPIADORA LTDA - ME</t>
  </si>
  <si>
    <t>JET PRINTER</t>
  </si>
  <si>
    <t>17088125000118</t>
  </si>
  <si>
    <t>459</t>
  </si>
  <si>
    <t>LIBERTY SEGUROS S/A</t>
  </si>
  <si>
    <t>61550141000172</t>
  </si>
  <si>
    <t>460</t>
  </si>
  <si>
    <t>MADEIRAMIX COMERCIAL EIRELI - EPP</t>
  </si>
  <si>
    <t>MADEIRAMIX COMERCIAL</t>
  </si>
  <si>
    <t>12224819000111</t>
  </si>
  <si>
    <t>461</t>
  </si>
  <si>
    <t>MAKRO ATACADISTA SOCIEDADE ANONIMA</t>
  </si>
  <si>
    <t>MAKRO ATACADISTA SOC</t>
  </si>
  <si>
    <t>47427653001430</t>
  </si>
  <si>
    <t>462</t>
  </si>
  <si>
    <t>MARCENARIA &amp; DECORACOES N.O. EIRELI - ME</t>
  </si>
  <si>
    <t>MARCENARIA N.O.</t>
  </si>
  <si>
    <t>18083411000153</t>
  </si>
  <si>
    <t>463</t>
  </si>
  <si>
    <t>MASTER MOVEIS COMERCIO E SERVICOS LTDA - ME</t>
  </si>
  <si>
    <t>NIPON</t>
  </si>
  <si>
    <t>15537750000174</t>
  </si>
  <si>
    <t>464</t>
  </si>
  <si>
    <t>MATEUS IND COM BRINDES LT</t>
  </si>
  <si>
    <t>MATEUS INDUSTRIA E C</t>
  </si>
  <si>
    <t>69124626000106</t>
  </si>
  <si>
    <t>465</t>
  </si>
  <si>
    <t>MAXISERV - SERVICOS S/C LTDA - ME</t>
  </si>
  <si>
    <t>MAXISERV</t>
  </si>
  <si>
    <t>00711774000120</t>
  </si>
  <si>
    <t>466</t>
  </si>
  <si>
    <t>MIL IDEIAS GASTRONOMIA IS LTDA - ME</t>
  </si>
  <si>
    <t>MIL IDEIAS GASTRONOM</t>
  </si>
  <si>
    <t>00713045000103</t>
  </si>
  <si>
    <t>467</t>
  </si>
  <si>
    <t>MONTELOG MONTAGENS DE ESTRUTURAS E EMBALAGENS LTDA</t>
  </si>
  <si>
    <t>MONTELOG MONTAGENS D</t>
  </si>
  <si>
    <t>09605611000138</t>
  </si>
  <si>
    <t>468</t>
  </si>
  <si>
    <t>MULTISERV ELETRONICA LTDA - ME</t>
  </si>
  <si>
    <t>MULTISERV</t>
  </si>
  <si>
    <t>01287667000180</t>
  </si>
  <si>
    <t>469</t>
  </si>
  <si>
    <t>MUSTANG COMERCIO E SERVICOS DE EXTINTORES LTDA - M</t>
  </si>
  <si>
    <t>MUSTANG</t>
  </si>
  <si>
    <t>00880477000109</t>
  </si>
  <si>
    <t>470</t>
  </si>
  <si>
    <t>NASUL CARGO LOGISTICA LTDA</t>
  </si>
  <si>
    <t>NASUL CARGO LOGISTIC</t>
  </si>
  <si>
    <t>85400398000106</t>
  </si>
  <si>
    <t>471</t>
  </si>
  <si>
    <t>NC SISTEMAS PROCESSAMENTO DE DADOS LTDA - ME</t>
  </si>
  <si>
    <t>NC SISTEMAS PROCESSA</t>
  </si>
  <si>
    <t>71743348000117</t>
  </si>
  <si>
    <t>472</t>
  </si>
  <si>
    <t>NELOSUL CHURRASCARIA - EIRELI - EPP</t>
  </si>
  <si>
    <t>TORDILHO CHURRASCARI</t>
  </si>
  <si>
    <t>54883004000194</t>
  </si>
  <si>
    <t>473</t>
  </si>
  <si>
    <t>NNC ARTES GRAFICA LTDA - EPP</t>
  </si>
  <si>
    <t>NNC ARTES GRAFICA</t>
  </si>
  <si>
    <t>58425125000143</t>
  </si>
  <si>
    <t>474</t>
  </si>
  <si>
    <t>NOTESOLUTION INFORMATICA LTDA - ME</t>
  </si>
  <si>
    <t>NOVA DIGITAL</t>
  </si>
  <si>
    <t>05671154000129</t>
  </si>
  <si>
    <t>475</t>
  </si>
  <si>
    <t>PAULO ALBERTO DOS SANTOS CAVALCANTI - ME</t>
  </si>
  <si>
    <t>MILAMAK</t>
  </si>
  <si>
    <t>09577436000112</t>
  </si>
  <si>
    <t>476</t>
  </si>
  <si>
    <t>PHD STUDIO LTDA - ME</t>
  </si>
  <si>
    <t>09420091000199</t>
  </si>
  <si>
    <t>477</t>
  </si>
  <si>
    <t>PICCOLI &amp; AMARAL TRANSPORTES LTDA - ME</t>
  </si>
  <si>
    <t>PICCOLI &amp; AMARAL TRA</t>
  </si>
  <si>
    <t>13921944000143</t>
  </si>
  <si>
    <t>478</t>
  </si>
  <si>
    <t>PONTO CENTRAL DOS TAPETES IMPORTACAO E EXPORTACAO</t>
  </si>
  <si>
    <t>PONTO CENTRAL</t>
  </si>
  <si>
    <t>09615602000128</t>
  </si>
  <si>
    <t>479</t>
  </si>
  <si>
    <t>PRATELEIRAS RIBEIRO ALVES LTDA - ME</t>
  </si>
  <si>
    <t>PRATELEIRAS RIBEIRO</t>
  </si>
  <si>
    <t>09058281000108</t>
  </si>
  <si>
    <t>480</t>
  </si>
  <si>
    <t>RENOVA SERVICOS DE REFORMAS CONSTRUCOES E DECORACO</t>
  </si>
  <si>
    <t>RENOVA REFORMAS</t>
  </si>
  <si>
    <t>14986284000141</t>
  </si>
  <si>
    <t>481</t>
  </si>
  <si>
    <t>RESTAURANTE E CAFETERIA RECANTO DAS HORTENCIAS LTD</t>
  </si>
  <si>
    <t>RESTAURANTE E CAFETE</t>
  </si>
  <si>
    <t>74619545000117</t>
  </si>
  <si>
    <t>482</t>
  </si>
  <si>
    <t>RG PRODUTOS DE COURO EIRELI - ME</t>
  </si>
  <si>
    <t>RENATA GRANHA</t>
  </si>
  <si>
    <t>04629288000119</t>
  </si>
  <si>
    <t>483</t>
  </si>
  <si>
    <t>RM LOGISTICA E TRANSPORTES LTDA - EPP</t>
  </si>
  <si>
    <t>RM LOGISTICA</t>
  </si>
  <si>
    <t>10691842000190</t>
  </si>
  <si>
    <t>484</t>
  </si>
  <si>
    <t>RODONAVES-TRANSPORTES E ENCOMENDAS LTDA</t>
  </si>
  <si>
    <t>RODONAVES-TRANSPORTE</t>
  </si>
  <si>
    <t>44914992000138</t>
  </si>
  <si>
    <t>485</t>
  </si>
  <si>
    <t>SCED EMBALAGENS DESCARTAVEIS LTDA - EPP</t>
  </si>
  <si>
    <t>SACO &amp; CIA</t>
  </si>
  <si>
    <t>01220525000103</t>
  </si>
  <si>
    <t>486</t>
  </si>
  <si>
    <t>SERTRAS CONSULTORIA E GESTAO LTDA - ME</t>
  </si>
  <si>
    <t>SERTRAS</t>
  </si>
  <si>
    <t>18141784000133</t>
  </si>
  <si>
    <t>487</t>
  </si>
  <si>
    <t>SINDICATO DOS COMERCIARIOS DE SAO PAULO</t>
  </si>
  <si>
    <t>SINDICATO DOS COMERC</t>
  </si>
  <si>
    <t>60989944000165</t>
  </si>
  <si>
    <t>488</t>
  </si>
  <si>
    <t>SINDICATO DOS CONDUTORES EM TRANSPORTES DE CARGAS</t>
  </si>
  <si>
    <t>SINDCAPRO</t>
  </si>
  <si>
    <t>00769148000195</t>
  </si>
  <si>
    <t>489</t>
  </si>
  <si>
    <t>SPORT ACAO INDUSTRIA E COMERCIO DE ARTIGOS ESPORTI</t>
  </si>
  <si>
    <t>SPORT ACAO INDUSTRIA</t>
  </si>
  <si>
    <t>57307753000242</t>
  </si>
  <si>
    <t>490</t>
  </si>
  <si>
    <t>SPTEX COMERCIO DE TECIDOS LTDA</t>
  </si>
  <si>
    <t>SPTEX COMERCIO DE TE</t>
  </si>
  <si>
    <t>06900696000199</t>
  </si>
  <si>
    <t>491</t>
  </si>
  <si>
    <t>U.B BRASIL COMERCIO DE ARTIGOS DE DECORACOES LTDA</t>
  </si>
  <si>
    <t>U.B BRASIL COMERCIO</t>
  </si>
  <si>
    <t>17668953000125</t>
  </si>
  <si>
    <t>492</t>
  </si>
  <si>
    <t>V.SANTOS ASSESSORIA ADUANEIRA LTDA.</t>
  </si>
  <si>
    <t>V.SANTOS</t>
  </si>
  <si>
    <t>64571045000107</t>
  </si>
  <si>
    <t>493</t>
  </si>
  <si>
    <t>ATLANTICA BARUERI-SP</t>
  </si>
  <si>
    <t>02223966000113</t>
  </si>
  <si>
    <t>494</t>
  </si>
  <si>
    <t>ADMINISTRACAO REGION</t>
  </si>
  <si>
    <t>03709814000198</t>
  </si>
  <si>
    <t>495</t>
  </si>
  <si>
    <t>CONNECTUSE SISTEMAS LTDA - EPP</t>
  </si>
  <si>
    <t>CONNECTUSE</t>
  </si>
  <si>
    <t>11601224000175</t>
  </si>
  <si>
    <t>496</t>
  </si>
  <si>
    <t>FOLHA DE PAGAMENTO</t>
  </si>
  <si>
    <t>00000000000496</t>
  </si>
  <si>
    <t>497</t>
  </si>
  <si>
    <t>GARE ICMS</t>
  </si>
  <si>
    <t>00000000000497</t>
  </si>
  <si>
    <t>498</t>
  </si>
  <si>
    <t>GPS PREVIDENCIA SOCIAL (INSS)</t>
  </si>
  <si>
    <t>GPS INSS</t>
  </si>
  <si>
    <t>00000000000498</t>
  </si>
  <si>
    <t>499</t>
  </si>
  <si>
    <t>MINISTÉRIO DA FAZENDA</t>
  </si>
  <si>
    <t>DARF</t>
  </si>
  <si>
    <t>00000000000499</t>
  </si>
  <si>
    <t>500</t>
  </si>
  <si>
    <t>ELENA FRANCO ROSA REZENDE - ME</t>
  </si>
  <si>
    <t>COMERCIAL MARANATA</t>
  </si>
  <si>
    <t>04709559000146</t>
  </si>
  <si>
    <t>501</t>
  </si>
  <si>
    <t>BANCO SANTANDER (BRASIL) S.A.</t>
  </si>
  <si>
    <t>BANCO SANTANDER (BRA</t>
  </si>
  <si>
    <t>90400888000142</t>
  </si>
  <si>
    <t>502</t>
  </si>
  <si>
    <t>CLARO S.A.</t>
  </si>
  <si>
    <t>CLARO</t>
  </si>
  <si>
    <t>40432544000147</t>
  </si>
  <si>
    <t>503</t>
  </si>
  <si>
    <t>TEXTIL LEONEL LOPES LTDA. - EPP</t>
  </si>
  <si>
    <t>TEXTIL LEONEL LOPES</t>
  </si>
  <si>
    <t>46328324000154</t>
  </si>
  <si>
    <t>504</t>
  </si>
  <si>
    <t>DETRAN SP</t>
  </si>
  <si>
    <t>00000000000504</t>
  </si>
  <si>
    <t>505</t>
  </si>
  <si>
    <t>EVOLUTION SERVICOS DE ARQUITETURA S/S LTDA</t>
  </si>
  <si>
    <t>EVOLUTION SERVICOS D</t>
  </si>
  <si>
    <t>19727823000141</t>
  </si>
  <si>
    <t>506</t>
  </si>
  <si>
    <t>CRISTIANE APARECIDA DOS SANTOS</t>
  </si>
  <si>
    <t>CRISTIANE APARECIDA</t>
  </si>
  <si>
    <t>00018341486857</t>
  </si>
  <si>
    <t>507</t>
  </si>
  <si>
    <t>NC ALVORADA IMOVEIS LTDA - ME</t>
  </si>
  <si>
    <t>NC ALVORADA IMOVEIS</t>
  </si>
  <si>
    <t>02387691000153</t>
  </si>
  <si>
    <t>508</t>
  </si>
  <si>
    <t>00040732549876</t>
  </si>
  <si>
    <t>509</t>
  </si>
  <si>
    <t>EMPRESA BRASILEIRA DE CORREIOS E TELEGRAFOS</t>
  </si>
  <si>
    <t>ECT-DR/SP - SAO PAUL</t>
  </si>
  <si>
    <t>34028316003129</t>
  </si>
  <si>
    <t>510</t>
  </si>
  <si>
    <t>MARCIA CRISTINA MATEUS DA SILVA - ME</t>
  </si>
  <si>
    <t>MARCIA CRISTINA MATE</t>
  </si>
  <si>
    <t>05008063000108</t>
  </si>
  <si>
    <t>511</t>
  </si>
  <si>
    <t>10768129000106</t>
  </si>
  <si>
    <t>512</t>
  </si>
  <si>
    <t>BANCO BRADESCO CARTOES S.A.</t>
  </si>
  <si>
    <t>BANCO BRADESCO CARTO</t>
  </si>
  <si>
    <t>59438325000101</t>
  </si>
  <si>
    <t>513</t>
  </si>
  <si>
    <t>PREFEITURA DO MUNICÍPIO DE SÃO PAULO</t>
  </si>
  <si>
    <t>ISS SÃO PAULO</t>
  </si>
  <si>
    <t>00000000000513</t>
  </si>
  <si>
    <t>514</t>
  </si>
  <si>
    <t>MARCAP ADMINISTRACAO IMOBILIARIA E EMPREENDIMENTOS</t>
  </si>
  <si>
    <t>MARCAP ADMINISTRACAO</t>
  </si>
  <si>
    <t>54607742000109</t>
  </si>
  <si>
    <t>515</t>
  </si>
  <si>
    <t>ROSEMEIRE ALBUQUERQUE</t>
  </si>
  <si>
    <t>ROSEMEIRE ALBUQUERQU</t>
  </si>
  <si>
    <t>00026043102870</t>
  </si>
  <si>
    <t>516</t>
  </si>
  <si>
    <t>03149884000210</t>
  </si>
  <si>
    <t>517</t>
  </si>
  <si>
    <t>RISSO TRANSPORTES LTDA</t>
  </si>
  <si>
    <t>RISSO TRANSPORTES LT</t>
  </si>
  <si>
    <t>59504225000128</t>
  </si>
  <si>
    <t>518</t>
  </si>
  <si>
    <t>TRICO DECOR LTDA - EPP</t>
  </si>
  <si>
    <t>TRICO DECOR LTDA - E</t>
  </si>
  <si>
    <t>20282996000182</t>
  </si>
  <si>
    <t>519</t>
  </si>
  <si>
    <t>08723106000800</t>
  </si>
  <si>
    <t>520</t>
  </si>
  <si>
    <t>PLANINF COMERCIO E SERVIÇOS LTDA ME</t>
  </si>
  <si>
    <t>PLANINF COM E SERV</t>
  </si>
  <si>
    <t>04539582000130</t>
  </si>
  <si>
    <t>521</t>
  </si>
  <si>
    <t>SERGIPE INDUSTRIAL TEXTIL LTDA</t>
  </si>
  <si>
    <t>SERGIPE INDUSTRIAL T</t>
  </si>
  <si>
    <t>13006218000286</t>
  </si>
  <si>
    <t>522</t>
  </si>
  <si>
    <t>13996187000177</t>
  </si>
  <si>
    <t>523</t>
  </si>
  <si>
    <t>05636597000189</t>
  </si>
  <si>
    <t>524</t>
  </si>
  <si>
    <t>08718622000161</t>
  </si>
  <si>
    <t>525</t>
  </si>
  <si>
    <t>02560878000107</t>
  </si>
  <si>
    <t>526</t>
  </si>
  <si>
    <t>00886257001830</t>
  </si>
  <si>
    <t>527</t>
  </si>
  <si>
    <t>11311755000123</t>
  </si>
  <si>
    <t>528</t>
  </si>
  <si>
    <t>02223966003139</t>
  </si>
  <si>
    <t>529</t>
  </si>
  <si>
    <t>52722444000134</t>
  </si>
  <si>
    <t>530</t>
  </si>
  <si>
    <t>00338915000705</t>
  </si>
  <si>
    <t>531</t>
  </si>
  <si>
    <t>01010740000171</t>
  </si>
  <si>
    <t>532</t>
  </si>
  <si>
    <t>00886257000605</t>
  </si>
  <si>
    <t>533</t>
  </si>
  <si>
    <t>14208596000124</t>
  </si>
  <si>
    <t>534</t>
  </si>
  <si>
    <t>13024464000180</t>
  </si>
  <si>
    <t>535</t>
  </si>
  <si>
    <t>17455300000168</t>
  </si>
  <si>
    <t>536</t>
  </si>
  <si>
    <t>06252519000143</t>
  </si>
  <si>
    <t>537</t>
  </si>
  <si>
    <t>11740146000190</t>
  </si>
  <si>
    <t>538</t>
  </si>
  <si>
    <t>14949199000103</t>
  </si>
  <si>
    <t>539</t>
  </si>
  <si>
    <t>CAIXA ECONOMICA FEDERAL</t>
  </si>
  <si>
    <t>FGTS</t>
  </si>
  <si>
    <t>00360305000104</t>
  </si>
  <si>
    <t>540</t>
  </si>
  <si>
    <t>JR COMERCIO DE CAIXAS DE PAPELAO E EMBALAGENS LTDA</t>
  </si>
  <si>
    <t>JR COMERCIO DE CAIXA</t>
  </si>
  <si>
    <t>57395469000194</t>
  </si>
  <si>
    <t>541</t>
  </si>
  <si>
    <t>FLAMBOYANT COMUNICACOES LTDA - EPP</t>
  </si>
  <si>
    <t>FLAMBOYANT COMUNICAC</t>
  </si>
  <si>
    <t>12556730000152</t>
  </si>
  <si>
    <t>542</t>
  </si>
  <si>
    <t>CGMP - CENTRO DE GESTAO DE MEIOS DE PAGAMENTO S.A.</t>
  </si>
  <si>
    <t>SEM PARAR</t>
  </si>
  <si>
    <t>04088208000165</t>
  </si>
  <si>
    <t>543</t>
  </si>
  <si>
    <t>ONIX CREDIT S/A SECURITIZADORA DE CREDITOS</t>
  </si>
  <si>
    <t>ONIX CREDIT</t>
  </si>
  <si>
    <t>17887834000163</t>
  </si>
  <si>
    <t>544</t>
  </si>
  <si>
    <t>WAKA REPRESENTACOES LTDA</t>
  </si>
  <si>
    <t>WAKA REPRESENTACOES</t>
  </si>
  <si>
    <t>13799248000106</t>
  </si>
  <si>
    <t>545</t>
  </si>
  <si>
    <t>VALOR INTERMEDIACAO DE NEGOCIOS LTDA - ME</t>
  </si>
  <si>
    <t>VALOR</t>
  </si>
  <si>
    <t>10281799000195</t>
  </si>
  <si>
    <t>546</t>
  </si>
  <si>
    <t>SAO PAULO TRANSPORTE S.A.</t>
  </si>
  <si>
    <t>SPTRANS</t>
  </si>
  <si>
    <t>60498417001391</t>
  </si>
  <si>
    <t>547</t>
  </si>
  <si>
    <t>CELSO OSORIO SOUTO CORDEIRO</t>
  </si>
  <si>
    <t>CELSO OSORIO SOUTO C</t>
  </si>
  <si>
    <t>00080884377768</t>
  </si>
  <si>
    <t>548</t>
  </si>
  <si>
    <t>WILLIAM FERREIRA DE SOUZA</t>
  </si>
  <si>
    <t>WILLIAM FERREIRA DE</t>
  </si>
  <si>
    <t>00029148989835</t>
  </si>
  <si>
    <t>549</t>
  </si>
  <si>
    <t>TABOAO DA SERRA -CARTORIO DE REGISTRO CIVIL E ANEX</t>
  </si>
  <si>
    <t>CARTORIO CUNHA</t>
  </si>
  <si>
    <t>51248672000151</t>
  </si>
  <si>
    <t>550</t>
  </si>
  <si>
    <t>00075370387753</t>
  </si>
  <si>
    <t>551</t>
  </si>
  <si>
    <t>17138441000157</t>
  </si>
  <si>
    <t>552</t>
  </si>
  <si>
    <t>WALTER PORTEIRO INDUSTRIA DE MAQUINAS IMPORTACAO E</t>
  </si>
  <si>
    <t>WALTER PORTEIRO INDU</t>
  </si>
  <si>
    <t>48551980000147</t>
  </si>
  <si>
    <t>553</t>
  </si>
  <si>
    <t>02393490000169</t>
  </si>
  <si>
    <t>554</t>
  </si>
  <si>
    <t>DANILO BARRIONUEVO KALLAS - ME</t>
  </si>
  <si>
    <t>DANILO BARRIONUENO</t>
  </si>
  <si>
    <t>66873043000190</t>
  </si>
  <si>
    <t>555</t>
  </si>
  <si>
    <t>RODO CARGO ENCOMENDAS URGENTES LTDA</t>
  </si>
  <si>
    <t>RODO CARGO ENCOMENDA</t>
  </si>
  <si>
    <t>02085838000150</t>
  </si>
  <si>
    <t>556</t>
  </si>
  <si>
    <t>07937995000241</t>
  </si>
  <si>
    <t>557</t>
  </si>
  <si>
    <t>02401509000171</t>
  </si>
  <si>
    <t>558</t>
  </si>
  <si>
    <t>MARITZA ROJAS FRANCO</t>
  </si>
  <si>
    <t>00023683169818</t>
  </si>
  <si>
    <t>559</t>
  </si>
  <si>
    <t>20257318000160</t>
  </si>
  <si>
    <t>560</t>
  </si>
  <si>
    <t>18697484000135</t>
  </si>
  <si>
    <t>561</t>
  </si>
  <si>
    <t>06272575002860</t>
  </si>
  <si>
    <t>562</t>
  </si>
  <si>
    <t>RIAN TRICOT COMERCIO DE ARTIGOS DE DECORACAO LTDA</t>
  </si>
  <si>
    <t>RIAN TRICOT COMERCIO</t>
  </si>
  <si>
    <t>06291532000101</t>
  </si>
  <si>
    <t>563</t>
  </si>
  <si>
    <t>04541366000129</t>
  </si>
  <si>
    <t>564</t>
  </si>
  <si>
    <t>TRANSVILLE TRANSPORTES E SERVICOS LTDA</t>
  </si>
  <si>
    <t>TRANSVILLE TRANSPORT</t>
  </si>
  <si>
    <t>82604042000287</t>
  </si>
  <si>
    <t>565</t>
  </si>
  <si>
    <t>J.V. VINATEX TECIDOS LTDA</t>
  </si>
  <si>
    <t>VINATEX</t>
  </si>
  <si>
    <t>21120599000177</t>
  </si>
  <si>
    <t>566</t>
  </si>
  <si>
    <t>10337009000227</t>
  </si>
  <si>
    <t>567</t>
  </si>
  <si>
    <t>FERNANDA MALUHY EMBALAGENS - ME</t>
  </si>
  <si>
    <t>FERNANDA MALUHY EMBA</t>
  </si>
  <si>
    <t>08146545000112</t>
  </si>
  <si>
    <t>568</t>
  </si>
  <si>
    <t>08602031000124</t>
  </si>
  <si>
    <t>569</t>
  </si>
  <si>
    <t>07138135000167</t>
  </si>
  <si>
    <t>570</t>
  </si>
  <si>
    <t>EVERALDO ALVES DE MORAIS - ME</t>
  </si>
  <si>
    <t>ASSISTEC MANUTENCAO</t>
  </si>
  <si>
    <t>04428085000164</t>
  </si>
  <si>
    <t>571</t>
  </si>
  <si>
    <t>LOJAS GLOBO ART DESIGN COMERCIO DE MOVEIS PARA ESC</t>
  </si>
  <si>
    <t>LOJAS GLOBO ART DESI</t>
  </si>
  <si>
    <t>04790665000105</t>
  </si>
  <si>
    <t>572</t>
  </si>
  <si>
    <t>HANTALIA TEXTIL LT</t>
  </si>
  <si>
    <t>HANTALIA</t>
  </si>
  <si>
    <t>46328589000152</t>
  </si>
  <si>
    <t>573</t>
  </si>
  <si>
    <t>TROMBINI EMBALAGENS S/A</t>
  </si>
  <si>
    <t>TROMBINI</t>
  </si>
  <si>
    <t>11252642001095</t>
  </si>
  <si>
    <t>574</t>
  </si>
  <si>
    <t>07025242000189</t>
  </si>
  <si>
    <t>575</t>
  </si>
  <si>
    <t>KASBURGRAF GRAFICA E EDITORA LTDA EPP</t>
  </si>
  <si>
    <t>KASBURGRAF</t>
  </si>
  <si>
    <t>02430885000194</t>
  </si>
  <si>
    <t>576</t>
  </si>
  <si>
    <t>07034836000156</t>
  </si>
  <si>
    <t>577</t>
  </si>
  <si>
    <t>05432044000104</t>
  </si>
  <si>
    <t>578</t>
  </si>
  <si>
    <t>START PRINT SOLUCOES GRAFICAS LTDA - ME</t>
  </si>
  <si>
    <t>START PRINT SOLUCOES</t>
  </si>
  <si>
    <t>10835793000112</t>
  </si>
  <si>
    <t>579</t>
  </si>
  <si>
    <t>JTR COMERCIO DE FACAS INDUSTRIAIS E SERVICOS DE CO</t>
  </si>
  <si>
    <t>BRASCORTE</t>
  </si>
  <si>
    <t>11189140000176</t>
  </si>
  <si>
    <t>580</t>
  </si>
  <si>
    <t>METATEX MALHAS LTDA</t>
  </si>
  <si>
    <t>57044679000138</t>
  </si>
  <si>
    <t>581</t>
  </si>
  <si>
    <t>03276524000106</t>
  </si>
  <si>
    <t>582</t>
  </si>
  <si>
    <t>53355004000159</t>
  </si>
  <si>
    <t>583</t>
  </si>
  <si>
    <t>05266370000199</t>
  </si>
  <si>
    <t>584</t>
  </si>
  <si>
    <t>ORIENTAVIDA-ASSOCIAÇÃO DE ASSISTENCIA E PROMOÇÃO C</t>
  </si>
  <si>
    <t>ORIENTAVIDA</t>
  </si>
  <si>
    <t>03784896000135</t>
  </si>
  <si>
    <t>585</t>
  </si>
  <si>
    <t>18098062000143</t>
  </si>
  <si>
    <t>586</t>
  </si>
  <si>
    <t>09967852000127</t>
  </si>
  <si>
    <t>587</t>
  </si>
  <si>
    <t>AUSTEX IND E COMERCIO LTDA</t>
  </si>
  <si>
    <t>AUSTEX</t>
  </si>
  <si>
    <t>53359089000143</t>
  </si>
  <si>
    <t>588</t>
  </si>
  <si>
    <t>64089824000324</t>
  </si>
  <si>
    <t>589</t>
  </si>
  <si>
    <t>GRAFIMAX IND GRAFICA LTDA</t>
  </si>
  <si>
    <t>GRAFIMAX</t>
  </si>
  <si>
    <t>85342681000129</t>
  </si>
  <si>
    <t>590</t>
  </si>
  <si>
    <t>TECNOBLU S.A. INDUSTRIA E COMERCIO</t>
  </si>
  <si>
    <t>TECNOBLU</t>
  </si>
  <si>
    <t>00056633000111</t>
  </si>
  <si>
    <t>591</t>
  </si>
  <si>
    <t>GRAFICA E EDITORA MKM LTDA</t>
  </si>
  <si>
    <t>MKM</t>
  </si>
  <si>
    <t>86724135000115</t>
  </si>
  <si>
    <t>592</t>
  </si>
  <si>
    <t>AMBIENTE SEGURO SISTEMAS CONTRA INCENDIO LTDA - ME</t>
  </si>
  <si>
    <t>AMSE</t>
  </si>
  <si>
    <t>15596427000171</t>
  </si>
  <si>
    <t>593</t>
  </si>
  <si>
    <t>02419765000609</t>
  </si>
  <si>
    <t>594</t>
  </si>
  <si>
    <t>EVENG STAND PRODUCOES E CENOGRAFIA EIRELI</t>
  </si>
  <si>
    <t>EVENG STAND PRODUCOE</t>
  </si>
  <si>
    <t>21961422000101</t>
  </si>
  <si>
    <t>595</t>
  </si>
  <si>
    <t>R2 INDUSTRIA DE EMBALAGENS LTDA</t>
  </si>
  <si>
    <t>RAFTHEL</t>
  </si>
  <si>
    <t>09364080000139</t>
  </si>
  <si>
    <t>596</t>
  </si>
  <si>
    <t>PVPLAST EMBALAGENS LTDA ME</t>
  </si>
  <si>
    <t>PVPLAST</t>
  </si>
  <si>
    <t>16455589000152</t>
  </si>
  <si>
    <t>597</t>
  </si>
  <si>
    <t>20347707000186</t>
  </si>
  <si>
    <t>598</t>
  </si>
  <si>
    <t>VINEPLAST EXPORTACAO E IMPORTACAO EIRELI</t>
  </si>
  <si>
    <t>VINEPLAST</t>
  </si>
  <si>
    <t>03193274000132</t>
  </si>
  <si>
    <t>599</t>
  </si>
  <si>
    <t>DB VAN LOCADORA DE AUTOMOVEIS EIRELI - ME</t>
  </si>
  <si>
    <t>DB VAN LOCADORA DE A</t>
  </si>
  <si>
    <t>02229070000141</t>
  </si>
  <si>
    <t>600</t>
  </si>
  <si>
    <t>00886257000192</t>
  </si>
  <si>
    <t>601</t>
  </si>
  <si>
    <t>OTAVIO VICARIO MURACA 33349640869</t>
  </si>
  <si>
    <t>OTAVIO VICARIO MURAC</t>
  </si>
  <si>
    <t>21201880000134</t>
  </si>
  <si>
    <t>602</t>
  </si>
  <si>
    <t>MALBER SERVICOS GRAFICOS DO BRASIL LTDA - EPP</t>
  </si>
  <si>
    <t>MALBER SERVICOS GRAF</t>
  </si>
  <si>
    <t>10411777000100</t>
  </si>
  <si>
    <t>603</t>
  </si>
  <si>
    <t>42289025000440</t>
  </si>
  <si>
    <t>604</t>
  </si>
  <si>
    <t>04895339000154</t>
  </si>
  <si>
    <t>605</t>
  </si>
  <si>
    <t>03932333000147</t>
  </si>
  <si>
    <t>606</t>
  </si>
  <si>
    <t>ANDREA ALINE GOLO 26716433813</t>
  </si>
  <si>
    <t>ANDREA</t>
  </si>
  <si>
    <t>19603518000148</t>
  </si>
  <si>
    <t>607</t>
  </si>
  <si>
    <t>11323921000101</t>
  </si>
  <si>
    <t>608</t>
  </si>
  <si>
    <t>06325665001123</t>
  </si>
  <si>
    <t>609</t>
  </si>
  <si>
    <t>19739605000127</t>
  </si>
  <si>
    <t>610</t>
  </si>
  <si>
    <t>07552996000197</t>
  </si>
  <si>
    <t>611</t>
  </si>
  <si>
    <t>18806683000134</t>
  </si>
  <si>
    <t>612</t>
  </si>
  <si>
    <t>ARIADNE CONCEICAO ARAUJO LEITE - ME</t>
  </si>
  <si>
    <t>MAG CONSULTORIA E AU</t>
  </si>
  <si>
    <t>16734726000198</t>
  </si>
  <si>
    <t>613</t>
  </si>
  <si>
    <t>04552393000105</t>
  </si>
  <si>
    <t>614</t>
  </si>
  <si>
    <t>TECNO MALHAS LTDA</t>
  </si>
  <si>
    <t>TECNO</t>
  </si>
  <si>
    <t>04744013000126</t>
  </si>
  <si>
    <t>615</t>
  </si>
  <si>
    <t>22172195000190</t>
  </si>
  <si>
    <t>616</t>
  </si>
  <si>
    <t>16370058000167</t>
  </si>
  <si>
    <t>617</t>
  </si>
  <si>
    <t>SAAP TRANSPORTES LTDA - ME</t>
  </si>
  <si>
    <t>SAAP TOUR</t>
  </si>
  <si>
    <t>12154386000175</t>
  </si>
  <si>
    <t>618</t>
  </si>
  <si>
    <t>24474983000166</t>
  </si>
  <si>
    <t>619</t>
  </si>
  <si>
    <t>02935199000175</t>
  </si>
  <si>
    <t>620</t>
  </si>
  <si>
    <t>07408742000108</t>
  </si>
  <si>
    <t>621</t>
  </si>
  <si>
    <t>03496338000174</t>
  </si>
  <si>
    <t>622</t>
  </si>
  <si>
    <t>07851051000176</t>
  </si>
  <si>
    <t>623</t>
  </si>
  <si>
    <t>EMPRESAR ASSESSORIA EMPRESARIAL E COMERCIO LTDA -</t>
  </si>
  <si>
    <t>LEONARDO SILVEIRA</t>
  </si>
  <si>
    <t>01936750000132</t>
  </si>
  <si>
    <t>624</t>
  </si>
  <si>
    <t>11689908000170</t>
  </si>
  <si>
    <t>625</t>
  </si>
  <si>
    <t>03167472000121</t>
  </si>
  <si>
    <t>626</t>
  </si>
  <si>
    <t>08796420000138</t>
  </si>
  <si>
    <t>627</t>
  </si>
  <si>
    <t>07773925000114</t>
  </si>
  <si>
    <t>628</t>
  </si>
  <si>
    <t>03727327000158</t>
  </si>
  <si>
    <t>629</t>
  </si>
  <si>
    <t>18615806000150</t>
  </si>
  <si>
    <t>630</t>
  </si>
  <si>
    <t>02584924000108</t>
  </si>
  <si>
    <t>631</t>
  </si>
  <si>
    <t>15517067000175</t>
  </si>
  <si>
    <t>632</t>
  </si>
  <si>
    <t>00965323000110</t>
  </si>
  <si>
    <t>633</t>
  </si>
  <si>
    <t>05556232000144</t>
  </si>
  <si>
    <t>634</t>
  </si>
  <si>
    <t>MAGMA INDUSTRIA COMERCIO E IMPORTACAO DE PRODUTOS</t>
  </si>
  <si>
    <t>MAGMA</t>
  </si>
  <si>
    <t>01353391000433</t>
  </si>
  <si>
    <t>635</t>
  </si>
  <si>
    <t>FABRICIO AURELIANO BERNARDO 31632508826</t>
  </si>
  <si>
    <t>LABEL PROGRESS</t>
  </si>
  <si>
    <t>17902244000162</t>
  </si>
  <si>
    <t>636</t>
  </si>
  <si>
    <t>03999517000124</t>
  </si>
  <si>
    <t>637</t>
  </si>
  <si>
    <t>SANDRA REGINA LOPES DA SILVA - ME</t>
  </si>
  <si>
    <t>SRL-8 REPRESENTACOES</t>
  </si>
  <si>
    <t>20979799000117</t>
  </si>
  <si>
    <t>638</t>
  </si>
  <si>
    <t>TRANSLIGUE TRANSPORTES E SERVICOS LTDA.</t>
  </si>
  <si>
    <t>TRANSLIGUE</t>
  </si>
  <si>
    <t>03629957000602</t>
  </si>
  <si>
    <t>639</t>
  </si>
  <si>
    <t>02223966001438</t>
  </si>
  <si>
    <t>640</t>
  </si>
  <si>
    <t>10463049000215</t>
  </si>
  <si>
    <t>641</t>
  </si>
  <si>
    <t>10463049000134</t>
  </si>
  <si>
    <t>642</t>
  </si>
  <si>
    <t>16881613000115</t>
  </si>
  <si>
    <t>643</t>
  </si>
  <si>
    <t>24503179000168</t>
  </si>
  <si>
    <t>644</t>
  </si>
  <si>
    <t>01434559000192</t>
  </si>
  <si>
    <t>645</t>
  </si>
  <si>
    <t>06145117000140</t>
  </si>
  <si>
    <t>646</t>
  </si>
  <si>
    <t>01645302000180</t>
  </si>
  <si>
    <t>647</t>
  </si>
  <si>
    <t>00122057000163</t>
  </si>
  <si>
    <t>648</t>
  </si>
  <si>
    <t>01534593000210</t>
  </si>
  <si>
    <t>649</t>
  </si>
  <si>
    <t>96503511000103</t>
  </si>
  <si>
    <t>650</t>
  </si>
  <si>
    <t>17318318000118</t>
  </si>
  <si>
    <t>651</t>
  </si>
  <si>
    <t>82638966000202</t>
  </si>
  <si>
    <t>652</t>
  </si>
  <si>
    <t>19916066000154</t>
  </si>
  <si>
    <t>653</t>
  </si>
  <si>
    <t>STEP CHANGE CONSULTORIA E NEGOCIOS LTDA - ME</t>
  </si>
  <si>
    <t>SUPPLIER NEGOCIOS &amp;</t>
  </si>
  <si>
    <t>08868082000100</t>
  </si>
  <si>
    <t>654</t>
  </si>
  <si>
    <t>20068735000164</t>
  </si>
  <si>
    <t>655</t>
  </si>
  <si>
    <t>07356838000161</t>
  </si>
  <si>
    <t>656</t>
  </si>
  <si>
    <t>03607630000117</t>
  </si>
  <si>
    <t>657</t>
  </si>
  <si>
    <t>33200833000155</t>
  </si>
  <si>
    <t>658</t>
  </si>
  <si>
    <t>11805397000105</t>
  </si>
  <si>
    <t>659</t>
  </si>
  <si>
    <t>48538805000110</t>
  </si>
  <si>
    <t>660</t>
  </si>
  <si>
    <t>02040928000125</t>
  </si>
  <si>
    <t>661</t>
  </si>
  <si>
    <t>(PIS) MINISTERIO DA FAZENDA</t>
  </si>
  <si>
    <t>DARF PIS</t>
  </si>
  <si>
    <t>00394460005887</t>
  </si>
  <si>
    <t>662</t>
  </si>
  <si>
    <t>(COFINS) MINISTERIO DA FAZENDA</t>
  </si>
  <si>
    <t>DARF COFINS</t>
  </si>
  <si>
    <t>00394460000141</t>
  </si>
  <si>
    <t>663</t>
  </si>
  <si>
    <t>(CSLL) MINISTERIO DA FAZENDA</t>
  </si>
  <si>
    <t>DARF CSLL</t>
  </si>
  <si>
    <t>03662003000189</t>
  </si>
  <si>
    <t>664</t>
  </si>
  <si>
    <t>(IRPJ) MINISTÉRIO DA FAZENDA</t>
  </si>
  <si>
    <t>DARF IRPJ</t>
  </si>
  <si>
    <t>11875448000175</t>
  </si>
  <si>
    <t>665</t>
  </si>
  <si>
    <t>DARF SALÁRIOS</t>
  </si>
  <si>
    <t>46235343000136</t>
  </si>
  <si>
    <t>666</t>
  </si>
  <si>
    <t>PLASVIT EMBALAGENS EIRELI EPP</t>
  </si>
  <si>
    <t>PLASVIT</t>
  </si>
  <si>
    <t>11303274000176</t>
  </si>
  <si>
    <t>667</t>
  </si>
  <si>
    <t>SANTISTA WORK SOLUTION S.A.</t>
  </si>
  <si>
    <t>SANTISTA</t>
  </si>
  <si>
    <t>61520607001673</t>
  </si>
  <si>
    <t>668</t>
  </si>
  <si>
    <t>01817749000199</t>
  </si>
  <si>
    <t>669</t>
  </si>
  <si>
    <t>52041563000121</t>
  </si>
  <si>
    <t>670</t>
  </si>
  <si>
    <t>10293682000121</t>
  </si>
  <si>
    <t>671</t>
  </si>
  <si>
    <t>07142089000170</t>
  </si>
  <si>
    <t>672</t>
  </si>
  <si>
    <t>08313478000183</t>
  </si>
  <si>
    <t>673</t>
  </si>
  <si>
    <t>05298939000106</t>
  </si>
  <si>
    <t>674</t>
  </si>
  <si>
    <t>DARF SERVIÇOS PRESTADOS/IRRF</t>
  </si>
  <si>
    <t>DARF SERVIÇOS PRESTA</t>
  </si>
  <si>
    <t>17938928000114</t>
  </si>
  <si>
    <t>675</t>
  </si>
  <si>
    <t>21868501000164</t>
  </si>
  <si>
    <t>676</t>
  </si>
  <si>
    <t>06099619000181</t>
  </si>
  <si>
    <t>677</t>
  </si>
  <si>
    <t>08237002000100</t>
  </si>
  <si>
    <t>678</t>
  </si>
  <si>
    <t>07686368000102</t>
  </si>
  <si>
    <t>679</t>
  </si>
  <si>
    <t>01545826000107</t>
  </si>
  <si>
    <t>680</t>
  </si>
  <si>
    <t>PONTO TEXTIL COM DE MALHAS LT</t>
  </si>
  <si>
    <t>PONTO TEXTIL</t>
  </si>
  <si>
    <t>69176808000120</t>
  </si>
  <si>
    <t>681</t>
  </si>
  <si>
    <t>66542002000110</t>
  </si>
  <si>
    <t>682</t>
  </si>
  <si>
    <t>23397379000110</t>
  </si>
  <si>
    <t>683</t>
  </si>
  <si>
    <t>25923210000263</t>
  </si>
  <si>
    <t>684</t>
  </si>
  <si>
    <t>04982610000270</t>
  </si>
  <si>
    <t>685</t>
  </si>
  <si>
    <t>04773734000164</t>
  </si>
  <si>
    <t>686</t>
  </si>
  <si>
    <t>TECIDOS MN LTDA.</t>
  </si>
  <si>
    <t>TECIDOS MN</t>
  </si>
  <si>
    <t>05075884000248</t>
  </si>
  <si>
    <t>687</t>
  </si>
  <si>
    <t>T.S.L. TRANSPORTES E REPRESENTACOES LTDA</t>
  </si>
  <si>
    <t>T.S.L. TRANSPORTES E</t>
  </si>
  <si>
    <t>04986208000182</t>
  </si>
  <si>
    <t>688</t>
  </si>
  <si>
    <t>67189571000197</t>
  </si>
  <si>
    <t>689</t>
  </si>
  <si>
    <t>CAPITAL HOME CENTER COMERCIO DE TECIDOS LTDA</t>
  </si>
  <si>
    <t>CAPITAL HOME CENTER</t>
  </si>
  <si>
    <t>43340587000190</t>
  </si>
  <si>
    <t>690</t>
  </si>
  <si>
    <t>03638820000100</t>
  </si>
  <si>
    <t>691</t>
  </si>
  <si>
    <t>75113886000189</t>
  </si>
  <si>
    <t>692</t>
  </si>
  <si>
    <t>11796602000113</t>
  </si>
  <si>
    <t>693</t>
  </si>
  <si>
    <t>10348318000707</t>
  </si>
  <si>
    <t>694</t>
  </si>
  <si>
    <t>15272000000118</t>
  </si>
  <si>
    <t>695</t>
  </si>
  <si>
    <t>15453068000284</t>
  </si>
  <si>
    <t>696</t>
  </si>
  <si>
    <t>08508931000107</t>
  </si>
  <si>
    <t>697</t>
  </si>
  <si>
    <t>03423623000165</t>
  </si>
  <si>
    <t>698</t>
  </si>
  <si>
    <t>04206687000177</t>
  </si>
  <si>
    <t>699</t>
  </si>
  <si>
    <t>05004505000148</t>
  </si>
  <si>
    <t>700</t>
  </si>
  <si>
    <t>04536550000180</t>
  </si>
  <si>
    <t>701</t>
  </si>
  <si>
    <t>01826118000136</t>
  </si>
  <si>
    <t>702</t>
  </si>
  <si>
    <t>14100118000104</t>
  </si>
  <si>
    <t>703</t>
  </si>
  <si>
    <t>81834012000113</t>
  </si>
  <si>
    <t>704</t>
  </si>
  <si>
    <t>60884855001207</t>
  </si>
  <si>
    <t>705</t>
  </si>
  <si>
    <t>66945684000102</t>
  </si>
  <si>
    <t>706</t>
  </si>
  <si>
    <t>10401516000100</t>
  </si>
  <si>
    <t>707</t>
  </si>
  <si>
    <t>09109698000152</t>
  </si>
  <si>
    <t>708</t>
  </si>
  <si>
    <t>20059435000119</t>
  </si>
  <si>
    <t>709</t>
  </si>
  <si>
    <t>FUNCIONÁRIOS TRU HOTELARIA</t>
  </si>
  <si>
    <t>FUNCIONÁRIOS</t>
  </si>
  <si>
    <t>68271664000129</t>
  </si>
  <si>
    <t>710</t>
  </si>
  <si>
    <t>43989292000140</t>
  </si>
  <si>
    <t>711</t>
  </si>
  <si>
    <t>66898081000105</t>
  </si>
  <si>
    <t>712</t>
  </si>
  <si>
    <t>IBIRAPUERA TEXTIL LT</t>
  </si>
  <si>
    <t>IBIRAPUERA TEXTIL</t>
  </si>
  <si>
    <t>60837713000136</t>
  </si>
  <si>
    <t>713</t>
  </si>
  <si>
    <t>SAGUI PATRIMONIAL - EIRELI - EPP</t>
  </si>
  <si>
    <t>UXUA D.A.S.WD</t>
  </si>
  <si>
    <t>18862090000195</t>
  </si>
  <si>
    <t>714</t>
  </si>
  <si>
    <t>08562883000135</t>
  </si>
  <si>
    <t>715</t>
  </si>
  <si>
    <t>18087492000160</t>
  </si>
  <si>
    <t>716</t>
  </si>
  <si>
    <t>16780833000233</t>
  </si>
  <si>
    <t>717</t>
  </si>
  <si>
    <t>ALEXANDRE RIGON TEIXEIRA PERDIZ PINHEIRO - ME</t>
  </si>
  <si>
    <t>ALEXANDRE</t>
  </si>
  <si>
    <t>05506490000116</t>
  </si>
  <si>
    <t>718</t>
  </si>
  <si>
    <t>PROSPERIDADE CONFECCOES EIRELI - EPP</t>
  </si>
  <si>
    <t>PROSPERIDADE</t>
  </si>
  <si>
    <t>19804220000104</t>
  </si>
  <si>
    <t>719</t>
  </si>
  <si>
    <t>06325665001719</t>
  </si>
  <si>
    <t>720</t>
  </si>
  <si>
    <t>92685833001204</t>
  </si>
  <si>
    <t>721</t>
  </si>
  <si>
    <t>ADMIX - ADMINISTRACAO, CONSULTORIA , PARTICIPACOES</t>
  </si>
  <si>
    <t>PLANO BRADESCO SAÚDE</t>
  </si>
  <si>
    <t>03633707000123</t>
  </si>
  <si>
    <t>722</t>
  </si>
  <si>
    <t>07152590000117</t>
  </si>
  <si>
    <t>723</t>
  </si>
  <si>
    <t>19454610000193</t>
  </si>
  <si>
    <t>724</t>
  </si>
  <si>
    <t>10892102000384</t>
  </si>
  <si>
    <t>725</t>
  </si>
  <si>
    <t>11624005000101</t>
  </si>
  <si>
    <t>726</t>
  </si>
  <si>
    <t>17251414000196</t>
  </si>
  <si>
    <t>727</t>
  </si>
  <si>
    <t>58671801000169</t>
  </si>
  <si>
    <t>728</t>
  </si>
  <si>
    <t>07329048000197</t>
  </si>
  <si>
    <t>729</t>
  </si>
  <si>
    <t>02223966002248</t>
  </si>
  <si>
    <t>730</t>
  </si>
  <si>
    <t>49435118000131</t>
  </si>
  <si>
    <t>731</t>
  </si>
  <si>
    <t>21145734000139</t>
  </si>
  <si>
    <t>732</t>
  </si>
  <si>
    <t>86793528000180</t>
  </si>
  <si>
    <t>733</t>
  </si>
  <si>
    <t>CARREFOUR COMERCIO E INDUSTRIA LTDA</t>
  </si>
  <si>
    <t>CARREFOUR COMERCIO E</t>
  </si>
  <si>
    <t>45543915003954</t>
  </si>
  <si>
    <t>734</t>
  </si>
  <si>
    <t>KALUNGA COMERCIO E INDUSTRIA GRAFICA LTDA</t>
  </si>
  <si>
    <t>KALUNGA COMERCIO E I</t>
  </si>
  <si>
    <t>43283811003337</t>
  </si>
  <si>
    <t>735</t>
  </si>
  <si>
    <t>11796602000466</t>
  </si>
  <si>
    <t>736</t>
  </si>
  <si>
    <t>61390142000105</t>
  </si>
  <si>
    <t>737</t>
  </si>
  <si>
    <t>17845214000161</t>
  </si>
  <si>
    <t>738</t>
  </si>
  <si>
    <t>ZIT GRAFICA E EDITORA LTDA</t>
  </si>
  <si>
    <t>ZIT GRAFICA E EDITOR</t>
  </si>
  <si>
    <t>33955436000193</t>
  </si>
  <si>
    <t>739</t>
  </si>
  <si>
    <t>90072059000420</t>
  </si>
  <si>
    <t>740</t>
  </si>
  <si>
    <t>03690077000129</t>
  </si>
  <si>
    <t>741</t>
  </si>
  <si>
    <t>33491135000156</t>
  </si>
  <si>
    <t>742</t>
  </si>
  <si>
    <t>KEYBORDER BORDADOS INDUSTRIAIS LTDA - EPP</t>
  </si>
  <si>
    <t>OFICINA KEYBORDER</t>
  </si>
  <si>
    <t>00409793000105</t>
  </si>
  <si>
    <t>743</t>
  </si>
  <si>
    <t>CONIBASE COMERCIO DE MATERIAIS P/ CONSTRUCOES LTDA</t>
  </si>
  <si>
    <t>CONIBASE COMERCIO DE</t>
  </si>
  <si>
    <t>59784868000334</t>
  </si>
  <si>
    <t>744</t>
  </si>
  <si>
    <t>07815649000100</t>
  </si>
  <si>
    <t>745</t>
  </si>
  <si>
    <t>04992157000100</t>
  </si>
  <si>
    <t>746</t>
  </si>
  <si>
    <t>00384758000170</t>
  </si>
  <si>
    <t>747</t>
  </si>
  <si>
    <t>STARMAKE - COMERCIO DE MAQUINAS DE COSTURA IMPORTA</t>
  </si>
  <si>
    <t>ZENOMAK</t>
  </si>
  <si>
    <t>11457265000130</t>
  </si>
  <si>
    <t>748</t>
  </si>
  <si>
    <t>17678378000141</t>
  </si>
  <si>
    <t>749</t>
  </si>
  <si>
    <t>61486650029327</t>
  </si>
  <si>
    <t>750</t>
  </si>
  <si>
    <t>58448531000121</t>
  </si>
  <si>
    <t>751</t>
  </si>
  <si>
    <t>34445023000121</t>
  </si>
  <si>
    <t>752</t>
  </si>
  <si>
    <t>13432810000169</t>
  </si>
  <si>
    <t>753</t>
  </si>
  <si>
    <t>10398291000171</t>
  </si>
  <si>
    <t>754</t>
  </si>
  <si>
    <t>23378776000145</t>
  </si>
  <si>
    <t>755</t>
  </si>
  <si>
    <t>LINHAS SETTA LTDA</t>
  </si>
  <si>
    <t>LINHAS SETTA</t>
  </si>
  <si>
    <t>60887189000108</t>
  </si>
  <si>
    <t>756</t>
  </si>
  <si>
    <t>VIALUNA COMERCIO DE MAQUINAS DE COSTURA E PECAS EI</t>
  </si>
  <si>
    <t>MAXI LIDER</t>
  </si>
  <si>
    <t>17642616000169</t>
  </si>
  <si>
    <t>757</t>
  </si>
  <si>
    <t>02317619000150</t>
  </si>
  <si>
    <t>758</t>
  </si>
  <si>
    <t>02223966000970</t>
  </si>
  <si>
    <t>759</t>
  </si>
  <si>
    <t>18554681000103</t>
  </si>
  <si>
    <t>760</t>
  </si>
  <si>
    <t>SULTEXTIL S/A IND DE TEC</t>
  </si>
  <si>
    <t>91409698000159</t>
  </si>
  <si>
    <t>761</t>
  </si>
  <si>
    <t>SOFACIL TECNOLOGIA LTDA</t>
  </si>
  <si>
    <t>SOFACIL TECNOLOGIA</t>
  </si>
  <si>
    <t>07760299000121</t>
  </si>
  <si>
    <t>762</t>
  </si>
  <si>
    <t>12020002000121</t>
  </si>
  <si>
    <t>763</t>
  </si>
  <si>
    <t>VIVIANE CONCEICAO DE MELO - ME</t>
  </si>
  <si>
    <t>VICONPLAST TECIDOS E</t>
  </si>
  <si>
    <t>17589802000181</t>
  </si>
  <si>
    <t>764</t>
  </si>
  <si>
    <t>LUMAX INDUSTRIA E COMERCIO DE PECAS ACESSORIOS E M</t>
  </si>
  <si>
    <t>LUMAX</t>
  </si>
  <si>
    <t>06160538000140</t>
  </si>
  <si>
    <t>765</t>
  </si>
  <si>
    <t>47396635000202</t>
  </si>
  <si>
    <t>766</t>
  </si>
  <si>
    <t>02286586000128</t>
  </si>
  <si>
    <t>767</t>
  </si>
  <si>
    <t>21015832000151</t>
  </si>
  <si>
    <t>768</t>
  </si>
  <si>
    <t>DIEGO CORREA VICENTE 33867414874</t>
  </si>
  <si>
    <t>DIEGO CORREA FOTOGRA</t>
  </si>
  <si>
    <t>19991309000119</t>
  </si>
  <si>
    <t>769</t>
  </si>
  <si>
    <t>00866577000180</t>
  </si>
  <si>
    <t>770</t>
  </si>
  <si>
    <t>ACEVILLE TRANSPORTES LTDA</t>
  </si>
  <si>
    <t>ACEVILLE TRANSPORTES</t>
  </si>
  <si>
    <t>81560047000101</t>
  </si>
  <si>
    <t>771</t>
  </si>
  <si>
    <t>08104523000190</t>
  </si>
  <si>
    <t>772</t>
  </si>
  <si>
    <t>06270977000105</t>
  </si>
  <si>
    <t>773</t>
  </si>
  <si>
    <t>BRF S.A.</t>
  </si>
  <si>
    <t>01838723009850</t>
  </si>
  <si>
    <t>774</t>
  </si>
  <si>
    <t>FITATEC - INDUSTRIA E COMERCIO DE FITAS DE ACO REL</t>
  </si>
  <si>
    <t>FITATEC</t>
  </si>
  <si>
    <t>08659623000182</t>
  </si>
  <si>
    <t>775</t>
  </si>
  <si>
    <t>60765823000130</t>
  </si>
  <si>
    <t>776</t>
  </si>
  <si>
    <t>CARAMBELLA INDUSTRIA E COMERCIO LTDA</t>
  </si>
  <si>
    <t>CARAMBELLA INDUSTRIA</t>
  </si>
  <si>
    <t>50359116000190</t>
  </si>
  <si>
    <t>777</t>
  </si>
  <si>
    <t>TRANSEG - TRANSPORTES E LOGISTICA LTDA</t>
  </si>
  <si>
    <t>TRANSEG - TRANSPORTE</t>
  </si>
  <si>
    <t>10686690000138</t>
  </si>
  <si>
    <t>778</t>
  </si>
  <si>
    <t>41298365000121</t>
  </si>
  <si>
    <t>779</t>
  </si>
  <si>
    <t>12389993000114</t>
  </si>
  <si>
    <t>780</t>
  </si>
  <si>
    <t>CORTINAX CONFECCOES ESPECIAIS EIRELI - EPP</t>
  </si>
  <si>
    <t>CORTINAX CONFECCOES</t>
  </si>
  <si>
    <t>09482622000178</t>
  </si>
  <si>
    <t>781</t>
  </si>
  <si>
    <t>VALQUIRIA SOREIRO CAFETERIA - EPP</t>
  </si>
  <si>
    <t>VALQUIRIA SOREIRO CA</t>
  </si>
  <si>
    <t>11406747000160</t>
  </si>
  <si>
    <t>782</t>
  </si>
  <si>
    <t>REFRISERVICE COMERCIO E SERVICOS DE REFRIGERACAO L</t>
  </si>
  <si>
    <t>REFRISERVICE COMERCI</t>
  </si>
  <si>
    <t>07576854000160</t>
  </si>
  <si>
    <t>783</t>
  </si>
  <si>
    <t>13101510000288</t>
  </si>
  <si>
    <t>784</t>
  </si>
  <si>
    <t>79476560000177</t>
  </si>
  <si>
    <t>785</t>
  </si>
  <si>
    <t>05558365000150</t>
  </si>
  <si>
    <t>786</t>
  </si>
  <si>
    <t>07367739000185</t>
  </si>
  <si>
    <t>787</t>
  </si>
  <si>
    <t>64046782000182</t>
  </si>
  <si>
    <t>788</t>
  </si>
  <si>
    <t>92685833000151</t>
  </si>
  <si>
    <t>789</t>
  </si>
  <si>
    <t>06006760000192</t>
  </si>
  <si>
    <t>790</t>
  </si>
  <si>
    <t>47201850000111</t>
  </si>
  <si>
    <t>791</t>
  </si>
  <si>
    <t>CIA DE FIACAO E TECIDOS CEDRO E CACHOEIRA</t>
  </si>
  <si>
    <t>FABRICA GERALDO MAGA</t>
  </si>
  <si>
    <t>17245234000525</t>
  </si>
  <si>
    <t>792</t>
  </si>
  <si>
    <t>60409075047035</t>
  </si>
  <si>
    <t>793</t>
  </si>
  <si>
    <t>68134436000107</t>
  </si>
  <si>
    <t>794</t>
  </si>
  <si>
    <t>00074541595915</t>
  </si>
  <si>
    <t>795</t>
  </si>
  <si>
    <t>03334987000179</t>
  </si>
  <si>
    <t>796</t>
  </si>
  <si>
    <t>01992439000100</t>
  </si>
  <si>
    <t>797</t>
  </si>
  <si>
    <t>CLAUDIA HELENA BEZERRA DA SILVA - ME</t>
  </si>
  <si>
    <t>MASSAS RICCI</t>
  </si>
  <si>
    <t>11654277000154</t>
  </si>
  <si>
    <t>798</t>
  </si>
  <si>
    <t>SODEPE - DESENVOLVIMENTO EM CURSOS SEMINARIOS E CO</t>
  </si>
  <si>
    <t>SODEPE - DESENVOLVIM</t>
  </si>
  <si>
    <t>08248090000146</t>
  </si>
  <si>
    <t>799</t>
  </si>
  <si>
    <t>03709814006200</t>
  </si>
  <si>
    <t>800</t>
  </si>
  <si>
    <t>04018275000103</t>
  </si>
  <si>
    <t>801</t>
  </si>
  <si>
    <t>42446716000167</t>
  </si>
  <si>
    <t>802</t>
  </si>
  <si>
    <t>14773721000149</t>
  </si>
  <si>
    <t>803</t>
  </si>
  <si>
    <t>06926633000101</t>
  </si>
  <si>
    <t>804</t>
  </si>
  <si>
    <t>CELSO OSORIO SOUTO CORDEIRO - ME</t>
  </si>
  <si>
    <t>22029255000110</t>
  </si>
  <si>
    <t>805</t>
  </si>
  <si>
    <t>CONFECCAO HOTELARIA LTDA - ME</t>
  </si>
  <si>
    <t>CONFEÇÃO</t>
  </si>
  <si>
    <t>17638981000108</t>
  </si>
  <si>
    <t>806</t>
  </si>
  <si>
    <t>BRUNELLI COMERCIO DE CARTUCHOS LTDA. - ME</t>
  </si>
  <si>
    <t>BRUNELLI</t>
  </si>
  <si>
    <t>05077350000170</t>
  </si>
  <si>
    <t>807</t>
  </si>
  <si>
    <t>73831505000171</t>
  </si>
  <si>
    <t>808</t>
  </si>
  <si>
    <t>DRYCOLOR ETIQUETAS EIRELI ME</t>
  </si>
  <si>
    <t>DRYCOLOR</t>
  </si>
  <si>
    <t>03058324000179</t>
  </si>
  <si>
    <t>809</t>
  </si>
  <si>
    <t>09503184000187</t>
  </si>
  <si>
    <t>810</t>
  </si>
  <si>
    <t>05981938000153</t>
  </si>
  <si>
    <t>811</t>
  </si>
  <si>
    <t>13083960000104</t>
  </si>
  <si>
    <t>812</t>
  </si>
  <si>
    <t>21880266000146</t>
  </si>
  <si>
    <t>813</t>
  </si>
  <si>
    <t>08723106000710</t>
  </si>
  <si>
    <t>814</t>
  </si>
  <si>
    <t>62413877000161</t>
  </si>
  <si>
    <t>815</t>
  </si>
  <si>
    <t>87392320000112</t>
  </si>
  <si>
    <t>816</t>
  </si>
  <si>
    <t>61486650029246</t>
  </si>
  <si>
    <t>817</t>
  </si>
  <si>
    <t>33183880000138</t>
  </si>
  <si>
    <t>818</t>
  </si>
  <si>
    <t>OSTEU TRANSPORTES EIRELI - EPP</t>
  </si>
  <si>
    <t>OSTEU TRANSPORTES</t>
  </si>
  <si>
    <t>19872823000135</t>
  </si>
  <si>
    <t>819</t>
  </si>
  <si>
    <t>CDC BRASIL DISTRIBUIDORA DE TECNOLOGIAS ESPECIAIS</t>
  </si>
  <si>
    <t>SCANSOURCE DO BRASIL</t>
  </si>
  <si>
    <t>05607657000135</t>
  </si>
  <si>
    <t>820</t>
  </si>
  <si>
    <t>SPORTSWORLD SP</t>
  </si>
  <si>
    <t>20182329000128</t>
  </si>
  <si>
    <t>821</t>
  </si>
  <si>
    <t>AZEVEDO SETTE ADVOGADOS ASSOCIADOS</t>
  </si>
  <si>
    <t>AZEVEDO SETTE ADVOGA</t>
  </si>
  <si>
    <t>02032253000172</t>
  </si>
  <si>
    <t>822</t>
  </si>
  <si>
    <t>NYCH PLAS CONSULTORIA E NEGOCIOS LTDA</t>
  </si>
  <si>
    <t>MIKA REPRESENTAÇÕES</t>
  </si>
  <si>
    <t>15236320000112</t>
  </si>
  <si>
    <t>823</t>
  </si>
  <si>
    <t>13913490000240</t>
  </si>
  <si>
    <t>824</t>
  </si>
  <si>
    <t>27865757002148</t>
  </si>
  <si>
    <t>825</t>
  </si>
  <si>
    <t>00203057000430</t>
  </si>
  <si>
    <t>826</t>
  </si>
  <si>
    <t>03955038000106</t>
  </si>
  <si>
    <t>827</t>
  </si>
  <si>
    <t>20816775000147</t>
  </si>
  <si>
    <t>828</t>
  </si>
  <si>
    <t>10365253000112</t>
  </si>
  <si>
    <t>829</t>
  </si>
  <si>
    <t>23306087002500</t>
  </si>
  <si>
    <t>830</t>
  </si>
  <si>
    <t>TECELAGEM SAO CARLOS S/A</t>
  </si>
  <si>
    <t>TECELAGEM</t>
  </si>
  <si>
    <t>59596395000180</t>
  </si>
  <si>
    <t>831</t>
  </si>
  <si>
    <t>03049734000153</t>
  </si>
  <si>
    <t>832</t>
  </si>
  <si>
    <t>TAIANA JORGE NAVARRO - ME</t>
  </si>
  <si>
    <t>TAIANA JORGE NAVARRO</t>
  </si>
  <si>
    <t>15424376000109</t>
  </si>
  <si>
    <t>833</t>
  </si>
  <si>
    <t>TAKARA &amp; FILHO LTDA - ME</t>
  </si>
  <si>
    <t>TAKARA &amp; FILHO LTDA</t>
  </si>
  <si>
    <t>53544029000109</t>
  </si>
  <si>
    <t>834</t>
  </si>
  <si>
    <t>GETNET ADQUIRENCIA E SERVICOS PARA MEIOS DE PAGAME</t>
  </si>
  <si>
    <t>GETNET S.A.</t>
  </si>
  <si>
    <t>10440482000154</t>
  </si>
  <si>
    <t>835</t>
  </si>
  <si>
    <t>62413877003187</t>
  </si>
  <si>
    <t>836</t>
  </si>
  <si>
    <t>BANCO BRADESCO SA</t>
  </si>
  <si>
    <t>BANCO BRADESCO</t>
  </si>
  <si>
    <t>60746948000112</t>
  </si>
  <si>
    <t>837</t>
  </si>
  <si>
    <t>05075884000167</t>
  </si>
  <si>
    <t>838</t>
  </si>
  <si>
    <t>00085983900706</t>
  </si>
  <si>
    <t>839</t>
  </si>
  <si>
    <t>12405840000113</t>
  </si>
  <si>
    <t>840</t>
  </si>
  <si>
    <t>FLAVIO JOSE DE VASCONCELLOS PIRES</t>
  </si>
  <si>
    <t>FLAVIO JOSE DE VASCO</t>
  </si>
  <si>
    <t>00039288072691</t>
  </si>
  <si>
    <t>841</t>
  </si>
  <si>
    <t>09468126000240</t>
  </si>
  <si>
    <t>842</t>
  </si>
  <si>
    <t>08092622000107</t>
  </si>
  <si>
    <t>843</t>
  </si>
  <si>
    <t>02223966007479</t>
  </si>
  <si>
    <t>844</t>
  </si>
  <si>
    <t>62851811000153</t>
  </si>
  <si>
    <t>845</t>
  </si>
  <si>
    <t>29435005000552</t>
  </si>
  <si>
    <t>846</t>
  </si>
  <si>
    <t>13148222000289</t>
  </si>
  <si>
    <t>847</t>
  </si>
  <si>
    <t>MARIA GORETE DO NASCIMENTO CABRAL - ME</t>
  </si>
  <si>
    <t>MG ACABAMENTO</t>
  </si>
  <si>
    <t>11722854000106</t>
  </si>
  <si>
    <t>848</t>
  </si>
  <si>
    <t>02223966008955</t>
  </si>
  <si>
    <t>849</t>
  </si>
  <si>
    <t>08907220000296</t>
  </si>
  <si>
    <t>850</t>
  </si>
  <si>
    <t>05759021000109</t>
  </si>
  <si>
    <t>851</t>
  </si>
  <si>
    <t>CERTISIGN CERTIFICADORA DIGITAL S.A</t>
  </si>
  <si>
    <t>CERTIFICADO DIGITAL</t>
  </si>
  <si>
    <t>01554285000175</t>
  </si>
  <si>
    <t>852</t>
  </si>
  <si>
    <t>13202702000108</t>
  </si>
  <si>
    <t>853</t>
  </si>
  <si>
    <t>12538040000170</t>
  </si>
  <si>
    <t>854</t>
  </si>
  <si>
    <t>17088362000189</t>
  </si>
  <si>
    <t>855</t>
  </si>
  <si>
    <t>54384631000261</t>
  </si>
  <si>
    <t>856</t>
  </si>
  <si>
    <t>66113580000131</t>
  </si>
  <si>
    <t>857</t>
  </si>
  <si>
    <t>01408982000118</t>
  </si>
  <si>
    <t>858</t>
  </si>
  <si>
    <t>15527187000153</t>
  </si>
  <si>
    <t>859</t>
  </si>
  <si>
    <t>05633429000130</t>
  </si>
  <si>
    <t>860</t>
  </si>
  <si>
    <t>11876245000101</t>
  </si>
  <si>
    <t>861</t>
  </si>
  <si>
    <t>D D DRIN SERVICO DE DESINSETIZACAO DOMICILIAR LTDA</t>
  </si>
  <si>
    <t>D D DRIN SERVICO DE</t>
  </si>
  <si>
    <t>60500055000192</t>
  </si>
  <si>
    <t>862</t>
  </si>
  <si>
    <t>24531516000120</t>
  </si>
  <si>
    <t>863</t>
  </si>
  <si>
    <t>05622917000141</t>
  </si>
  <si>
    <t>864</t>
  </si>
  <si>
    <t>08399312000121</t>
  </si>
  <si>
    <t>865</t>
  </si>
  <si>
    <t>15576251000196</t>
  </si>
  <si>
    <t>866</t>
  </si>
  <si>
    <t>05640201000177</t>
  </si>
  <si>
    <t>867</t>
  </si>
  <si>
    <t>10906746000112</t>
  </si>
  <si>
    <t>868</t>
  </si>
  <si>
    <t>14392561000198</t>
  </si>
  <si>
    <t>869</t>
  </si>
  <si>
    <t>17066300000176</t>
  </si>
  <si>
    <t>870</t>
  </si>
  <si>
    <t>29435005007484</t>
  </si>
  <si>
    <t>871</t>
  </si>
  <si>
    <t>MOISES DE OLIVEIRA - MAQUINAS - ME</t>
  </si>
  <si>
    <t>CENTERMAK</t>
  </si>
  <si>
    <t>07662423000116</t>
  </si>
  <si>
    <t>872</t>
  </si>
  <si>
    <t>22918209000171</t>
  </si>
  <si>
    <t>873</t>
  </si>
  <si>
    <t>MAISON BLANCHE CONFECCOES LTDA</t>
  </si>
  <si>
    <t>MARC BOUDHORS</t>
  </si>
  <si>
    <t>10226057000167</t>
  </si>
  <si>
    <t>874</t>
  </si>
  <si>
    <t>13190617000169</t>
  </si>
  <si>
    <t>875</t>
  </si>
  <si>
    <t>HYUNDAI CAOA DO BRASIL LTDA</t>
  </si>
  <si>
    <t>HYUNDAI CAOA DO BRAS</t>
  </si>
  <si>
    <t>03518732016917</t>
  </si>
  <si>
    <t>876</t>
  </si>
  <si>
    <t>15479829000277</t>
  </si>
  <si>
    <t>877</t>
  </si>
  <si>
    <t>KAYBEE EXIM DO BRASIL, IMPORTACAO E EXPORTACAO LTD</t>
  </si>
  <si>
    <t>KAYBEE EXIM DO BRASI</t>
  </si>
  <si>
    <t>05779941000270</t>
  </si>
  <si>
    <t>878</t>
  </si>
  <si>
    <t>07720404000107</t>
  </si>
  <si>
    <t>879</t>
  </si>
  <si>
    <t>31665300000113</t>
  </si>
  <si>
    <t>880</t>
  </si>
  <si>
    <t>10241381000235</t>
  </si>
  <si>
    <t>881</t>
  </si>
  <si>
    <t>06311274000340</t>
  </si>
  <si>
    <t>882</t>
  </si>
  <si>
    <t>08579954000102</t>
  </si>
  <si>
    <t>883</t>
  </si>
  <si>
    <t>MERCADO ELETRONICO S.A.</t>
  </si>
  <si>
    <t>MERCADO ELETRONICO S</t>
  </si>
  <si>
    <t>00117351000187</t>
  </si>
  <si>
    <t>884</t>
  </si>
  <si>
    <t>KARGA FACIL LOGISTICA E TRANSPORTES LTDA - EPP</t>
  </si>
  <si>
    <t>KARGA FACIL</t>
  </si>
  <si>
    <t>12329985000182</t>
  </si>
  <si>
    <t>885</t>
  </si>
  <si>
    <t>22524392000120</t>
  </si>
  <si>
    <t>886</t>
  </si>
  <si>
    <t>38579710000603</t>
  </si>
  <si>
    <t>887</t>
  </si>
  <si>
    <t>16744763000187</t>
  </si>
  <si>
    <t>888</t>
  </si>
  <si>
    <t>A.P.G. BISCIONI - ME</t>
  </si>
  <si>
    <t>APG</t>
  </si>
  <si>
    <t>11923156000160</t>
  </si>
  <si>
    <t>889</t>
  </si>
  <si>
    <t>EMBRAER S.A.</t>
  </si>
  <si>
    <t>EMBRAER</t>
  </si>
  <si>
    <t>07689002000189</t>
  </si>
  <si>
    <t>890</t>
  </si>
  <si>
    <t>17875041000124</t>
  </si>
  <si>
    <t>891</t>
  </si>
  <si>
    <t>12415653000110</t>
  </si>
  <si>
    <t>892</t>
  </si>
  <si>
    <t>22679426000156</t>
  </si>
  <si>
    <t>893</t>
  </si>
  <si>
    <t>R.G. DE CARVALHO REPRESENTACOES E SERVICOS LTDA -</t>
  </si>
  <si>
    <t>R.G. DE CARVALHO REP</t>
  </si>
  <si>
    <t>01337018000146</t>
  </si>
  <si>
    <t>894</t>
  </si>
  <si>
    <t>ROTA BRASIL CONSULTORIA ADUANEIRA LIMITADA - EPP</t>
  </si>
  <si>
    <t>ROTA BRASIL CONSULTO</t>
  </si>
  <si>
    <t>04775364000102</t>
  </si>
  <si>
    <t>895</t>
  </si>
  <si>
    <t>15711316000169</t>
  </si>
  <si>
    <t>896</t>
  </si>
  <si>
    <t>GROWING SERVICOS DE ARQUITETURA S/S LTDA</t>
  </si>
  <si>
    <t>GROWING SERVICOS DE</t>
  </si>
  <si>
    <t>19418960000102</t>
  </si>
  <si>
    <t>897</t>
  </si>
  <si>
    <t>SILK TEXTIL LTDA - EPP</t>
  </si>
  <si>
    <t>SILK</t>
  </si>
  <si>
    <t>05672263000160</t>
  </si>
  <si>
    <t>898</t>
  </si>
  <si>
    <t>17250558000128</t>
  </si>
  <si>
    <t>899</t>
  </si>
  <si>
    <t>05604243000152</t>
  </si>
  <si>
    <t>900</t>
  </si>
  <si>
    <t>17057869000175</t>
  </si>
  <si>
    <t>901</t>
  </si>
  <si>
    <t>22257902000140</t>
  </si>
  <si>
    <t>902</t>
  </si>
  <si>
    <t>76613835000260</t>
  </si>
  <si>
    <t>903</t>
  </si>
  <si>
    <t>80159015000560</t>
  </si>
  <si>
    <t>904</t>
  </si>
  <si>
    <t>05781933000187</t>
  </si>
  <si>
    <t>905</t>
  </si>
  <si>
    <t>60659463000191</t>
  </si>
  <si>
    <t>906</t>
  </si>
  <si>
    <t>NIAZITEX IMPORTACAO E EXPORTACAO DE TECIDOS LTDA</t>
  </si>
  <si>
    <t>NIAZITEX</t>
  </si>
  <si>
    <t>09183348000136</t>
  </si>
  <si>
    <t>907</t>
  </si>
  <si>
    <t>18204726000101</t>
  </si>
  <si>
    <t>908</t>
  </si>
  <si>
    <t>PONTES E BATTAGLIA CONSULTORIA EM PRODUTIVIDADE E</t>
  </si>
  <si>
    <t>PONTES E BATTAGLIA C</t>
  </si>
  <si>
    <t>03927116000169</t>
  </si>
  <si>
    <t>909</t>
  </si>
  <si>
    <t>CASA DE MAQUINAS TAKARA LT</t>
  </si>
  <si>
    <t>TAKARA</t>
  </si>
  <si>
    <t>48230098000108</t>
  </si>
  <si>
    <t>910</t>
  </si>
  <si>
    <t>02567969000174</t>
  </si>
  <si>
    <t>911</t>
  </si>
  <si>
    <t>WERLE &amp; TULIO - SERVICOS ESPECIALIZADOS DE CHAVEIR</t>
  </si>
  <si>
    <t>WERLE &amp; TULIO - SERV</t>
  </si>
  <si>
    <t>08371090000139</t>
  </si>
  <si>
    <t>912</t>
  </si>
  <si>
    <t>04291470000102</t>
  </si>
  <si>
    <t>913</t>
  </si>
  <si>
    <t>22881147000170</t>
  </si>
  <si>
    <t>914</t>
  </si>
  <si>
    <t>04716922000150</t>
  </si>
  <si>
    <t>915</t>
  </si>
  <si>
    <t>14837539000104</t>
  </si>
  <si>
    <t>916</t>
  </si>
  <si>
    <t>MAGALI BRANDASSI SALINAS 04019786801</t>
  </si>
  <si>
    <t>MAJU CONFECÇÕES</t>
  </si>
  <si>
    <t>24700793000110</t>
  </si>
  <si>
    <t>917</t>
  </si>
  <si>
    <t>71313027000182</t>
  </si>
  <si>
    <t>918</t>
  </si>
  <si>
    <t>14536481000169</t>
  </si>
  <si>
    <t>919</t>
  </si>
  <si>
    <t>EXTINTORES EXTINFRAN LTDA - EPP</t>
  </si>
  <si>
    <t>FDM EXTINTORES</t>
  </si>
  <si>
    <t>45147550000176</t>
  </si>
  <si>
    <t>920</t>
  </si>
  <si>
    <t>06981121000148</t>
  </si>
  <si>
    <t>921</t>
  </si>
  <si>
    <t>JOSE ANTONIO DE OLIVEIRA 05774462820</t>
  </si>
  <si>
    <t>JOSE ANTONIO DE OLIV</t>
  </si>
  <si>
    <t>24832102000131</t>
  </si>
  <si>
    <t>922</t>
  </si>
  <si>
    <t>LIBERTY COMERCIO E INDUSTRIA DE TECIDOS LTDA</t>
  </si>
  <si>
    <t>LIBERTY LTDA</t>
  </si>
  <si>
    <t>14253811000109</t>
  </si>
  <si>
    <t>923</t>
  </si>
  <si>
    <t>24676135000130</t>
  </si>
  <si>
    <t>924</t>
  </si>
  <si>
    <t>24250762000104</t>
  </si>
  <si>
    <t>925</t>
  </si>
  <si>
    <t>19433240000108</t>
  </si>
  <si>
    <t>926</t>
  </si>
  <si>
    <t>TRANSPORTADORA ASA DE PRATA LTDA</t>
  </si>
  <si>
    <t>TRANSPORTADORA ASA D</t>
  </si>
  <si>
    <t>11317047001171</t>
  </si>
  <si>
    <t>927</t>
  </si>
  <si>
    <t>JEAN DE JUST DESIGN DE INTERIORES LTDA</t>
  </si>
  <si>
    <t>JDJ</t>
  </si>
  <si>
    <t>19314547000190</t>
  </si>
  <si>
    <t>928</t>
  </si>
  <si>
    <t>DOLUCA TRANSPORTES LTDA - ME</t>
  </si>
  <si>
    <t>DOLUCA TRANSPORTES</t>
  </si>
  <si>
    <t>09186037000120</t>
  </si>
  <si>
    <t>929</t>
  </si>
  <si>
    <t>05470871000192</t>
  </si>
  <si>
    <t>930</t>
  </si>
  <si>
    <t>20182329000209</t>
  </si>
  <si>
    <t>931</t>
  </si>
  <si>
    <t>01894253002758</t>
  </si>
  <si>
    <t>932</t>
  </si>
  <si>
    <t>02160342000102</t>
  </si>
  <si>
    <t>933</t>
  </si>
  <si>
    <t>11824727000100</t>
  </si>
  <si>
    <t>934</t>
  </si>
  <si>
    <t>15144983000107</t>
  </si>
  <si>
    <t>935</t>
  </si>
  <si>
    <t>03283928000119</t>
  </si>
  <si>
    <t>936</t>
  </si>
  <si>
    <t>29920394000188</t>
  </si>
  <si>
    <t>937</t>
  </si>
  <si>
    <t>COBERCRYLL - INDUSTRIA E COMERCIO TEXTIL LTDA.</t>
  </si>
  <si>
    <t>COBERCRYLL</t>
  </si>
  <si>
    <t>46376307000192</t>
  </si>
  <si>
    <t>938</t>
  </si>
  <si>
    <t>20364026000207</t>
  </si>
  <si>
    <t>939</t>
  </si>
  <si>
    <t>11939462000195</t>
  </si>
  <si>
    <t>940</t>
  </si>
  <si>
    <t>02366306000191</t>
  </si>
  <si>
    <t>941</t>
  </si>
  <si>
    <t>24639139000148</t>
  </si>
  <si>
    <t>942</t>
  </si>
  <si>
    <t>04368251000184</t>
  </si>
  <si>
    <t>943</t>
  </si>
  <si>
    <t>06047087002697</t>
  </si>
  <si>
    <t>944</t>
  </si>
  <si>
    <t>BRADESCO AUTO/RE COMPANHIA DE SEGUROS</t>
  </si>
  <si>
    <t>BRADESCO SEGURO AUTO</t>
  </si>
  <si>
    <t>92682038000100</t>
  </si>
  <si>
    <t>945</t>
  </si>
  <si>
    <t>61213674000240</t>
  </si>
  <si>
    <t>946</t>
  </si>
  <si>
    <t>LUKATEX INDUSTRIA EIRELI</t>
  </si>
  <si>
    <t>LUKATEX</t>
  </si>
  <si>
    <t>24263267000130</t>
  </si>
  <si>
    <t>947</t>
  </si>
  <si>
    <t>ANIS RAZUK INDUSTRIA E COMERCIO LTDA</t>
  </si>
  <si>
    <t>ANIS RAZUK</t>
  </si>
  <si>
    <t>53558342005408</t>
  </si>
  <si>
    <t>948</t>
  </si>
  <si>
    <t>ARANHA COMERCIO DE HORTIFRUTIGRANJEIROS LTDA</t>
  </si>
  <si>
    <t>SACOLÃO BUTANTÃ</t>
  </si>
  <si>
    <t>03297317000120</t>
  </si>
  <si>
    <t>949</t>
  </si>
  <si>
    <t>07854618000400</t>
  </si>
  <si>
    <t>950</t>
  </si>
  <si>
    <t>22642985000191</t>
  </si>
  <si>
    <t>951</t>
  </si>
  <si>
    <t>21601759000108</t>
  </si>
  <si>
    <t>952</t>
  </si>
  <si>
    <t>MERIDIONAL CARGAS LTDA</t>
  </si>
  <si>
    <t>MERIDIONAL CARGAS LT</t>
  </si>
  <si>
    <t>23864838000471</t>
  </si>
  <si>
    <t>953</t>
  </si>
  <si>
    <t>17273520000170</t>
  </si>
  <si>
    <t>954</t>
  </si>
  <si>
    <t>04434491000130</t>
  </si>
  <si>
    <t>955</t>
  </si>
  <si>
    <t>08864599000385</t>
  </si>
  <si>
    <t>956</t>
  </si>
  <si>
    <t>SHANGAI JOINT LONG INTERNATIONAL TRADING CO</t>
  </si>
  <si>
    <t>SHANGAI INTERN. IMP.</t>
  </si>
  <si>
    <t>10557431000107</t>
  </si>
  <si>
    <t>957</t>
  </si>
  <si>
    <t>06098102000178</t>
  </si>
  <si>
    <t>958</t>
  </si>
  <si>
    <t>BACCI CONFECCOES EIRELI</t>
  </si>
  <si>
    <t>BACCI CONFECÇÕES</t>
  </si>
  <si>
    <t>15095181000154</t>
  </si>
  <si>
    <t>959</t>
  </si>
  <si>
    <t>71373732000175</t>
  </si>
  <si>
    <t>960</t>
  </si>
  <si>
    <t>23882611000106</t>
  </si>
  <si>
    <t>961</t>
  </si>
  <si>
    <t>INNOVATION BAZAR E PRESENTES LTDA - ME</t>
  </si>
  <si>
    <t>INNOVATION BAZAR E P</t>
  </si>
  <si>
    <t>54888276000187</t>
  </si>
  <si>
    <t>962</t>
  </si>
  <si>
    <t>04240055000200</t>
  </si>
  <si>
    <t>963</t>
  </si>
  <si>
    <t>09967852011404</t>
  </si>
  <si>
    <t>964</t>
  </si>
  <si>
    <t>TRU COMMERCE IMP. EXP. E COM. DE ROUPA EIRELI</t>
  </si>
  <si>
    <t>TRU COMMERCE</t>
  </si>
  <si>
    <t>24482884000126</t>
  </si>
  <si>
    <t>965</t>
  </si>
  <si>
    <t>DESENTUPIDORA E HIDRAULICA UNIAO LTDA - ME</t>
  </si>
  <si>
    <t>UNIAO DESENTUPIDORA</t>
  </si>
  <si>
    <t>02829550000143</t>
  </si>
  <si>
    <t>966</t>
  </si>
  <si>
    <t>02223966000466</t>
  </si>
  <si>
    <t>967</t>
  </si>
  <si>
    <t>ANTONIO CARLOS VIEIRA JUNIOR - ME</t>
  </si>
  <si>
    <t>PANTUFA &amp; CIA</t>
  </si>
  <si>
    <t>07033468000121</t>
  </si>
  <si>
    <t>968</t>
  </si>
  <si>
    <t>58118563001300</t>
  </si>
  <si>
    <t>969</t>
  </si>
  <si>
    <t>04463276000833</t>
  </si>
  <si>
    <t>970</t>
  </si>
  <si>
    <t>ONPHOTO FOTOGRAFIA DE PRODUTO LTDA - ME</t>
  </si>
  <si>
    <t>ONPHOTO FOTOGRAFIA D</t>
  </si>
  <si>
    <t>19859275000103</t>
  </si>
  <si>
    <t>971</t>
  </si>
  <si>
    <t>20902778000101</t>
  </si>
  <si>
    <t>972</t>
  </si>
  <si>
    <t>IND DE EMBAL PROMOCIONAIS VIFRAN LT</t>
  </si>
  <si>
    <t>VIFRAN</t>
  </si>
  <si>
    <t>67472829000168</t>
  </si>
  <si>
    <t>973</t>
  </si>
  <si>
    <t>10964339000161</t>
  </si>
  <si>
    <t>974</t>
  </si>
  <si>
    <t>IND E COM DE MALHAS E CONFECCOES VITORIA LTDA - EP</t>
  </si>
  <si>
    <t>IND E COM DE MALHAS</t>
  </si>
  <si>
    <t>47223268000156</t>
  </si>
  <si>
    <t>975</t>
  </si>
  <si>
    <t>EDITORA EJOTA LTDA - EPP</t>
  </si>
  <si>
    <t>EDITORA EJOTA LTDA -</t>
  </si>
  <si>
    <t>04994772000147</t>
  </si>
  <si>
    <t>976</t>
  </si>
  <si>
    <t>12575480000106</t>
  </si>
  <si>
    <t>977</t>
  </si>
  <si>
    <t>W - UNIFORMES LTDA - EPP</t>
  </si>
  <si>
    <t>MH UNIFORMES</t>
  </si>
  <si>
    <t>09183340000170</t>
  </si>
  <si>
    <t>978</t>
  </si>
  <si>
    <t>GIBSON SOLUCOES EM TECNOLOGIA LTDA - ME</t>
  </si>
  <si>
    <t>GIBSON NET</t>
  </si>
  <si>
    <t>09146661000102</t>
  </si>
  <si>
    <t>979</t>
  </si>
  <si>
    <t>02144787000190</t>
  </si>
  <si>
    <t>980</t>
  </si>
  <si>
    <t>SULTAN INDUSTRIA E COMERCIO DE ARTEFATOS TEXTEIS L</t>
  </si>
  <si>
    <t>SULTAN INDUSTRIA E C</t>
  </si>
  <si>
    <t>60869468000149</t>
  </si>
  <si>
    <t>981</t>
  </si>
  <si>
    <t>15752192000160</t>
  </si>
  <si>
    <t>982</t>
  </si>
  <si>
    <t>EQUIPALOJA EQUIPAMENTOS PARA LOJAS LTDA - ME</t>
  </si>
  <si>
    <t>EQUIPALOJA</t>
  </si>
  <si>
    <t>01078303000513</t>
  </si>
  <si>
    <t>983</t>
  </si>
  <si>
    <t>03237584000101</t>
  </si>
  <si>
    <t>984</t>
  </si>
  <si>
    <t>15591685000165</t>
  </si>
  <si>
    <t>985</t>
  </si>
  <si>
    <t>ALICE VINHAL BATISTA 39431074850</t>
  </si>
  <si>
    <t>ALICE VINHAL BATISTA</t>
  </si>
  <si>
    <t>14999193000140</t>
  </si>
  <si>
    <t>986</t>
  </si>
  <si>
    <t>19434926000113</t>
  </si>
  <si>
    <t>987</t>
  </si>
  <si>
    <t>53162095000106</t>
  </si>
  <si>
    <t>988</t>
  </si>
  <si>
    <t>PAYPAXX ADMINISTRADORA DE CARTOES S.A.</t>
  </si>
  <si>
    <t>PAYPAXX</t>
  </si>
  <si>
    <t>23160621000138</t>
  </si>
  <si>
    <t>989</t>
  </si>
  <si>
    <t>06325665000909</t>
  </si>
  <si>
    <t>990</t>
  </si>
  <si>
    <t>09967852018840</t>
  </si>
  <si>
    <t>991</t>
  </si>
  <si>
    <t>03643856000173</t>
  </si>
  <si>
    <t>992</t>
  </si>
  <si>
    <t>56577059000606</t>
  </si>
  <si>
    <t>993</t>
  </si>
  <si>
    <t>04463276000167</t>
  </si>
  <si>
    <t>994</t>
  </si>
  <si>
    <t>J H B COMUNICACAO VISUAL LTDA - ME</t>
  </si>
  <si>
    <t>JHB MONTAGEM STAND</t>
  </si>
  <si>
    <t>01985629000109</t>
  </si>
  <si>
    <t>995</t>
  </si>
  <si>
    <t>12777644000170</t>
  </si>
  <si>
    <t>996</t>
  </si>
  <si>
    <t>ECO BANHO LAVANDERIA E SERVICOS LTDA - ME</t>
  </si>
  <si>
    <t>ECO BANHO LAVANDERIA</t>
  </si>
  <si>
    <t>20854729000132</t>
  </si>
  <si>
    <t>997</t>
  </si>
  <si>
    <t>MARCELO FERNANDO GUEDES - ME</t>
  </si>
  <si>
    <t>MEGA CONSULTAS</t>
  </si>
  <si>
    <t>09275651000169</t>
  </si>
  <si>
    <t>998</t>
  </si>
  <si>
    <t>GI POLIMEROS LTDA - EPP</t>
  </si>
  <si>
    <t>GI POLIMEROS LTDA -</t>
  </si>
  <si>
    <t>22439521000182</t>
  </si>
  <si>
    <t>999</t>
  </si>
  <si>
    <t>04473193000159</t>
  </si>
  <si>
    <t>1000</t>
  </si>
  <si>
    <t>77768943000436</t>
  </si>
  <si>
    <t>1001</t>
  </si>
  <si>
    <t>16650756000116</t>
  </si>
  <si>
    <t>1002</t>
  </si>
  <si>
    <t>ODAIR DOS SANTOS CONFECCOES DE MODA - ME</t>
  </si>
  <si>
    <t>ODAIR DOS SANTOS</t>
  </si>
  <si>
    <t>23844551000137</t>
  </si>
  <si>
    <t>1003</t>
  </si>
  <si>
    <t>00205375000600</t>
  </si>
  <si>
    <t>1004</t>
  </si>
  <si>
    <t>02223966001357</t>
  </si>
  <si>
    <t>1005</t>
  </si>
  <si>
    <t>ONEWG MULTICOMUNICACAO LTDA.</t>
  </si>
  <si>
    <t>ONEWG MULTICOMUNICAC</t>
  </si>
  <si>
    <t>85229755000115</t>
  </si>
  <si>
    <t>1006</t>
  </si>
  <si>
    <t>COAN INDUSTRIA GRAFICA LTDA</t>
  </si>
  <si>
    <t>COAN GRAFICA</t>
  </si>
  <si>
    <t>86444791000164</t>
  </si>
  <si>
    <t>1007</t>
  </si>
  <si>
    <t>21432125000160</t>
  </si>
  <si>
    <t>1008</t>
  </si>
  <si>
    <t>73917569000190</t>
  </si>
  <si>
    <t>1009</t>
  </si>
  <si>
    <t>93309912000635</t>
  </si>
  <si>
    <t>1010</t>
  </si>
  <si>
    <t>03069059000477</t>
  </si>
  <si>
    <t>1011</t>
  </si>
  <si>
    <t>73046401000156</t>
  </si>
  <si>
    <t>1012</t>
  </si>
  <si>
    <t>VERDE INTERIOR PAISAGISMO LTDA - EPP</t>
  </si>
  <si>
    <t>VERDE INTERIOR</t>
  </si>
  <si>
    <t>22846244000122</t>
  </si>
  <si>
    <t>1013</t>
  </si>
  <si>
    <t>43731587000383</t>
  </si>
  <si>
    <t>1014</t>
  </si>
  <si>
    <t>14159330000210</t>
  </si>
  <si>
    <t>1015</t>
  </si>
  <si>
    <t>MAC-LEN COMERCIAL IMPORTAÇÃO E EXPORTAÇÃO LTDA</t>
  </si>
  <si>
    <t>MAC-LEN</t>
  </si>
  <si>
    <t>54253067000167</t>
  </si>
  <si>
    <t>1016</t>
  </si>
  <si>
    <t>R4 COMERCIO E EVENTOS LTDA - ME</t>
  </si>
  <si>
    <t>R4 COMERCIO EVENTOS</t>
  </si>
  <si>
    <t>21899587000192</t>
  </si>
  <si>
    <t>1017</t>
  </si>
  <si>
    <t>61139911000199</t>
  </si>
  <si>
    <t>1018</t>
  </si>
  <si>
    <t>18804676000101</t>
  </si>
  <si>
    <t>1019</t>
  </si>
  <si>
    <t>21045646000165</t>
  </si>
  <si>
    <t>1020</t>
  </si>
  <si>
    <t>KRM EDICOES E COMERCIO LTDA</t>
  </si>
  <si>
    <t>KRM EDIÇÕES</t>
  </si>
  <si>
    <t>14310328000119</t>
  </si>
  <si>
    <t>1021</t>
  </si>
  <si>
    <t>07528076000133</t>
  </si>
  <si>
    <t>1022</t>
  </si>
  <si>
    <t>LOCADORA DE VEICULOS PENEDA LTDA - ME</t>
  </si>
  <si>
    <t>LOCADORA VAN</t>
  </si>
  <si>
    <t>19315618000179</t>
  </si>
  <si>
    <t>1023</t>
  </si>
  <si>
    <t>02461864000136</t>
  </si>
  <si>
    <t>1024</t>
  </si>
  <si>
    <t>UPS DO BRASIL REMESSAS EXPRESSAS LTDA.</t>
  </si>
  <si>
    <t>UPS DO BRASIL REMESS</t>
  </si>
  <si>
    <t>74155052000173</t>
  </si>
  <si>
    <t>1025</t>
  </si>
  <si>
    <t>13780235000195</t>
  </si>
  <si>
    <t>1026</t>
  </si>
  <si>
    <t>24536474000110</t>
  </si>
  <si>
    <t>1027</t>
  </si>
  <si>
    <t>25209217000137</t>
  </si>
  <si>
    <t>1028</t>
  </si>
  <si>
    <t>72629140000134</t>
  </si>
  <si>
    <t>1029</t>
  </si>
  <si>
    <t>ADAMIG REPRESENTACOES COMERCIAIS LTDA - ME</t>
  </si>
  <si>
    <t>ANDREA ADAMIG</t>
  </si>
  <si>
    <t>04959927000104</t>
  </si>
  <si>
    <t>1030</t>
  </si>
  <si>
    <t>PETIT POEME CONFECCOES E COMERCIO EIRELI</t>
  </si>
  <si>
    <t>PETIT POEME</t>
  </si>
  <si>
    <t>09238713000162</t>
  </si>
  <si>
    <t>1031</t>
  </si>
  <si>
    <t>78804424000104</t>
  </si>
  <si>
    <t>1032</t>
  </si>
  <si>
    <t>ANDRE LUIS GOMES DA LUZ - EPP</t>
  </si>
  <si>
    <t>A. JORDANENSE MALHAS</t>
  </si>
  <si>
    <t>55390009000148</t>
  </si>
  <si>
    <t>1033</t>
  </si>
  <si>
    <t>14559538000145</t>
  </si>
  <si>
    <t>1034</t>
  </si>
  <si>
    <t>12946979000174</t>
  </si>
  <si>
    <t>1035</t>
  </si>
  <si>
    <t>60934403000130</t>
  </si>
  <si>
    <t>1036</t>
  </si>
  <si>
    <t>04940750000870</t>
  </si>
  <si>
    <t>1037</t>
  </si>
  <si>
    <t>04891611000128</t>
  </si>
  <si>
    <t>1038</t>
  </si>
  <si>
    <t>38881843000117</t>
  </si>
  <si>
    <t>1039</t>
  </si>
  <si>
    <t>MAGAZINE LUIZA S/A</t>
  </si>
  <si>
    <t>MAGAZINE LUÍZA</t>
  </si>
  <si>
    <t>47960950000121</t>
  </si>
  <si>
    <t>1040</t>
  </si>
  <si>
    <t>13549341000162</t>
  </si>
  <si>
    <t>1041</t>
  </si>
  <si>
    <t>SULTAN INDÚSTRIA E COMÉRCIO DE ARTEFATOS TEXTÊIS L</t>
  </si>
  <si>
    <t>SULTAN</t>
  </si>
  <si>
    <t>60869468000300</t>
  </si>
  <si>
    <t>1042</t>
  </si>
  <si>
    <t>08960714000234</t>
  </si>
  <si>
    <t>1043</t>
  </si>
  <si>
    <t>90260290000103</t>
  </si>
  <si>
    <t>1044</t>
  </si>
  <si>
    <t>MAGAZINE LUIZA</t>
  </si>
  <si>
    <t>47960950089785</t>
  </si>
  <si>
    <t>1045</t>
  </si>
  <si>
    <t>88900600000238</t>
  </si>
  <si>
    <t>1046</t>
  </si>
  <si>
    <t>13356779000124</t>
  </si>
  <si>
    <t>1047</t>
  </si>
  <si>
    <t>CMC PARKING ADMINISTRACAO DE ESTACIONAMENTOS LTDA</t>
  </si>
  <si>
    <t>ESTACIONAMENTO MERC</t>
  </si>
  <si>
    <t>68029354002650</t>
  </si>
  <si>
    <t>1048</t>
  </si>
  <si>
    <t>04041328000107</t>
  </si>
  <si>
    <t>1049</t>
  </si>
  <si>
    <t>GOVERNO DO ESTADO DE SAO PAULO</t>
  </si>
  <si>
    <t>GOVERNO DE SP</t>
  </si>
  <si>
    <t>46379400000150</t>
  </si>
  <si>
    <t>1050</t>
  </si>
  <si>
    <t>19715027000199</t>
  </si>
  <si>
    <t>1051</t>
  </si>
  <si>
    <t>17627090000148</t>
  </si>
  <si>
    <t>1052</t>
  </si>
  <si>
    <t>12580749000134</t>
  </si>
  <si>
    <t>1053</t>
  </si>
  <si>
    <t>79068185000126</t>
  </si>
  <si>
    <t>1054</t>
  </si>
  <si>
    <t>86396256000185</t>
  </si>
  <si>
    <t>1055</t>
  </si>
  <si>
    <t>19298729000114</t>
  </si>
  <si>
    <t>1056</t>
  </si>
  <si>
    <t>SCPT - SERVICO CENTRAL DE PROTESTO DE TITULOS LTDA</t>
  </si>
  <si>
    <t>CERTIDÃO CARTORÁRIA</t>
  </si>
  <si>
    <t>67978601000144</t>
  </si>
  <si>
    <t>1057</t>
  </si>
  <si>
    <t>GARTRAN LOGISTICA DE TRANSPORTE LTDA</t>
  </si>
  <si>
    <t>GARTRAN LOGISTICA DE</t>
  </si>
  <si>
    <t>04933915000100</t>
  </si>
  <si>
    <t>1058</t>
  </si>
  <si>
    <t>13024464000341</t>
  </si>
  <si>
    <t>1059</t>
  </si>
  <si>
    <t>WAL MART BRASIL LTDA</t>
  </si>
  <si>
    <t>WALMART</t>
  </si>
  <si>
    <t>00063960007537</t>
  </si>
  <si>
    <t>1060</t>
  </si>
  <si>
    <t>ALGODAO DOCE ACESSORIOS LTDA - ME</t>
  </si>
  <si>
    <t>ALGODAO DOCE</t>
  </si>
  <si>
    <t>54976907000110</t>
  </si>
  <si>
    <t>1061</t>
  </si>
  <si>
    <t>13265836000160</t>
  </si>
  <si>
    <t>1062</t>
  </si>
  <si>
    <t>11197308000357</t>
  </si>
  <si>
    <t>1063</t>
  </si>
  <si>
    <t>13812932000180</t>
  </si>
  <si>
    <t>1064</t>
  </si>
  <si>
    <t>02289636000120</t>
  </si>
  <si>
    <t>1065</t>
  </si>
  <si>
    <t>17180751000130</t>
  </si>
  <si>
    <t>1066</t>
  </si>
  <si>
    <t>67658260000120</t>
  </si>
  <si>
    <t>1067</t>
  </si>
  <si>
    <t>TECELAGEM DE FITAS BRITANNIA LTDA</t>
  </si>
  <si>
    <t>BRITANNIA</t>
  </si>
  <si>
    <t>41929639000133</t>
  </si>
  <si>
    <t>1068</t>
  </si>
  <si>
    <t>SMELL IT INDUSTRIA E COMERCIO LTDA - ME</t>
  </si>
  <si>
    <t>SMELL IT</t>
  </si>
  <si>
    <t>07397758000154</t>
  </si>
  <si>
    <t>1069</t>
  </si>
  <si>
    <t>CNOVA COMERCIO ELETRONICO S.A.</t>
  </si>
  <si>
    <t>PONTO FRIO</t>
  </si>
  <si>
    <t>07170938000107</t>
  </si>
  <si>
    <t>1070</t>
  </si>
  <si>
    <t>IMPERJET ACABAMENTOS TEXTEIS LTDA - EPP</t>
  </si>
  <si>
    <t>IMPERJET</t>
  </si>
  <si>
    <t>67706580000108</t>
  </si>
  <si>
    <t>1071</t>
  </si>
  <si>
    <t>07769985000163</t>
  </si>
  <si>
    <t>1072</t>
  </si>
  <si>
    <t>12625507000110</t>
  </si>
  <si>
    <t>1073</t>
  </si>
  <si>
    <t>32157943000119</t>
  </si>
  <si>
    <t>1074</t>
  </si>
  <si>
    <t>TEXTIL FARBE LTDA</t>
  </si>
  <si>
    <t>FARBE</t>
  </si>
  <si>
    <t>81303463000477</t>
  </si>
  <si>
    <t>1075</t>
  </si>
  <si>
    <t>08240181000135</t>
  </si>
  <si>
    <t>1076</t>
  </si>
  <si>
    <t>TSI TECNOLOGIA SUPPORT INFORMATICA LTDA. - ME</t>
  </si>
  <si>
    <t>TSI TECNOLOGIA SUPPO</t>
  </si>
  <si>
    <t>64571359000363</t>
  </si>
  <si>
    <t>1077</t>
  </si>
  <si>
    <t>13450020000106</t>
  </si>
  <si>
    <t>1078</t>
  </si>
  <si>
    <t>B2W COMPANHIA DIGITAL</t>
  </si>
  <si>
    <t>AMERICANAS.COM</t>
  </si>
  <si>
    <t>00776574000741</t>
  </si>
  <si>
    <t>1079</t>
  </si>
  <si>
    <t>11604497000173</t>
  </si>
  <si>
    <t>1080</t>
  </si>
  <si>
    <t>01982156000188</t>
  </si>
  <si>
    <t>1081</t>
  </si>
  <si>
    <t>25129618000187</t>
  </si>
  <si>
    <t>1082</t>
  </si>
  <si>
    <t>08763572000134</t>
  </si>
  <si>
    <t>1083</t>
  </si>
  <si>
    <t>14839305000104</t>
  </si>
  <si>
    <t>1084</t>
  </si>
  <si>
    <t>PATRICIA LUCAS DE OLIVEIRA 12782247859</t>
  </si>
  <si>
    <t>PATILEE</t>
  </si>
  <si>
    <t>26496645000150</t>
  </si>
  <si>
    <t>1085</t>
  </si>
  <si>
    <t>76551258000148</t>
  </si>
  <si>
    <t>1086</t>
  </si>
  <si>
    <t>12646772000184</t>
  </si>
  <si>
    <t>1087</t>
  </si>
  <si>
    <t>18312180000102</t>
  </si>
  <si>
    <t>1088</t>
  </si>
  <si>
    <t>09501797000185</t>
  </si>
  <si>
    <t>1089</t>
  </si>
  <si>
    <t>03764657000113</t>
  </si>
  <si>
    <t>1090</t>
  </si>
  <si>
    <t>TAG-COLOR ETIQUETAS ADESIVAS LTDA - EPP</t>
  </si>
  <si>
    <t>TAG COLOR</t>
  </si>
  <si>
    <t>04498183000178</t>
  </si>
  <si>
    <t>1091</t>
  </si>
  <si>
    <t>09323955000154</t>
  </si>
  <si>
    <t>1092</t>
  </si>
  <si>
    <t>47084082000163</t>
  </si>
  <si>
    <t>1093</t>
  </si>
  <si>
    <t>22664469000168</t>
  </si>
  <si>
    <t>1094</t>
  </si>
  <si>
    <t>00881736000116</t>
  </si>
  <si>
    <t>1095</t>
  </si>
  <si>
    <t>33481714000118</t>
  </si>
  <si>
    <t>1096</t>
  </si>
  <si>
    <t>08297486000183</t>
  </si>
  <si>
    <t>1097</t>
  </si>
  <si>
    <t>JASSER YUSUF AHMAD SOUZA HAFI - ME</t>
  </si>
  <si>
    <t>TECIDOS JASSER</t>
  </si>
  <si>
    <t>16506857000118</t>
  </si>
  <si>
    <t>1098</t>
  </si>
  <si>
    <t>19943443000144</t>
  </si>
  <si>
    <t>1099</t>
  </si>
  <si>
    <t>18990636000193</t>
  </si>
  <si>
    <t>1100</t>
  </si>
  <si>
    <t>22562562000161</t>
  </si>
  <si>
    <t>1101</t>
  </si>
  <si>
    <t>08432381000190</t>
  </si>
  <si>
    <t>1102</t>
  </si>
  <si>
    <t>12845932000114</t>
  </si>
  <si>
    <t>1103</t>
  </si>
  <si>
    <t>KABUM COMERCIO ELETRONICO S.A</t>
  </si>
  <si>
    <t>KABUM</t>
  </si>
  <si>
    <t>05570714000825</t>
  </si>
  <si>
    <t>1104</t>
  </si>
  <si>
    <t>23872254000103</t>
  </si>
  <si>
    <t>1105</t>
  </si>
  <si>
    <t>07673731000147</t>
  </si>
  <si>
    <t>1106</t>
  </si>
  <si>
    <t>THIAGO RAMOS ABATI ASTOLFI</t>
  </si>
  <si>
    <t>THIAGO RAMOS ABATI A</t>
  </si>
  <si>
    <t>00029394495894</t>
  </si>
  <si>
    <t>1107</t>
  </si>
  <si>
    <t>BINZHOU CITY XINMAO TEXTILE CO LTD</t>
  </si>
  <si>
    <t>BINZHOU CITY</t>
  </si>
  <si>
    <t>00000000001107</t>
  </si>
  <si>
    <t>1108</t>
  </si>
  <si>
    <t>UTIL FERRAMENTAS COMERCIAL LTDA - EPP</t>
  </si>
  <si>
    <t>MAKEDA</t>
  </si>
  <si>
    <t>00991908000104</t>
  </si>
  <si>
    <t>1109</t>
  </si>
  <si>
    <t>03069059000205</t>
  </si>
  <si>
    <t>1110</t>
  </si>
  <si>
    <t>94173309000127</t>
  </si>
  <si>
    <t>1111</t>
  </si>
  <si>
    <t>TRANSPORTADORA DAGOSTINI E REPRES LT</t>
  </si>
  <si>
    <t>D AGOSTINI TRANSP</t>
  </si>
  <si>
    <t>43096577000151</t>
  </si>
  <si>
    <t>1112</t>
  </si>
  <si>
    <t>77766483000164</t>
  </si>
  <si>
    <t>1113</t>
  </si>
  <si>
    <t>68711720000107</t>
  </si>
  <si>
    <t>1114</t>
  </si>
  <si>
    <t>ASIA SHIPPING SERVICOS ADUANEIROS LTDA</t>
  </si>
  <si>
    <t>AS BROKER SERVICOS A</t>
  </si>
  <si>
    <t>08519288000460</t>
  </si>
  <si>
    <t>1115</t>
  </si>
  <si>
    <t>20515685000116</t>
  </si>
  <si>
    <t>1116</t>
  </si>
  <si>
    <t>00113458000157</t>
  </si>
  <si>
    <t>1117</t>
  </si>
  <si>
    <t>83240333000115</t>
  </si>
  <si>
    <t>1118</t>
  </si>
  <si>
    <t>16559115000150</t>
  </si>
  <si>
    <t>1119</t>
  </si>
  <si>
    <t>61750345000157</t>
  </si>
  <si>
    <t>1120</t>
  </si>
  <si>
    <t>CARLOS ROBERTO ARRAES LUSTOSA COMERCIO E SERVICOS</t>
  </si>
  <si>
    <t>TOP PRINTER</t>
  </si>
  <si>
    <t>24679082000100</t>
  </si>
  <si>
    <t>1121</t>
  </si>
  <si>
    <t>05949818000179</t>
  </si>
  <si>
    <t>1122</t>
  </si>
  <si>
    <t>00008853987855</t>
  </si>
  <si>
    <t>1123</t>
  </si>
  <si>
    <t>22564914000118</t>
  </si>
  <si>
    <t>1124</t>
  </si>
  <si>
    <t>20909857000136</t>
  </si>
  <si>
    <t>1125</t>
  </si>
  <si>
    <t>CLASSIC AMENITIES INDUSTRIA E COMERCIO LTDA - EPP</t>
  </si>
  <si>
    <t>CLASSIC</t>
  </si>
  <si>
    <t>04507867000199</t>
  </si>
  <si>
    <t>1126</t>
  </si>
  <si>
    <t>57332439000139</t>
  </si>
  <si>
    <t>1127</t>
  </si>
  <si>
    <t>C. R. C. DA COSTA - TRANSPORTES - ME</t>
  </si>
  <si>
    <t>CRC DA COSTA</t>
  </si>
  <si>
    <t>13824759000130</t>
  </si>
  <si>
    <t>1128</t>
  </si>
  <si>
    <t>05298154000125</t>
  </si>
  <si>
    <t>1129</t>
  </si>
  <si>
    <t>24523205000110</t>
  </si>
  <si>
    <t>1130</t>
  </si>
  <si>
    <t>01500016000126</t>
  </si>
  <si>
    <t>1131</t>
  </si>
  <si>
    <t>62413877004582</t>
  </si>
  <si>
    <t>1132</t>
  </si>
  <si>
    <t>60596459000121</t>
  </si>
  <si>
    <t>1133</t>
  </si>
  <si>
    <t>FOUR SEASONS CORPORATE TOWERS</t>
  </si>
  <si>
    <t>FOUR SEASONS</t>
  </si>
  <si>
    <t>00000000001133</t>
  </si>
  <si>
    <t>1134</t>
  </si>
  <si>
    <t>MARY HEBE SOARES JARDIM</t>
  </si>
  <si>
    <t>MARY HEBE SOARES JAR</t>
  </si>
  <si>
    <t>00025925783824</t>
  </si>
  <si>
    <t>1135</t>
  </si>
  <si>
    <t>PORTO SEGURO COMPANHIA DE SEGUROS GERAIS</t>
  </si>
  <si>
    <t>PORTO SEGURO</t>
  </si>
  <si>
    <t>61198164000160</t>
  </si>
  <si>
    <t>1136</t>
  </si>
  <si>
    <t>15392365000186</t>
  </si>
  <si>
    <t>1137</t>
  </si>
  <si>
    <t>00619232000203</t>
  </si>
  <si>
    <t>1138</t>
  </si>
  <si>
    <t>CELSO PASCOAL MORABITO</t>
  </si>
  <si>
    <t>CELSO PASCOAL MORABI</t>
  </si>
  <si>
    <t>00071664157972</t>
  </si>
  <si>
    <t>1139</t>
  </si>
  <si>
    <t>FIXTIL COMERCIAL LTDA</t>
  </si>
  <si>
    <t>FIXTIL</t>
  </si>
  <si>
    <t>60138898000190</t>
  </si>
  <si>
    <t>1140</t>
  </si>
  <si>
    <t>26342361000100</t>
  </si>
  <si>
    <t>1141</t>
  </si>
  <si>
    <t>MANUFATURA PRODS PLASTICOS FLOREAL LTDA</t>
  </si>
  <si>
    <t>FLOREAL</t>
  </si>
  <si>
    <t>60590007000132</t>
  </si>
  <si>
    <t>1142</t>
  </si>
  <si>
    <t>06272575006180</t>
  </si>
  <si>
    <t>1143</t>
  </si>
  <si>
    <t>A. GIANELLA EVENTOS - EPP</t>
  </si>
  <si>
    <t>GLOBAL BUSINESS</t>
  </si>
  <si>
    <t>12556806000140</t>
  </si>
  <si>
    <t>1144</t>
  </si>
  <si>
    <t>E S BAROUFIS ADMINISTRACAO EMPRESARIAL - ME</t>
  </si>
  <si>
    <t>EGAS MONIZ</t>
  </si>
  <si>
    <t>21940012000176</t>
  </si>
  <si>
    <t>1145</t>
  </si>
  <si>
    <t>EDICOES GLOBO CONDE NAST S.A.</t>
  </si>
  <si>
    <t>GLOBO CONDE</t>
  </si>
  <si>
    <t>10739386000101</t>
  </si>
  <si>
    <t>1146</t>
  </si>
  <si>
    <t>16365607000105</t>
  </si>
  <si>
    <t>1147</t>
  </si>
  <si>
    <t>GUSTAVO DOS SANTOS CARVALHO</t>
  </si>
  <si>
    <t>GUSTAVO DOS SANTOS C</t>
  </si>
  <si>
    <t>00045284833864</t>
  </si>
  <si>
    <t>1148</t>
  </si>
  <si>
    <t>00059846282605</t>
  </si>
  <si>
    <t>1149</t>
  </si>
  <si>
    <t>LEONARDO SILVEIRA DE FARIA</t>
  </si>
  <si>
    <t>LEONARDO SILVEIRA DE</t>
  </si>
  <si>
    <t>00047492767072</t>
  </si>
  <si>
    <t>1150</t>
  </si>
  <si>
    <t>SEBASTIAO CONRADO RIBEIRO DA SILVA - ME</t>
  </si>
  <si>
    <t>SEBASTIÃO</t>
  </si>
  <si>
    <t>25012552000140</t>
  </si>
  <si>
    <t>1151</t>
  </si>
  <si>
    <t>10225468000138</t>
  </si>
  <si>
    <t>1152</t>
  </si>
  <si>
    <t>22728891000130</t>
  </si>
  <si>
    <t>1153</t>
  </si>
  <si>
    <t>97538493000150</t>
  </si>
  <si>
    <t>1154</t>
  </si>
  <si>
    <t>05509761000197</t>
  </si>
  <si>
    <t>1155</t>
  </si>
  <si>
    <t>DHL EXPRESS BRAZIL LTDA</t>
  </si>
  <si>
    <t>DHL EXPRESS BR</t>
  </si>
  <si>
    <t>58890252000113</t>
  </si>
  <si>
    <t>1156</t>
  </si>
  <si>
    <t>VIPOXI REVESTIMENTOS INDUSTRIAIS EIRELI - ME</t>
  </si>
  <si>
    <t>VIPOXI</t>
  </si>
  <si>
    <t>20663326000106</t>
  </si>
  <si>
    <t>1157</t>
  </si>
  <si>
    <t>BP ARTIGOS PARA DECORAÇÃO LTDA</t>
  </si>
  <si>
    <t>BY POLI</t>
  </si>
  <si>
    <t>29767398000178</t>
  </si>
  <si>
    <t>1158</t>
  </si>
  <si>
    <t>04463276001805</t>
  </si>
  <si>
    <t>1159</t>
  </si>
  <si>
    <t>P3R DISTRIBUIDORA DE PRODUTOS DE SEGURANCA ELETRON</t>
  </si>
  <si>
    <t>P3R DISTRIBUIDORA</t>
  </si>
  <si>
    <t>21580838000171</t>
  </si>
  <si>
    <t>1160</t>
  </si>
  <si>
    <t>56577059000100</t>
  </si>
  <si>
    <t>1161</t>
  </si>
  <si>
    <t>24699865000156</t>
  </si>
  <si>
    <t>1162</t>
  </si>
  <si>
    <t>19114125000685</t>
  </si>
  <si>
    <t>1163</t>
  </si>
  <si>
    <t>LC ENTULHO LTDA - ME</t>
  </si>
  <si>
    <t>14992784000196</t>
  </si>
  <si>
    <t>1164</t>
  </si>
  <si>
    <t>TINTAS FAMOSAS COMERCIAL DE TINTAS LTDA.</t>
  </si>
  <si>
    <t>TINTAS FAMOSAS</t>
  </si>
  <si>
    <t>66526542000100</t>
  </si>
  <si>
    <t>1165</t>
  </si>
  <si>
    <t>06047087004126</t>
  </si>
  <si>
    <t>1166</t>
  </si>
  <si>
    <t>17576981000112</t>
  </si>
  <si>
    <t>1167</t>
  </si>
  <si>
    <t>TEK-SANA TECIDOS EIRELI</t>
  </si>
  <si>
    <t>TEK</t>
  </si>
  <si>
    <t>15776822000136</t>
  </si>
  <si>
    <t>1168</t>
  </si>
  <si>
    <t>16865414000113</t>
  </si>
  <si>
    <t>1169</t>
  </si>
  <si>
    <t>12262251000123</t>
  </si>
  <si>
    <t>1170</t>
  </si>
  <si>
    <t>33183880000219</t>
  </si>
  <si>
    <t>1171</t>
  </si>
  <si>
    <t>09493284000170</t>
  </si>
  <si>
    <t>1172</t>
  </si>
  <si>
    <t>42414912000150</t>
  </si>
  <si>
    <t>1173</t>
  </si>
  <si>
    <t>RIMATEX MERCANTIL E INDUSTRIAL LTDA - EPP</t>
  </si>
  <si>
    <t>RIMATEX</t>
  </si>
  <si>
    <t>03420188000115</t>
  </si>
  <si>
    <t>1174</t>
  </si>
  <si>
    <t>83882936000110</t>
  </si>
  <si>
    <t>1175</t>
  </si>
  <si>
    <t>27044851000192</t>
  </si>
  <si>
    <t>1176</t>
  </si>
  <si>
    <t>36847010000104</t>
  </si>
  <si>
    <t>1177</t>
  </si>
  <si>
    <t>02223966001861</t>
  </si>
  <si>
    <t>1178</t>
  </si>
  <si>
    <t>53548863000164</t>
  </si>
  <si>
    <t>1179</t>
  </si>
  <si>
    <t>10836088003317</t>
  </si>
  <si>
    <t>1180</t>
  </si>
  <si>
    <t>OFICIAL DE REGISTRO CIVIL DAS PESSOAS NATURAIS E T</t>
  </si>
  <si>
    <t>CARTÓRIO SOORRO</t>
  </si>
  <si>
    <t>45587847000152</t>
  </si>
  <si>
    <t>1181</t>
  </si>
  <si>
    <t>ROLDAO AUTO SERVICO COMERCIO DE ALIMENTOS LTDA</t>
  </si>
  <si>
    <t>ROLDÃO JURUBATUBA</t>
  </si>
  <si>
    <t>05800256002140</t>
  </si>
  <si>
    <t>1182</t>
  </si>
  <si>
    <t>C &amp; C CASA E CONSTRUCAO LTDA</t>
  </si>
  <si>
    <t>C&amp;C CASA E CONSTRUÇÃ</t>
  </si>
  <si>
    <t>63004030003888</t>
  </si>
  <si>
    <t>1183</t>
  </si>
  <si>
    <t>11805397001004</t>
  </si>
  <si>
    <t>1184</t>
  </si>
  <si>
    <t>00270791000170</t>
  </si>
  <si>
    <t>1185</t>
  </si>
  <si>
    <t>10331891000112</t>
  </si>
  <si>
    <t>1186</t>
  </si>
  <si>
    <t>81071623000157</t>
  </si>
  <si>
    <t>1187</t>
  </si>
  <si>
    <t>02223966008106</t>
  </si>
  <si>
    <t>1188</t>
  </si>
  <si>
    <t>TINTAS LUSACOR LT</t>
  </si>
  <si>
    <t>LUSACOR</t>
  </si>
  <si>
    <t>57878068000195</t>
  </si>
  <si>
    <t>1189</t>
  </si>
  <si>
    <t>19182613000115</t>
  </si>
  <si>
    <t>1190</t>
  </si>
  <si>
    <t>UMUARAMA IMOVEIS LTDA</t>
  </si>
  <si>
    <t>UMUARAMA</t>
  </si>
  <si>
    <t>60885175000155</t>
  </si>
  <si>
    <t>1191</t>
  </si>
  <si>
    <t>VIDAO TRANSPORTES E LOCADORA DE VEICULOS LTDA - ME</t>
  </si>
  <si>
    <t>VIDÃO FRETADO</t>
  </si>
  <si>
    <t>22908477000102</t>
  </si>
  <si>
    <t>1192</t>
  </si>
  <si>
    <t>AZENHA TURISMO E LOCADORA DE VEICULOS LTDA - ME</t>
  </si>
  <si>
    <t>AZENHA FRETADO</t>
  </si>
  <si>
    <t>24971929000126</t>
  </si>
  <si>
    <t>1193</t>
  </si>
  <si>
    <t>JOAO CARLOS AGOSTINHO 09102491800</t>
  </si>
  <si>
    <t>SERRALHEIRIA</t>
  </si>
  <si>
    <t>21698460000105</t>
  </si>
  <si>
    <t>1194</t>
  </si>
  <si>
    <t>00223046000170</t>
  </si>
  <si>
    <t>1195</t>
  </si>
  <si>
    <t>MARCOS LIGUILI - ME</t>
  </si>
  <si>
    <t>ART CRISTAL</t>
  </si>
  <si>
    <t>16668307000103</t>
  </si>
  <si>
    <t>1196</t>
  </si>
  <si>
    <t>20844724000129</t>
  </si>
  <si>
    <t>1197</t>
  </si>
  <si>
    <t>BRASFOR COMERCIAL LTDA</t>
  </si>
  <si>
    <t>BRASFOR DRYWALL</t>
  </si>
  <si>
    <t>47106042000175</t>
  </si>
  <si>
    <t>1198</t>
  </si>
  <si>
    <t>JANUARIO DOS SANTOS ELETRICA - ME</t>
  </si>
  <si>
    <t>JANUARIO ELETRICISTA</t>
  </si>
  <si>
    <t>14189181000150</t>
  </si>
  <si>
    <t>1199</t>
  </si>
  <si>
    <t>05524379000152</t>
  </si>
  <si>
    <t>1200</t>
  </si>
  <si>
    <t>06047087000210</t>
  </si>
  <si>
    <t>1201</t>
  </si>
  <si>
    <t>09405789002260</t>
  </si>
  <si>
    <t>1202</t>
  </si>
  <si>
    <t>MAX VEST TX CONFECCOES - EIRELI - EPP</t>
  </si>
  <si>
    <t>FENOMENAL TEXTIL</t>
  </si>
  <si>
    <t>23041224000147</t>
  </si>
  <si>
    <t>1203</t>
  </si>
  <si>
    <t>09276767000112</t>
  </si>
  <si>
    <t>1204</t>
  </si>
  <si>
    <t>27283525000138</t>
  </si>
  <si>
    <t>1205</t>
  </si>
  <si>
    <t>11143875000169</t>
  </si>
  <si>
    <t>1206</t>
  </si>
  <si>
    <t>04463276002372</t>
  </si>
  <si>
    <t>1207</t>
  </si>
  <si>
    <t>DU-FILTROS COMERCIO E SERVICOS EIRELI - ME</t>
  </si>
  <si>
    <t>DU-FILTROS</t>
  </si>
  <si>
    <t>14333276000104</t>
  </si>
  <si>
    <t>1208</t>
  </si>
  <si>
    <t>00063019922372</t>
  </si>
  <si>
    <t>1209</t>
  </si>
  <si>
    <t>01534593000139</t>
  </si>
  <si>
    <t>1210</t>
  </si>
  <si>
    <t>TEKA - TECELAGEM KUEHNRICH S/A "RECUPERACAO JUDICI</t>
  </si>
  <si>
    <t>TEKA</t>
  </si>
  <si>
    <t>82636986000155</t>
  </si>
  <si>
    <t>1211</t>
  </si>
  <si>
    <t>RAFAEL GONCALVES TOMIC 38226298806</t>
  </si>
  <si>
    <t>APLICADORA INTERLAGO</t>
  </si>
  <si>
    <t>22299712000196</t>
  </si>
  <si>
    <t>1212</t>
  </si>
  <si>
    <t>26571368000101</t>
  </si>
  <si>
    <t>1213</t>
  </si>
  <si>
    <t>10256099000140</t>
  </si>
  <si>
    <t>1214</t>
  </si>
  <si>
    <t>02223966003996</t>
  </si>
  <si>
    <t>1215</t>
  </si>
  <si>
    <t>3G CARGO LOGISTICA E TRANSPORTES LTDA - ME</t>
  </si>
  <si>
    <t>MOTO HENGLES</t>
  </si>
  <si>
    <t>08621261000130</t>
  </si>
  <si>
    <t>1216</t>
  </si>
  <si>
    <t>TNT EXPRESS BRASIL LTDA.</t>
  </si>
  <si>
    <t>TNT EXPRESS</t>
  </si>
  <si>
    <t>73475303000134</t>
  </si>
  <si>
    <t>1217</t>
  </si>
  <si>
    <t>COMAF COLOCACAO E MONTAGEM DE FORROS LTDA</t>
  </si>
  <si>
    <t>COMAF FORROS</t>
  </si>
  <si>
    <t>62279476000160</t>
  </si>
  <si>
    <t>1218</t>
  </si>
  <si>
    <t>06047087004207</t>
  </si>
  <si>
    <t>1219</t>
  </si>
  <si>
    <t>18638713000302</t>
  </si>
  <si>
    <t>1220</t>
  </si>
  <si>
    <t>ANTONIO MIGUEL DA COSTA</t>
  </si>
  <si>
    <t>ANTONIO MIGUEL DA CO</t>
  </si>
  <si>
    <t>00003030070875</t>
  </si>
  <si>
    <t>1221</t>
  </si>
  <si>
    <t>22415499000130</t>
  </si>
  <si>
    <t>1222</t>
  </si>
  <si>
    <t>CIA DE FIAÇÃO E TECIDOS CEDRO E CACHOEIRA</t>
  </si>
  <si>
    <t>CEDRO</t>
  </si>
  <si>
    <t>17245234002730</t>
  </si>
  <si>
    <t>1223</t>
  </si>
  <si>
    <t>ELETRO TECNICA IPIRANGA COMERCIO E SERVICOS LTDA.</t>
  </si>
  <si>
    <t>IPIRANGA</t>
  </si>
  <si>
    <t>00242110000160</t>
  </si>
  <si>
    <t>1224</t>
  </si>
  <si>
    <t>MARCELO LUIZ DA SILVA 70611467453</t>
  </si>
  <si>
    <t>MARCELO AR COND</t>
  </si>
  <si>
    <t>22890650000192</t>
  </si>
  <si>
    <t>1225</t>
  </si>
  <si>
    <t>56548779001534</t>
  </si>
  <si>
    <t>1226</t>
  </si>
  <si>
    <t>26994986000156</t>
  </si>
  <si>
    <t>1227</t>
  </si>
  <si>
    <t>AUTO VIACAO URUBUPUNGA LT</t>
  </si>
  <si>
    <t>BEM OSASCO</t>
  </si>
  <si>
    <t>61487799000187</t>
  </si>
  <si>
    <t>1228</t>
  </si>
  <si>
    <t>INSTITUTO DE ESTUDOS DE PROTESTO DE TITULOS DO BRA</t>
  </si>
  <si>
    <t>CENPROT</t>
  </si>
  <si>
    <t>45876117000171</t>
  </si>
  <si>
    <t>1229</t>
  </si>
  <si>
    <t>ORIGINAL VX TEXTIL - EIRELI - EPP</t>
  </si>
  <si>
    <t>UNIFORME</t>
  </si>
  <si>
    <t>14046687000100</t>
  </si>
  <si>
    <t>1230</t>
  </si>
  <si>
    <t>50480953000253</t>
  </si>
  <si>
    <t>1231</t>
  </si>
  <si>
    <t>FLORA E PAISAGISMO CATARINENSE LTDA - ME</t>
  </si>
  <si>
    <t>FLORA JARDINAGEM</t>
  </si>
  <si>
    <t>02544771000175</t>
  </si>
  <si>
    <t>1232</t>
  </si>
  <si>
    <t>05119929000158</t>
  </si>
  <si>
    <t>1233</t>
  </si>
  <si>
    <t>22517470000160</t>
  </si>
  <si>
    <t>1234</t>
  </si>
  <si>
    <t>52400207000157</t>
  </si>
  <si>
    <t>1235</t>
  </si>
  <si>
    <t>PIZARRO REPRESENTACOES LTDA - ME</t>
  </si>
  <si>
    <t>PIZARRO</t>
  </si>
  <si>
    <t>24025256000111</t>
  </si>
  <si>
    <t>1236</t>
  </si>
  <si>
    <t>02223966005930</t>
  </si>
  <si>
    <t>1237</t>
  </si>
  <si>
    <t>88900600000157</t>
  </si>
  <si>
    <t>1238</t>
  </si>
  <si>
    <t>02800525000137</t>
  </si>
  <si>
    <t>1239</t>
  </si>
  <si>
    <t>00708923000283</t>
  </si>
  <si>
    <t>1240</t>
  </si>
  <si>
    <t>ITAU UNIBANCO S.A.</t>
  </si>
  <si>
    <t>BANCO ITAU</t>
  </si>
  <si>
    <t>60701190000104</t>
  </si>
  <si>
    <t>1241</t>
  </si>
  <si>
    <t>MULTTI LOCACOES-EQUIPAMENTOS E BENS PARA CONSTRUCA</t>
  </si>
  <si>
    <t>LOCAÇÃO ANDAIMES</t>
  </si>
  <si>
    <t>10695106000100</t>
  </si>
  <si>
    <t>1242</t>
  </si>
  <si>
    <t>11001655000109</t>
  </si>
  <si>
    <t>1243</t>
  </si>
  <si>
    <t>09324610000115</t>
  </si>
  <si>
    <t>1244</t>
  </si>
  <si>
    <t>R. P. PEREIRA CONSTRUCAO REFORMA E COMERCIO DE MAT</t>
  </si>
  <si>
    <t>RAMADIN CONSTRUCAO</t>
  </si>
  <si>
    <t>22474644000154</t>
  </si>
  <si>
    <t>1245</t>
  </si>
  <si>
    <t>DLVE ESTACIONAMENTO LTDA - ME</t>
  </si>
  <si>
    <t>DLVE ESTACIONAMENTO</t>
  </si>
  <si>
    <t>07345206000100</t>
  </si>
  <si>
    <t>1246</t>
  </si>
  <si>
    <t>17 TABELIAO DE NOTAS DA CAPITAL</t>
  </si>
  <si>
    <t>CARTÓRIO LIBERDADE</t>
  </si>
  <si>
    <t>45572666000152</t>
  </si>
  <si>
    <t>1247</t>
  </si>
  <si>
    <t>00000000001247</t>
  </si>
  <si>
    <t>1248</t>
  </si>
  <si>
    <t>ADIANTAMENTO PENDENTE</t>
  </si>
  <si>
    <t>ADIANTAMENTO PEN</t>
  </si>
  <si>
    <t>19093993000200</t>
  </si>
  <si>
    <t>1249</t>
  </si>
  <si>
    <t>MARIANA GUERRA FREGUGLIA GUEDES 35218342807</t>
  </si>
  <si>
    <t>MARIANA GRAFICA</t>
  </si>
  <si>
    <t>12802092000102</t>
  </si>
  <si>
    <t>1250</t>
  </si>
  <si>
    <t>19903941000163</t>
  </si>
  <si>
    <t>1251</t>
  </si>
  <si>
    <t>10746827000100</t>
  </si>
  <si>
    <t>1252</t>
  </si>
  <si>
    <t>24948292000157</t>
  </si>
  <si>
    <t>1253</t>
  </si>
  <si>
    <t>03068790000488</t>
  </si>
  <si>
    <t>1254</t>
  </si>
  <si>
    <t>13574756000196</t>
  </si>
  <si>
    <t>1255</t>
  </si>
  <si>
    <t>12984515000152</t>
  </si>
  <si>
    <t>1256</t>
  </si>
  <si>
    <t>NICOM COMERCIO DE MATERIAIS PARA CONSTRUCOES LTDA</t>
  </si>
  <si>
    <t>NICON COM MAT CONSTR</t>
  </si>
  <si>
    <t>60403110000126</t>
  </si>
  <si>
    <t>1257</t>
  </si>
  <si>
    <t>23028290000187</t>
  </si>
  <si>
    <t>1258</t>
  </si>
  <si>
    <t>04005395000176</t>
  </si>
  <si>
    <t>1259</t>
  </si>
  <si>
    <t>16781681000102</t>
  </si>
  <si>
    <t>1260</t>
  </si>
  <si>
    <t>02649342000162</t>
  </si>
  <si>
    <t>1261</t>
  </si>
  <si>
    <t>ALPHA INDUSTRIA E COMERCIO DE ESPUMAS LTDA - ME</t>
  </si>
  <si>
    <t>02982857000180</t>
  </si>
  <si>
    <t>1262</t>
  </si>
  <si>
    <t>SAPATARIA RITA DE CASSIA LTDA - ME</t>
  </si>
  <si>
    <t>SAPATARIA/ MALAS</t>
  </si>
  <si>
    <t>59720094000116</t>
  </si>
  <si>
    <t>1263</t>
  </si>
  <si>
    <t>TRITAN COMERCIO DE TECIDOS LTDA - EPP</t>
  </si>
  <si>
    <t>TRITAN</t>
  </si>
  <si>
    <t>72814783000158</t>
  </si>
  <si>
    <t>1264</t>
  </si>
  <si>
    <t>04030735000208</t>
  </si>
  <si>
    <t>1265</t>
  </si>
  <si>
    <t>PACIFIC CROSS IMPORTAÇÃO E EXPORTAÇÃO LTDA.</t>
  </si>
  <si>
    <t>PACIFIC CROSS</t>
  </si>
  <si>
    <t>03719427000132</t>
  </si>
  <si>
    <t>1266</t>
  </si>
  <si>
    <t>EXPRESS TCM LTDA</t>
  </si>
  <si>
    <t>TCM</t>
  </si>
  <si>
    <t>01834475000227</t>
  </si>
  <si>
    <t>1267</t>
  </si>
  <si>
    <t>DECO CASA CONFECCOES LTDA - ME</t>
  </si>
  <si>
    <t>OFICINA DECO</t>
  </si>
  <si>
    <t>09372259000138</t>
  </si>
  <si>
    <t>1268</t>
  </si>
  <si>
    <t>17344759000194</t>
  </si>
  <si>
    <t>1269</t>
  </si>
  <si>
    <t>14892240000152</t>
  </si>
  <si>
    <t>1270</t>
  </si>
  <si>
    <t>18444677000184</t>
  </si>
  <si>
    <t>1271</t>
  </si>
  <si>
    <t>17043774000100</t>
  </si>
  <si>
    <t>1272</t>
  </si>
  <si>
    <t>26246539000119</t>
  </si>
  <si>
    <t>1273</t>
  </si>
  <si>
    <t>00708923000100</t>
  </si>
  <si>
    <t>1274</t>
  </si>
  <si>
    <t>25735853000100</t>
  </si>
  <si>
    <t>1275</t>
  </si>
  <si>
    <t>CENTRO AUTOMOTIVO IMPERIO DAS NACOES LTDA. - ME</t>
  </si>
  <si>
    <t>POSTO IMPERIO</t>
  </si>
  <si>
    <t>09274702000138</t>
  </si>
  <si>
    <t>1276</t>
  </si>
  <si>
    <t>CLEAN CARPET SERVICOS DE LIMPEZA E IMPORTACAO E EX</t>
  </si>
  <si>
    <t>CLEAN CARPETE</t>
  </si>
  <si>
    <t>10143843000109</t>
  </si>
  <si>
    <t>1277</t>
  </si>
  <si>
    <t>00025841000153</t>
  </si>
  <si>
    <t>1278</t>
  </si>
  <si>
    <t>56557952000165</t>
  </si>
  <si>
    <t>1279</t>
  </si>
  <si>
    <t>SONHO &amp; CONFORTO CONFECCOES LTDA</t>
  </si>
  <si>
    <t>SONHO</t>
  </si>
  <si>
    <t>25261414000103</t>
  </si>
  <si>
    <t>1280</t>
  </si>
  <si>
    <t>13665015000110</t>
  </si>
  <si>
    <t>1281</t>
  </si>
  <si>
    <t>13812932000261</t>
  </si>
  <si>
    <t>1282</t>
  </si>
  <si>
    <t>SAO PAULO ESCRITORIOS LTDA.</t>
  </si>
  <si>
    <t>MARELLI SP</t>
  </si>
  <si>
    <t>22357048000194</t>
  </si>
  <si>
    <t>1283</t>
  </si>
  <si>
    <t>17791395000190</t>
  </si>
  <si>
    <t>1284</t>
  </si>
  <si>
    <t>14891051000165</t>
  </si>
  <si>
    <t>1285</t>
  </si>
  <si>
    <t>02223966003058</t>
  </si>
  <si>
    <t>1286</t>
  </si>
  <si>
    <t>02223966002914</t>
  </si>
  <si>
    <t>1287</t>
  </si>
  <si>
    <t>04469608000110</t>
  </si>
  <si>
    <t>1288</t>
  </si>
  <si>
    <t>07248643000289</t>
  </si>
  <si>
    <t>1289</t>
  </si>
  <si>
    <t>MARELLI MOVEIS PARA ESCRITORIO SA</t>
  </si>
  <si>
    <t>MARELLI MOVEIS</t>
  </si>
  <si>
    <t>88766936000179</t>
  </si>
  <si>
    <t>1290</t>
  </si>
  <si>
    <t>17467227000144</t>
  </si>
  <si>
    <t>1291</t>
  </si>
  <si>
    <t>SERVIÇO NACIONAL DE APRENDIZAGEM INDUSTRIAL (SP)</t>
  </si>
  <si>
    <t>SENAI (BRAS)</t>
  </si>
  <si>
    <t>03774819000528</t>
  </si>
  <si>
    <t>1292</t>
  </si>
  <si>
    <t>04463276002100</t>
  </si>
  <si>
    <t>1293</t>
  </si>
  <si>
    <t>CHAVEMAIS &amp; SP DESIGN GRAFICA DIGITAL LTDA - ME</t>
  </si>
  <si>
    <t>CHAVEMAIS GRÁFICA</t>
  </si>
  <si>
    <t>06234189000163</t>
  </si>
  <si>
    <t>1294</t>
  </si>
  <si>
    <t>01336140000360</t>
  </si>
  <si>
    <t>1295</t>
  </si>
  <si>
    <t>02223966003724</t>
  </si>
  <si>
    <t>1296</t>
  </si>
  <si>
    <t>87210084000176</t>
  </si>
  <si>
    <t>1297</t>
  </si>
  <si>
    <t>76947126000130</t>
  </si>
  <si>
    <t>1298</t>
  </si>
  <si>
    <t>09024413000180</t>
  </si>
  <si>
    <t>1299</t>
  </si>
  <si>
    <t>TEMPERCLUB COMERCIO E SERVICOS DE VIDROS LTDA - ME</t>
  </si>
  <si>
    <t>TEMPERCLUB</t>
  </si>
  <si>
    <t>57670143000128</t>
  </si>
  <si>
    <t>1300</t>
  </si>
  <si>
    <t>82646506000137</t>
  </si>
  <si>
    <t>1301</t>
  </si>
  <si>
    <t>05543720000117</t>
  </si>
  <si>
    <t>1302</t>
  </si>
  <si>
    <t>02223966006588</t>
  </si>
  <si>
    <t>1303</t>
  </si>
  <si>
    <t>08896687000105</t>
  </si>
  <si>
    <t>1304</t>
  </si>
  <si>
    <t>11796602000890</t>
  </si>
  <si>
    <t>1305</t>
  </si>
  <si>
    <t>27816594000160</t>
  </si>
  <si>
    <t>1306</t>
  </si>
  <si>
    <t>ENINOVA IMPLANTACAO E ADMINISTRACAO DE HOTEIS LTDA</t>
  </si>
  <si>
    <t>ENINOVA</t>
  </si>
  <si>
    <t>17423926000192</t>
  </si>
  <si>
    <t>1307</t>
  </si>
  <si>
    <t>76562198000169</t>
  </si>
  <si>
    <t>1308</t>
  </si>
  <si>
    <t>49450422000158</t>
  </si>
  <si>
    <t>1309</t>
  </si>
  <si>
    <t>SARS TRANSPORTES E LOGISTICA LTDA - ME</t>
  </si>
  <si>
    <t>SARS TRANSPORTADORA</t>
  </si>
  <si>
    <t>13873527000172</t>
  </si>
  <si>
    <t>1310</t>
  </si>
  <si>
    <t>02223966005182</t>
  </si>
  <si>
    <t>1311</t>
  </si>
  <si>
    <t>02223966000628</t>
  </si>
  <si>
    <t>1312</t>
  </si>
  <si>
    <t>MTR LOGISTICA EIRELI</t>
  </si>
  <si>
    <t>MTR SERVICOS</t>
  </si>
  <si>
    <t>07360468000136</t>
  </si>
  <si>
    <t>1313</t>
  </si>
  <si>
    <t>22271158000139</t>
  </si>
  <si>
    <t>1314</t>
  </si>
  <si>
    <t>INCORPAST-INDUSTRIA E COMERCIO DE PASTAS LTDA</t>
  </si>
  <si>
    <t>INCORPAST</t>
  </si>
  <si>
    <t>78459443000132</t>
  </si>
  <si>
    <t>1315</t>
  </si>
  <si>
    <t>04688459000180</t>
  </si>
  <si>
    <t>1316</t>
  </si>
  <si>
    <t>SKY-COM E ARTES GRAFICAS DO BRASIL LT</t>
  </si>
  <si>
    <t>SKY</t>
  </si>
  <si>
    <t>59927665000198</t>
  </si>
  <si>
    <t>1317</t>
  </si>
  <si>
    <t>01512104000148</t>
  </si>
  <si>
    <t>1318</t>
  </si>
  <si>
    <t>19689691000100</t>
  </si>
  <si>
    <t>1319</t>
  </si>
  <si>
    <t>04312454000159</t>
  </si>
  <si>
    <t>1320</t>
  </si>
  <si>
    <t>02930530000164</t>
  </si>
  <si>
    <t>1321</t>
  </si>
  <si>
    <t>20002530000186</t>
  </si>
  <si>
    <t>1322</t>
  </si>
  <si>
    <t>33655721000199</t>
  </si>
  <si>
    <t>1323</t>
  </si>
  <si>
    <t>10774448000116</t>
  </si>
  <si>
    <t>1324</t>
  </si>
  <si>
    <t>C.E. LINHAS TEXTEIS LTDA EPP</t>
  </si>
  <si>
    <t>CE LINHAS</t>
  </si>
  <si>
    <t>07533903000187</t>
  </si>
  <si>
    <t>1325</t>
  </si>
  <si>
    <t>H.HOTELARIA E REPRESENTACOES DE ELETRO-ELETRONICO</t>
  </si>
  <si>
    <t>20355308000167</t>
  </si>
  <si>
    <t>1326</t>
  </si>
  <si>
    <t>06187209000192</t>
  </si>
  <si>
    <t>1327</t>
  </si>
  <si>
    <t>07642391000197</t>
  </si>
  <si>
    <t>1328</t>
  </si>
  <si>
    <t>22932687000136</t>
  </si>
  <si>
    <t>1329</t>
  </si>
  <si>
    <t>YOHANA TEXTIL LTDA - EPP</t>
  </si>
  <si>
    <t>YOHANA</t>
  </si>
  <si>
    <t>08016098000187</t>
  </si>
  <si>
    <t>1330</t>
  </si>
  <si>
    <t>10933222000110</t>
  </si>
  <si>
    <t>1331</t>
  </si>
  <si>
    <t>01280969000126</t>
  </si>
  <si>
    <t>1332</t>
  </si>
  <si>
    <t>03644843001271</t>
  </si>
  <si>
    <t>1333</t>
  </si>
  <si>
    <t>28248185000177</t>
  </si>
  <si>
    <t>1334</t>
  </si>
  <si>
    <t>00450230000233</t>
  </si>
  <si>
    <t>1335</t>
  </si>
  <si>
    <t>EKD IMPORTACAO E EXPORTACAO - EIRELI - EPP</t>
  </si>
  <si>
    <t>EKD</t>
  </si>
  <si>
    <t>17366951000181</t>
  </si>
  <si>
    <t>1336</t>
  </si>
  <si>
    <t>01512104001110</t>
  </si>
  <si>
    <t>1337</t>
  </si>
  <si>
    <t>01512104007070</t>
  </si>
  <si>
    <t>1338</t>
  </si>
  <si>
    <t>01512104008980</t>
  </si>
  <si>
    <t>1339</t>
  </si>
  <si>
    <t>01512104008203</t>
  </si>
  <si>
    <t>1340</t>
  </si>
  <si>
    <t>01512104007746</t>
  </si>
  <si>
    <t>1341</t>
  </si>
  <si>
    <t>LEITE EXPRESS TRANSPORTES EIRELI</t>
  </si>
  <si>
    <t>LEITE EXPRESS</t>
  </si>
  <si>
    <t>07020236000139</t>
  </si>
  <si>
    <t>1342</t>
  </si>
  <si>
    <t>COMERCIAL PAULO ANTONIO ZAFFARI LTDA</t>
  </si>
  <si>
    <t>PAULO</t>
  </si>
  <si>
    <t>90589169000111</t>
  </si>
  <si>
    <t>1343</t>
  </si>
  <si>
    <t>CARLOS ANTONIO DE SOUZA CONFECCOES - EPP</t>
  </si>
  <si>
    <t>CARLOS</t>
  </si>
  <si>
    <t>01220337000177</t>
  </si>
  <si>
    <t>1344</t>
  </si>
  <si>
    <t>24878066000147</t>
  </si>
  <si>
    <t>1345</t>
  </si>
  <si>
    <t>LF PRODUTOS TEXTEIS EIRELI - EPP</t>
  </si>
  <si>
    <t>LF</t>
  </si>
  <si>
    <t>12116685000115</t>
  </si>
  <si>
    <t>1346</t>
  </si>
  <si>
    <t>KAYBEE EXIM DO BRASIL IMPORTAÇÃO E EXPORTAÇÃO LTDA</t>
  </si>
  <si>
    <t>KAYBEE</t>
  </si>
  <si>
    <t>05779941000199</t>
  </si>
  <si>
    <t>1347</t>
  </si>
  <si>
    <t>33657362000109</t>
  </si>
  <si>
    <t>1348</t>
  </si>
  <si>
    <t>06956966000183</t>
  </si>
  <si>
    <t>1349</t>
  </si>
  <si>
    <t>01194477000118</t>
  </si>
  <si>
    <t>1350</t>
  </si>
  <si>
    <t>RODOVIARIO CAMILO DOS SANTOS FILHO LTDA</t>
  </si>
  <si>
    <t>CAMILO DOS SANTOS</t>
  </si>
  <si>
    <t>19451038000109</t>
  </si>
  <si>
    <t>1351</t>
  </si>
  <si>
    <t>ASSOCIACAO BRASILEIRA DA INDUSTRIA DE HOTEIS</t>
  </si>
  <si>
    <t>ABH</t>
  </si>
  <si>
    <t>82899477000115</t>
  </si>
  <si>
    <t>1352</t>
  </si>
  <si>
    <t>11607238000104</t>
  </si>
  <si>
    <t>1353</t>
  </si>
  <si>
    <t>60922168000771</t>
  </si>
  <si>
    <t>1354</t>
  </si>
  <si>
    <t>HOME IDENTITY SAGL</t>
  </si>
  <si>
    <t>00000000001354</t>
  </si>
  <si>
    <t>1355</t>
  </si>
  <si>
    <t>28315946000166</t>
  </si>
  <si>
    <t>1356</t>
  </si>
  <si>
    <t>SIMONE BRASIL DA SILVA 28770241805</t>
  </si>
  <si>
    <t>FIREBREAK AVCB</t>
  </si>
  <si>
    <t>20209090000132</t>
  </si>
  <si>
    <t>1357</t>
  </si>
  <si>
    <t>AUTO CHAVES E CARIMBOS MONTEIRO LTDA - ME</t>
  </si>
  <si>
    <t>CHAVEIRO MONTEIRO</t>
  </si>
  <si>
    <t>11245913000194</t>
  </si>
  <si>
    <t>1358</t>
  </si>
  <si>
    <t>19253187000163</t>
  </si>
  <si>
    <t>1359</t>
  </si>
  <si>
    <t>01595799000179</t>
  </si>
  <si>
    <t>1360</t>
  </si>
  <si>
    <t>09422967000136</t>
  </si>
  <si>
    <t>1361</t>
  </si>
  <si>
    <t>22330308000138</t>
  </si>
  <si>
    <t>1362</t>
  </si>
  <si>
    <t>05382924000113</t>
  </si>
  <si>
    <t>1363</t>
  </si>
  <si>
    <t>21097372000158</t>
  </si>
  <si>
    <t>1364</t>
  </si>
  <si>
    <t>27226978000122</t>
  </si>
  <si>
    <t>1365</t>
  </si>
  <si>
    <t>01531660000161</t>
  </si>
  <si>
    <t>1366</t>
  </si>
  <si>
    <t>26366023000108</t>
  </si>
  <si>
    <t>1367</t>
  </si>
  <si>
    <t>SOREMA S.A.</t>
  </si>
  <si>
    <t>00000000001367</t>
  </si>
  <si>
    <t>1368</t>
  </si>
  <si>
    <t>00018039214807</t>
  </si>
  <si>
    <t>1369</t>
  </si>
  <si>
    <t>52081197000134</t>
  </si>
  <si>
    <t>1370</t>
  </si>
  <si>
    <t>00027092341817</t>
  </si>
  <si>
    <t>1371</t>
  </si>
  <si>
    <t>00080065449568</t>
  </si>
  <si>
    <t>1372</t>
  </si>
  <si>
    <t>00013008910840</t>
  </si>
  <si>
    <t>1373</t>
  </si>
  <si>
    <t>06255008000185</t>
  </si>
  <si>
    <t>1374</t>
  </si>
  <si>
    <t>00007525184887</t>
  </si>
  <si>
    <t>1375</t>
  </si>
  <si>
    <t>78375003000369</t>
  </si>
  <si>
    <t>1376</t>
  </si>
  <si>
    <t>EMC REPRESENTACOES E COMERCIO LTDA - ME</t>
  </si>
  <si>
    <t>EMC REPRESENTACOES E</t>
  </si>
  <si>
    <t>69374460000186</t>
  </si>
  <si>
    <t>1377</t>
  </si>
  <si>
    <t>00076646661804</t>
  </si>
  <si>
    <t>1378</t>
  </si>
  <si>
    <t>00029253358882</t>
  </si>
  <si>
    <t>1379</t>
  </si>
  <si>
    <t>00056152396891</t>
  </si>
  <si>
    <t>1380</t>
  </si>
  <si>
    <t>00016348335895</t>
  </si>
  <si>
    <t>1381</t>
  </si>
  <si>
    <t>21573744000175</t>
  </si>
  <si>
    <t>1382</t>
  </si>
  <si>
    <t>00023410627847</t>
  </si>
  <si>
    <t>1383</t>
  </si>
  <si>
    <t>08284764000168</t>
  </si>
  <si>
    <t>1384</t>
  </si>
  <si>
    <t>00012557867870</t>
  </si>
  <si>
    <t>1385</t>
  </si>
  <si>
    <t>FIRE STORY COM E EQUIPAMENTOS DE SEGURANCA LTDA -</t>
  </si>
  <si>
    <t>FIRE STORY COM EQUIP</t>
  </si>
  <si>
    <t>02221373000118</t>
  </si>
  <si>
    <t>1386</t>
  </si>
  <si>
    <t>00021682873846</t>
  </si>
  <si>
    <t>1387</t>
  </si>
  <si>
    <t>00007407064890</t>
  </si>
  <si>
    <t>1388</t>
  </si>
  <si>
    <t>00031798705753</t>
  </si>
  <si>
    <t>1389</t>
  </si>
  <si>
    <t>00019214179867</t>
  </si>
  <si>
    <t>1390</t>
  </si>
  <si>
    <t>00015375284839</t>
  </si>
  <si>
    <t>1391</t>
  </si>
  <si>
    <t>10355663000182</t>
  </si>
  <si>
    <t>1392</t>
  </si>
  <si>
    <t>00002265816167</t>
  </si>
  <si>
    <t>1393</t>
  </si>
  <si>
    <t>00055263283687</t>
  </si>
  <si>
    <t>1394</t>
  </si>
  <si>
    <t>PORTAL SERVICE EQUIPAMENTOS LTDA - ME</t>
  </si>
  <si>
    <t>PORTAL SERVICE</t>
  </si>
  <si>
    <t>05448283000152</t>
  </si>
  <si>
    <t>1395</t>
  </si>
  <si>
    <t>09227670000110</t>
  </si>
  <si>
    <t>1396</t>
  </si>
  <si>
    <t>18595593000141</t>
  </si>
  <si>
    <t>1397</t>
  </si>
  <si>
    <t>00009973387848</t>
  </si>
  <si>
    <t>1398</t>
  </si>
  <si>
    <t>00003296587861</t>
  </si>
  <si>
    <t>1399</t>
  </si>
  <si>
    <t>07297780000122</t>
  </si>
  <si>
    <t>1400</t>
  </si>
  <si>
    <t>P.N. DE A. BARSOTTI DESENTUPIDORA - ME</t>
  </si>
  <si>
    <t>LIMPTEC DESENTUPIDOR</t>
  </si>
  <si>
    <t>22565804000170</t>
  </si>
  <si>
    <t>1401</t>
  </si>
  <si>
    <t>03151706000142</t>
  </si>
  <si>
    <t>1402</t>
  </si>
  <si>
    <t>00088805972720</t>
  </si>
  <si>
    <t>1403</t>
  </si>
  <si>
    <t>00003473119890</t>
  </si>
  <si>
    <t>1404</t>
  </si>
  <si>
    <t>00002906371807</t>
  </si>
  <si>
    <t>1405</t>
  </si>
  <si>
    <t>00007393449862</t>
  </si>
  <si>
    <t>1406</t>
  </si>
  <si>
    <t>00070993220100</t>
  </si>
  <si>
    <t>1407</t>
  </si>
  <si>
    <t>04350403000111</t>
  </si>
  <si>
    <t>1408</t>
  </si>
  <si>
    <t>02984760000106</t>
  </si>
  <si>
    <t>1409</t>
  </si>
  <si>
    <t>18160460000142</t>
  </si>
  <si>
    <t>1410</t>
  </si>
  <si>
    <t>14609981000183</t>
  </si>
  <si>
    <t>1411</t>
  </si>
  <si>
    <t>CIVIL MAQ COMERCIO DE MAQUINAS LTDA - ME</t>
  </si>
  <si>
    <t>CIVIL MAQ</t>
  </si>
  <si>
    <t>59869305000187</t>
  </si>
  <si>
    <t>1412</t>
  </si>
  <si>
    <t>14361411000117</t>
  </si>
  <si>
    <t>1413</t>
  </si>
  <si>
    <t>19534792000102</t>
  </si>
  <si>
    <t>1414</t>
  </si>
  <si>
    <t>31886922000171</t>
  </si>
  <si>
    <t>1415</t>
  </si>
  <si>
    <t>62279211000162</t>
  </si>
  <si>
    <t>1416</t>
  </si>
  <si>
    <t>TIPOTIL - INDÚSTRIA GRÁFICA LTDA</t>
  </si>
  <si>
    <t>TIPOTIL GRAFICA</t>
  </si>
  <si>
    <t>86375870000160</t>
  </si>
  <si>
    <t>1417</t>
  </si>
  <si>
    <t>02223966006154</t>
  </si>
  <si>
    <t>1418</t>
  </si>
  <si>
    <t>12574894000102</t>
  </si>
  <si>
    <t>1419</t>
  </si>
  <si>
    <t>12872167000121</t>
  </si>
  <si>
    <t>1420</t>
  </si>
  <si>
    <t>92209790000138</t>
  </si>
  <si>
    <t>1421</t>
  </si>
  <si>
    <t>04928343000171</t>
  </si>
  <si>
    <t>1422</t>
  </si>
  <si>
    <t>21109731000140</t>
  </si>
  <si>
    <t>1423</t>
  </si>
  <si>
    <t>TIAGO AUGUSTO FERREIRA - ME</t>
  </si>
  <si>
    <t>JASPE TRANSPORTES</t>
  </si>
  <si>
    <t>15693273000136</t>
  </si>
  <si>
    <t>1424</t>
  </si>
  <si>
    <t>03011081000113</t>
  </si>
  <si>
    <t>1425</t>
  </si>
  <si>
    <t>83215038000109</t>
  </si>
  <si>
    <t>1426</t>
  </si>
  <si>
    <t>04219379000186</t>
  </si>
  <si>
    <t>1427</t>
  </si>
  <si>
    <t>STUDIO TRAMA PRODUTOS PARA CASA LTDA</t>
  </si>
  <si>
    <t>STUDIO TRAMA</t>
  </si>
  <si>
    <t>85227221000150</t>
  </si>
  <si>
    <t>1428</t>
  </si>
  <si>
    <t>PAGSEGURO INTERNET S.A.</t>
  </si>
  <si>
    <t>PAGSEGURO INTERNET S</t>
  </si>
  <si>
    <t>08561701000101</t>
  </si>
  <si>
    <t>1429</t>
  </si>
  <si>
    <t>28481167000130</t>
  </si>
  <si>
    <t>1430</t>
  </si>
  <si>
    <t>BALANCO DO COQUEIRO EMPREENDIMENTOS TURISTICOS LTD</t>
  </si>
  <si>
    <t>ABAETETUBA POUSADA</t>
  </si>
  <si>
    <t>18317556000171</t>
  </si>
  <si>
    <t>1431</t>
  </si>
  <si>
    <t>10381938000152</t>
  </si>
  <si>
    <t>1432</t>
  </si>
  <si>
    <t>00912758000104</t>
  </si>
  <si>
    <t>1433</t>
  </si>
  <si>
    <t>13640708000159</t>
  </si>
  <si>
    <t>1434</t>
  </si>
  <si>
    <t>45352275000122</t>
  </si>
  <si>
    <t>1435</t>
  </si>
  <si>
    <t>14842550000162</t>
  </si>
  <si>
    <t>1436</t>
  </si>
  <si>
    <t>13731820000103</t>
  </si>
  <si>
    <t>1437</t>
  </si>
  <si>
    <t>85386837000173</t>
  </si>
  <si>
    <t>1438</t>
  </si>
  <si>
    <t>18127208000131</t>
  </si>
  <si>
    <t>1439</t>
  </si>
  <si>
    <t>22437780000174</t>
  </si>
  <si>
    <t>1440</t>
  </si>
  <si>
    <t>16859771000179</t>
  </si>
  <si>
    <t>1441</t>
  </si>
  <si>
    <t>27216869001791</t>
  </si>
  <si>
    <t>1442</t>
  </si>
  <si>
    <t>13378697000180</t>
  </si>
  <si>
    <t>1443</t>
  </si>
  <si>
    <t>19742804000194</t>
  </si>
  <si>
    <t>1444</t>
  </si>
  <si>
    <t>14653484000182</t>
  </si>
  <si>
    <t>1445</t>
  </si>
  <si>
    <t>23370744000101</t>
  </si>
  <si>
    <t>1446</t>
  </si>
  <si>
    <t>ESTAMPARIA SA</t>
  </si>
  <si>
    <t>19791987000138</t>
  </si>
  <si>
    <t>1447</t>
  </si>
  <si>
    <t>26411320000128</t>
  </si>
  <si>
    <t>1448</t>
  </si>
  <si>
    <t>VR BENEFICIOS E SERVICOS DE PROCESSAMENTO LTDA</t>
  </si>
  <si>
    <t>VR BENEFICIOS</t>
  </si>
  <si>
    <t>02535864000133</t>
  </si>
  <si>
    <t>1449</t>
  </si>
  <si>
    <t>13050789000218</t>
  </si>
  <si>
    <t>1450</t>
  </si>
  <si>
    <t>27562886000113</t>
  </si>
  <si>
    <t>1451</t>
  </si>
  <si>
    <t>77883684000141</t>
  </si>
  <si>
    <t>1452</t>
  </si>
  <si>
    <t>12417984000190</t>
  </si>
  <si>
    <t>1453</t>
  </si>
  <si>
    <t>26771372000105</t>
  </si>
  <si>
    <t>1454</t>
  </si>
  <si>
    <t>00061952702020</t>
  </si>
  <si>
    <t>1455</t>
  </si>
  <si>
    <t>19473283000117</t>
  </si>
  <si>
    <t>1456</t>
  </si>
  <si>
    <t>00015869095840</t>
  </si>
  <si>
    <t>1457</t>
  </si>
  <si>
    <t>00071519998791</t>
  </si>
  <si>
    <t>1458</t>
  </si>
  <si>
    <t>00004508686800</t>
  </si>
  <si>
    <t>1459</t>
  </si>
  <si>
    <t>00004433907898</t>
  </si>
  <si>
    <t>1460</t>
  </si>
  <si>
    <t>SIMPLIFIX SERVICOS DE INFORMATICA LTDA - ME</t>
  </si>
  <si>
    <t>SIMPLIFIX SERVICOS D</t>
  </si>
  <si>
    <t>08363155000102</t>
  </si>
  <si>
    <t>1461</t>
  </si>
  <si>
    <t>22554055000186</t>
  </si>
  <si>
    <t>1462</t>
  </si>
  <si>
    <t>13031809000122</t>
  </si>
  <si>
    <t>1463</t>
  </si>
  <si>
    <t>00060769106820</t>
  </si>
  <si>
    <t>1464</t>
  </si>
  <si>
    <t>SANITO INDUSTRIA E COMERCIO DE EMBALAGENS LTDA - M</t>
  </si>
  <si>
    <t>SANITO EMBALAGENS</t>
  </si>
  <si>
    <t>09472948000114</t>
  </si>
  <si>
    <t>1465</t>
  </si>
  <si>
    <t>21211330000104</t>
  </si>
  <si>
    <t>1466</t>
  </si>
  <si>
    <t>53484259000111</t>
  </si>
  <si>
    <t>1467</t>
  </si>
  <si>
    <t>00471312000183</t>
  </si>
  <si>
    <t>1468</t>
  </si>
  <si>
    <t>04896261000192</t>
  </si>
  <si>
    <t>1469</t>
  </si>
  <si>
    <t>22727141000143</t>
  </si>
  <si>
    <t>1470</t>
  </si>
  <si>
    <t>25244538000172</t>
  </si>
  <si>
    <t>1471</t>
  </si>
  <si>
    <t>09082304000110</t>
  </si>
  <si>
    <t>1472</t>
  </si>
  <si>
    <t>14662919000155</t>
  </si>
  <si>
    <t>1473</t>
  </si>
  <si>
    <t>24418389000158</t>
  </si>
  <si>
    <t>1474</t>
  </si>
  <si>
    <t>11010598000116</t>
  </si>
  <si>
    <t>1475</t>
  </si>
  <si>
    <t>17606824000102</t>
  </si>
  <si>
    <t>1476</t>
  </si>
  <si>
    <t>13385988000104</t>
  </si>
  <si>
    <t>1477</t>
  </si>
  <si>
    <t>09288510000180</t>
  </si>
  <si>
    <t>1478</t>
  </si>
  <si>
    <t>09361765000121</t>
  </si>
  <si>
    <t>1479</t>
  </si>
  <si>
    <t>04890149000144</t>
  </si>
  <si>
    <t>1480</t>
  </si>
  <si>
    <t>24787884000134</t>
  </si>
  <si>
    <t>1481</t>
  </si>
  <si>
    <t>11812201000100</t>
  </si>
  <si>
    <t>1482</t>
  </si>
  <si>
    <t>17422880000197</t>
  </si>
  <si>
    <t>1483</t>
  </si>
  <si>
    <t>LEITE &amp; BERNARDO ARTEFATOS DE BORRACHA - EIRELI -</t>
  </si>
  <si>
    <t>LEITE</t>
  </si>
  <si>
    <t>09437345000181</t>
  </si>
  <si>
    <t>1484</t>
  </si>
  <si>
    <t>07046982000100</t>
  </si>
  <si>
    <t>1485</t>
  </si>
  <si>
    <t>84048107000108</t>
  </si>
  <si>
    <t>1486</t>
  </si>
  <si>
    <t>26093496000189</t>
  </si>
  <si>
    <t>1487</t>
  </si>
  <si>
    <t>05898843000170</t>
  </si>
  <si>
    <t>1488</t>
  </si>
  <si>
    <t>11264000000115</t>
  </si>
  <si>
    <t>1489</t>
  </si>
  <si>
    <t>COPA INDUSTRIAL LTDA</t>
  </si>
  <si>
    <t>COPA</t>
  </si>
  <si>
    <t>02379348000167</t>
  </si>
  <si>
    <t>1490</t>
  </si>
  <si>
    <t>59042622000125</t>
  </si>
  <si>
    <t>1491</t>
  </si>
  <si>
    <t>04425983000169</t>
  </si>
  <si>
    <t>1492</t>
  </si>
  <si>
    <t>08723106001016</t>
  </si>
  <si>
    <t>1493</t>
  </si>
  <si>
    <t>18394471000197</t>
  </si>
  <si>
    <t>1494</t>
  </si>
  <si>
    <t>08076859000196</t>
  </si>
  <si>
    <t>1495</t>
  </si>
  <si>
    <t>20634804000150</t>
  </si>
  <si>
    <t>1496</t>
  </si>
  <si>
    <t>19948221000114</t>
  </si>
  <si>
    <t>1497</t>
  </si>
  <si>
    <t>GUAIRA CATARINENSE TRANSPORTE E LOGISTICA LTDA EPP</t>
  </si>
  <si>
    <t>TRANSGUAIRA</t>
  </si>
  <si>
    <t>12412994000132</t>
  </si>
  <si>
    <t>1498</t>
  </si>
  <si>
    <t>19092494000100</t>
  </si>
  <si>
    <t>1499</t>
  </si>
  <si>
    <t>21590475000155</t>
  </si>
  <si>
    <t>1500</t>
  </si>
  <si>
    <t>TEMAR TEXTIL LTDA</t>
  </si>
  <si>
    <t>TEMAR</t>
  </si>
  <si>
    <t>06175329000170</t>
  </si>
  <si>
    <t>1501</t>
  </si>
  <si>
    <t>08623470000113</t>
  </si>
  <si>
    <t>1502</t>
  </si>
  <si>
    <t>28013195000123</t>
  </si>
  <si>
    <t>1503</t>
  </si>
  <si>
    <t>RUTE PONTALTI LINO - ME</t>
  </si>
  <si>
    <t>IBITINGA</t>
  </si>
  <si>
    <t>27355129000179</t>
  </si>
  <si>
    <t>1504</t>
  </si>
  <si>
    <t>25406444000152</t>
  </si>
  <si>
    <t>1505</t>
  </si>
  <si>
    <t>30096051000120</t>
  </si>
  <si>
    <t>1506</t>
  </si>
  <si>
    <t>17321647000380</t>
  </si>
  <si>
    <t>1507</t>
  </si>
  <si>
    <t>13415304000161</t>
  </si>
  <si>
    <t>1508</t>
  </si>
  <si>
    <t>MARIA ARLETE JESUS DOS SANTOS 25836066892</t>
  </si>
  <si>
    <t>ARLETE</t>
  </si>
  <si>
    <t>27568700000133</t>
  </si>
  <si>
    <t>1509</t>
  </si>
  <si>
    <t>94964947000166</t>
  </si>
  <si>
    <t>1510</t>
  </si>
  <si>
    <t>07201277000121</t>
  </si>
  <si>
    <t>1511</t>
  </si>
  <si>
    <t>22085552000182</t>
  </si>
  <si>
    <t>1512</t>
  </si>
  <si>
    <t>02135291000150</t>
  </si>
  <si>
    <t>1513</t>
  </si>
  <si>
    <t>ELEVADORES SAO PAULO LTDA - EPP</t>
  </si>
  <si>
    <t>ELEVADORES SP</t>
  </si>
  <si>
    <t>05209385000115</t>
  </si>
  <si>
    <t>1514</t>
  </si>
  <si>
    <t>ARMARINHOS OESTE IMPORTADORA LTDA</t>
  </si>
  <si>
    <t>OESTE AVIAMENTOS</t>
  </si>
  <si>
    <t>60593175000181</t>
  </si>
  <si>
    <t>1515</t>
  </si>
  <si>
    <t>26603439000100</t>
  </si>
  <si>
    <t>1516</t>
  </si>
  <si>
    <t>26963169000130</t>
  </si>
  <si>
    <t>1517</t>
  </si>
  <si>
    <t>08995709000186</t>
  </si>
  <si>
    <t>1518</t>
  </si>
  <si>
    <t>60726403000144</t>
  </si>
  <si>
    <t>1519</t>
  </si>
  <si>
    <t>12899227000108</t>
  </si>
  <si>
    <t>1520</t>
  </si>
  <si>
    <t>09967852005196</t>
  </si>
  <si>
    <t>1521</t>
  </si>
  <si>
    <t>GABRIELLE LOPES SORGI 45608103890</t>
  </si>
  <si>
    <t>PORTAL SERVICE 2</t>
  </si>
  <si>
    <t>22982609000146</t>
  </si>
  <si>
    <t>1522</t>
  </si>
  <si>
    <t>27321518000183</t>
  </si>
  <si>
    <t>1523</t>
  </si>
  <si>
    <t>04823123000183</t>
  </si>
  <si>
    <t>1524</t>
  </si>
  <si>
    <t>08826015000115</t>
  </si>
  <si>
    <t>1525</t>
  </si>
  <si>
    <t>00032058462734</t>
  </si>
  <si>
    <t>1526</t>
  </si>
  <si>
    <t>33059668000244</t>
  </si>
  <si>
    <t>1527</t>
  </si>
  <si>
    <t>KCX INTERNACIONAL EIRELI</t>
  </si>
  <si>
    <t>KCX</t>
  </si>
  <si>
    <t>08516883000107</t>
  </si>
  <si>
    <t>1528</t>
  </si>
  <si>
    <t>15483217000177</t>
  </si>
  <si>
    <t>1529</t>
  </si>
  <si>
    <t>15621807000119</t>
  </si>
  <si>
    <t>1530</t>
  </si>
  <si>
    <t>MERCADOPAGO.COM REPRESENTACOES LTDA.</t>
  </si>
  <si>
    <t>MERCADO LIVRE</t>
  </si>
  <si>
    <t>10573521000191</t>
  </si>
  <si>
    <t>1531</t>
  </si>
  <si>
    <t>07512792000122</t>
  </si>
  <si>
    <t>1532</t>
  </si>
  <si>
    <t>ESTORNOS E DEVOLUÇÕES (CREDITO/DEBITO INDEVIDO)</t>
  </si>
  <si>
    <t>ESTORNOS E DEVOLUÇÕE</t>
  </si>
  <si>
    <t>52389445000109</t>
  </si>
  <si>
    <t>1533</t>
  </si>
  <si>
    <t>VITECSLAV ANTON BRABEC - ME</t>
  </si>
  <si>
    <t>ANTON BRABEC ME</t>
  </si>
  <si>
    <t>28240763000129</t>
  </si>
  <si>
    <t>1534</t>
  </si>
  <si>
    <t>21681108000167</t>
  </si>
  <si>
    <t>1535</t>
  </si>
  <si>
    <t>05236090000138</t>
  </si>
  <si>
    <t>1536</t>
  </si>
  <si>
    <t>86418480000120</t>
  </si>
  <si>
    <t>1537</t>
  </si>
  <si>
    <t>RODRIGO DUARTE FERNANDES - ME</t>
  </si>
  <si>
    <t>IBITINGA TRANS</t>
  </si>
  <si>
    <t>18328842000132</t>
  </si>
  <si>
    <t>1538</t>
  </si>
  <si>
    <t>17367521000184</t>
  </si>
  <si>
    <t>1539</t>
  </si>
  <si>
    <t>02776366000182</t>
  </si>
  <si>
    <t>1540</t>
  </si>
  <si>
    <t>17663459000178</t>
  </si>
  <si>
    <t>1541</t>
  </si>
  <si>
    <t>03554611000250</t>
  </si>
  <si>
    <t>1542</t>
  </si>
  <si>
    <t>07157314000141</t>
  </si>
  <si>
    <t>1543</t>
  </si>
  <si>
    <t>18959054000144</t>
  </si>
  <si>
    <t>1544</t>
  </si>
  <si>
    <t>INDUSTRIA E COMERCIO JOLITEX LTDA</t>
  </si>
  <si>
    <t>JOLITEX</t>
  </si>
  <si>
    <t>61808531000361</t>
  </si>
  <si>
    <t>1545</t>
  </si>
  <si>
    <t>02263464000205</t>
  </si>
  <si>
    <t>1546</t>
  </si>
  <si>
    <t>01005647000179</t>
  </si>
  <si>
    <t>1547</t>
  </si>
  <si>
    <t>17217457000155</t>
  </si>
  <si>
    <t>1548</t>
  </si>
  <si>
    <t>61590410000124</t>
  </si>
  <si>
    <t>1549</t>
  </si>
  <si>
    <t>68644533000140</t>
  </si>
  <si>
    <t>1550</t>
  </si>
  <si>
    <t>05343133000184</t>
  </si>
  <si>
    <t>1551</t>
  </si>
  <si>
    <t>BRINGER DO BRASIL AGENCIAMENTO DE CARGAS NACIONAIS</t>
  </si>
  <si>
    <t>BRINGER BRASIL</t>
  </si>
  <si>
    <t>94001641000104</t>
  </si>
  <si>
    <t>1552</t>
  </si>
  <si>
    <t>29004953000100</t>
  </si>
  <si>
    <t>1553</t>
  </si>
  <si>
    <t>61590410000396</t>
  </si>
  <si>
    <t>1554</t>
  </si>
  <si>
    <t>CARVALIMA TRANSPORTES LTDA</t>
  </si>
  <si>
    <t>CARVALIMA TRANSP</t>
  </si>
  <si>
    <t>33070814000313</t>
  </si>
  <si>
    <t>1555</t>
  </si>
  <si>
    <t>04938406000170</t>
  </si>
  <si>
    <t>1556</t>
  </si>
  <si>
    <t>29832300000119</t>
  </si>
  <si>
    <t>1557</t>
  </si>
  <si>
    <t>JOSE ANTONIO GONCALVES DE OLIVEIRA 11881737829</t>
  </si>
  <si>
    <t>SULPORT TECNOLOGIA</t>
  </si>
  <si>
    <t>17526568000143</t>
  </si>
  <si>
    <t>1558</t>
  </si>
  <si>
    <t>COTEMINAS S.A.</t>
  </si>
  <si>
    <t>COTEMINAS</t>
  </si>
  <si>
    <t>07663140000270</t>
  </si>
  <si>
    <t>1559</t>
  </si>
  <si>
    <t>20815922000164</t>
  </si>
  <si>
    <t>1560</t>
  </si>
  <si>
    <t>09111594000182</t>
  </si>
  <si>
    <t>1561</t>
  </si>
  <si>
    <t>08806743000165</t>
  </si>
  <si>
    <t>1562</t>
  </si>
  <si>
    <t>21603115000140</t>
  </si>
  <si>
    <t>1563</t>
  </si>
  <si>
    <t>ISAMARI ITAPOLIS CONFECÇÕES LTDA - ME</t>
  </si>
  <si>
    <t>ISAMARI CONFECÇÕES</t>
  </si>
  <si>
    <t>05462971000177</t>
  </si>
  <si>
    <t>1564</t>
  </si>
  <si>
    <t>08337944000160</t>
  </si>
  <si>
    <t>1565</t>
  </si>
  <si>
    <t>03601760000142</t>
  </si>
  <si>
    <t>1566</t>
  </si>
  <si>
    <t>24792952000153</t>
  </si>
  <si>
    <t>1567</t>
  </si>
  <si>
    <t>28802555000176</t>
  </si>
  <si>
    <t>1568</t>
  </si>
  <si>
    <t>01010740000252</t>
  </si>
  <si>
    <t>1569</t>
  </si>
  <si>
    <t>73537714000298</t>
  </si>
  <si>
    <t>1570</t>
  </si>
  <si>
    <t>49967557000195</t>
  </si>
  <si>
    <t>1571</t>
  </si>
  <si>
    <t>22664939000193</t>
  </si>
  <si>
    <t>1572</t>
  </si>
  <si>
    <t>04854175000460</t>
  </si>
  <si>
    <t>1573</t>
  </si>
  <si>
    <t>ANTONIO PEREIRA DO NASCIMENTO</t>
  </si>
  <si>
    <t>ANTONIO PEREIRA</t>
  </si>
  <si>
    <t>54803176000100</t>
  </si>
  <si>
    <t>1574</t>
  </si>
  <si>
    <t>09967852004203</t>
  </si>
  <si>
    <t>1575</t>
  </si>
  <si>
    <t>05388387000119</t>
  </si>
  <si>
    <t>1576</t>
  </si>
  <si>
    <t>25135522000806</t>
  </si>
  <si>
    <t>1577</t>
  </si>
  <si>
    <t>27491163000332</t>
  </si>
  <si>
    <t>1578</t>
  </si>
  <si>
    <t>18747315000162</t>
  </si>
  <si>
    <t>1579</t>
  </si>
  <si>
    <t>57507402000102</t>
  </si>
  <si>
    <t>1580</t>
  </si>
  <si>
    <t>15461952000180</t>
  </si>
  <si>
    <t>1581</t>
  </si>
  <si>
    <t>16589005000131</t>
  </si>
  <si>
    <t>1582</t>
  </si>
  <si>
    <t>03221095000676</t>
  </si>
  <si>
    <t>1583</t>
  </si>
  <si>
    <t>REP - RELOGIOS LTDA - EPP</t>
  </si>
  <si>
    <t>REP - RELOGIOS LTDA</t>
  </si>
  <si>
    <t>13065239000191</t>
  </si>
  <si>
    <t>1584</t>
  </si>
  <si>
    <t>27160055000115</t>
  </si>
  <si>
    <t>1585</t>
  </si>
  <si>
    <t>AMARAL SOUZA TRANSPORTES LTDA - ME</t>
  </si>
  <si>
    <t>REIS TRANSPORTES</t>
  </si>
  <si>
    <t>10866435000258</t>
  </si>
  <si>
    <t>1586</t>
  </si>
  <si>
    <t>FREITAS &amp; FREITAS LTDA - ME</t>
  </si>
  <si>
    <t>HIDRAULICA SAO JUDAS</t>
  </si>
  <si>
    <t>44030609000189</t>
  </si>
  <si>
    <t>1587</t>
  </si>
  <si>
    <t>49669856008802</t>
  </si>
  <si>
    <t>1588</t>
  </si>
  <si>
    <t>ELIAS RODRIGUES - EPP</t>
  </si>
  <si>
    <t>05375321000194</t>
  </si>
  <si>
    <t>1589</t>
  </si>
  <si>
    <t>10773287000146</t>
  </si>
  <si>
    <t>1590</t>
  </si>
  <si>
    <t>10776775000107</t>
  </si>
  <si>
    <t>1591</t>
  </si>
  <si>
    <t>33325184000208</t>
  </si>
  <si>
    <t>1592</t>
  </si>
  <si>
    <t>13435496000178</t>
  </si>
  <si>
    <t>1593</t>
  </si>
  <si>
    <t>08571053000255</t>
  </si>
  <si>
    <t>1594</t>
  </si>
  <si>
    <t>14363760000178</t>
  </si>
  <si>
    <t>1595</t>
  </si>
  <si>
    <t>LAVANDERIA PRO LAV LTDA - ME</t>
  </si>
  <si>
    <t>LAVANDERIA PRO LAV L</t>
  </si>
  <si>
    <t>02201489000195</t>
  </si>
  <si>
    <t>1596</t>
  </si>
  <si>
    <t>MAT-TEX COMERCIAL EIRELI EPP</t>
  </si>
  <si>
    <t>MATINALI TEXTIL</t>
  </si>
  <si>
    <t>24138908000124</t>
  </si>
  <si>
    <t>1597</t>
  </si>
  <si>
    <t>23837195000124</t>
  </si>
  <si>
    <t>1598</t>
  </si>
  <si>
    <t>20238840000102</t>
  </si>
  <si>
    <t>1599</t>
  </si>
  <si>
    <t>86571494000180</t>
  </si>
  <si>
    <t>1600</t>
  </si>
  <si>
    <t>04227389000163</t>
  </si>
  <si>
    <t>1601</t>
  </si>
  <si>
    <t>ATF TRANSPORTES E LOGISTICA LTDA - EPP</t>
  </si>
  <si>
    <t>RODOEXPRESS</t>
  </si>
  <si>
    <t>12360920000280</t>
  </si>
  <si>
    <t>1602</t>
  </si>
  <si>
    <t>24753841000138</t>
  </si>
  <si>
    <t>1603</t>
  </si>
  <si>
    <t>VINER BRASIL TECNOLOGIA LTDA</t>
  </si>
  <si>
    <t>VINER</t>
  </si>
  <si>
    <t>06234464000220</t>
  </si>
  <si>
    <t>1604</t>
  </si>
  <si>
    <t>PORTOEX LOGISTICA EIRELI - ME</t>
  </si>
  <si>
    <t>PORTOEX</t>
  </si>
  <si>
    <t>08172627000131</t>
  </si>
  <si>
    <t>1605</t>
  </si>
  <si>
    <t>CENTRO AUTOMOTIVO E MECANICA VICOSA EIRELI - ME</t>
  </si>
  <si>
    <t>CENTRO AUTOMOTIVO</t>
  </si>
  <si>
    <t>00618715000102</t>
  </si>
  <si>
    <t>1606</t>
  </si>
  <si>
    <t>10348318001193</t>
  </si>
  <si>
    <t>1607</t>
  </si>
  <si>
    <t>10348318001436</t>
  </si>
  <si>
    <t>1608</t>
  </si>
  <si>
    <t>16888611000158</t>
  </si>
  <si>
    <t>1609</t>
  </si>
  <si>
    <t>TECROMA COMERCIO DE TECIDOS EIRELI - EPP</t>
  </si>
  <si>
    <t>ROMALI</t>
  </si>
  <si>
    <t>08630482000175</t>
  </si>
  <si>
    <t>1610</t>
  </si>
  <si>
    <t>56548779002344</t>
  </si>
  <si>
    <t>1611</t>
  </si>
  <si>
    <t>25903352000188</t>
  </si>
  <si>
    <t>1612</t>
  </si>
  <si>
    <t>10209186000147</t>
  </si>
  <si>
    <t>1613</t>
  </si>
  <si>
    <t>61486650029599</t>
  </si>
  <si>
    <t>1614</t>
  </si>
  <si>
    <t>MIRA OTM TRANSPORTES LTDA</t>
  </si>
  <si>
    <t>MIRA OTM</t>
  </si>
  <si>
    <t>58506155000184</t>
  </si>
  <si>
    <t>1615</t>
  </si>
  <si>
    <t>02584924002828</t>
  </si>
  <si>
    <t>1616</t>
  </si>
  <si>
    <t>08658467000135</t>
  </si>
  <si>
    <t>1617</t>
  </si>
  <si>
    <t>00004995652825</t>
  </si>
  <si>
    <t>1618</t>
  </si>
  <si>
    <t>28120719000185</t>
  </si>
  <si>
    <t>1619</t>
  </si>
  <si>
    <t>PAULO HENRIQUE ROLLWAGEN - ME</t>
  </si>
  <si>
    <t>DETUDOON.COM</t>
  </si>
  <si>
    <t>26942669000277</t>
  </si>
  <si>
    <t>1620</t>
  </si>
  <si>
    <t>14334947000143</t>
  </si>
  <si>
    <t>1621</t>
  </si>
  <si>
    <t>01235622000161</t>
  </si>
  <si>
    <t>1622</t>
  </si>
  <si>
    <t>FUNDO ESPECIAL DE DESPESA DA POLICIA MILITAR</t>
  </si>
  <si>
    <t>FEPOM AVCB BOMBEIRO</t>
  </si>
  <si>
    <t>13873675000197</t>
  </si>
  <si>
    <t>1623</t>
  </si>
  <si>
    <t>27823806000136</t>
  </si>
  <si>
    <t>1624</t>
  </si>
  <si>
    <t>18224999000118</t>
  </si>
  <si>
    <t>1625</t>
  </si>
  <si>
    <t>00015760249894</t>
  </si>
  <si>
    <t>1626</t>
  </si>
  <si>
    <t>00002447633726</t>
  </si>
  <si>
    <t>1627</t>
  </si>
  <si>
    <t>01017250000105</t>
  </si>
  <si>
    <t>1628</t>
  </si>
  <si>
    <t>05013698000101</t>
  </si>
  <si>
    <t>1629</t>
  </si>
  <si>
    <t>M.C.R. VIEIRA CONFECCOES CONFORTO LTDA</t>
  </si>
  <si>
    <t>CONFORTO</t>
  </si>
  <si>
    <t>03169649000129</t>
  </si>
  <si>
    <t>1630</t>
  </si>
  <si>
    <t>02223966005859</t>
  </si>
  <si>
    <t>1631</t>
  </si>
  <si>
    <t>06268091000127</t>
  </si>
  <si>
    <t>1632</t>
  </si>
  <si>
    <t>DRIMARDAN REPRESENTACOES COMERCIAIS DE PRODUTOS PA</t>
  </si>
  <si>
    <t>DRIMARDAN PRODUTOS P</t>
  </si>
  <si>
    <t>02708271000121</t>
  </si>
  <si>
    <t>1633</t>
  </si>
  <si>
    <t>PATRUS TRANSPORTES URGENTES LTDA</t>
  </si>
  <si>
    <t>PATRUS TRANSPORTES</t>
  </si>
  <si>
    <t>17463456000190</t>
  </si>
  <si>
    <t>1634</t>
  </si>
  <si>
    <t>59018440000119</t>
  </si>
  <si>
    <t>1635</t>
  </si>
  <si>
    <t>60840055000131</t>
  </si>
  <si>
    <t>1636</t>
  </si>
  <si>
    <t>VALADARES TECIDOS LTDA</t>
  </si>
  <si>
    <t>VALADARES</t>
  </si>
  <si>
    <t>20628152007820</t>
  </si>
  <si>
    <t>1637</t>
  </si>
  <si>
    <t>26990006000147</t>
  </si>
  <si>
    <t>1638</t>
  </si>
  <si>
    <t>CENTRO ESTETICO ZANETTE LTDA</t>
  </si>
  <si>
    <t>CENT ESTET. ZANETTE</t>
  </si>
  <si>
    <t>20596825000128</t>
  </si>
  <si>
    <t>1639</t>
  </si>
  <si>
    <t>28485201000145</t>
  </si>
  <si>
    <t>1640</t>
  </si>
  <si>
    <t>19348276000193</t>
  </si>
  <si>
    <t>1641</t>
  </si>
  <si>
    <t>04123021000155</t>
  </si>
  <si>
    <t>1642</t>
  </si>
  <si>
    <t>04072488000113</t>
  </si>
  <si>
    <t>1643</t>
  </si>
  <si>
    <t>UNITEXTIL UNIAO INDUSTRIAL TEXTIL S A</t>
  </si>
  <si>
    <t>UNITEXTIL</t>
  </si>
  <si>
    <t>07203904000163</t>
  </si>
  <si>
    <t>1644</t>
  </si>
  <si>
    <t>27510217000106</t>
  </si>
  <si>
    <t>1645</t>
  </si>
  <si>
    <t>14515756000340</t>
  </si>
  <si>
    <t>1646</t>
  </si>
  <si>
    <t>13768320000138</t>
  </si>
  <si>
    <t>1647</t>
  </si>
  <si>
    <t>16509492000185</t>
  </si>
  <si>
    <t>1648</t>
  </si>
  <si>
    <t>CITY RIO TRANSPORTES DE CARGAS LTDA</t>
  </si>
  <si>
    <t>CITY RIO TRANSPORTES</t>
  </si>
  <si>
    <t>06926013000172</t>
  </si>
  <si>
    <t>1649</t>
  </si>
  <si>
    <t>07947547000148</t>
  </si>
  <si>
    <t>1650</t>
  </si>
  <si>
    <t>AMARAL SOUZA TRANSPORTES LTDA</t>
  </si>
  <si>
    <t>10866435000410</t>
  </si>
  <si>
    <t>1651</t>
  </si>
  <si>
    <t>06110101000100</t>
  </si>
  <si>
    <t>1652</t>
  </si>
  <si>
    <t>00020533048800</t>
  </si>
  <si>
    <t>1653</t>
  </si>
  <si>
    <t>05471127000102</t>
  </si>
  <si>
    <t>1654</t>
  </si>
  <si>
    <t>73857898000192</t>
  </si>
  <si>
    <t>1655</t>
  </si>
  <si>
    <t>00018668442880</t>
  </si>
  <si>
    <t>1656</t>
  </si>
  <si>
    <t>13816617000121</t>
  </si>
  <si>
    <t>1657</t>
  </si>
  <si>
    <t>ANTONIO JESUS MARTINS</t>
  </si>
  <si>
    <t>TONINHO MAQUINAS</t>
  </si>
  <si>
    <t>00095036385853</t>
  </si>
  <si>
    <t>1658</t>
  </si>
  <si>
    <t>PRISCILA IDALIA NUNES DE ALMEIDA 21710891807</t>
  </si>
  <si>
    <t>PNUNES SOLUCOES TECN</t>
  </si>
  <si>
    <t>24881636000158</t>
  </si>
  <si>
    <t>1659</t>
  </si>
  <si>
    <t>23566861000137</t>
  </si>
  <si>
    <t>1660</t>
  </si>
  <si>
    <t>00374121000101</t>
  </si>
  <si>
    <t>1661</t>
  </si>
  <si>
    <t>13625882000122</t>
  </si>
  <si>
    <t>1662</t>
  </si>
  <si>
    <t>27865095000162</t>
  </si>
  <si>
    <t>1663</t>
  </si>
  <si>
    <t>01251014000140</t>
  </si>
  <si>
    <t>1664</t>
  </si>
  <si>
    <t>02223966005506</t>
  </si>
  <si>
    <t>1665</t>
  </si>
  <si>
    <t>ANABRAN - EMPREENDIMENTOS TURISTICOS E HOTEIS LTDA</t>
  </si>
  <si>
    <t>DAJ RESORT &amp; MARINA</t>
  </si>
  <si>
    <t>10539318000107</t>
  </si>
  <si>
    <t>1666</t>
  </si>
  <si>
    <t>22388173000161</t>
  </si>
  <si>
    <t>1667</t>
  </si>
  <si>
    <t>10337009000146</t>
  </si>
  <si>
    <t>1668</t>
  </si>
  <si>
    <t>18108459000179</t>
  </si>
  <si>
    <t>1669</t>
  </si>
  <si>
    <t>00014662896860</t>
  </si>
  <si>
    <t>1670</t>
  </si>
  <si>
    <t>42143107000210</t>
  </si>
  <si>
    <t>1671</t>
  </si>
  <si>
    <t>08064431000123</t>
  </si>
  <si>
    <t>1672</t>
  </si>
  <si>
    <t>08723106002098</t>
  </si>
  <si>
    <t>1673</t>
  </si>
  <si>
    <t>03796084000100</t>
  </si>
  <si>
    <t>1674</t>
  </si>
  <si>
    <t>CAMARA INTERSINDICAL DE CONCILIACAO TRABALHISTA DO</t>
  </si>
  <si>
    <t>CINTEC - SAO PAULO</t>
  </si>
  <si>
    <t>03989587000100</t>
  </si>
  <si>
    <t>1675</t>
  </si>
  <si>
    <t>SERASA S.A.</t>
  </si>
  <si>
    <t>62173620000180</t>
  </si>
  <si>
    <t>1676</t>
  </si>
  <si>
    <t>09144369000142</t>
  </si>
  <si>
    <t>1677</t>
  </si>
  <si>
    <t>21721256000168</t>
  </si>
  <si>
    <t>1678</t>
  </si>
  <si>
    <t>KALYDA COMERCIO DE PRODUTOS DE HIGIENE LTDA</t>
  </si>
  <si>
    <t>KALYDA</t>
  </si>
  <si>
    <t>81069486000116</t>
  </si>
  <si>
    <t>1679</t>
  </si>
  <si>
    <t>MAGNOLIA DE SOUZA SILVA</t>
  </si>
  <si>
    <t>OFICINA MAGNOLIA</t>
  </si>
  <si>
    <t>23062917000116</t>
  </si>
  <si>
    <t>1680</t>
  </si>
  <si>
    <t>26454859000164</t>
  </si>
  <si>
    <t>1681</t>
  </si>
  <si>
    <t>05875339000155</t>
  </si>
  <si>
    <t>1682</t>
  </si>
  <si>
    <t>COMPELLI TREINAMENTO E ASSESSORIA EIRELI EPP</t>
  </si>
  <si>
    <t>12656132000155</t>
  </si>
  <si>
    <t>1683</t>
  </si>
  <si>
    <t>06814164000139</t>
  </si>
  <si>
    <t>1684</t>
  </si>
  <si>
    <t>00291852000185</t>
  </si>
  <si>
    <t>1685</t>
  </si>
  <si>
    <t>05228676000150</t>
  </si>
  <si>
    <t>1686</t>
  </si>
  <si>
    <t>04508988000155</t>
  </si>
  <si>
    <t>1687</t>
  </si>
  <si>
    <t>EASYWORK SOLUÇÕES EM INFORMÁTICA LTDA</t>
  </si>
  <si>
    <t>EASYWORK</t>
  </si>
  <si>
    <t>01279795000181</t>
  </si>
  <si>
    <t>1688</t>
  </si>
  <si>
    <t>00021385289872</t>
  </si>
  <si>
    <t>1689</t>
  </si>
  <si>
    <t>16841180000174</t>
  </si>
  <si>
    <t>1690</t>
  </si>
  <si>
    <t>20907584000190</t>
  </si>
  <si>
    <t>1691</t>
  </si>
  <si>
    <t>CELSO D AMICO</t>
  </si>
  <si>
    <t>00008250682823</t>
  </si>
  <si>
    <t>1692</t>
  </si>
  <si>
    <t>27948784000130</t>
  </si>
  <si>
    <t>1693</t>
  </si>
  <si>
    <t>13474263000184</t>
  </si>
  <si>
    <t>1694</t>
  </si>
  <si>
    <t>21888345000101</t>
  </si>
  <si>
    <t>1695</t>
  </si>
  <si>
    <t>22133116000131</t>
  </si>
  <si>
    <t>1696</t>
  </si>
  <si>
    <t>73692402000178</t>
  </si>
  <si>
    <t>1697</t>
  </si>
  <si>
    <t>28716522000103</t>
  </si>
  <si>
    <t>1698</t>
  </si>
  <si>
    <t>09102350000133</t>
  </si>
  <si>
    <t>1699</t>
  </si>
  <si>
    <t>14511613000289</t>
  </si>
  <si>
    <t>1700</t>
  </si>
  <si>
    <t>60453024000470</t>
  </si>
  <si>
    <t>1701</t>
  </si>
  <si>
    <t>75228403000191</t>
  </si>
  <si>
    <t>1702</t>
  </si>
  <si>
    <t>MAGIC ENXOVAIS DECORATIVOS LTDA</t>
  </si>
  <si>
    <t>MAGIC</t>
  </si>
  <si>
    <t>14788763000153</t>
  </si>
  <si>
    <t>1703</t>
  </si>
  <si>
    <t>TRANS VIDAO TRANSPORTES E LOCADORA DE VEICULOS LTD</t>
  </si>
  <si>
    <t>TRANS VIDAO 2</t>
  </si>
  <si>
    <t>30161197000101</t>
  </si>
  <si>
    <t>1704</t>
  </si>
  <si>
    <t>04228124000180</t>
  </si>
  <si>
    <t>1705</t>
  </si>
  <si>
    <t>09211537000175</t>
  </si>
  <si>
    <t>1706</t>
  </si>
  <si>
    <t>FERNANDO DE OLIVEIRA SILVA 35671261805</t>
  </si>
  <si>
    <t>ABRANGE SERRALHERIA</t>
  </si>
  <si>
    <t>19388054000102</t>
  </si>
  <si>
    <t>1707</t>
  </si>
  <si>
    <t>00351881000195</t>
  </si>
  <si>
    <t>1708</t>
  </si>
  <si>
    <t>08796076000268</t>
  </si>
  <si>
    <t>1709</t>
  </si>
  <si>
    <t>08796076000349</t>
  </si>
  <si>
    <t>1710</t>
  </si>
  <si>
    <t>SARKIS &amp; CIA LTDA</t>
  </si>
  <si>
    <t>SARKIS</t>
  </si>
  <si>
    <t>60497708000121</t>
  </si>
  <si>
    <t>1711</t>
  </si>
  <si>
    <t>10854811000103</t>
  </si>
  <si>
    <t>1712</t>
  </si>
  <si>
    <t>26871638000191</t>
  </si>
  <si>
    <t>1713</t>
  </si>
  <si>
    <t>26315076000108</t>
  </si>
  <si>
    <t>1714</t>
  </si>
  <si>
    <t>31635857000101</t>
  </si>
  <si>
    <t>1715</t>
  </si>
  <si>
    <t>01336140000106</t>
  </si>
  <si>
    <t>1716</t>
  </si>
  <si>
    <t>DOHLER S/A</t>
  </si>
  <si>
    <t>84683408000103</t>
  </si>
  <si>
    <t>1717</t>
  </si>
  <si>
    <t>08796076000187</t>
  </si>
  <si>
    <t>1718</t>
  </si>
  <si>
    <t>02223966006669</t>
  </si>
  <si>
    <t>1719</t>
  </si>
  <si>
    <t>20217053000176</t>
  </si>
  <si>
    <t>1720</t>
  </si>
  <si>
    <t>22783127000167</t>
  </si>
  <si>
    <t>1721</t>
  </si>
  <si>
    <t>AMBAR PRESENTES LTDA</t>
  </si>
  <si>
    <t>RAQUEL CARVALHO</t>
  </si>
  <si>
    <t>10271832000104</t>
  </si>
  <si>
    <t>1722</t>
  </si>
  <si>
    <t>07687928001450</t>
  </si>
  <si>
    <t>1723</t>
  </si>
  <si>
    <t>17488112000560</t>
  </si>
  <si>
    <t>1724</t>
  </si>
  <si>
    <t>14600662000298</t>
  </si>
  <si>
    <t>1725</t>
  </si>
  <si>
    <t>28110824000133</t>
  </si>
  <si>
    <t>1726</t>
  </si>
  <si>
    <t>03969633000109</t>
  </si>
  <si>
    <t>1727</t>
  </si>
  <si>
    <t>60840055003319</t>
  </si>
  <si>
    <t>1728</t>
  </si>
  <si>
    <t>08872100000110</t>
  </si>
  <si>
    <t>1729</t>
  </si>
  <si>
    <t>09967852005005</t>
  </si>
  <si>
    <t>1730</t>
  </si>
  <si>
    <t>COMPONENTES PARA CALCADOS BELELA LTDA</t>
  </si>
  <si>
    <t>BELELA</t>
  </si>
  <si>
    <t>49658388000292</t>
  </si>
  <si>
    <t>1731</t>
  </si>
  <si>
    <t>BRICIOS COMERCIAL LTDA</t>
  </si>
  <si>
    <t>FORTALEZA INFORMATIC</t>
  </si>
  <si>
    <t>06003977000149</t>
  </si>
  <si>
    <t>1732</t>
  </si>
  <si>
    <t>07926000000166</t>
  </si>
  <si>
    <t>1733</t>
  </si>
  <si>
    <t>27568917000143</t>
  </si>
  <si>
    <t>1734</t>
  </si>
  <si>
    <t>00000000001734</t>
  </si>
  <si>
    <t>1735</t>
  </si>
  <si>
    <t>33592510003501</t>
  </si>
  <si>
    <t>1736</t>
  </si>
  <si>
    <t>07609993000142</t>
  </si>
  <si>
    <t>1737</t>
  </si>
  <si>
    <t>10. TABELIAO DE PROTESTO DE LETRAS E TITULOS DA CA</t>
  </si>
  <si>
    <t>10 TABELIONATO SP</t>
  </si>
  <si>
    <t>59950535000176</t>
  </si>
  <si>
    <t>1738</t>
  </si>
  <si>
    <t>07609993000223</t>
  </si>
  <si>
    <t>1739</t>
  </si>
  <si>
    <t>03544909000107</t>
  </si>
  <si>
    <t>1740</t>
  </si>
  <si>
    <t>03561788000101</t>
  </si>
  <si>
    <t>1741</t>
  </si>
  <si>
    <t>22812391000181</t>
  </si>
  <si>
    <t>1742</t>
  </si>
  <si>
    <t>18044490000193</t>
  </si>
  <si>
    <t>1743</t>
  </si>
  <si>
    <t>NIAZI CHOHFI ARTEFATOS TEXTEIS LTDA.</t>
  </si>
  <si>
    <t>NIAZI</t>
  </si>
  <si>
    <t>14152403000160</t>
  </si>
  <si>
    <t>1744</t>
  </si>
  <si>
    <t>05109579000149</t>
  </si>
  <si>
    <t>1745</t>
  </si>
  <si>
    <t>68957117000100</t>
  </si>
  <si>
    <t>1746</t>
  </si>
  <si>
    <t>79244158000167</t>
  </si>
  <si>
    <t>1747</t>
  </si>
  <si>
    <t>WL SUPRIMENTOS DE TONER E CARTUCHOS LTDA-ME</t>
  </si>
  <si>
    <t>WL</t>
  </si>
  <si>
    <t>11770566000119</t>
  </si>
  <si>
    <t>1748</t>
  </si>
  <si>
    <t>09405789001298</t>
  </si>
  <si>
    <t>1749</t>
  </si>
  <si>
    <t>47084082000597</t>
  </si>
  <si>
    <t>1750</t>
  </si>
  <si>
    <t>47084082000325</t>
  </si>
  <si>
    <t>1751</t>
  </si>
  <si>
    <t>FICCUS INDUSTRIA E COMERCIO EIRELI</t>
  </si>
  <si>
    <t>FICCUS</t>
  </si>
  <si>
    <t>29154357000106</t>
  </si>
  <si>
    <t>1752</t>
  </si>
  <si>
    <t>06203728000105</t>
  </si>
  <si>
    <t>1753</t>
  </si>
  <si>
    <t>18036630000181</t>
  </si>
  <si>
    <t>1754</t>
  </si>
  <si>
    <t>SHANDONG WEIQIAO PIONEERING GROUP CO. LTDA</t>
  </si>
  <si>
    <t>SHANDONG PIONEERING</t>
  </si>
  <si>
    <t>03145626000184</t>
  </si>
  <si>
    <t>1755</t>
  </si>
  <si>
    <t>SUNVIM GROUP CO LTDA</t>
  </si>
  <si>
    <t>SUNVIM GROUP</t>
  </si>
  <si>
    <t>95429233000110</t>
  </si>
  <si>
    <t>1756</t>
  </si>
  <si>
    <t>03794556000195</t>
  </si>
  <si>
    <t>1757</t>
  </si>
  <si>
    <t>14339142000192</t>
  </si>
  <si>
    <t>1758</t>
  </si>
  <si>
    <t>ANTRAX COMERCIO E SERVICOS DE INFORMATICA LTDA</t>
  </si>
  <si>
    <t>ANTRAX COMERCIO</t>
  </si>
  <si>
    <t>64965429000104</t>
  </si>
  <si>
    <t>1759</t>
  </si>
  <si>
    <t>42143107000139</t>
  </si>
  <si>
    <t>1760</t>
  </si>
  <si>
    <t>19945875000194</t>
  </si>
  <si>
    <t>1761</t>
  </si>
  <si>
    <t>WFG ARMARINHO LTDA</t>
  </si>
  <si>
    <t>FIO A LUA</t>
  </si>
  <si>
    <t>02233637000153</t>
  </si>
  <si>
    <t>1762</t>
  </si>
  <si>
    <t>07320579000119</t>
  </si>
  <si>
    <t>1763</t>
  </si>
  <si>
    <t>TECIDO N.A COMERCIAL LTDA</t>
  </si>
  <si>
    <t>RENATO (TECIDOS N.A)</t>
  </si>
  <si>
    <t>05232908000144</t>
  </si>
  <si>
    <t>1764</t>
  </si>
  <si>
    <t>27056688000188</t>
  </si>
  <si>
    <t>1765</t>
  </si>
  <si>
    <t>22500917000198</t>
  </si>
  <si>
    <t>1766</t>
  </si>
  <si>
    <t>08211395000183</t>
  </si>
  <si>
    <t>1767</t>
  </si>
  <si>
    <t>BOARD-NET INDUSTRIA E COMERCIO DE QUADROS EIRELI</t>
  </si>
  <si>
    <t>BOARD</t>
  </si>
  <si>
    <t>71959431000128</t>
  </si>
  <si>
    <t>1768</t>
  </si>
  <si>
    <t>SANTACONSTANCIA TECELAGEM LTDA.</t>
  </si>
  <si>
    <t>SANTA CONSTANCIA</t>
  </si>
  <si>
    <t>61105474001750</t>
  </si>
  <si>
    <t>1769</t>
  </si>
  <si>
    <t>28660373000108</t>
  </si>
  <si>
    <t>1770</t>
  </si>
  <si>
    <t>43731587000464</t>
  </si>
  <si>
    <t>1771</t>
  </si>
  <si>
    <t>IND COM FRU-FRU LTDA</t>
  </si>
  <si>
    <t>FRU FRU</t>
  </si>
  <si>
    <t>51185817000112</t>
  </si>
  <si>
    <t>1772</t>
  </si>
  <si>
    <t>14706398000190</t>
  </si>
  <si>
    <t>1773</t>
  </si>
  <si>
    <t>62932942000165</t>
  </si>
  <si>
    <t>1774</t>
  </si>
  <si>
    <t>ESTELA DA SILVA NETTO EIRELI</t>
  </si>
  <si>
    <t>ESTELA NETTO ARQUITE</t>
  </si>
  <si>
    <t>16640105000145</t>
  </si>
  <si>
    <t>1775</t>
  </si>
  <si>
    <t>20166452000155</t>
  </si>
  <si>
    <t>1776</t>
  </si>
  <si>
    <t>12841908000298</t>
  </si>
  <si>
    <t>1777</t>
  </si>
  <si>
    <t>TECIDOS CASSIA NAHAS LT</t>
  </si>
  <si>
    <t>CASSIA NAHAS</t>
  </si>
  <si>
    <t>44370013000128</t>
  </si>
  <si>
    <t>1778</t>
  </si>
  <si>
    <t>24968304000105</t>
  </si>
  <si>
    <t>1779</t>
  </si>
  <si>
    <t>05345553000108</t>
  </si>
  <si>
    <t>1780</t>
  </si>
  <si>
    <t>06696923000106</t>
  </si>
  <si>
    <t>1781</t>
  </si>
  <si>
    <t>NUCLEO DE INFORMACAO E COORDENACAO DO PONTO BR - N</t>
  </si>
  <si>
    <t>NIC. BR</t>
  </si>
  <si>
    <t>05506560000136</t>
  </si>
  <si>
    <t>1782</t>
  </si>
  <si>
    <t>TREIME SOLUCOES EM EVENTOS LTDA - ME</t>
  </si>
  <si>
    <t>TREME</t>
  </si>
  <si>
    <t>11639023000167</t>
  </si>
  <si>
    <t>1783</t>
  </si>
  <si>
    <t>9º TABELIÃO ED PROTESTO DE LETRAS E TITULOS</t>
  </si>
  <si>
    <t>9º TABELIÃO</t>
  </si>
  <si>
    <t>59945196000130</t>
  </si>
  <si>
    <t>1784</t>
  </si>
  <si>
    <t>00005515989996</t>
  </si>
  <si>
    <t>1785</t>
  </si>
  <si>
    <t>STRUTURA-DESIGN LOCADORA DE BENS MOVEIS LTDA - EPP</t>
  </si>
  <si>
    <t>STRUTURA LOCAÇÃO</t>
  </si>
  <si>
    <t>07928244000188</t>
  </si>
  <si>
    <t>1786</t>
  </si>
  <si>
    <t>11881729000130</t>
  </si>
  <si>
    <t>1787</t>
  </si>
  <si>
    <t>DURATEX S.A.</t>
  </si>
  <si>
    <t>DURATEX</t>
  </si>
  <si>
    <t>97837181002190</t>
  </si>
  <si>
    <t>1788</t>
  </si>
  <si>
    <t>06325665003410</t>
  </si>
  <si>
    <t>1789</t>
  </si>
  <si>
    <t>30890985000139</t>
  </si>
  <si>
    <t>1790</t>
  </si>
  <si>
    <t>06325665000151</t>
  </si>
  <si>
    <t>1791</t>
  </si>
  <si>
    <t>12532123000152</t>
  </si>
  <si>
    <t>1792</t>
  </si>
  <si>
    <t>20097128000122</t>
  </si>
  <si>
    <t>1793</t>
  </si>
  <si>
    <t>51169043000136</t>
  </si>
  <si>
    <t>1794</t>
  </si>
  <si>
    <t>30503614000157</t>
  </si>
  <si>
    <t>1795</t>
  </si>
  <si>
    <t>37329737000243</t>
  </si>
  <si>
    <t>1796</t>
  </si>
  <si>
    <t>07131796000160</t>
  </si>
  <si>
    <t>1797</t>
  </si>
  <si>
    <t>08008987000100</t>
  </si>
  <si>
    <t>1798</t>
  </si>
  <si>
    <t>11251182000190</t>
  </si>
  <si>
    <t>1799</t>
  </si>
  <si>
    <t>11422883000144</t>
  </si>
  <si>
    <t>1800</t>
  </si>
  <si>
    <t>R ZANCHET REPRESENTACAO E COMERCIO</t>
  </si>
  <si>
    <t>RAQUEL ZANCHET</t>
  </si>
  <si>
    <t>31393992000198</t>
  </si>
  <si>
    <t>1801</t>
  </si>
  <si>
    <t>02992301000174</t>
  </si>
  <si>
    <t>1802</t>
  </si>
  <si>
    <t>13148222000106</t>
  </si>
  <si>
    <t>1803</t>
  </si>
  <si>
    <t>09967852020829</t>
  </si>
  <si>
    <t>1804</t>
  </si>
  <si>
    <t>16588973000123</t>
  </si>
  <si>
    <t>1805</t>
  </si>
  <si>
    <t>30319692000104</t>
  </si>
  <si>
    <t>1806</t>
  </si>
  <si>
    <t>28573758000138</t>
  </si>
  <si>
    <t>1807</t>
  </si>
  <si>
    <t>35636737000180</t>
  </si>
  <si>
    <t>1808</t>
  </si>
  <si>
    <t>56548779001020</t>
  </si>
  <si>
    <t>1809</t>
  </si>
  <si>
    <t>19056055000141</t>
  </si>
  <si>
    <t>1810</t>
  </si>
  <si>
    <t>LUIZ JOSE DOS SANTOS 60445939834</t>
  </si>
  <si>
    <t>ITAJU</t>
  </si>
  <si>
    <t>31249151000101</t>
  </si>
  <si>
    <t>1811</t>
  </si>
  <si>
    <t>POIEL PRESTADORA DE SERVICOS DE COSTURA LTDA</t>
  </si>
  <si>
    <t>POIEL</t>
  </si>
  <si>
    <t>05293151000107</t>
  </si>
  <si>
    <t>1812</t>
  </si>
  <si>
    <t>26925097000137</t>
  </si>
  <si>
    <t>1813</t>
  </si>
  <si>
    <t>28325931000189</t>
  </si>
  <si>
    <t>1814</t>
  </si>
  <si>
    <t>04050579000158</t>
  </si>
  <si>
    <t>1815</t>
  </si>
  <si>
    <t>70524145000177</t>
  </si>
  <si>
    <t>1816</t>
  </si>
  <si>
    <t>SHRI KRISHNA HOME FURNISHING</t>
  </si>
  <si>
    <t>SHRI KRISHNA</t>
  </si>
  <si>
    <t>56260236000111</t>
  </si>
  <si>
    <t>1817</t>
  </si>
  <si>
    <t>TSA TRANSPORTES SCREMIM E ARMAZENAGENS LTDA</t>
  </si>
  <si>
    <t>TSA CARGO</t>
  </si>
  <si>
    <t>69151595000182</t>
  </si>
  <si>
    <t>1818</t>
  </si>
  <si>
    <t>08610691000157</t>
  </si>
  <si>
    <t>1819</t>
  </si>
  <si>
    <t>25310407000146</t>
  </si>
  <si>
    <t>1820</t>
  </si>
  <si>
    <t>B.BLEND MAQUINAS E BEBIDAS S. A.</t>
  </si>
  <si>
    <t>B.BLEND</t>
  </si>
  <si>
    <t>22172203000106</t>
  </si>
  <si>
    <t>1821</t>
  </si>
  <si>
    <t>11384647000180</t>
  </si>
  <si>
    <t>1822</t>
  </si>
  <si>
    <t>60678604000113</t>
  </si>
  <si>
    <t>1823</t>
  </si>
  <si>
    <t>20928257000115</t>
  </si>
  <si>
    <t>1824</t>
  </si>
  <si>
    <t>25070887000115</t>
  </si>
  <si>
    <t>1825</t>
  </si>
  <si>
    <t>03293049000682</t>
  </si>
  <si>
    <t>1826</t>
  </si>
  <si>
    <t>24427255000101</t>
  </si>
  <si>
    <t>1827</t>
  </si>
  <si>
    <t>21379850000112</t>
  </si>
  <si>
    <t>1828</t>
  </si>
  <si>
    <t>66439811000100</t>
  </si>
  <si>
    <t>1829</t>
  </si>
  <si>
    <t>92031954000180</t>
  </si>
  <si>
    <t>1830</t>
  </si>
  <si>
    <t>06077554000173</t>
  </si>
  <si>
    <t>1831</t>
  </si>
  <si>
    <t>04974043000129</t>
  </si>
  <si>
    <t>1832</t>
  </si>
  <si>
    <t>45011509001735</t>
  </si>
  <si>
    <t>1833</t>
  </si>
  <si>
    <t>EDITORA SUPRIMENTOS E SERVICOS LTDA</t>
  </si>
  <si>
    <t>EDITORA SUPRIMENTOS</t>
  </si>
  <si>
    <t>72016314000193</t>
  </si>
  <si>
    <t>1834</t>
  </si>
  <si>
    <t>FERNANDES E CRUZ, ABATI E SUZIN SERVICOS DE COBRAN</t>
  </si>
  <si>
    <t>FERNANDES E CRUZ, AB</t>
  </si>
  <si>
    <t>25018745000109</t>
  </si>
  <si>
    <t>1835</t>
  </si>
  <si>
    <t>23689926000131</t>
  </si>
  <si>
    <t>1836</t>
  </si>
  <si>
    <t>03484030000109</t>
  </si>
  <si>
    <t>1837</t>
  </si>
  <si>
    <t>29050481000121</t>
  </si>
  <si>
    <t>1838</t>
  </si>
  <si>
    <t>29073818000116</t>
  </si>
  <si>
    <t>1839</t>
  </si>
  <si>
    <t>94420098000180</t>
  </si>
  <si>
    <t>1840</t>
  </si>
  <si>
    <t>09582261000131</t>
  </si>
  <si>
    <t>1841</t>
  </si>
  <si>
    <t>21232561000196</t>
  </si>
  <si>
    <t>1842</t>
  </si>
  <si>
    <t>CAMELLOG TRANSPORTES E LOGISTICA LTDA</t>
  </si>
  <si>
    <t>CAMELLOG TRANSPORTES</t>
  </si>
  <si>
    <t>30009362000104</t>
  </si>
  <si>
    <t>1843</t>
  </si>
  <si>
    <t>03938229000160</t>
  </si>
  <si>
    <t>1844</t>
  </si>
  <si>
    <t>06981071000107</t>
  </si>
  <si>
    <t>1845</t>
  </si>
  <si>
    <t>04342707000307</t>
  </si>
  <si>
    <t>1846</t>
  </si>
  <si>
    <t>01171696000181</t>
  </si>
  <si>
    <t>1847</t>
  </si>
  <si>
    <t>60840055025398</t>
  </si>
  <si>
    <t>1848</t>
  </si>
  <si>
    <t>28754768000170</t>
  </si>
  <si>
    <t>1849</t>
  </si>
  <si>
    <t>05741995000165</t>
  </si>
  <si>
    <t>1850</t>
  </si>
  <si>
    <t>06208922000175</t>
  </si>
  <si>
    <t>1851</t>
  </si>
  <si>
    <t>04961278000186</t>
  </si>
  <si>
    <t>1852</t>
  </si>
  <si>
    <t>MICROSUPRI COMERCIO VAREJISTA DE PRODUTOS DE INFOR</t>
  </si>
  <si>
    <t>MICROSUPRI TONER</t>
  </si>
  <si>
    <t>04084001000112</t>
  </si>
  <si>
    <t>1853</t>
  </si>
  <si>
    <t>ARS SUPRIMENTOS DE INFORMÁTICA - EIRELI</t>
  </si>
  <si>
    <t>CHINA PRINT</t>
  </si>
  <si>
    <t>23105184000150</t>
  </si>
  <si>
    <t>1854</t>
  </si>
  <si>
    <t>RICARDO FREIRE SUPRIMENTOS DE INFORMATICA EIRELI</t>
  </si>
  <si>
    <t>R. TONERS</t>
  </si>
  <si>
    <t>30757670000118</t>
  </si>
  <si>
    <t>1855</t>
  </si>
  <si>
    <t>JET TEHC INSULMOS E SUPRIMENTOS LTDA</t>
  </si>
  <si>
    <t>MC INFORMATICA</t>
  </si>
  <si>
    <t>23157932000148</t>
  </si>
  <si>
    <t>1856</t>
  </si>
  <si>
    <t>PATRICIA REZENDE GOMES</t>
  </si>
  <si>
    <t>ECO ALUMINIO METAIS</t>
  </si>
  <si>
    <t>13040047000120</t>
  </si>
  <si>
    <t>1857</t>
  </si>
  <si>
    <t>TRANSPORTADORA LOBO &amp; LOBO LTDA</t>
  </si>
  <si>
    <t>LOBO &amp; LOBO</t>
  </si>
  <si>
    <t>06204972000184</t>
  </si>
  <si>
    <t>1858</t>
  </si>
  <si>
    <t>28015401000134</t>
  </si>
  <si>
    <t>1859</t>
  </si>
  <si>
    <t>14834652000136</t>
  </si>
  <si>
    <t>1860</t>
  </si>
  <si>
    <t>01167416000161</t>
  </si>
  <si>
    <t>1861</t>
  </si>
  <si>
    <t>01206461000188</t>
  </si>
  <si>
    <t>1862</t>
  </si>
  <si>
    <t>RP PRINT DISTRIBUIDORA DE ELETRONICOS EIRELI</t>
  </si>
  <si>
    <t>RP PRINT</t>
  </si>
  <si>
    <t>12312876000152</t>
  </si>
  <si>
    <t>1863</t>
  </si>
  <si>
    <t>20320184000184</t>
  </si>
  <si>
    <t>1864</t>
  </si>
  <si>
    <t>04991678000134</t>
  </si>
  <si>
    <t>1865</t>
  </si>
  <si>
    <t>29165292000102</t>
  </si>
  <si>
    <t>1866</t>
  </si>
  <si>
    <t>45246402000702</t>
  </si>
  <si>
    <t>1867</t>
  </si>
  <si>
    <t>08861194000121</t>
  </si>
  <si>
    <t>1868</t>
  </si>
  <si>
    <t>09403876000153</t>
  </si>
  <si>
    <t>1869</t>
  </si>
  <si>
    <t>ZANATTEX - INDUSTRIA E COMERCIO DE CONFECCOES EIRE</t>
  </si>
  <si>
    <t>ZANATTEX</t>
  </si>
  <si>
    <t>14601572000130</t>
  </si>
  <si>
    <t>1870</t>
  </si>
  <si>
    <t>09623500000154</t>
  </si>
  <si>
    <t>1871</t>
  </si>
  <si>
    <t>54861109000142</t>
  </si>
  <si>
    <t>1872</t>
  </si>
  <si>
    <t>08419947000305</t>
  </si>
  <si>
    <t>1873</t>
  </si>
  <si>
    <t>20086749000100</t>
  </si>
  <si>
    <t>1874</t>
  </si>
  <si>
    <t>GRANDE CHEFE UNIFORMES LTDA ME</t>
  </si>
  <si>
    <t>ALASTRA UNIFORMES</t>
  </si>
  <si>
    <t>07680224000130</t>
  </si>
  <si>
    <t>1875</t>
  </si>
  <si>
    <t>26135445000172</t>
  </si>
  <si>
    <t>1876</t>
  </si>
  <si>
    <t>35632819000156</t>
  </si>
  <si>
    <t>1877</t>
  </si>
  <si>
    <t>28802555000257</t>
  </si>
  <si>
    <t>1878</t>
  </si>
  <si>
    <t>07157314000222</t>
  </si>
  <si>
    <t>1879</t>
  </si>
  <si>
    <t>SMP REPRESENTACOES COMERCIAIS LTDA</t>
  </si>
  <si>
    <t>SMP REPRESENTACOES</t>
  </si>
  <si>
    <t>28664770000158</t>
  </si>
  <si>
    <t>1880</t>
  </si>
  <si>
    <t>26919482000171</t>
  </si>
  <si>
    <t>1881</t>
  </si>
  <si>
    <t>MARCELLY DE SOUZA</t>
  </si>
  <si>
    <t>MARCELLO DAUNE</t>
  </si>
  <si>
    <t>29205528000189</t>
  </si>
  <si>
    <t>1882</t>
  </si>
  <si>
    <t>67369769000152</t>
  </si>
  <si>
    <t>1883</t>
  </si>
  <si>
    <t>09967852010351</t>
  </si>
  <si>
    <t>1884</t>
  </si>
  <si>
    <t>02553122000130</t>
  </si>
  <si>
    <t>1885</t>
  </si>
  <si>
    <t>73917478000154</t>
  </si>
  <si>
    <t>1886</t>
  </si>
  <si>
    <t>10315288000147</t>
  </si>
  <si>
    <t>1887</t>
  </si>
  <si>
    <t>TECELAGEM LADY LT</t>
  </si>
  <si>
    <t>TECELAGEM LADY</t>
  </si>
  <si>
    <t>60870268000106</t>
  </si>
  <si>
    <t>1888</t>
  </si>
  <si>
    <t>MINGUIS CONFECCOES TEXTIL EIRELI - ME</t>
  </si>
  <si>
    <t>MINGUI'S TOALHAS &amp; C</t>
  </si>
  <si>
    <t>24475087000111</t>
  </si>
  <si>
    <t>1889</t>
  </si>
  <si>
    <t>61590410001287</t>
  </si>
  <si>
    <t>1890</t>
  </si>
  <si>
    <t>09623500000235</t>
  </si>
  <si>
    <t>1891</t>
  </si>
  <si>
    <t>11353887000118</t>
  </si>
  <si>
    <t>1892</t>
  </si>
  <si>
    <t>DISQUE MARQUINAS COM MAQ DE COSTURA LTDA ME</t>
  </si>
  <si>
    <t>DISQUE MAQUINAS</t>
  </si>
  <si>
    <t>58954025000104</t>
  </si>
  <si>
    <t>1893</t>
  </si>
  <si>
    <t>26756720000175</t>
  </si>
  <si>
    <t>1894</t>
  </si>
  <si>
    <t>08723106001440</t>
  </si>
  <si>
    <t>1895</t>
  </si>
  <si>
    <t>00080839991800</t>
  </si>
  <si>
    <t>1896</t>
  </si>
  <si>
    <t>00016396726807</t>
  </si>
  <si>
    <t>1897</t>
  </si>
  <si>
    <t>ALLES REPRESENTAÇÃO EMPRESARIAL LTDA</t>
  </si>
  <si>
    <t>ALLES (CLAUDIA BRAN)</t>
  </si>
  <si>
    <t>10832904000137</t>
  </si>
  <si>
    <t>1898</t>
  </si>
  <si>
    <t>P.H. LUCIANO ME</t>
  </si>
  <si>
    <t>HOUOSE ELETRO</t>
  </si>
  <si>
    <t>19135100000153</t>
  </si>
  <si>
    <t>1899</t>
  </si>
  <si>
    <t>56577059001092</t>
  </si>
  <si>
    <t>1900</t>
  </si>
  <si>
    <t>INNOVA SALE REPRESENTAÇÕES LTDA ME</t>
  </si>
  <si>
    <t>INNOVA CRIS E WAGNER</t>
  </si>
  <si>
    <t>18835506000186</t>
  </si>
  <si>
    <t>1901</t>
  </si>
  <si>
    <t>BLANC APOIO ADMINISTRATIVO LTDA</t>
  </si>
  <si>
    <t>BLANC ADM</t>
  </si>
  <si>
    <t>03124706000153</t>
  </si>
  <si>
    <t>1902</t>
  </si>
  <si>
    <t>TECELAGEM LADY LTDA</t>
  </si>
  <si>
    <t>LADY TECELAGEM</t>
  </si>
  <si>
    <t>60870268000610</t>
  </si>
  <si>
    <t>1903</t>
  </si>
  <si>
    <t>23733741000187</t>
  </si>
  <si>
    <t>1904</t>
  </si>
  <si>
    <t>MAGITRONIC TEC DIGITAL LTDA ME</t>
  </si>
  <si>
    <t>MAGITRONIC</t>
  </si>
  <si>
    <t>04772605000151</t>
  </si>
  <si>
    <t>1905</t>
  </si>
  <si>
    <t>LUZINETE MARIA DOS SANTOS 28065919880</t>
  </si>
  <si>
    <t>NOIVAS HESSEL</t>
  </si>
  <si>
    <t>29579302000148</t>
  </si>
  <si>
    <t>1906</t>
  </si>
  <si>
    <t>ECOPORTO SANTOS SA</t>
  </si>
  <si>
    <t>ECOPORTO SANTOS</t>
  </si>
  <si>
    <t>02390435000115</t>
  </si>
  <si>
    <t>1907</t>
  </si>
  <si>
    <t>19805583000156</t>
  </si>
  <si>
    <t>1908</t>
  </si>
  <si>
    <t>08335369000167</t>
  </si>
  <si>
    <t>1909</t>
  </si>
  <si>
    <t>41926015000162</t>
  </si>
  <si>
    <t>1910</t>
  </si>
  <si>
    <t>09583123000177</t>
  </si>
  <si>
    <t>1911</t>
  </si>
  <si>
    <t>71872634000182</t>
  </si>
  <si>
    <t>1912</t>
  </si>
  <si>
    <t>12815196000151</t>
  </si>
  <si>
    <t>1913</t>
  </si>
  <si>
    <t>30945219000124</t>
  </si>
  <si>
    <t>1914</t>
  </si>
  <si>
    <t>31263792000110</t>
  </si>
  <si>
    <t>1915</t>
  </si>
  <si>
    <t>PONTOREALL COM. E SERV. DE RELOG. DE PONTO LTDA EP</t>
  </si>
  <si>
    <t>PONTO REAL</t>
  </si>
  <si>
    <t>20491731000194</t>
  </si>
  <si>
    <t>1916</t>
  </si>
  <si>
    <t>GVR HOME IND E COM DE ENXOVAIS LTDA</t>
  </si>
  <si>
    <t>TROUSSEAU</t>
  </si>
  <si>
    <t>66934555001514</t>
  </si>
  <si>
    <t>1917</t>
  </si>
  <si>
    <t>18968151000101</t>
  </si>
  <si>
    <t>1918</t>
  </si>
  <si>
    <t>00086165000128</t>
  </si>
  <si>
    <t>1919</t>
  </si>
  <si>
    <t>12651880000145</t>
  </si>
  <si>
    <t>1920</t>
  </si>
  <si>
    <t>BMX3 SERVIÇOS E COMUNICAÇÃO LTDA ME</t>
  </si>
  <si>
    <t>CARIMBOS</t>
  </si>
  <si>
    <t>18805112000185</t>
  </si>
  <si>
    <t>1921</t>
  </si>
  <si>
    <t>DIFENIX TRANSPORTE EIRELI</t>
  </si>
  <si>
    <t>CONTAINER</t>
  </si>
  <si>
    <t>24699747000148</t>
  </si>
  <si>
    <t>1922</t>
  </si>
  <si>
    <t>EMOTION ENXOVAIS LTDA</t>
  </si>
  <si>
    <t>EMOTION ENXOVAIS</t>
  </si>
  <si>
    <t>04902534000164</t>
  </si>
  <si>
    <t>1923</t>
  </si>
  <si>
    <t>09967852021205</t>
  </si>
  <si>
    <t>1924</t>
  </si>
  <si>
    <t>09596045000145</t>
  </si>
  <si>
    <t>1925</t>
  </si>
  <si>
    <t>MARCELLO LUIZ DE SOUZA JÚNIOR</t>
  </si>
  <si>
    <t>00041440990832</t>
  </si>
  <si>
    <t>1926</t>
  </si>
  <si>
    <t>BLUE AR COM E SERV DE MANUT E INST DE AR COND LTDA</t>
  </si>
  <si>
    <t>BLUE AR CONDICIONADO</t>
  </si>
  <si>
    <t>11515436000130</t>
  </si>
  <si>
    <t>1927</t>
  </si>
  <si>
    <t>AGIR SP-CIDADE DUTRA ALUGUEL DE EQUIPAMENTOS E MAQ</t>
  </si>
  <si>
    <t>AGIR-SP</t>
  </si>
  <si>
    <t>19395972000150</t>
  </si>
  <si>
    <t>1928</t>
  </si>
  <si>
    <t>18836450000184</t>
  </si>
  <si>
    <t>1929</t>
  </si>
  <si>
    <t>13054418000123</t>
  </si>
  <si>
    <t>1930</t>
  </si>
  <si>
    <t>AOX DO BRASIL CONTAINERS LTDA</t>
  </si>
  <si>
    <t>AOX CONTAINERS</t>
  </si>
  <si>
    <t>04855619000139</t>
  </si>
  <si>
    <t>1931</t>
  </si>
  <si>
    <t>MINASCOPY NACIONAL EIRELI</t>
  </si>
  <si>
    <t>MINASCOPY</t>
  </si>
  <si>
    <t>19425487000425</t>
  </si>
  <si>
    <t>1932</t>
  </si>
  <si>
    <t>ROSA OLIVIA MALUF CONFECCOES EIRELI</t>
  </si>
  <si>
    <t>ROSA OLIVIA MALUF</t>
  </si>
  <si>
    <t>10350458000124</t>
  </si>
  <si>
    <t>1933</t>
  </si>
  <si>
    <t>21588736000100</t>
  </si>
  <si>
    <t>1934</t>
  </si>
  <si>
    <t>18502527000341</t>
  </si>
  <si>
    <t>1935</t>
  </si>
  <si>
    <t>23193284000185</t>
  </si>
  <si>
    <t>1936</t>
  </si>
  <si>
    <t>MICHELLY YACHIKO TAGUCHI - ME</t>
  </si>
  <si>
    <t>TRANS IBITINGA 2</t>
  </si>
  <si>
    <t>13232334000132</t>
  </si>
  <si>
    <t>1937</t>
  </si>
  <si>
    <t>61590410000981</t>
  </si>
  <si>
    <t>1938</t>
  </si>
  <si>
    <t>EMPRESA DE TRANSPORTES PAJUÇARA LTDA.</t>
  </si>
  <si>
    <t>VIA PAJUÇARA</t>
  </si>
  <si>
    <t>53237962000125</t>
  </si>
  <si>
    <t>1939</t>
  </si>
  <si>
    <t>11207083000100</t>
  </si>
  <si>
    <t>1940</t>
  </si>
  <si>
    <t>ZENOMAK - COMERCIO DE PECAS E MAQUINAS DE COSTURA</t>
  </si>
  <si>
    <t>ZENOMAK - MAQUINAS</t>
  </si>
  <si>
    <t>07782583000107</t>
  </si>
  <si>
    <t>1941</t>
  </si>
  <si>
    <t>31635857000616</t>
  </si>
  <si>
    <t>1942</t>
  </si>
  <si>
    <t>28290788000137</t>
  </si>
  <si>
    <t>1943</t>
  </si>
  <si>
    <t>RODOVIARIO AFONSO LTDA</t>
  </si>
  <si>
    <t>RODOVIARIO AFONSO</t>
  </si>
  <si>
    <t>81156945000107</t>
  </si>
  <si>
    <t>1944</t>
  </si>
  <si>
    <t>GIMAWA COMERCIAL LTDA</t>
  </si>
  <si>
    <t>GIMAWA</t>
  </si>
  <si>
    <t>56840051000267</t>
  </si>
  <si>
    <t>1945</t>
  </si>
  <si>
    <t>11563199000182</t>
  </si>
  <si>
    <t>1946</t>
  </si>
  <si>
    <t>03422594000540</t>
  </si>
  <si>
    <t>1947</t>
  </si>
  <si>
    <t>02223966008360</t>
  </si>
  <si>
    <t>1948</t>
  </si>
  <si>
    <t>00023134042851</t>
  </si>
  <si>
    <t>1949</t>
  </si>
  <si>
    <t>21111808000205</t>
  </si>
  <si>
    <t>1950</t>
  </si>
  <si>
    <t>24260822000170</t>
  </si>
  <si>
    <t>1951</t>
  </si>
  <si>
    <t>RONCATO SOCIEDADE DE ADVOGADOS</t>
  </si>
  <si>
    <t>RONCATO SOCIEDADE DE</t>
  </si>
  <si>
    <t>69120848000150</t>
  </si>
  <si>
    <t>1952</t>
  </si>
  <si>
    <t>ANTONIO VALDIR DA SILVA TECIDOS</t>
  </si>
  <si>
    <t>VALANTEX</t>
  </si>
  <si>
    <t>08839288000285</t>
  </si>
  <si>
    <t>1953</t>
  </si>
  <si>
    <t>06758888000293</t>
  </si>
  <si>
    <t>1954</t>
  </si>
  <si>
    <t>20096791000102</t>
  </si>
  <si>
    <t>1955</t>
  </si>
  <si>
    <t>CAZAN TRANSPORTES LTDA</t>
  </si>
  <si>
    <t>CAZAN TRANSPORTES</t>
  </si>
  <si>
    <t>07797011000193</t>
  </si>
  <si>
    <t>1956</t>
  </si>
  <si>
    <t>14848687000124</t>
  </si>
  <si>
    <t>1957</t>
  </si>
  <si>
    <t>00025539978846</t>
  </si>
  <si>
    <t>1958</t>
  </si>
  <si>
    <t>LUFAMAR TECIDOS LTDA</t>
  </si>
  <si>
    <t>83182485000109</t>
  </si>
  <si>
    <t>1959</t>
  </si>
  <si>
    <t>TEXTIL RENAUXVIEW S/A</t>
  </si>
  <si>
    <t>TEXTIL RENAUXVIEW S/</t>
  </si>
  <si>
    <t>82982075000180</t>
  </si>
  <si>
    <t>1960</t>
  </si>
  <si>
    <t>CINDERELA INDUSTRIA E COMÉRCIO DE PRODUTOS TEXTEIS</t>
  </si>
  <si>
    <t>FITAS CINDERELA</t>
  </si>
  <si>
    <t>49639800000146</t>
  </si>
  <si>
    <t>1961</t>
  </si>
  <si>
    <t>09934399000152</t>
  </si>
  <si>
    <t>1962</t>
  </si>
  <si>
    <t>46043980000100</t>
  </si>
  <si>
    <t>1963</t>
  </si>
  <si>
    <t>ORDILEI COSTA DOS SANTOS</t>
  </si>
  <si>
    <t>ORDITEC ENCANADOR</t>
  </si>
  <si>
    <t>29766341000154</t>
  </si>
  <si>
    <t>1964</t>
  </si>
  <si>
    <t>22419315000100</t>
  </si>
  <si>
    <t>1965</t>
  </si>
  <si>
    <t>NICKTRANS - TRANSPORTES E REMOCOES LTDA</t>
  </si>
  <si>
    <t>NICKTRANS - TRANSPOR</t>
  </si>
  <si>
    <t>11454088000138</t>
  </si>
  <si>
    <t>1966</t>
  </si>
  <si>
    <t>31959834000152</t>
  </si>
  <si>
    <t>1967</t>
  </si>
  <si>
    <t>17268750000141</t>
  </si>
  <si>
    <t>1968</t>
  </si>
  <si>
    <t>03276090000306</t>
  </si>
  <si>
    <t>1969</t>
  </si>
  <si>
    <t>29587008000188</t>
  </si>
  <si>
    <t>1970</t>
  </si>
  <si>
    <t>30259835000121</t>
  </si>
  <si>
    <t>1971</t>
  </si>
  <si>
    <t>33345443000173</t>
  </si>
  <si>
    <t>1972</t>
  </si>
  <si>
    <t>07960976000155</t>
  </si>
  <si>
    <t>1973</t>
  </si>
  <si>
    <t>27491163000251</t>
  </si>
  <si>
    <t>1974</t>
  </si>
  <si>
    <t>ANAUA REVESTIMENTOS E REPRESENTACAO COMERCIAL LTDA</t>
  </si>
  <si>
    <t>ANAUA REVESTIMENTOS</t>
  </si>
  <si>
    <t>33429335000189</t>
  </si>
  <si>
    <t>1975</t>
  </si>
  <si>
    <t>09311625000149</t>
  </si>
  <si>
    <t>1976</t>
  </si>
  <si>
    <t>C A COVRE DOS SANTOS CONFECCOES</t>
  </si>
  <si>
    <t>OFICINA CRISTINA</t>
  </si>
  <si>
    <t>33448898000114</t>
  </si>
  <si>
    <t>1977</t>
  </si>
  <si>
    <t>ON MOB SOLUCOES PARA ESCRITORIO LTDA</t>
  </si>
  <si>
    <t>ON MOB</t>
  </si>
  <si>
    <t>02544992000143</t>
  </si>
  <si>
    <t>1978</t>
  </si>
  <si>
    <t>J.N. VINATEX COMERCIO DE TECIDOS LTDA</t>
  </si>
  <si>
    <t>J.N. VINATEX COMERCI</t>
  </si>
  <si>
    <t>32602701000197</t>
  </si>
  <si>
    <t>1979</t>
  </si>
  <si>
    <t>POWER GRAPHICS LTDA</t>
  </si>
  <si>
    <t>00832676000141</t>
  </si>
  <si>
    <t>1980</t>
  </si>
  <si>
    <t>NOVA - COMERCIO DE IMPRESSOS GRAFICOS L IMITADA.</t>
  </si>
  <si>
    <t>NOVA - COMERCIO DE I</t>
  </si>
  <si>
    <t>10615661000185</t>
  </si>
  <si>
    <t>1981</t>
  </si>
  <si>
    <t>33131541000108</t>
  </si>
  <si>
    <t>1982</t>
  </si>
  <si>
    <t>JNR TEXTIL LTDA</t>
  </si>
  <si>
    <t>JNR TEXTIL</t>
  </si>
  <si>
    <t>23543951000102</t>
  </si>
  <si>
    <t>1983</t>
  </si>
  <si>
    <t>00008057434805</t>
  </si>
  <si>
    <t>1984</t>
  </si>
  <si>
    <t>05516607000142</t>
  </si>
  <si>
    <t>1985</t>
  </si>
  <si>
    <t>31584273000154</t>
  </si>
  <si>
    <t>1986</t>
  </si>
  <si>
    <t>21262385000135</t>
  </si>
  <si>
    <t>1987</t>
  </si>
  <si>
    <t>PELICAN TEXTIL LTDA</t>
  </si>
  <si>
    <t>61452868000117</t>
  </si>
  <si>
    <t>1988</t>
  </si>
  <si>
    <t>L.R.N. - TRANSPORTE DE CARGAS URGENTES LTDA.</t>
  </si>
  <si>
    <t>L.R.N. - TRANSPORTE</t>
  </si>
  <si>
    <t>17832853000273</t>
  </si>
  <si>
    <t>1989</t>
  </si>
  <si>
    <t>07687928000640</t>
  </si>
  <si>
    <t>1990</t>
  </si>
  <si>
    <t>03221095000757</t>
  </si>
  <si>
    <t>1991</t>
  </si>
  <si>
    <t>00029593379053</t>
  </si>
  <si>
    <t>1992</t>
  </si>
  <si>
    <t>TEXTIL MN COMERCIO DE TECIDOS E CONFECCOES LTDA</t>
  </si>
  <si>
    <t>06311274000501</t>
  </si>
  <si>
    <t>1993</t>
  </si>
  <si>
    <t>14009149000146</t>
  </si>
  <si>
    <t>1994</t>
  </si>
  <si>
    <t>33597550000199</t>
  </si>
  <si>
    <t>1995</t>
  </si>
  <si>
    <t>10353107000258</t>
  </si>
  <si>
    <t>1996</t>
  </si>
  <si>
    <t>00035902839807</t>
  </si>
  <si>
    <t>1997</t>
  </si>
  <si>
    <t>14618752000125</t>
  </si>
  <si>
    <t>1998</t>
  </si>
  <si>
    <t>14476666000125</t>
  </si>
  <si>
    <t>1999</t>
  </si>
  <si>
    <t>11856993000114</t>
  </si>
  <si>
    <t>2000</t>
  </si>
  <si>
    <t>23162331000123</t>
  </si>
  <si>
    <t>2001</t>
  </si>
  <si>
    <t>04080133000176</t>
  </si>
  <si>
    <t>2002</t>
  </si>
  <si>
    <t>06325665000313</t>
  </si>
  <si>
    <t>2003</t>
  </si>
  <si>
    <t>01126236000131</t>
  </si>
  <si>
    <t>2004</t>
  </si>
  <si>
    <t>19795770000104</t>
  </si>
  <si>
    <t>2005</t>
  </si>
  <si>
    <t>GUIA DE MOTEIS COMUNICACAO LTDA.</t>
  </si>
  <si>
    <t>GUIA DE MOTEIS COMUN</t>
  </si>
  <si>
    <t>03214633000190</t>
  </si>
  <si>
    <t>2006</t>
  </si>
  <si>
    <t>CONFECCOES TAYLOR KI</t>
  </si>
  <si>
    <t>29809666000177</t>
  </si>
  <si>
    <t>2007</t>
  </si>
  <si>
    <t>H F CABRAL JUNIOR APOIO ADMINISTRATIVO</t>
  </si>
  <si>
    <t>H F CABRAL JUNIOR AP</t>
  </si>
  <si>
    <t>31320649000113</t>
  </si>
  <si>
    <t>2008</t>
  </si>
  <si>
    <t>00015310666826</t>
  </si>
  <si>
    <t>2009</t>
  </si>
  <si>
    <t>09472273000103</t>
  </si>
  <si>
    <t>2010</t>
  </si>
  <si>
    <t>ASSOCIACAO BRASILEIRA DE MOTEIS</t>
  </si>
  <si>
    <t>AB MOTEIS</t>
  </si>
  <si>
    <t>17793668000136</t>
  </si>
  <si>
    <t>2011</t>
  </si>
  <si>
    <t>10820791000150</t>
  </si>
  <si>
    <t>2012</t>
  </si>
  <si>
    <t>TERRA BRASILIS SABONETES E COSMETICOS LTDA</t>
  </si>
  <si>
    <t>TERRA BRASILIS SABON</t>
  </si>
  <si>
    <t>07467266000198</t>
  </si>
  <si>
    <t>2013</t>
  </si>
  <si>
    <t>TEXTIL MN COMERCIO</t>
  </si>
  <si>
    <t>06311274000269</t>
  </si>
  <si>
    <t>2014</t>
  </si>
  <si>
    <t>14604088000165</t>
  </si>
  <si>
    <t>2015</t>
  </si>
  <si>
    <t>02384871000181</t>
  </si>
  <si>
    <t>2016</t>
  </si>
  <si>
    <t>09111594000263</t>
  </si>
  <si>
    <t>2017</t>
  </si>
  <si>
    <t>00000139527818</t>
  </si>
  <si>
    <t>2018</t>
  </si>
  <si>
    <t>33158298000111</t>
  </si>
  <si>
    <t>2019</t>
  </si>
  <si>
    <t>SIND M CM PE CH I F T T EM M C E F T S A C M E T E</t>
  </si>
  <si>
    <t>SIND M CM PE CH I F</t>
  </si>
  <si>
    <t>60938487000180</t>
  </si>
  <si>
    <t>2020</t>
  </si>
  <si>
    <t>DIEGO NEWTON DOS SANTOS SAMPAIO LEITE CONSULTORIA</t>
  </si>
  <si>
    <t>GRAFICA ZN CARIMBO</t>
  </si>
  <si>
    <t>14691198000101</t>
  </si>
  <si>
    <t>2021</t>
  </si>
  <si>
    <t>10348318000979</t>
  </si>
  <si>
    <t>2022</t>
  </si>
  <si>
    <t>10348318000626</t>
  </si>
  <si>
    <t>2023</t>
  </si>
  <si>
    <t>10348318000111</t>
  </si>
  <si>
    <t>2024</t>
  </si>
  <si>
    <t>GLOBAL RESPECT COMERCIO DO VESTUARIO LTDA</t>
  </si>
  <si>
    <t>GLOBAL RESPECT COMER</t>
  </si>
  <si>
    <t>33017256000160</t>
  </si>
  <si>
    <t>2025</t>
  </si>
  <si>
    <t>31978639000170</t>
  </si>
  <si>
    <t>2026</t>
  </si>
  <si>
    <t>34652904000113</t>
  </si>
  <si>
    <t>2027</t>
  </si>
  <si>
    <t>LIBRAPORT CAMPINAS S/A</t>
  </si>
  <si>
    <t>LIBRAPORT CAMPINAS S</t>
  </si>
  <si>
    <t>03795647000226</t>
  </si>
  <si>
    <t>2028</t>
  </si>
  <si>
    <t>28592648000113</t>
  </si>
  <si>
    <t>2029</t>
  </si>
  <si>
    <t>PLOTAG PAPEIS SISTEMAS E SUPRIMENTOS LTDA</t>
  </si>
  <si>
    <t>PLOTAG</t>
  </si>
  <si>
    <t>00822602000124</t>
  </si>
  <si>
    <t>2030</t>
  </si>
  <si>
    <t>03422594001008</t>
  </si>
  <si>
    <t>2031</t>
  </si>
  <si>
    <t>09583674000130</t>
  </si>
  <si>
    <t>2032</t>
  </si>
  <si>
    <t>01943121000806</t>
  </si>
  <si>
    <t>2033</t>
  </si>
  <si>
    <t>44111698000198</t>
  </si>
  <si>
    <t>2034</t>
  </si>
  <si>
    <t>RAFAEL VICARIO MURACA 33349637809</t>
  </si>
  <si>
    <t>RAFAEL VICARIO MURAC</t>
  </si>
  <si>
    <t>31776863000189</t>
  </si>
  <si>
    <t>2035</t>
  </si>
  <si>
    <t>29142971000158</t>
  </si>
  <si>
    <t>2036</t>
  </si>
  <si>
    <t>02437366000158</t>
  </si>
  <si>
    <t>2037</t>
  </si>
  <si>
    <t>INDUSTRIAS TEXTEIS NAJAR LTDA</t>
  </si>
  <si>
    <t>NAJAR</t>
  </si>
  <si>
    <t>43237064000113</t>
  </si>
  <si>
    <t>2038</t>
  </si>
  <si>
    <t>23816340000190</t>
  </si>
  <si>
    <t>2039</t>
  </si>
  <si>
    <t>08941697000107</t>
  </si>
  <si>
    <t>2040</t>
  </si>
  <si>
    <t>W.A. FERREIRA ALFAIATARIA E ATELIER</t>
  </si>
  <si>
    <t>W.C. LATELLIER</t>
  </si>
  <si>
    <t>34792667000196</t>
  </si>
  <si>
    <t>2041</t>
  </si>
  <si>
    <t>32092284000180</t>
  </si>
  <si>
    <t>2042</t>
  </si>
  <si>
    <t>07850727000107</t>
  </si>
  <si>
    <t>2043</t>
  </si>
  <si>
    <t>18081732000119</t>
  </si>
  <si>
    <t>2044</t>
  </si>
  <si>
    <t>02223966010500</t>
  </si>
  <si>
    <t>2045</t>
  </si>
  <si>
    <t>A. NOBRE INFORMATICA EIRELI</t>
  </si>
  <si>
    <t>A. NOBRE INFORMATICA</t>
  </si>
  <si>
    <t>09415178000178</t>
  </si>
  <si>
    <t>2046</t>
  </si>
  <si>
    <t>07278345000150</t>
  </si>
  <si>
    <t>2047</t>
  </si>
  <si>
    <t>NATURALINE PRODUTOS NATURAIS LTDA</t>
  </si>
  <si>
    <t>NATURALINE PRODUTOS</t>
  </si>
  <si>
    <t>22953422000114</t>
  </si>
  <si>
    <t>2048</t>
  </si>
  <si>
    <t>SERRALHERIA ARTISTICA PRIMAVERA LTDA</t>
  </si>
  <si>
    <t>SERRALHERIA ARTISTIC</t>
  </si>
  <si>
    <t>43368430000173</t>
  </si>
  <si>
    <t>2049</t>
  </si>
  <si>
    <t>BG CONFECCOES LTDA-ME</t>
  </si>
  <si>
    <t>BG CONFECCOES</t>
  </si>
  <si>
    <t>22846492000173</t>
  </si>
  <si>
    <t>2050</t>
  </si>
  <si>
    <t>RICARDO VASCONCELOS ALVES ME</t>
  </si>
  <si>
    <t>RICARDO</t>
  </si>
  <si>
    <t>16436775000144</t>
  </si>
  <si>
    <t>2051</t>
  </si>
  <si>
    <t>14915190000181</t>
  </si>
  <si>
    <t>2052</t>
  </si>
  <si>
    <t>PAPALEGUAS ENCOMENDAS E CARGAS LTDA</t>
  </si>
  <si>
    <t>PAPALEGUAS</t>
  </si>
  <si>
    <t>61171757000132</t>
  </si>
  <si>
    <t>2053</t>
  </si>
  <si>
    <t>00087512149891</t>
  </si>
  <si>
    <t>2054</t>
  </si>
  <si>
    <t>00013947083866</t>
  </si>
  <si>
    <t>2055</t>
  </si>
  <si>
    <t>07562577000136</t>
  </si>
  <si>
    <t>2056</t>
  </si>
  <si>
    <t>13551832000148</t>
  </si>
  <si>
    <t>2057</t>
  </si>
  <si>
    <t>G. VALLONE TEXTIL EIRELI</t>
  </si>
  <si>
    <t>G. VALLONE TEXTIL EI</t>
  </si>
  <si>
    <t>57750945000148</t>
  </si>
  <si>
    <t>2058</t>
  </si>
  <si>
    <t>E A SORGI MANUTENCAO</t>
  </si>
  <si>
    <t>E A SORGI</t>
  </si>
  <si>
    <t>33676309000155</t>
  </si>
  <si>
    <t>2059</t>
  </si>
  <si>
    <t>N.M. NILMAK COMERCIO DE MAQUINAS LTDA</t>
  </si>
  <si>
    <t>N.M. NILMAK COMERCIO</t>
  </si>
  <si>
    <t>07451850000155</t>
  </si>
  <si>
    <t>2060</t>
  </si>
  <si>
    <t>VPRESS INDUSTRIA E COMERCIO LTDA.</t>
  </si>
  <si>
    <t>VPRESS</t>
  </si>
  <si>
    <t>20444890000138</t>
  </si>
  <si>
    <t>2061</t>
  </si>
  <si>
    <t>20754675000133</t>
  </si>
  <si>
    <t>2062</t>
  </si>
  <si>
    <t>33673048000110</t>
  </si>
  <si>
    <t>2063</t>
  </si>
  <si>
    <t>CHEFSTOCK COMERCIO DE EQUIPAMENTOS PARA GASTRONOMI</t>
  </si>
  <si>
    <t>CHEFSTOCK CAFETEIRA</t>
  </si>
  <si>
    <t>07335996000135</t>
  </si>
  <si>
    <t>2064</t>
  </si>
  <si>
    <t>62028147000147</t>
  </si>
  <si>
    <t>2065</t>
  </si>
  <si>
    <t>33265171000100</t>
  </si>
  <si>
    <t>2066</t>
  </si>
  <si>
    <t>03113304000153</t>
  </si>
  <si>
    <t>2067</t>
  </si>
  <si>
    <t>SCAM COMERCIO DE RETALHOS E CONFECCOES LTDA</t>
  </si>
  <si>
    <t>SCAM</t>
  </si>
  <si>
    <t>47205448000105</t>
  </si>
  <si>
    <t>2068</t>
  </si>
  <si>
    <t>LAVANDERIA ANTARES</t>
  </si>
  <si>
    <t>09398861000144</t>
  </si>
  <si>
    <t>2069</t>
  </si>
  <si>
    <t>07687928001107</t>
  </si>
  <si>
    <t>2070</t>
  </si>
  <si>
    <t>19192783000180</t>
  </si>
  <si>
    <t>2071</t>
  </si>
  <si>
    <t>31471771000190</t>
  </si>
  <si>
    <t>2072</t>
  </si>
  <si>
    <t>LAVANDERIA E TINTURARIA LUIZA LTDA</t>
  </si>
  <si>
    <t>LAVANDERIA LUIZA</t>
  </si>
  <si>
    <t>02921705000177</t>
  </si>
  <si>
    <t>2073</t>
  </si>
  <si>
    <t>35563663000107</t>
  </si>
  <si>
    <t>2074</t>
  </si>
  <si>
    <t>17150860000104</t>
  </si>
  <si>
    <t>2075</t>
  </si>
  <si>
    <t>15812179000159</t>
  </si>
  <si>
    <t>2076</t>
  </si>
  <si>
    <t>ASIA SHIPPING TERMINAIS E SERVICOS LTDA</t>
  </si>
  <si>
    <t>AS TERMINAIS E SERVI</t>
  </si>
  <si>
    <t>18982709000103</t>
  </si>
  <si>
    <t>2077</t>
  </si>
  <si>
    <t>30702297000106</t>
  </si>
  <si>
    <t>2078</t>
  </si>
  <si>
    <t>07498711000420</t>
  </si>
  <si>
    <t>2079</t>
  </si>
  <si>
    <t>00094998515853</t>
  </si>
  <si>
    <t>2080</t>
  </si>
  <si>
    <t>VANESSA OLIVEIRA QUIROZ VALADAO 40113542879</t>
  </si>
  <si>
    <t>EDM IMPRESS ETIQUETA</t>
  </si>
  <si>
    <t>31265147000137</t>
  </si>
  <si>
    <t>2081</t>
  </si>
  <si>
    <t>00008280749845</t>
  </si>
  <si>
    <t>2082</t>
  </si>
  <si>
    <t>28490576000101</t>
  </si>
  <si>
    <t>2083</t>
  </si>
  <si>
    <t>32066205000166</t>
  </si>
  <si>
    <t>2084</t>
  </si>
  <si>
    <t>MN ARMAZENS GERAIS LTDA</t>
  </si>
  <si>
    <t>MN TECIDOS</t>
  </si>
  <si>
    <t>97544848000202</t>
  </si>
  <si>
    <t>2085</t>
  </si>
  <si>
    <t>17228590000107</t>
  </si>
  <si>
    <t>2086</t>
  </si>
  <si>
    <t>TERMITEK ENG E CONSULT EM CONTROLE DE PRAGAS LTDA</t>
  </si>
  <si>
    <t>TERMITEK</t>
  </si>
  <si>
    <t>02452483000190</t>
  </si>
  <si>
    <t>2087</t>
  </si>
  <si>
    <t>35470816000163</t>
  </si>
  <si>
    <t>2088</t>
  </si>
  <si>
    <t>29230614000141</t>
  </si>
  <si>
    <t>2089</t>
  </si>
  <si>
    <t>67189571000278</t>
  </si>
  <si>
    <t>2090</t>
  </si>
  <si>
    <t>07687928000135</t>
  </si>
  <si>
    <t>2091</t>
  </si>
  <si>
    <t>31634523000113</t>
  </si>
  <si>
    <t>2092</t>
  </si>
  <si>
    <t>05102681000112</t>
  </si>
  <si>
    <t>2093</t>
  </si>
  <si>
    <t>24495116000107</t>
  </si>
  <si>
    <t>2094</t>
  </si>
  <si>
    <t>35552162000117</t>
  </si>
  <si>
    <t>2095</t>
  </si>
  <si>
    <t>73857823000101</t>
  </si>
  <si>
    <t>2096</t>
  </si>
  <si>
    <t>ALLO TRANSPORTES EXPRESS EIRELLI ME</t>
  </si>
  <si>
    <t>ALLO TRANSPORTES</t>
  </si>
  <si>
    <t>22064575000100</t>
  </si>
  <si>
    <t>2097</t>
  </si>
  <si>
    <t>28729400000151</t>
  </si>
  <si>
    <t>2098</t>
  </si>
  <si>
    <t>32573164000102</t>
  </si>
  <si>
    <t>2099</t>
  </si>
  <si>
    <t>CORTTEX IND COM IMP E EXP LTDA</t>
  </si>
  <si>
    <t>CORTTEX</t>
  </si>
  <si>
    <t>48606503000565</t>
  </si>
  <si>
    <t>2100</t>
  </si>
  <si>
    <t>SLGR SOLUCOES EM TRANSPORTES GENERAL RESEARCH LTDA</t>
  </si>
  <si>
    <t>SLGR</t>
  </si>
  <si>
    <t>30162254000177</t>
  </si>
  <si>
    <t>2101</t>
  </si>
  <si>
    <t>SALES EQUIPAMENTOS E PRODUTOS DE HIGIENE PROFISSIO</t>
  </si>
  <si>
    <t>SALES EQUIPAMENTOS E</t>
  </si>
  <si>
    <t>10290557000168</t>
  </si>
  <si>
    <t>2102</t>
  </si>
  <si>
    <t>03372237000515</t>
  </si>
  <si>
    <t>2103</t>
  </si>
  <si>
    <t>33520575000194</t>
  </si>
  <si>
    <t>2104</t>
  </si>
  <si>
    <t>CARLOS ALBERTO DE SALLES &amp; CIA LTDA</t>
  </si>
  <si>
    <t>CARLOS ALBERTO DE SA</t>
  </si>
  <si>
    <t>64747751000159</t>
  </si>
  <si>
    <t>2105</t>
  </si>
  <si>
    <t>34308620000104</t>
  </si>
  <si>
    <t>2106</t>
  </si>
  <si>
    <t>06172269000131</t>
  </si>
  <si>
    <t>2107</t>
  </si>
  <si>
    <t>JOSE ALBINO JUNIOR</t>
  </si>
  <si>
    <t>RETRÔGRÁFICA</t>
  </si>
  <si>
    <t>34301620000182</t>
  </si>
  <si>
    <t>2108</t>
  </si>
  <si>
    <t>MARTFER COMERCIO DE FERRAGENS LTDA</t>
  </si>
  <si>
    <t>MARTFER</t>
  </si>
  <si>
    <t>65640591000107</t>
  </si>
  <si>
    <t>2109</t>
  </si>
  <si>
    <t>E.B.T. INDUSTRIA E COMERCIO DE CONFECCOES LTDA</t>
  </si>
  <si>
    <t>E.B.T. INDUSTRIA E C</t>
  </si>
  <si>
    <t>00465577000179</t>
  </si>
  <si>
    <t>2110</t>
  </si>
  <si>
    <t>00461479006366</t>
  </si>
  <si>
    <t>2111</t>
  </si>
  <si>
    <t>VIIVATEX COMERCIO, IMPORTACAO E EXPORTACAO DE PROD</t>
  </si>
  <si>
    <t>VIIVATEX PRODUTOS PA</t>
  </si>
  <si>
    <t>17913679000102</t>
  </si>
  <si>
    <t>2112</t>
  </si>
  <si>
    <t>00461479001054</t>
  </si>
  <si>
    <t>2113</t>
  </si>
  <si>
    <t>WALDEMAR BORGES DE MORAES FILHO REPRESENTACOES</t>
  </si>
  <si>
    <t>WALDEMAR BORGES DE M</t>
  </si>
  <si>
    <t>08611192000184</t>
  </si>
  <si>
    <t>2114</t>
  </si>
  <si>
    <t>ZANTEX COMERCIAL LTDA</t>
  </si>
  <si>
    <t>ZANTEX COMERCIAL LTD</t>
  </si>
  <si>
    <t>23340422000101</t>
  </si>
  <si>
    <t>2115</t>
  </si>
  <si>
    <t>GRANDMEDICAL MATERIAL MEDICO E HOSPITALAR LTDA</t>
  </si>
  <si>
    <t>CASA DO MEDICO</t>
  </si>
  <si>
    <t>11155316000179</t>
  </si>
  <si>
    <t>2116</t>
  </si>
  <si>
    <t>31635857000454</t>
  </si>
  <si>
    <t>2117</t>
  </si>
  <si>
    <t>08937012000159</t>
  </si>
  <si>
    <t>2118</t>
  </si>
  <si>
    <t>COSTA NETO B2B COMERCIO E REPRESENTACAO DE EMBALAG</t>
  </si>
  <si>
    <t>COSTA NETO B2B COMER</t>
  </si>
  <si>
    <t>17774804000140</t>
  </si>
  <si>
    <t>2119</t>
  </si>
  <si>
    <t>22681423000157</t>
  </si>
  <si>
    <t>2120</t>
  </si>
  <si>
    <t>THIAGO ANDRADE DE BONFIM</t>
  </si>
  <si>
    <t>THIAGO ANDRADE</t>
  </si>
  <si>
    <t>18041599000177</t>
  </si>
  <si>
    <t>2121</t>
  </si>
  <si>
    <t>ZANOTTI S.A.</t>
  </si>
  <si>
    <t>78256336000107</t>
  </si>
  <si>
    <t>2122</t>
  </si>
  <si>
    <t>61364907000124</t>
  </si>
  <si>
    <t>2123</t>
  </si>
  <si>
    <t>SENHOR CARIMBO LTDA</t>
  </si>
  <si>
    <t>MR STAMP CARIMBOS</t>
  </si>
  <si>
    <t>34339180000152</t>
  </si>
  <si>
    <t>2124</t>
  </si>
  <si>
    <t>14930262000160</t>
  </si>
  <si>
    <t>2125</t>
  </si>
  <si>
    <t>02400329000175</t>
  </si>
  <si>
    <t>2126</t>
  </si>
  <si>
    <t>03566143000153</t>
  </si>
  <si>
    <t>2127</t>
  </si>
  <si>
    <t>00008913216833</t>
  </si>
  <si>
    <t>2128</t>
  </si>
  <si>
    <t>00012143217803</t>
  </si>
  <si>
    <t>2129</t>
  </si>
  <si>
    <t>00026009881811</t>
  </si>
  <si>
    <t>2130</t>
  </si>
  <si>
    <t>00067428517834</t>
  </si>
  <si>
    <t>2131</t>
  </si>
  <si>
    <t>06977745000191</t>
  </si>
  <si>
    <t>2132</t>
  </si>
  <si>
    <t>30688756000136</t>
  </si>
  <si>
    <t>2133</t>
  </si>
  <si>
    <t>JULIANA NICOLA DE MORAES VOLTARELI</t>
  </si>
  <si>
    <t>JULIANA NICOLA DE MO</t>
  </si>
  <si>
    <t>05383324000170</t>
  </si>
  <si>
    <t>2134</t>
  </si>
  <si>
    <t>37114071000125</t>
  </si>
  <si>
    <t>2135</t>
  </si>
  <si>
    <t>RAFTHEL INDUSTRIA E COMERCIO EIRELI</t>
  </si>
  <si>
    <t>RAFTHEL INDUSTRIA E</t>
  </si>
  <si>
    <t>85371243000199</t>
  </si>
  <si>
    <t>2136</t>
  </si>
  <si>
    <t>DUAL SOLUTION COMERCIO E SERV INFORMATICA LTDA ME</t>
  </si>
  <si>
    <t>DUAL SERVIÇOS</t>
  </si>
  <si>
    <t>08653691000134</t>
  </si>
  <si>
    <t>2137</t>
  </si>
  <si>
    <t>00035007543845</t>
  </si>
  <si>
    <t>2138</t>
  </si>
  <si>
    <t>21238225000150</t>
  </si>
  <si>
    <t>2139</t>
  </si>
  <si>
    <t>Y K K DO BRASIL LTDA</t>
  </si>
  <si>
    <t>YKK DO BRASIL LTDA</t>
  </si>
  <si>
    <t>43444348000180</t>
  </si>
  <si>
    <t>2140</t>
  </si>
  <si>
    <t>00006827630986</t>
  </si>
  <si>
    <t>2141</t>
  </si>
  <si>
    <t>33272402000102</t>
  </si>
  <si>
    <t>2142</t>
  </si>
  <si>
    <t>58430828000160</t>
  </si>
  <si>
    <t>2143</t>
  </si>
  <si>
    <t>00009873807705</t>
  </si>
  <si>
    <t>2144</t>
  </si>
  <si>
    <t>00073090808668</t>
  </si>
  <si>
    <t>2145</t>
  </si>
  <si>
    <t>00005345665532</t>
  </si>
  <si>
    <t>2146</t>
  </si>
  <si>
    <t>CIA DE FIACAO</t>
  </si>
  <si>
    <t>17245234000100</t>
  </si>
  <si>
    <t>2147</t>
  </si>
  <si>
    <t>MALHAS MENEGOTTI INDUSTRIA TEXTIL LTDA</t>
  </si>
  <si>
    <t>MALHAS MENEGOTTI IND</t>
  </si>
  <si>
    <t>10474553000130</t>
  </si>
  <si>
    <t>2148</t>
  </si>
  <si>
    <t>27097551000171</t>
  </si>
  <si>
    <t>2149</t>
  </si>
  <si>
    <t>43731587000545</t>
  </si>
  <si>
    <t>2150</t>
  </si>
  <si>
    <t>05750944000108</t>
  </si>
  <si>
    <t>2151</t>
  </si>
  <si>
    <t>03988980000170</t>
  </si>
  <si>
    <t>2152</t>
  </si>
  <si>
    <t>07066990000100</t>
  </si>
  <si>
    <t>2153</t>
  </si>
  <si>
    <t>05247282000301</t>
  </si>
  <si>
    <t>2154</t>
  </si>
  <si>
    <t>71582258000191</t>
  </si>
  <si>
    <t>2155</t>
  </si>
  <si>
    <t>02223966009765</t>
  </si>
  <si>
    <t>2156</t>
  </si>
  <si>
    <t>ABSOLUTAMENTE NECESSAIRE CONFECCOES LTDA</t>
  </si>
  <si>
    <t>ABSOLUTAMENTE NECESS</t>
  </si>
  <si>
    <t>59475533000172</t>
  </si>
  <si>
    <t>2157</t>
  </si>
  <si>
    <t>11966228000157</t>
  </si>
  <si>
    <t>2158</t>
  </si>
  <si>
    <t>FLC INDUSTRIA E COMERCIO DE PLASTICOS LTDA - EM RE</t>
  </si>
  <si>
    <t>FLC INDUSTRIA E COME</t>
  </si>
  <si>
    <t>06225746000422</t>
  </si>
  <si>
    <t>2159</t>
  </si>
  <si>
    <t>01540533000129</t>
  </si>
  <si>
    <t>2160</t>
  </si>
  <si>
    <t>04067967000141</t>
  </si>
  <si>
    <t>2161</t>
  </si>
  <si>
    <t>29846485000110</t>
  </si>
  <si>
    <t>2162</t>
  </si>
  <si>
    <t>NON WOVEN PLASTIC LTDA</t>
  </si>
  <si>
    <t>NON WOVEN</t>
  </si>
  <si>
    <t>00327859000100</t>
  </si>
  <si>
    <t>2163</t>
  </si>
  <si>
    <t>14651967000148</t>
  </si>
  <si>
    <t>2164</t>
  </si>
  <si>
    <t>00030492004803</t>
  </si>
  <si>
    <t>2165</t>
  </si>
  <si>
    <t>10464223000597</t>
  </si>
  <si>
    <t>2166</t>
  </si>
  <si>
    <t>29983414000160</t>
  </si>
  <si>
    <t>2167</t>
  </si>
  <si>
    <t>00005130488989</t>
  </si>
  <si>
    <t>2168</t>
  </si>
  <si>
    <t>13808433000110</t>
  </si>
  <si>
    <t>2169</t>
  </si>
  <si>
    <t>05775559000107</t>
  </si>
  <si>
    <t>2170</t>
  </si>
  <si>
    <t>11796602000970</t>
  </si>
  <si>
    <t>2171</t>
  </si>
  <si>
    <t>00071271112787</t>
  </si>
  <si>
    <t>2172</t>
  </si>
  <si>
    <t>PLASTICOS CARONE LTDA</t>
  </si>
  <si>
    <t>J S CARONE</t>
  </si>
  <si>
    <t>60713021000186</t>
  </si>
  <si>
    <t>2173</t>
  </si>
  <si>
    <t>01962642000134</t>
  </si>
  <si>
    <t>2174</t>
  </si>
  <si>
    <t>07095212000149</t>
  </si>
  <si>
    <t>2175</t>
  </si>
  <si>
    <t>TRANSLITORAL TRANSPORTE RODOVIARIO</t>
  </si>
  <si>
    <t>ALIANCA</t>
  </si>
  <si>
    <t>26368550000151</t>
  </si>
  <si>
    <t>2176</t>
  </si>
  <si>
    <t>02223966011158</t>
  </si>
  <si>
    <t>2177</t>
  </si>
  <si>
    <t>07687928002936</t>
  </si>
  <si>
    <t>2178</t>
  </si>
  <si>
    <t>07380118000131</t>
  </si>
  <si>
    <t>2179</t>
  </si>
  <si>
    <t>09967852019146</t>
  </si>
  <si>
    <t>2180</t>
  </si>
  <si>
    <t>HOMETOGO COMERCIO ELETRONICO LTDA</t>
  </si>
  <si>
    <t>HOMETOG</t>
  </si>
  <si>
    <t>03045065000141</t>
  </si>
  <si>
    <t>2181</t>
  </si>
  <si>
    <t>54005772000145</t>
  </si>
  <si>
    <t>2182</t>
  </si>
  <si>
    <t>03671600000170</t>
  </si>
  <si>
    <t>2183</t>
  </si>
  <si>
    <t>24742208000225</t>
  </si>
  <si>
    <t>2184</t>
  </si>
  <si>
    <t>07756538000170</t>
  </si>
  <si>
    <t>2185</t>
  </si>
  <si>
    <t>07884434000140</t>
  </si>
  <si>
    <t>2186</t>
  </si>
  <si>
    <t>09967852003576</t>
  </si>
  <si>
    <t>2187</t>
  </si>
  <si>
    <t>07687928002189</t>
  </si>
  <si>
    <t>2188</t>
  </si>
  <si>
    <t>04917407000139</t>
  </si>
  <si>
    <t>2189</t>
  </si>
  <si>
    <t>02223966010186</t>
  </si>
  <si>
    <t>2190</t>
  </si>
  <si>
    <t>03070965000149</t>
  </si>
  <si>
    <t>2191</t>
  </si>
  <si>
    <t>30175326000110</t>
  </si>
  <si>
    <t>2192</t>
  </si>
  <si>
    <t>04130881000116</t>
  </si>
  <si>
    <t>2193</t>
  </si>
  <si>
    <t>21088302000303</t>
  </si>
  <si>
    <t>2194</t>
  </si>
  <si>
    <t>19765354000155</t>
  </si>
  <si>
    <t>2195</t>
  </si>
  <si>
    <t>01261530000156</t>
  </si>
  <si>
    <t>2196</t>
  </si>
  <si>
    <t>13675594000182</t>
  </si>
  <si>
    <t>2197</t>
  </si>
  <si>
    <t>04525562000100</t>
  </si>
  <si>
    <t>2198</t>
  </si>
  <si>
    <t>05526830000170</t>
  </si>
  <si>
    <t>2199</t>
  </si>
  <si>
    <t>09967852013105</t>
  </si>
  <si>
    <t>2200</t>
  </si>
  <si>
    <t>00011709610611</t>
  </si>
  <si>
    <t>2201</t>
  </si>
  <si>
    <t>28932704000111</t>
  </si>
  <si>
    <t>2202</t>
  </si>
  <si>
    <t>05632144000184</t>
  </si>
  <si>
    <t>2203</t>
  </si>
  <si>
    <t>04887151000164</t>
  </si>
  <si>
    <t>2204</t>
  </si>
  <si>
    <t>SUL AMERICA SEGUROS DE AUTOMOVEIS E MASSIFICADOS S</t>
  </si>
  <si>
    <t>SUL AMERICA</t>
  </si>
  <si>
    <t>32357481000183</t>
  </si>
  <si>
    <t>2205</t>
  </si>
  <si>
    <t>00006530126830</t>
  </si>
  <si>
    <t>2206</t>
  </si>
  <si>
    <t>00041000697827</t>
  </si>
  <si>
    <t>2207</t>
  </si>
  <si>
    <t>TOKIO MARINE BRASIL SEGURADORA S.A</t>
  </si>
  <si>
    <t>TOKIO MARINE</t>
  </si>
  <si>
    <t>60831344000174</t>
  </si>
  <si>
    <t>2208</t>
  </si>
  <si>
    <t>04892510000171</t>
  </si>
  <si>
    <t>2209</t>
  </si>
  <si>
    <t>05806715000150</t>
  </si>
  <si>
    <t>2210</t>
  </si>
  <si>
    <t>02223966004453</t>
  </si>
  <si>
    <t>2211</t>
  </si>
  <si>
    <t>27253168000165</t>
  </si>
  <si>
    <t>2212</t>
  </si>
  <si>
    <t>02584924000701</t>
  </si>
  <si>
    <t>2213</t>
  </si>
  <si>
    <t>02414419000115</t>
  </si>
  <si>
    <t>2214</t>
  </si>
  <si>
    <t>00040732551854</t>
  </si>
  <si>
    <t>2215</t>
  </si>
  <si>
    <t>16590191000129</t>
  </si>
  <si>
    <t>2216</t>
  </si>
  <si>
    <t>03584060000197</t>
  </si>
  <si>
    <t>2217</t>
  </si>
  <si>
    <t>01436319000208</t>
  </si>
  <si>
    <t>2218</t>
  </si>
  <si>
    <t>12633768000181</t>
  </si>
  <si>
    <t>2219</t>
  </si>
  <si>
    <t>65956385000100</t>
  </si>
  <si>
    <t>2220</t>
  </si>
  <si>
    <t>08723106002179</t>
  </si>
  <si>
    <t>2221</t>
  </si>
  <si>
    <t>02223966005000</t>
  </si>
  <si>
    <t>2222</t>
  </si>
  <si>
    <t>15598050000190</t>
  </si>
  <si>
    <t>2223</t>
  </si>
  <si>
    <t>07549621000178</t>
  </si>
  <si>
    <t>2224</t>
  </si>
  <si>
    <t>05592369000154</t>
  </si>
  <si>
    <t>2225</t>
  </si>
  <si>
    <t>05916266000100</t>
  </si>
  <si>
    <t>2226</t>
  </si>
  <si>
    <t>00650514000192</t>
  </si>
  <si>
    <t>2227</t>
  </si>
  <si>
    <t>37894071000195</t>
  </si>
  <si>
    <t>2228</t>
  </si>
  <si>
    <t>00003239486938</t>
  </si>
  <si>
    <t>2229</t>
  </si>
  <si>
    <t>29233000000113</t>
  </si>
  <si>
    <t>2230</t>
  </si>
  <si>
    <t>08097596000100</t>
  </si>
  <si>
    <t>2231</t>
  </si>
  <si>
    <t>REGISTER SOLUÇÕES EMPRESARIAIA EIRELI</t>
  </si>
  <si>
    <t>REGISTER</t>
  </si>
  <si>
    <t>29971781000143</t>
  </si>
  <si>
    <t>2232</t>
  </si>
  <si>
    <t>NIAZI CHOHFI TEXTIL LTDA.</t>
  </si>
  <si>
    <t>NIAZI CHOHFI TEXTIL</t>
  </si>
  <si>
    <t>06976612000109</t>
  </si>
  <si>
    <t>2233</t>
  </si>
  <si>
    <t>00461479009462</t>
  </si>
  <si>
    <t>2234</t>
  </si>
  <si>
    <t>TESS MODELS PRODUTOS FOTOGRAFICOS EIRELI</t>
  </si>
  <si>
    <t>TESS MODELS</t>
  </si>
  <si>
    <t>04977787000105</t>
  </si>
  <si>
    <t>2235</t>
  </si>
  <si>
    <t>02617709000247</t>
  </si>
  <si>
    <t>2236</t>
  </si>
  <si>
    <t>16894652000157</t>
  </si>
  <si>
    <t>2237</t>
  </si>
  <si>
    <t>73152340000101</t>
  </si>
  <si>
    <t>2238</t>
  </si>
  <si>
    <t>03221095000242</t>
  </si>
  <si>
    <t>2239</t>
  </si>
  <si>
    <t>03221095000323</t>
  </si>
  <si>
    <t>2240</t>
  </si>
  <si>
    <t>SONIA MARIA DA SILVA</t>
  </si>
  <si>
    <t>SONIA MARIA</t>
  </si>
  <si>
    <t>00012982760800</t>
  </si>
  <si>
    <t>2241</t>
  </si>
  <si>
    <t>03221095000919</t>
  </si>
  <si>
    <t>2242</t>
  </si>
  <si>
    <t>19155047000152</t>
  </si>
  <si>
    <t>2243</t>
  </si>
  <si>
    <t>07965033000115</t>
  </si>
  <si>
    <t>2244</t>
  </si>
  <si>
    <t>03221095001133</t>
  </si>
  <si>
    <t>2245</t>
  </si>
  <si>
    <t>02223966010348</t>
  </si>
  <si>
    <t>2246</t>
  </si>
  <si>
    <t>07687928002006</t>
  </si>
  <si>
    <t>2247</t>
  </si>
  <si>
    <t>07687928000305</t>
  </si>
  <si>
    <t>2248</t>
  </si>
  <si>
    <t>28888520000100</t>
  </si>
  <si>
    <t>2249</t>
  </si>
  <si>
    <t>14776142000311</t>
  </si>
  <si>
    <t>2250</t>
  </si>
  <si>
    <t>VIA NOVA SERVICOS EIRELI</t>
  </si>
  <si>
    <t>VIA NOVA</t>
  </si>
  <si>
    <t>01178287000107</t>
  </si>
  <si>
    <t>2251</t>
  </si>
  <si>
    <t>26388421000125</t>
  </si>
  <si>
    <t>2252</t>
  </si>
  <si>
    <t>70071808000145</t>
  </si>
  <si>
    <t>2253</t>
  </si>
  <si>
    <t>00642270000104</t>
  </si>
  <si>
    <t>2254</t>
  </si>
  <si>
    <t>10479785000180</t>
  </si>
  <si>
    <t>2255</t>
  </si>
  <si>
    <t>13263188000102</t>
  </si>
  <si>
    <t>2256</t>
  </si>
  <si>
    <t>14653937000170</t>
  </si>
  <si>
    <t>2257</t>
  </si>
  <si>
    <t>07687928001530</t>
  </si>
  <si>
    <t>2258</t>
  </si>
  <si>
    <t>CINPLAS CONFECCAO E COMERCIO DE PLASTICOS LTDA</t>
  </si>
  <si>
    <t>CINPLAS PLASTICOS</t>
  </si>
  <si>
    <t>19218672000104</t>
  </si>
  <si>
    <t>2259</t>
  </si>
  <si>
    <t>74704016000111</t>
  </si>
  <si>
    <t>2260</t>
  </si>
  <si>
    <t>00002948843197</t>
  </si>
  <si>
    <t>2261</t>
  </si>
  <si>
    <t>02542529000162</t>
  </si>
  <si>
    <t>2262</t>
  </si>
  <si>
    <t>00033298247863</t>
  </si>
  <si>
    <t>2263</t>
  </si>
  <si>
    <t>OFICINA GRAJAU</t>
  </si>
  <si>
    <t>OFICINA GRAJAU LUCY</t>
  </si>
  <si>
    <t>15196730000187</t>
  </si>
  <si>
    <t>2264</t>
  </si>
  <si>
    <t>19730927000105</t>
  </si>
  <si>
    <t>2265</t>
  </si>
  <si>
    <t>CALDEIRA &amp; CIA LT</t>
  </si>
  <si>
    <t>61093530000116</t>
  </si>
  <si>
    <t>2266</t>
  </si>
  <si>
    <t>15082309000145</t>
  </si>
  <si>
    <t>2267</t>
  </si>
  <si>
    <t>30020699000112</t>
  </si>
  <si>
    <t>2268</t>
  </si>
  <si>
    <t>R. SAVIO</t>
  </si>
  <si>
    <t>SAVIOSTRASS</t>
  </si>
  <si>
    <t>07330512000165</t>
  </si>
  <si>
    <t>2269</t>
  </si>
  <si>
    <t>23530696000163</t>
  </si>
  <si>
    <t>2270</t>
  </si>
  <si>
    <t>QUANTK MARKETING EIRELI</t>
  </si>
  <si>
    <t>QUANTIK</t>
  </si>
  <si>
    <t>26590206000102</t>
  </si>
  <si>
    <t>2271</t>
  </si>
  <si>
    <t>22553379000108</t>
  </si>
  <si>
    <t>2272</t>
  </si>
  <si>
    <t>26876396000129</t>
  </si>
  <si>
    <t>2273</t>
  </si>
  <si>
    <t>19840813000118</t>
  </si>
  <si>
    <t>2274</t>
  </si>
  <si>
    <t>09375427000149</t>
  </si>
  <si>
    <t>2275</t>
  </si>
  <si>
    <t>21748208000163</t>
  </si>
  <si>
    <t>2276</t>
  </si>
  <si>
    <t>27553329000136</t>
  </si>
  <si>
    <t>2277</t>
  </si>
  <si>
    <t>00029895027850</t>
  </si>
  <si>
    <t>2278</t>
  </si>
  <si>
    <t>00044386202870</t>
  </si>
  <si>
    <t>2279</t>
  </si>
  <si>
    <t>02584924000965</t>
  </si>
  <si>
    <t>2280</t>
  </si>
  <si>
    <t>03980263000100</t>
  </si>
  <si>
    <t>2281</t>
  </si>
  <si>
    <t>10287608000100</t>
  </si>
  <si>
    <t>2282</t>
  </si>
  <si>
    <t>05391810000130</t>
  </si>
  <si>
    <t>2283</t>
  </si>
  <si>
    <t>TRANSCOMPRAS-TRANSP E COMPRAS COM LT</t>
  </si>
  <si>
    <t>TRANSCOMPRAS-TRANSP</t>
  </si>
  <si>
    <t>32717811000285</t>
  </si>
  <si>
    <t>2284</t>
  </si>
  <si>
    <t>CASA KIM DE PLASTICOS E TECIDOS LT</t>
  </si>
  <si>
    <t>CASA KIM DE PLASTICO</t>
  </si>
  <si>
    <t>67417915000178</t>
  </si>
  <si>
    <t>2285</t>
  </si>
  <si>
    <t>TITO AVIAMENTOS EIRELI</t>
  </si>
  <si>
    <t>TITO AVIAMENTOS EIRE</t>
  </si>
  <si>
    <t>28305016000121</t>
  </si>
  <si>
    <t>2286</t>
  </si>
  <si>
    <t>71419238000102</t>
  </si>
  <si>
    <t>2287</t>
  </si>
  <si>
    <t>26091013000107</t>
  </si>
  <si>
    <t>2288</t>
  </si>
  <si>
    <t>ADRIANA SOUZA DE LIMA</t>
  </si>
  <si>
    <t>ADRIANA SOUZA LIMA</t>
  </si>
  <si>
    <t>37791496000179</t>
  </si>
  <si>
    <t>2289</t>
  </si>
  <si>
    <t>38830880000104</t>
  </si>
  <si>
    <t>2290</t>
  </si>
  <si>
    <t>32296128000130</t>
  </si>
  <si>
    <t>2291</t>
  </si>
  <si>
    <t>37410466000175</t>
  </si>
  <si>
    <t>2292</t>
  </si>
  <si>
    <t>TRANSMAYTAM TRANSPORTE E LOGISTICA LTDA</t>
  </si>
  <si>
    <t>TRANSMAYTAM TRANSPOR</t>
  </si>
  <si>
    <t>33312944000153</t>
  </si>
  <si>
    <t>2293</t>
  </si>
  <si>
    <t>F. DE ANDRADE PEREIRA - E COMMERCE</t>
  </si>
  <si>
    <t>F. DE ANDRADE PEREIR</t>
  </si>
  <si>
    <t>31396376000190</t>
  </si>
  <si>
    <t>2294</t>
  </si>
  <si>
    <t>V M RAMOS &amp; CIA LT</t>
  </si>
  <si>
    <t>GENEROSO</t>
  </si>
  <si>
    <t>00972696000118</t>
  </si>
  <si>
    <t>2295</t>
  </si>
  <si>
    <t>ESTRELA DO VALE TRANSPORTES LTDA</t>
  </si>
  <si>
    <t>ESTRELA DO VALE TRAN</t>
  </si>
  <si>
    <t>03233998000162</t>
  </si>
  <si>
    <t>2296</t>
  </si>
  <si>
    <t>TEKA TECELAGEM KUEHNRICH SA - EM RECUPERACAO JUDIC</t>
  </si>
  <si>
    <t>TEKA TECELAGEM KUEHN</t>
  </si>
  <si>
    <t>82636986000317</t>
  </si>
  <si>
    <t>2297</t>
  </si>
  <si>
    <t>18357736000187</t>
  </si>
  <si>
    <t>2298</t>
  </si>
  <si>
    <t>20059435000208</t>
  </si>
  <si>
    <t>2299</t>
  </si>
  <si>
    <t>04998905000153</t>
  </si>
  <si>
    <t>2300</t>
  </si>
  <si>
    <t>08262536000197</t>
  </si>
  <si>
    <t>2301</t>
  </si>
  <si>
    <t>03068790000135</t>
  </si>
  <si>
    <t>2302</t>
  </si>
  <si>
    <t>00821438000300</t>
  </si>
  <si>
    <t>2303</t>
  </si>
  <si>
    <t>32103191000103</t>
  </si>
  <si>
    <t>2304</t>
  </si>
  <si>
    <t>W TECH COMERCIAL AUTOMOTIVA LTDA.</t>
  </si>
  <si>
    <t>W TECH COMERCIAL AUT</t>
  </si>
  <si>
    <t>17286657000160</t>
  </si>
  <si>
    <t>2305</t>
  </si>
  <si>
    <t>13616023000177</t>
  </si>
  <si>
    <t>2306</t>
  </si>
  <si>
    <t>61084018000103</t>
  </si>
  <si>
    <t>2307</t>
  </si>
  <si>
    <t>02385674000187</t>
  </si>
  <si>
    <t>2308</t>
  </si>
  <si>
    <t>21860422000107</t>
  </si>
  <si>
    <t>2309</t>
  </si>
  <si>
    <t>06047087002778</t>
  </si>
  <si>
    <t>2310</t>
  </si>
  <si>
    <t>06205549000107</t>
  </si>
  <si>
    <t>2311</t>
  </si>
  <si>
    <t>38123887000188</t>
  </si>
  <si>
    <t>2312</t>
  </si>
  <si>
    <t>ARTEFORMA TECIDOS PARA DECORACOES LTDA</t>
  </si>
  <si>
    <t>ARTEFORMA TECIDOS PA</t>
  </si>
  <si>
    <t>91078030000176</t>
  </si>
  <si>
    <t>2313</t>
  </si>
  <si>
    <t>19511764000250</t>
  </si>
  <si>
    <t>2314</t>
  </si>
  <si>
    <t>ELOS ETIQUETAS LTDA</t>
  </si>
  <si>
    <t>ELOS ETIQUETAS</t>
  </si>
  <si>
    <t>09603608000185</t>
  </si>
  <si>
    <t>2315</t>
  </si>
  <si>
    <t>14698303000134</t>
  </si>
  <si>
    <t>2316</t>
  </si>
  <si>
    <t>05761540000101</t>
  </si>
  <si>
    <t>2317</t>
  </si>
  <si>
    <t>03221095000838</t>
  </si>
  <si>
    <t>2318</t>
  </si>
  <si>
    <t>11185937000103</t>
  </si>
  <si>
    <t>2319</t>
  </si>
  <si>
    <t>13830382000122</t>
  </si>
  <si>
    <t>2320</t>
  </si>
  <si>
    <t>05557336000173</t>
  </si>
  <si>
    <t>2321</t>
  </si>
  <si>
    <t>NELSON RICARDO CUSIN</t>
  </si>
  <si>
    <t>EMBALAGENS IBITINGA</t>
  </si>
  <si>
    <t>60831690000233</t>
  </si>
  <si>
    <t>2322</t>
  </si>
  <si>
    <t>FRANCISCA PONCIANO DA SILVA 22817582810</t>
  </si>
  <si>
    <t>FRANCISCA PONCIANO D</t>
  </si>
  <si>
    <t>25361568000169</t>
  </si>
  <si>
    <t>2323</t>
  </si>
  <si>
    <t>38167432000164</t>
  </si>
  <si>
    <t>2324</t>
  </si>
  <si>
    <t>03564604000159</t>
  </si>
  <si>
    <t>2325</t>
  </si>
  <si>
    <t>09592489000102</t>
  </si>
  <si>
    <t>2326</t>
  </si>
  <si>
    <t>10756607000150</t>
  </si>
  <si>
    <t>2327</t>
  </si>
  <si>
    <t>00086409980787</t>
  </si>
  <si>
    <t>2328</t>
  </si>
  <si>
    <t>03221095001486</t>
  </si>
  <si>
    <t>2329</t>
  </si>
  <si>
    <t>03221095001052</t>
  </si>
  <si>
    <t>2330</t>
  </si>
  <si>
    <t>06789545000105</t>
  </si>
  <si>
    <t>2331</t>
  </si>
  <si>
    <t>03266412000166</t>
  </si>
  <si>
    <t>2332</t>
  </si>
  <si>
    <t>22740857000180</t>
  </si>
  <si>
    <t>2333</t>
  </si>
  <si>
    <t>10327191000154</t>
  </si>
  <si>
    <t>2334</t>
  </si>
  <si>
    <t>03563208000107</t>
  </si>
  <si>
    <t>2335</t>
  </si>
  <si>
    <t>39760149000104</t>
  </si>
  <si>
    <t>2336</t>
  </si>
  <si>
    <t>36176103000154</t>
  </si>
  <si>
    <t>2337</t>
  </si>
  <si>
    <t>TRANSVIAGEM ENCOMENDAS E CARGAS EIRELI</t>
  </si>
  <si>
    <t>TRANSVIAGEM FILIAL A</t>
  </si>
  <si>
    <t>02187754000209</t>
  </si>
  <si>
    <t>2338</t>
  </si>
  <si>
    <t>00023148668863</t>
  </si>
  <si>
    <t>2339</t>
  </si>
  <si>
    <t>ASSOCIACAO DOS MORADORES DE BAIRRO DO JARDIM REAL</t>
  </si>
  <si>
    <t>ROSILDA</t>
  </si>
  <si>
    <t>04697238000179</t>
  </si>
  <si>
    <t>2340</t>
  </si>
  <si>
    <t>NT BRAZIL DESCARTAVEIS EIRELI</t>
  </si>
  <si>
    <t>NT BRAZIL</t>
  </si>
  <si>
    <t>33983279000120</t>
  </si>
  <si>
    <t>2341</t>
  </si>
  <si>
    <t>SIMONE REIS MATTAR EMBALAGENS EIRELI</t>
  </si>
  <si>
    <t>SIMONE REIS MATTAR E</t>
  </si>
  <si>
    <t>10919581000113</t>
  </si>
  <si>
    <t>2342</t>
  </si>
  <si>
    <t>RONA ANGELO DOS SANTOS</t>
  </si>
  <si>
    <t>BURDA COMERCIO DE UN</t>
  </si>
  <si>
    <t>29688193000105</t>
  </si>
  <si>
    <t>2343</t>
  </si>
  <si>
    <t>ENDURANCE GROUP B H SITES</t>
  </si>
  <si>
    <t>HOSTGATOR</t>
  </si>
  <si>
    <t>15754475000140</t>
  </si>
  <si>
    <t>2344</t>
  </si>
  <si>
    <t>ROMA AVIAMENTOS LTDA</t>
  </si>
  <si>
    <t>10730088000150</t>
  </si>
  <si>
    <t>2345</t>
  </si>
  <si>
    <t>31998243000194</t>
  </si>
  <si>
    <t>2346</t>
  </si>
  <si>
    <t>02620797000155</t>
  </si>
  <si>
    <t>2347</t>
  </si>
  <si>
    <t>PATRICIA MARTINEZ LIMA GUIMARAES 26731934801</t>
  </si>
  <si>
    <t>PATY &amp; HELO</t>
  </si>
  <si>
    <t>18994147000100</t>
  </si>
  <si>
    <t>2348</t>
  </si>
  <si>
    <t>32260198000139</t>
  </si>
  <si>
    <t>2349</t>
  </si>
  <si>
    <t>00015171547823</t>
  </si>
  <si>
    <t>2350</t>
  </si>
  <si>
    <t>01210973000207</t>
  </si>
  <si>
    <t>2351</t>
  </si>
  <si>
    <t>FATEX INDL COML IMP E EXP LTDA</t>
  </si>
  <si>
    <t>FATEX</t>
  </si>
  <si>
    <t>34244135000203</t>
  </si>
  <si>
    <t>2352</t>
  </si>
  <si>
    <t>25135981000105</t>
  </si>
  <si>
    <t>2353</t>
  </si>
  <si>
    <t>TEXVISTA INTERNATIONAL PTE LTD</t>
  </si>
  <si>
    <t>TEXVISTA</t>
  </si>
  <si>
    <t>00000000002353</t>
  </si>
  <si>
    <t>2354</t>
  </si>
  <si>
    <t>18120623000163</t>
  </si>
  <si>
    <t>2355</t>
  </si>
  <si>
    <t>DEMA DISTRIBUIDORA DE EMBALAGENS EIRELI</t>
  </si>
  <si>
    <t>DEMA EMBALAGENS</t>
  </si>
  <si>
    <t>01302167000170</t>
  </si>
  <si>
    <t>2356</t>
  </si>
  <si>
    <t>DANIELA FRASSI EMBALAGENS EIRELI</t>
  </si>
  <si>
    <t>DANIELA FRASSI EMBAL</t>
  </si>
  <si>
    <t>15511938000143</t>
  </si>
  <si>
    <t>2357</t>
  </si>
  <si>
    <t>00005809654657</t>
  </si>
  <si>
    <t>2358</t>
  </si>
  <si>
    <t>INDUSTRIA DE FELTROS SANTA FE S.A.</t>
  </si>
  <si>
    <t>INDUSTRIA SANTA FE</t>
  </si>
  <si>
    <t>60730512000216</t>
  </si>
  <si>
    <t>2359</t>
  </si>
  <si>
    <t>IVETE MATTAR EMBALAGENS EIRELI</t>
  </si>
  <si>
    <t>IVETE MATTAR EMBALAG</t>
  </si>
  <si>
    <t>30687436000161</t>
  </si>
  <si>
    <t>2360</t>
  </si>
  <si>
    <t>R B GIANNINI SERVICOS TEXTEIS</t>
  </si>
  <si>
    <t>RENATA GIANNINI</t>
  </si>
  <si>
    <t>39417186000114</t>
  </si>
  <si>
    <t>2361</t>
  </si>
  <si>
    <t>10318548000138</t>
  </si>
  <si>
    <t>2362</t>
  </si>
  <si>
    <t>40339043000110</t>
  </si>
  <si>
    <t>2363</t>
  </si>
  <si>
    <t>26143134000155</t>
  </si>
  <si>
    <t>2364</t>
  </si>
  <si>
    <t>SABRINA MINGORANCE PALMA</t>
  </si>
  <si>
    <t>ARMYSHIELD ACESSORIO</t>
  </si>
  <si>
    <t>37658026000131</t>
  </si>
  <si>
    <t>2365</t>
  </si>
  <si>
    <t>JULIO VINICIUS DE OLIVEIRA</t>
  </si>
  <si>
    <t>JV ACESSORIOS</t>
  </si>
  <si>
    <t>19195145000113</t>
  </si>
  <si>
    <t>2366</t>
  </si>
  <si>
    <t>02223966011743</t>
  </si>
  <si>
    <t>2367</t>
  </si>
  <si>
    <t>30780222000216</t>
  </si>
  <si>
    <t>2368</t>
  </si>
  <si>
    <t>SIGMA SERVICOS ESPECIALIZADOS LTDA EPP</t>
  </si>
  <si>
    <t>SIGMA ALPHA</t>
  </si>
  <si>
    <t>27309682000175</t>
  </si>
  <si>
    <t>2369</t>
  </si>
  <si>
    <t>08723106000630</t>
  </si>
  <si>
    <t>2370</t>
  </si>
  <si>
    <t>17495340000133</t>
  </si>
  <si>
    <t>2371</t>
  </si>
  <si>
    <t>04533768000181</t>
  </si>
  <si>
    <t>2372</t>
  </si>
  <si>
    <t>24974106000154</t>
  </si>
  <si>
    <t>2373</t>
  </si>
  <si>
    <t>00081363150197</t>
  </si>
  <si>
    <t>2374</t>
  </si>
  <si>
    <t>CONFECCAO HOSPITALIDADE LTDA</t>
  </si>
  <si>
    <t>SONHO&amp;CONFORTO</t>
  </si>
  <si>
    <t>23413342000139</t>
  </si>
  <si>
    <t>2375</t>
  </si>
  <si>
    <t>SILVIA MARIA BUSDRAGUI AMOROSO</t>
  </si>
  <si>
    <t>EVERSIL</t>
  </si>
  <si>
    <t>36968645000160</t>
  </si>
  <si>
    <t>2376</t>
  </si>
  <si>
    <t>40207054000147</t>
  </si>
  <si>
    <t>2377</t>
  </si>
  <si>
    <t>40190919000100</t>
  </si>
  <si>
    <t>2378</t>
  </si>
  <si>
    <t>39229555000145</t>
  </si>
  <si>
    <t>2379</t>
  </si>
  <si>
    <t>57215824000104</t>
  </si>
  <si>
    <t>2380</t>
  </si>
  <si>
    <t>RADHA INDUSTRIA E COMERCIO LTDA</t>
  </si>
  <si>
    <t>SWEET SOAP</t>
  </si>
  <si>
    <t>10816436000107</t>
  </si>
  <si>
    <t>2381</t>
  </si>
  <si>
    <t>OLIVEIRA &amp; LOPES LTDA</t>
  </si>
  <si>
    <t>ANDREZA ENXOVAIS</t>
  </si>
  <si>
    <t>54514294000107</t>
  </si>
  <si>
    <t>2382</t>
  </si>
  <si>
    <t>OLIST SERVICOS DIGITAIS LTDA</t>
  </si>
  <si>
    <t>OLIST</t>
  </si>
  <si>
    <t>18552346000168</t>
  </si>
  <si>
    <t>2383</t>
  </si>
  <si>
    <t>LEM ASSESSORIA E SERVICOS ADMINISTRATIVOS LTDA</t>
  </si>
  <si>
    <t>MILENA MARIA DE SORD</t>
  </si>
  <si>
    <t>35776224000174</t>
  </si>
  <si>
    <t>2384</t>
  </si>
  <si>
    <t>06004138000145</t>
  </si>
  <si>
    <t>2385</t>
  </si>
  <si>
    <t>20429290000109</t>
  </si>
  <si>
    <t>2386</t>
  </si>
  <si>
    <t>21829219000178</t>
  </si>
  <si>
    <t>2387</t>
  </si>
  <si>
    <t>JONATHAN DE OLIVEIRA LOPES 49459427812</t>
  </si>
  <si>
    <t>JJ TECNOLOGIA</t>
  </si>
  <si>
    <t>35734611000148</t>
  </si>
  <si>
    <t>2388</t>
  </si>
  <si>
    <t>NC COMERCIO DE EQUIPAMENTOS CONTRA INCENDIO LTDA</t>
  </si>
  <si>
    <t>EXTINCHAMAS</t>
  </si>
  <si>
    <t>53867313000108</t>
  </si>
  <si>
    <t>2389</t>
  </si>
  <si>
    <t>65538209000159</t>
  </si>
  <si>
    <t>2390</t>
  </si>
  <si>
    <t>00002164187806</t>
  </si>
  <si>
    <t>2391</t>
  </si>
  <si>
    <t>M. V. DE ARAUJO LAVANDERIA</t>
  </si>
  <si>
    <t>THE LAUNDRESS</t>
  </si>
  <si>
    <t>32578434000160</t>
  </si>
  <si>
    <t>2392</t>
  </si>
  <si>
    <t>LANCASTER BENEFICIAMENTOS TEXTEIS LTDA</t>
  </si>
  <si>
    <t>LANCASTER BENEFICIAM</t>
  </si>
  <si>
    <t>76541317000288</t>
  </si>
  <si>
    <t>2393</t>
  </si>
  <si>
    <t>CARMEL COMERCIO VAREJISTA LTDA</t>
  </si>
  <si>
    <t>CARMEL COMERCIO VARE</t>
  </si>
  <si>
    <t>17432225000110</t>
  </si>
  <si>
    <t>2394</t>
  </si>
  <si>
    <t>40494125000130</t>
  </si>
  <si>
    <t>2395</t>
  </si>
  <si>
    <t>25135899000180</t>
  </si>
  <si>
    <t>2396</t>
  </si>
  <si>
    <t>40646725000176</t>
  </si>
  <si>
    <t>2397</t>
  </si>
  <si>
    <t>MARIA APARECIDA FERREIRA DE PROENCA 02124227823</t>
  </si>
  <si>
    <t>OFICINA CIDA</t>
  </si>
  <si>
    <t>23449891000163</t>
  </si>
  <si>
    <t>2398</t>
  </si>
  <si>
    <t>00042558934899</t>
  </si>
  <si>
    <t>2399</t>
  </si>
  <si>
    <t>BIONEXO DO BRASIL SOLUCOES DIGITAIS EIRELI</t>
  </si>
  <si>
    <t>BIONEXO DO BRASIL SO</t>
  </si>
  <si>
    <t>04069709000102</t>
  </si>
  <si>
    <t>2400</t>
  </si>
  <si>
    <t>ETNO BOTANICA SERVICOS DE PESQUISAS DE PRODUTOS NA</t>
  </si>
  <si>
    <t>ETNO BOTANICA</t>
  </si>
  <si>
    <t>09021625000104</t>
  </si>
  <si>
    <t>2401</t>
  </si>
  <si>
    <t>12840593000183</t>
  </si>
  <si>
    <t>2402</t>
  </si>
  <si>
    <t>PAPEL SEMENTE INDUSTRIA E COMERCIO LTDA</t>
  </si>
  <si>
    <t>PAPEL SEMENTE INDUST</t>
  </si>
  <si>
    <t>10888515000123</t>
  </si>
  <si>
    <t>2403</t>
  </si>
  <si>
    <t>NACELLE COMERCIO LTDA</t>
  </si>
  <si>
    <t>NACELLE</t>
  </si>
  <si>
    <t>55701502000131</t>
  </si>
  <si>
    <t>2404</t>
  </si>
  <si>
    <t>P Z COMERCIO DE SUPRIMENTO PARA INFORMATICA LTDA</t>
  </si>
  <si>
    <t>P Z COMERCIO DE SUPR</t>
  </si>
  <si>
    <t>07130850000153</t>
  </si>
  <si>
    <t>2405</t>
  </si>
  <si>
    <t>LEPOK COMERCIO ELETRONICO EIRELI</t>
  </si>
  <si>
    <t>LEPOK</t>
  </si>
  <si>
    <t>14252353000193</t>
  </si>
  <si>
    <t>2406</t>
  </si>
  <si>
    <t>ARADEFE IND E COM DE MALHAS LTDA</t>
  </si>
  <si>
    <t>ARADEFE IND E COM DE</t>
  </si>
  <si>
    <t>82120460000118</t>
  </si>
  <si>
    <t>2407</t>
  </si>
  <si>
    <t>TRANSPORTADORA RAPIDEX TATUI LTDA</t>
  </si>
  <si>
    <t>TRANSPORTADORA RAPID</t>
  </si>
  <si>
    <t>37424174000191</t>
  </si>
  <si>
    <t>2408</t>
  </si>
  <si>
    <t>ASSOCIACAO NACIONAL DAS EMPRESAS DE LAVANDERIA</t>
  </si>
  <si>
    <t>ASSOCIACAO NACIONAL</t>
  </si>
  <si>
    <t>49751787000112</t>
  </si>
  <si>
    <t>2409</t>
  </si>
  <si>
    <t>GALLOG TRANSPORTES &amp; LOGISTICA LTDA</t>
  </si>
  <si>
    <t>GALLOG TRANSPORTES &amp;</t>
  </si>
  <si>
    <t>23570483000165</t>
  </si>
  <si>
    <t>2410</t>
  </si>
  <si>
    <t>08864599000113</t>
  </si>
  <si>
    <t>2411</t>
  </si>
  <si>
    <t>31794994000199</t>
  </si>
  <si>
    <t>2412</t>
  </si>
  <si>
    <t>SERPTA SERVICOS E POSTAGEM LTDA</t>
  </si>
  <si>
    <t>SERPTA SERVICOS E PO</t>
  </si>
  <si>
    <t>10905182000101</t>
  </si>
  <si>
    <t>2413</t>
  </si>
  <si>
    <t>37002263000140</t>
  </si>
  <si>
    <t>2414</t>
  </si>
  <si>
    <t>TECELAGEM SÃO JOÃO DE TIETÊ LTDA</t>
  </si>
  <si>
    <t>TECELAGEM SÃO JOÃO D</t>
  </si>
  <si>
    <t>06745682000229</t>
  </si>
  <si>
    <t>2415</t>
  </si>
  <si>
    <t>WILLIAM DE OLIVEIRA DE JESUS</t>
  </si>
  <si>
    <t>WILLIAM DE OLIVEIRA</t>
  </si>
  <si>
    <t>00031633573850</t>
  </si>
  <si>
    <t>2416</t>
  </si>
  <si>
    <t>41414612000108</t>
  </si>
  <si>
    <t>2417</t>
  </si>
  <si>
    <t>SERGIO BERLAMINO DA SILVA</t>
  </si>
  <si>
    <t>SERGIO BERLAMINO DA</t>
  </si>
  <si>
    <t>00003224715405</t>
  </si>
  <si>
    <t>2418</t>
  </si>
  <si>
    <t>21082464000164</t>
  </si>
  <si>
    <t>2419</t>
  </si>
  <si>
    <t>TEXTILFIO MALHAS LTDA</t>
  </si>
  <si>
    <t>TEXTILFIO MALHAS LTD</t>
  </si>
  <si>
    <t>00214242000188</t>
  </si>
  <si>
    <t>2420</t>
  </si>
  <si>
    <t>EDWIGES ANDRE DE SOUZA OLIVEIRA</t>
  </si>
  <si>
    <t>EDWIGES ANDRE DE SOU</t>
  </si>
  <si>
    <t>08816632000130</t>
  </si>
  <si>
    <t>2421</t>
  </si>
  <si>
    <t>29141434000193</t>
  </si>
  <si>
    <t>2422</t>
  </si>
  <si>
    <t>00013080770846</t>
  </si>
  <si>
    <t>2423</t>
  </si>
  <si>
    <t>39994896000107</t>
  </si>
  <si>
    <t>2424</t>
  </si>
  <si>
    <t>40190919000290</t>
  </si>
  <si>
    <t>2425</t>
  </si>
  <si>
    <t>18095719000119</t>
  </si>
  <si>
    <t>2426</t>
  </si>
  <si>
    <t>JULIANA OLIVEIRA DUTRA DE CARVALHO</t>
  </si>
  <si>
    <t>JULIANA (FINANCEIRO)</t>
  </si>
  <si>
    <t>00031891959867</t>
  </si>
  <si>
    <t>2427</t>
  </si>
  <si>
    <t>54044573000146</t>
  </si>
  <si>
    <t>2428</t>
  </si>
  <si>
    <t>MARIA DA CONCEICAO DOS SANTOS FERREIRA</t>
  </si>
  <si>
    <t>MARIA DA CONCEICAO D</t>
  </si>
  <si>
    <t>00025290698833</t>
  </si>
  <si>
    <t>2429</t>
  </si>
  <si>
    <t>CLAUDIA CRISTINA PINHEIRO LOPES</t>
  </si>
  <si>
    <t>CLAUDIA CRISTINA PIN</t>
  </si>
  <si>
    <t>00028931180896</t>
  </si>
  <si>
    <t>2430</t>
  </si>
  <si>
    <t>02223966001276</t>
  </si>
  <si>
    <t>2431</t>
  </si>
  <si>
    <t>23057286000147</t>
  </si>
  <si>
    <t>2432</t>
  </si>
  <si>
    <t>20948638000166</t>
  </si>
  <si>
    <t>2433</t>
  </si>
  <si>
    <t>QUELLI DA SILVA GONCALVES 35902530881</t>
  </si>
  <si>
    <t>LINGERIES QUELLI</t>
  </si>
  <si>
    <t>29778761000150</t>
  </si>
  <si>
    <t>2434</t>
  </si>
  <si>
    <t>13980847000202</t>
  </si>
  <si>
    <t>2435</t>
  </si>
  <si>
    <t>00011833711874</t>
  </si>
  <si>
    <t>2436</t>
  </si>
  <si>
    <t>04357211000137</t>
  </si>
  <si>
    <t>2437</t>
  </si>
  <si>
    <t>33750624000185</t>
  </si>
  <si>
    <t>2438</t>
  </si>
  <si>
    <t>36996299000123</t>
  </si>
  <si>
    <t>2439</t>
  </si>
  <si>
    <t>PAG TRANSPORTES EIRELI</t>
  </si>
  <si>
    <t>PAG TRANSPORTES</t>
  </si>
  <si>
    <t>24021672000141</t>
  </si>
  <si>
    <t>2440</t>
  </si>
  <si>
    <t>SILVANA MANFRINI SIGGIA</t>
  </si>
  <si>
    <t>SILVANA MANFRINI SIG</t>
  </si>
  <si>
    <t>00008713141856</t>
  </si>
  <si>
    <t>2441</t>
  </si>
  <si>
    <t>ALFA PRODUTOS TEXTEIS EIRELI</t>
  </si>
  <si>
    <t>ALFA PRODUTOS</t>
  </si>
  <si>
    <t>35715175000160</t>
  </si>
  <si>
    <t>2442</t>
  </si>
  <si>
    <t>10546024000102</t>
  </si>
  <si>
    <t>2443</t>
  </si>
  <si>
    <t>MARIA ROSILDA LIMA DE ALMEIDA</t>
  </si>
  <si>
    <t>MARIA ROSILDA LIMA D</t>
  </si>
  <si>
    <t>00015206877883</t>
  </si>
  <si>
    <t>2444</t>
  </si>
  <si>
    <t>PATRICIA COCARO</t>
  </si>
  <si>
    <t>TOP SELLER</t>
  </si>
  <si>
    <t>09499573000186</t>
  </si>
  <si>
    <t>2445</t>
  </si>
  <si>
    <t>40005871000112</t>
  </si>
  <si>
    <t>2446</t>
  </si>
  <si>
    <t>23798317000110</t>
  </si>
  <si>
    <t>2447</t>
  </si>
  <si>
    <t>INDUSTRIA TEXTIL APUCARANA LTDA</t>
  </si>
  <si>
    <t>INDUSTRIA TEXTIL APU</t>
  </si>
  <si>
    <t>75284224000848</t>
  </si>
  <si>
    <t>2448</t>
  </si>
  <si>
    <t>CHARLES ARAUJO DE MACEDO SILVA</t>
  </si>
  <si>
    <t>CHARLES ARAUJO DE MA</t>
  </si>
  <si>
    <t>00034370978572</t>
  </si>
  <si>
    <t>2449</t>
  </si>
  <si>
    <t>SUPRICORP SUPRIMENTOS LTDA</t>
  </si>
  <si>
    <t>GIMBA</t>
  </si>
  <si>
    <t>54651716000188</t>
  </si>
  <si>
    <t>2450</t>
  </si>
  <si>
    <t>FS CONSULTORIA COMERCIAL LTDA</t>
  </si>
  <si>
    <t>FS CONSULTORIA</t>
  </si>
  <si>
    <t>02036777000131</t>
  </si>
  <si>
    <t>2451</t>
  </si>
  <si>
    <t>00027344828863</t>
  </si>
  <si>
    <t>2452</t>
  </si>
  <si>
    <t>56548779001704</t>
  </si>
  <si>
    <t>2453</t>
  </si>
  <si>
    <t>07498711000187</t>
  </si>
  <si>
    <t>2454</t>
  </si>
  <si>
    <t>MARIANA SANTANA DE JESUS</t>
  </si>
  <si>
    <t>MARIANA SANTANA DE J</t>
  </si>
  <si>
    <t>00039172202882</t>
  </si>
  <si>
    <t>2455</t>
  </si>
  <si>
    <t>JOSILEIDE SOUZA BASTOS COSTA</t>
  </si>
  <si>
    <t>JOSILEIDE SOUZA BAST</t>
  </si>
  <si>
    <t>00018927020880</t>
  </si>
  <si>
    <t>2456</t>
  </si>
  <si>
    <t>AILTON RAMOS GOMES</t>
  </si>
  <si>
    <t>00079507336672</t>
  </si>
  <si>
    <t>2457</t>
  </si>
  <si>
    <t>BERILIO ADRIANO DOS REIS</t>
  </si>
  <si>
    <t>BERILIO ADRIANO DOS</t>
  </si>
  <si>
    <t>00004759957677</t>
  </si>
  <si>
    <t>2458</t>
  </si>
  <si>
    <t>EDGAR FELIX DOS SANTOS</t>
  </si>
  <si>
    <t>EDGAR FELIX DOS SANT</t>
  </si>
  <si>
    <t>00032306499829</t>
  </si>
  <si>
    <t>2459</t>
  </si>
  <si>
    <t>FATIMA GABRIEL FRANCISCO</t>
  </si>
  <si>
    <t>FATIMA GABRIEL FRANC</t>
  </si>
  <si>
    <t>00016418895860</t>
  </si>
  <si>
    <t>2460</t>
  </si>
  <si>
    <t>IRISNEIDE SILVA CUNHA MARTINS</t>
  </si>
  <si>
    <t>IRISNEIDE SILVA CUNH</t>
  </si>
  <si>
    <t>00099442892304</t>
  </si>
  <si>
    <t>2461</t>
  </si>
  <si>
    <t>JAIR PORTUGAL SANTOS</t>
  </si>
  <si>
    <t>00075930668515</t>
  </si>
  <si>
    <t>2462</t>
  </si>
  <si>
    <t>30524413000136</t>
  </si>
  <si>
    <t>2463</t>
  </si>
  <si>
    <t>JAQUELINE MARIA MOTA SILVA</t>
  </si>
  <si>
    <t>JAQUELINE MARIA MOTA</t>
  </si>
  <si>
    <t>00037622840831</t>
  </si>
  <si>
    <t>2464</t>
  </si>
  <si>
    <t>JULIANA DA MOTA AMARAL</t>
  </si>
  <si>
    <t>JULIANA DA MOTA AMAR</t>
  </si>
  <si>
    <t>00034799735829</t>
  </si>
  <si>
    <t>2465</t>
  </si>
  <si>
    <t>LILIAN MICHELE ISIDORO GARCIA</t>
  </si>
  <si>
    <t>LILIAN MICHELE ISIDO</t>
  </si>
  <si>
    <t>00037575701893</t>
  </si>
  <si>
    <t>2466</t>
  </si>
  <si>
    <t>LUANA DE OLIVEIRA UCHOA</t>
  </si>
  <si>
    <t>LUANA DE OLIVEIRA UC</t>
  </si>
  <si>
    <t>00000825331307</t>
  </si>
  <si>
    <t>2467</t>
  </si>
  <si>
    <t>LUCIA MARCELINO SILVA</t>
  </si>
  <si>
    <t>LUCIA MARCELINO SILV</t>
  </si>
  <si>
    <t>00098703781887</t>
  </si>
  <si>
    <t>2468</t>
  </si>
  <si>
    <t>LUCINEIA OLIVEIRA DOS SANTOS ALVES</t>
  </si>
  <si>
    <t>LUCINEIA OLIVEIRA DO</t>
  </si>
  <si>
    <t>00032929899816</t>
  </si>
  <si>
    <t>2469</t>
  </si>
  <si>
    <t>LUIZ GUSTAVO DE SOUZA</t>
  </si>
  <si>
    <t>LUIZ GUSTAVO DE SOUZ</t>
  </si>
  <si>
    <t>00039348575821</t>
  </si>
  <si>
    <t>2470</t>
  </si>
  <si>
    <t>MARIA AUXILIADORA SANTOS</t>
  </si>
  <si>
    <t>MARIA AUXILIADORA SA</t>
  </si>
  <si>
    <t>00009187494841</t>
  </si>
  <si>
    <t>2471</t>
  </si>
  <si>
    <t>MARIA ELENA MENDES DOS SANTOS</t>
  </si>
  <si>
    <t>MARIA ELENA MENDES D</t>
  </si>
  <si>
    <t>00098212010597</t>
  </si>
  <si>
    <t>2472</t>
  </si>
  <si>
    <t>PRISCILA APARECIDA PIRES DOS REIS</t>
  </si>
  <si>
    <t>PRISCILA APARECIDA P</t>
  </si>
  <si>
    <t>00033954231824</t>
  </si>
  <si>
    <t>2473</t>
  </si>
  <si>
    <t>THAINARA DOS SANTOS ATANASIO</t>
  </si>
  <si>
    <t>THAINARA DOS SANTOS</t>
  </si>
  <si>
    <t>00044972726806</t>
  </si>
  <si>
    <t>2474</t>
  </si>
  <si>
    <t>TECELAGEM LM LTDA</t>
  </si>
  <si>
    <t>LMPETER</t>
  </si>
  <si>
    <t>82130956000172</t>
  </si>
  <si>
    <t>2475</t>
  </si>
  <si>
    <t>CLAUDIA MOREIRA PINT</t>
  </si>
  <si>
    <t>25226041000121</t>
  </si>
  <si>
    <t>2476</t>
  </si>
  <si>
    <t>JP PAPELARIA E BRINQUEDOS PEDAGOGICOS - EIRELI</t>
  </si>
  <si>
    <t>JP PAPELARIA E BRINQ</t>
  </si>
  <si>
    <t>33866490000162</t>
  </si>
  <si>
    <t>2477</t>
  </si>
  <si>
    <t>03788787000196</t>
  </si>
  <si>
    <t>2478</t>
  </si>
  <si>
    <t>85377174000392</t>
  </si>
  <si>
    <t>2479</t>
  </si>
  <si>
    <t>JULIO CESAR RODRIGUEZ SALINAS</t>
  </si>
  <si>
    <t>JULIO CESAR RODRIGUE</t>
  </si>
  <si>
    <t>00022840841843</t>
  </si>
  <si>
    <t>2480</t>
  </si>
  <si>
    <t>18941261000171</t>
  </si>
  <si>
    <t>2481</t>
  </si>
  <si>
    <t>08690362000163</t>
  </si>
  <si>
    <t>2482</t>
  </si>
  <si>
    <t>ALESSANDRA DE SOUZA FIGUEIREDO</t>
  </si>
  <si>
    <t>BOMBAS MACIEL RODRIG</t>
  </si>
  <si>
    <t>09287346000197</t>
  </si>
  <si>
    <t>2483</t>
  </si>
  <si>
    <t>02223966006235</t>
  </si>
  <si>
    <t>2484</t>
  </si>
  <si>
    <t>41218375000100</t>
  </si>
  <si>
    <t>2485</t>
  </si>
  <si>
    <t>07937313000110</t>
  </si>
  <si>
    <t>2486</t>
  </si>
  <si>
    <t>ELIZABETH TOGNATO LTDA</t>
  </si>
  <si>
    <t>BIANCO SU BIANCO</t>
  </si>
  <si>
    <t>30232609000157</t>
  </si>
  <si>
    <t>2487</t>
  </si>
  <si>
    <t>00065381467834</t>
  </si>
  <si>
    <t>2488</t>
  </si>
  <si>
    <t>00009442689606</t>
  </si>
  <si>
    <t>2489</t>
  </si>
  <si>
    <t>52661758000174</t>
  </si>
  <si>
    <t>2490</t>
  </si>
  <si>
    <t>PRIME FABRICACAO E COMERCIO DE ARTEFATOS TEXTEIS E</t>
  </si>
  <si>
    <t>PRIME FABRICACAO E C</t>
  </si>
  <si>
    <t>30002631000100</t>
  </si>
  <si>
    <t>2491</t>
  </si>
  <si>
    <t>30644543000102</t>
  </si>
  <si>
    <t>2492</t>
  </si>
  <si>
    <t>09590336000126</t>
  </si>
  <si>
    <t>2493</t>
  </si>
  <si>
    <t>BANCO SOFISA S.A.</t>
  </si>
  <si>
    <t>60889128000180</t>
  </si>
  <si>
    <t>2494</t>
  </si>
  <si>
    <t>42491745000140</t>
  </si>
  <si>
    <t>2495</t>
  </si>
  <si>
    <t>07031493000176</t>
  </si>
  <si>
    <t>2496</t>
  </si>
  <si>
    <t>E. HOTELARIA E TURIS</t>
  </si>
  <si>
    <t>11796602001861</t>
  </si>
  <si>
    <t>2497</t>
  </si>
  <si>
    <t>35917295000140</t>
  </si>
  <si>
    <t>2498</t>
  </si>
  <si>
    <t>23990734000160</t>
  </si>
  <si>
    <t>2499</t>
  </si>
  <si>
    <t>40006566000145</t>
  </si>
  <si>
    <t>2500</t>
  </si>
  <si>
    <t>41650320000174</t>
  </si>
  <si>
    <t>2501</t>
  </si>
  <si>
    <t>08892784000111</t>
  </si>
  <si>
    <t>2502</t>
  </si>
  <si>
    <t>19134362000101</t>
  </si>
  <si>
    <t>2503</t>
  </si>
  <si>
    <t>35257764000141</t>
  </si>
  <si>
    <t>2504</t>
  </si>
  <si>
    <t>00062412388687</t>
  </si>
  <si>
    <t>2505</t>
  </si>
  <si>
    <t>PORTO REAL VENDAS E SERVICOS EIRELI</t>
  </si>
  <si>
    <t>PORTO REAL VENDAS E</t>
  </si>
  <si>
    <t>22165057000183</t>
  </si>
  <si>
    <t>2506</t>
  </si>
  <si>
    <t>KUCHAR COMERCIO E SERVICOS LTDA</t>
  </si>
  <si>
    <t>KUCHAR COMERCIO E SE</t>
  </si>
  <si>
    <t>01778756000129</t>
  </si>
  <si>
    <t>2507</t>
  </si>
  <si>
    <t>VIPAU IMPORTAÇÃO E EXPORTAÇÃO S/A</t>
  </si>
  <si>
    <t>VIPAU</t>
  </si>
  <si>
    <t>03528688000175</t>
  </si>
  <si>
    <t>2508</t>
  </si>
  <si>
    <t>SUELI REGINA DE FREITAS CASSIANO ROUPAS</t>
  </si>
  <si>
    <t>SUELI REGINA DE FREI</t>
  </si>
  <si>
    <t>04717813000158</t>
  </si>
  <si>
    <t>2509</t>
  </si>
  <si>
    <t>ANA CAROLINA CORDEIRO DE ABREU</t>
  </si>
  <si>
    <t>ANA CAROLINA CORDEIR</t>
  </si>
  <si>
    <t>00006055065401</t>
  </si>
  <si>
    <t>2510</t>
  </si>
  <si>
    <t>ELCIO VALENTINI REIS EMBALAGENS</t>
  </si>
  <si>
    <t>VALENTINI REIS EMBAL</t>
  </si>
  <si>
    <t>27306723000170</t>
  </si>
  <si>
    <t>2511</t>
  </si>
  <si>
    <t>13405231000127</t>
  </si>
  <si>
    <t>2512</t>
  </si>
  <si>
    <t>00031044359870</t>
  </si>
  <si>
    <t>2513</t>
  </si>
  <si>
    <t>07031865000164</t>
  </si>
  <si>
    <t>2514</t>
  </si>
  <si>
    <t>18025659000168</t>
  </si>
  <si>
    <t>2515</t>
  </si>
  <si>
    <t>19526748000150</t>
  </si>
  <si>
    <t>2516</t>
  </si>
  <si>
    <t>08294224000165</t>
  </si>
  <si>
    <t>2517</t>
  </si>
  <si>
    <t>31161296000156</t>
  </si>
  <si>
    <t>2518</t>
  </si>
  <si>
    <t>46785028000182</t>
  </si>
  <si>
    <t>2519</t>
  </si>
  <si>
    <t>COMPUTERWEB INFORMATICA LTDA</t>
  </si>
  <si>
    <t>COMPUTERWEB INFORMAT</t>
  </si>
  <si>
    <t>03783033000143</t>
  </si>
  <si>
    <t>2520</t>
  </si>
  <si>
    <t>38040151000146</t>
  </si>
  <si>
    <t>2521</t>
  </si>
  <si>
    <t>32951401000113</t>
  </si>
  <si>
    <t>2522</t>
  </si>
  <si>
    <t>35727912000144</t>
  </si>
  <si>
    <t>2523</t>
  </si>
  <si>
    <t>JANAINA LIRA DA COSTA</t>
  </si>
  <si>
    <t>JANAINA LIRA DA COST</t>
  </si>
  <si>
    <t>00022047943841</t>
  </si>
  <si>
    <t>2524</t>
  </si>
  <si>
    <t>21179785000181</t>
  </si>
  <si>
    <t>2525</t>
  </si>
  <si>
    <t>36203978000106</t>
  </si>
  <si>
    <t>2526</t>
  </si>
  <si>
    <t>ALLIANZ SEGUROS S/A</t>
  </si>
  <si>
    <t>61573796000166</t>
  </si>
  <si>
    <t>2527</t>
  </si>
  <si>
    <t>20217053000257</t>
  </si>
  <si>
    <t>2528</t>
  </si>
  <si>
    <t>TATIANA KLINGELFUS GANME</t>
  </si>
  <si>
    <t>TATIANA KLINGELFUS G</t>
  </si>
  <si>
    <t>00028084765825</t>
  </si>
  <si>
    <t>2529</t>
  </si>
  <si>
    <t>17048077000134</t>
  </si>
  <si>
    <t>2530</t>
  </si>
  <si>
    <t>20217053000419</t>
  </si>
  <si>
    <t>2531</t>
  </si>
  <si>
    <t>16816234000141</t>
  </si>
  <si>
    <t>2532</t>
  </si>
  <si>
    <t>LETICIA APARECIDA PEREIRA DA SILVA 47813872843</t>
  </si>
  <si>
    <t>OFICINA ISABEL</t>
  </si>
  <si>
    <t>40721407000122</t>
  </si>
  <si>
    <t>2533</t>
  </si>
  <si>
    <t>14776142000907</t>
  </si>
  <si>
    <t>2534</t>
  </si>
  <si>
    <t>ANTONIO DE FREITAS MORAIS</t>
  </si>
  <si>
    <t>ANTONIO DE FREITAS M</t>
  </si>
  <si>
    <t>00005469276880</t>
  </si>
  <si>
    <t>2535</t>
  </si>
  <si>
    <t>ALIANCA TRANSPORTES RODOVIARIO EIRELI</t>
  </si>
  <si>
    <t>ALIANCA LOGISTICA E</t>
  </si>
  <si>
    <t>15558263000198</t>
  </si>
  <si>
    <t>2536</t>
  </si>
  <si>
    <t>21996340000194</t>
  </si>
  <si>
    <t>2537</t>
  </si>
  <si>
    <t>INDUSTRIA TEXTIL NOSSA SENHORA DO BELEM LTDA</t>
  </si>
  <si>
    <t>INDUSTRIA TEXTIL NOS</t>
  </si>
  <si>
    <t>50115823000130</t>
  </si>
  <si>
    <t>2538</t>
  </si>
  <si>
    <t>29961389000113</t>
  </si>
  <si>
    <t>2539</t>
  </si>
  <si>
    <t>40294169000116</t>
  </si>
  <si>
    <t>2540</t>
  </si>
  <si>
    <t>05104846000195</t>
  </si>
  <si>
    <t>2541</t>
  </si>
  <si>
    <t>42388799000185</t>
  </si>
  <si>
    <t>2542</t>
  </si>
  <si>
    <t>07947510000209</t>
  </si>
  <si>
    <t>2543</t>
  </si>
  <si>
    <t>TOALHAS DIANNELI EIRELI</t>
  </si>
  <si>
    <t>TOALHAS DIANNELI EIR</t>
  </si>
  <si>
    <t>02978520000107</t>
  </si>
  <si>
    <t>2544</t>
  </si>
  <si>
    <t>ROSIANE ROMEIRO DA SILVA - VENTILADORES</t>
  </si>
  <si>
    <t>COMERCIAL BLUE SKY</t>
  </si>
  <si>
    <t>05047836000165</t>
  </si>
  <si>
    <t>2545</t>
  </si>
  <si>
    <t>MASTER BRASIL LOGISTICA E TRANSPORTES - EIRELI</t>
  </si>
  <si>
    <t>MASTER BRASIL</t>
  </si>
  <si>
    <t>08468939000197</t>
  </si>
  <si>
    <t>2546</t>
  </si>
  <si>
    <t>VAL TEXTIL INDUSTRIA E COMERCIO DE CONFECCOES LTDA</t>
  </si>
  <si>
    <t>VAL TEXTIL INDUSTRIA</t>
  </si>
  <si>
    <t>33302617000110</t>
  </si>
  <si>
    <t>2547</t>
  </si>
  <si>
    <t>10751843000183</t>
  </si>
  <si>
    <t>2548</t>
  </si>
  <si>
    <t>07011302000104</t>
  </si>
  <si>
    <t>2549</t>
  </si>
  <si>
    <t>TRANS-SENA ENCOMENDAS URGENTES LTDA</t>
  </si>
  <si>
    <t>MAWEC ENCOMENDAS URG</t>
  </si>
  <si>
    <t>01958749000109</t>
  </si>
  <si>
    <t>2550</t>
  </si>
  <si>
    <t>00025735336894</t>
  </si>
  <si>
    <t>2551</t>
  </si>
  <si>
    <t>TOWA FLEX CADEIRAS ERGONOMICAS LTDA</t>
  </si>
  <si>
    <t>TOWA FLEX CADEIRAS E</t>
  </si>
  <si>
    <t>40839633000102</t>
  </si>
  <si>
    <t>2552</t>
  </si>
  <si>
    <t>26830390000110</t>
  </si>
  <si>
    <t>2553</t>
  </si>
  <si>
    <t>VITOR HISSAMUNE</t>
  </si>
  <si>
    <t>00047111776801</t>
  </si>
  <si>
    <t>2554</t>
  </si>
  <si>
    <t>LUCICLEIDE MARCOLINO DA SILVA</t>
  </si>
  <si>
    <t>LUCICLEIDE MARCOLINO</t>
  </si>
  <si>
    <t>00007309492498</t>
  </si>
  <si>
    <t>2555</t>
  </si>
  <si>
    <t>ANA PAULA DE OLIVEIRA COSTA</t>
  </si>
  <si>
    <t>OFICINA ANA GRAJAÚ</t>
  </si>
  <si>
    <t>00029351547892</t>
  </si>
  <si>
    <t>2556</t>
  </si>
  <si>
    <t>REEMBALAR.COM DE EMBALAGENS EIRELI</t>
  </si>
  <si>
    <t>REEMBALAR</t>
  </si>
  <si>
    <t>32183272000160</t>
  </si>
  <si>
    <t>2557</t>
  </si>
  <si>
    <t>09129998000101</t>
  </si>
  <si>
    <t>2558</t>
  </si>
  <si>
    <t>PRODUTOS ELETRICOS PALLEYLTDA</t>
  </si>
  <si>
    <t>PRODUTOS ELETRICOS P</t>
  </si>
  <si>
    <t>61335139000180</t>
  </si>
  <si>
    <t>2559</t>
  </si>
  <si>
    <t>PALACIO DAS FERRAMENTAS E PARAFUSOS LTDA</t>
  </si>
  <si>
    <t>PALACIO DAS FERRAMEN</t>
  </si>
  <si>
    <t>68422419000175</t>
  </si>
  <si>
    <t>2560</t>
  </si>
  <si>
    <t>CONSTRUDECOR S.A.</t>
  </si>
  <si>
    <t>SODIMAC/DICICO</t>
  </si>
  <si>
    <t>03439316000172</t>
  </si>
  <si>
    <t>2561</t>
  </si>
  <si>
    <t>05903304000182</t>
  </si>
  <si>
    <t>2562</t>
  </si>
  <si>
    <t>27794852000154</t>
  </si>
  <si>
    <t>2563</t>
  </si>
  <si>
    <t>33808596000100</t>
  </si>
  <si>
    <t>2564</t>
  </si>
  <si>
    <t>01289743000196</t>
  </si>
  <si>
    <t>2565</t>
  </si>
  <si>
    <t>SUPERLUB LUBRIFICANTES LTDA</t>
  </si>
  <si>
    <t>SUPERLUB LUBRIFICANT</t>
  </si>
  <si>
    <t>68184167000193</t>
  </si>
  <si>
    <t>2566</t>
  </si>
  <si>
    <t>03659207000160</t>
  </si>
  <si>
    <t>2567</t>
  </si>
  <si>
    <t>00008799972816</t>
  </si>
  <si>
    <t>2568</t>
  </si>
  <si>
    <t>01313391000167</t>
  </si>
  <si>
    <t>2569</t>
  </si>
  <si>
    <t>VIA VAREJO S/A</t>
  </si>
  <si>
    <t>33041260065290</t>
  </si>
  <si>
    <t>2570</t>
  </si>
  <si>
    <t>00000591586118</t>
  </si>
  <si>
    <t>2571</t>
  </si>
  <si>
    <t>03069059001015</t>
  </si>
  <si>
    <t>2572</t>
  </si>
  <si>
    <t>00911164000170</t>
  </si>
  <si>
    <t>2573</t>
  </si>
  <si>
    <t>37789980000163</t>
  </si>
  <si>
    <t>2574</t>
  </si>
  <si>
    <t>ELISABETE ALVES DE SOUZA</t>
  </si>
  <si>
    <t>ELISABETE/ CLAUDIO</t>
  </si>
  <si>
    <t>00013263029819</t>
  </si>
  <si>
    <t>2575</t>
  </si>
  <si>
    <t>61486650082724</t>
  </si>
  <si>
    <t>2576</t>
  </si>
  <si>
    <t>26727994000136</t>
  </si>
  <si>
    <t>2577</t>
  </si>
  <si>
    <t>27838872000180</t>
  </si>
  <si>
    <t>2578</t>
  </si>
  <si>
    <t>18997088000123</t>
  </si>
  <si>
    <t>2579</t>
  </si>
  <si>
    <t>RAFAEL DE SOUZA MENDONCA 39882279864</t>
  </si>
  <si>
    <t>JR MONTEC ASSISTENCI</t>
  </si>
  <si>
    <t>26064981000124</t>
  </si>
  <si>
    <t>2580</t>
  </si>
  <si>
    <t>GALAX PAY PAGAMENTOS ELETRONICOS LTDA</t>
  </si>
  <si>
    <t>GALAX PAY</t>
  </si>
  <si>
    <t>30765018000145</t>
  </si>
  <si>
    <t>2581</t>
  </si>
  <si>
    <t>SPARROW COMERCIAL EIRELI</t>
  </si>
  <si>
    <t>SPARROW COMERCIAL EI</t>
  </si>
  <si>
    <t>07083195000120</t>
  </si>
  <si>
    <t>2582</t>
  </si>
  <si>
    <t>09308857000148</t>
  </si>
  <si>
    <t>2583</t>
  </si>
  <si>
    <t>PLASTICOS PLASLON EIRELI</t>
  </si>
  <si>
    <t>PLASTICOS PLASLON EI</t>
  </si>
  <si>
    <t>43559764000124</t>
  </si>
  <si>
    <t>2584</t>
  </si>
  <si>
    <t>ADRIANO MOURA RIBEIRO</t>
  </si>
  <si>
    <t>ADRIANO</t>
  </si>
  <si>
    <t>00037552213817</t>
  </si>
  <si>
    <t>2585</t>
  </si>
  <si>
    <t>32802106000103</t>
  </si>
  <si>
    <t>2586</t>
  </si>
  <si>
    <t>35091015000197</t>
  </si>
  <si>
    <t>2587</t>
  </si>
  <si>
    <t>32033452000166</t>
  </si>
  <si>
    <t>2588</t>
  </si>
  <si>
    <t>00071218068191</t>
  </si>
  <si>
    <t>2589</t>
  </si>
  <si>
    <t>27995600000193</t>
  </si>
  <si>
    <t>2590</t>
  </si>
  <si>
    <t>30936807000100</t>
  </si>
  <si>
    <t>2591</t>
  </si>
  <si>
    <t>11346586000167</t>
  </si>
  <si>
    <t>2592</t>
  </si>
  <si>
    <t>CFM COMERCIAL IMPORTADORA LTDA</t>
  </si>
  <si>
    <t>CFM COMERCIAL IMPORT</t>
  </si>
  <si>
    <t>20409939000111</t>
  </si>
  <si>
    <t>2593</t>
  </si>
  <si>
    <t>09967852006591</t>
  </si>
  <si>
    <t>2594</t>
  </si>
  <si>
    <t>MARIA DE LOURDES DE JESUS SANT</t>
  </si>
  <si>
    <t>MARIA DE LOURDES DE</t>
  </si>
  <si>
    <t>00009389143837</t>
  </si>
  <si>
    <t>2595</t>
  </si>
  <si>
    <t>00009016987762</t>
  </si>
  <si>
    <t>2596</t>
  </si>
  <si>
    <t>ELIANA DE AGUIAR GONÇALVES</t>
  </si>
  <si>
    <t>ELIANA DE AGUIAR GON</t>
  </si>
  <si>
    <t>00027984835810</t>
  </si>
  <si>
    <t>2597</t>
  </si>
  <si>
    <t>KARIN SAMANTHA GIORGETTA</t>
  </si>
  <si>
    <t>CENTRAL SERVICE</t>
  </si>
  <si>
    <t>08665347000165</t>
  </si>
  <si>
    <t>2598</t>
  </si>
  <si>
    <t>SOLIDEZ TRANSPORTES LTDA</t>
  </si>
  <si>
    <t>SOLIDEZ TRANSPORTES</t>
  </si>
  <si>
    <t>00833219000171</t>
  </si>
  <si>
    <t>2599</t>
  </si>
  <si>
    <t>00001595832920</t>
  </si>
  <si>
    <t>2600</t>
  </si>
  <si>
    <t>RAFAELA DA SILVA LIMA</t>
  </si>
  <si>
    <t>RAFAELA DA SILVA LIM</t>
  </si>
  <si>
    <t>00003189092354</t>
  </si>
  <si>
    <t>2601</t>
  </si>
  <si>
    <t>35608749000109</t>
  </si>
  <si>
    <t>2602</t>
  </si>
  <si>
    <t>PAULA MARIA RODRIGUES DA SILVA</t>
  </si>
  <si>
    <t>00022574217870</t>
  </si>
  <si>
    <t>2603</t>
  </si>
  <si>
    <t>09346718000370</t>
  </si>
  <si>
    <t>2604</t>
  </si>
  <si>
    <t>04814814000110</t>
  </si>
  <si>
    <t>2605</t>
  </si>
  <si>
    <t>33935329000101</t>
  </si>
  <si>
    <t>2606</t>
  </si>
  <si>
    <t>LGF INDUSTRIA E COMERCIO ELETRONICO LTDA</t>
  </si>
  <si>
    <t>GRAO DE GENTE</t>
  </si>
  <si>
    <t>26384531000119</t>
  </si>
  <si>
    <t>2607</t>
  </si>
  <si>
    <t>NS IMPORTACAO E COMERCIO EIRELI</t>
  </si>
  <si>
    <t>NS IMPORTACAO E COME</t>
  </si>
  <si>
    <t>83951236000130</t>
  </si>
  <si>
    <t>2608</t>
  </si>
  <si>
    <t>MICHELLE DE OLIVEIRA DIESEL</t>
  </si>
  <si>
    <t>IMPERIO DIESEL</t>
  </si>
  <si>
    <t>10425029000179</t>
  </si>
  <si>
    <t>2609</t>
  </si>
  <si>
    <t>ROCHA EPI DISTRIBUICAO DE EQUIPAMENTOS LTDA</t>
  </si>
  <si>
    <t>ROCHA EPI DISTRIBUIC</t>
  </si>
  <si>
    <t>27946887000161</t>
  </si>
  <si>
    <t>2610</t>
  </si>
  <si>
    <t>RICARDO SAVIO</t>
  </si>
  <si>
    <t>00025930279837</t>
  </si>
  <si>
    <t>2611</t>
  </si>
  <si>
    <t>M.L. FERREIRA CHEMMER VIAGENS</t>
  </si>
  <si>
    <t>MARTA LUCIA</t>
  </si>
  <si>
    <t>05990144000156</t>
  </si>
  <si>
    <t>2612</t>
  </si>
  <si>
    <t>SERMATICA TECNOLOGIA EM COMUNICACOES LTDA</t>
  </si>
  <si>
    <t>INES DECCIA</t>
  </si>
  <si>
    <t>07035535000147</t>
  </si>
  <si>
    <t>2613</t>
  </si>
  <si>
    <t>MARCIA CRISTIANE DOS SANTOS SILVA</t>
  </si>
  <si>
    <t>00016695409870</t>
  </si>
  <si>
    <t>2614</t>
  </si>
  <si>
    <t>CASA RAMOS MATERIAIS ELETRICOS LTDA</t>
  </si>
  <si>
    <t>CASA RAMOS</t>
  </si>
  <si>
    <t>27059621000105</t>
  </si>
  <si>
    <t>2615</t>
  </si>
  <si>
    <t>00034869105829</t>
  </si>
  <si>
    <t>2616</t>
  </si>
  <si>
    <t>XZ INFORMATICA EIRELI</t>
  </si>
  <si>
    <t>XZ INFORMATICA EIREL</t>
  </si>
  <si>
    <t>39953600000100</t>
  </si>
  <si>
    <t>2617</t>
  </si>
  <si>
    <t>25181213000198</t>
  </si>
  <si>
    <t>2618</t>
  </si>
  <si>
    <t>00098627627134</t>
  </si>
  <si>
    <t>2619</t>
  </si>
  <si>
    <t>43983187000101</t>
  </si>
  <si>
    <t>2620</t>
  </si>
  <si>
    <t>73461790000186</t>
  </si>
  <si>
    <t>2621</t>
  </si>
  <si>
    <t>EL SHADDAY - CONFECCAO DE UNIFORMES PROFISSIONAIS</t>
  </si>
  <si>
    <t>EL SHADDAY UNIFORMES</t>
  </si>
  <si>
    <t>20768092000161</t>
  </si>
  <si>
    <t>2622</t>
  </si>
  <si>
    <t>CARLO IENE PEREIRA DE OLIVEIRA 65182537204</t>
  </si>
  <si>
    <t>CARLO IENE PEREIRA D</t>
  </si>
  <si>
    <t>15369847000115</t>
  </si>
  <si>
    <t>2623</t>
  </si>
  <si>
    <t>RAULINDA RODRIGUES DOS PASSOS</t>
  </si>
  <si>
    <t>RAULINDA RODRIGUES D</t>
  </si>
  <si>
    <t>00012863662830</t>
  </si>
  <si>
    <t>2624</t>
  </si>
  <si>
    <t>AMIL ASSISTENCIA MEDICA INTERNACIONAL S.A.</t>
  </si>
  <si>
    <t>AMIL ASSISTENCIA MED</t>
  </si>
  <si>
    <t>29309127000179</t>
  </si>
  <si>
    <t>2625</t>
  </si>
  <si>
    <t>IVAN CARLOS LOIOLA DOS SANTOS</t>
  </si>
  <si>
    <t>IVAN CARLOS LOIOLA D</t>
  </si>
  <si>
    <t>00015202863845</t>
  </si>
  <si>
    <t>2626</t>
  </si>
  <si>
    <t>00013174831709</t>
  </si>
  <si>
    <t>2627</t>
  </si>
  <si>
    <t>04071962000192</t>
  </si>
  <si>
    <t>2628</t>
  </si>
  <si>
    <t>WILMA MARTIN AUGUSTO</t>
  </si>
  <si>
    <t>00011510093850</t>
  </si>
  <si>
    <t>2629</t>
  </si>
  <si>
    <t>HACO ETIQUETAS LTDA</t>
  </si>
  <si>
    <t>82645862000136</t>
  </si>
  <si>
    <t>2630</t>
  </si>
  <si>
    <t>BAZAR MIMURA LTDA</t>
  </si>
  <si>
    <t>43925833000176</t>
  </si>
  <si>
    <t>2631</t>
  </si>
  <si>
    <t>TEK-SANA TECIDOS EIR</t>
  </si>
  <si>
    <t>15776822000217</t>
  </si>
  <si>
    <t>2632</t>
  </si>
  <si>
    <t>29734147000197</t>
  </si>
  <si>
    <t>2633</t>
  </si>
  <si>
    <t>00001864568089</t>
  </si>
  <si>
    <t>2634</t>
  </si>
  <si>
    <t>JULIA VITORIA BORGES HIPOLITO</t>
  </si>
  <si>
    <t>JULIA VITORIA BORGES</t>
  </si>
  <si>
    <t>00045578655858</t>
  </si>
  <si>
    <t>2635</t>
  </si>
  <si>
    <t>00004342092522</t>
  </si>
  <si>
    <t>2636</t>
  </si>
  <si>
    <t>00093493517300</t>
  </si>
  <si>
    <t>2637</t>
  </si>
  <si>
    <t>29774017000188</t>
  </si>
  <si>
    <t>2638</t>
  </si>
  <si>
    <t>07721300000109</t>
  </si>
  <si>
    <t>2639</t>
  </si>
  <si>
    <t>MARIA DA CONCEICAO SANTOS DE OLIVEIRA</t>
  </si>
  <si>
    <t>MARIA DA CONCEIÇÃO S</t>
  </si>
  <si>
    <t>43919198000114</t>
  </si>
  <si>
    <t>2640</t>
  </si>
  <si>
    <t>31105489000190</t>
  </si>
  <si>
    <t>2641</t>
  </si>
  <si>
    <t>ART STAMP SERVICOS DE IMPRESSAO LTDA</t>
  </si>
  <si>
    <t>ART STAMP SERVICOS D</t>
  </si>
  <si>
    <t>50865856000106</t>
  </si>
  <si>
    <t>2642</t>
  </si>
  <si>
    <t>00084863030525</t>
  </si>
  <si>
    <t>2643</t>
  </si>
  <si>
    <t>PUPPETS COMERCIO E REPRESENTACOES LTDA</t>
  </si>
  <si>
    <t>PUPPETS COMERCIO</t>
  </si>
  <si>
    <t>56671985000131</t>
  </si>
  <si>
    <t>2644</t>
  </si>
  <si>
    <t>CASA FERRO LTDA</t>
  </si>
  <si>
    <t>61083952000100</t>
  </si>
  <si>
    <t>2645</t>
  </si>
  <si>
    <t>OMEGA COMERCIO DE MAQUINAS DE COSTURA E PECAS EIRE</t>
  </si>
  <si>
    <t>OMEGA COMERCIO</t>
  </si>
  <si>
    <t>36363102000119</t>
  </si>
  <si>
    <t>2646</t>
  </si>
  <si>
    <t>PLAYER COMERCIO DE TECIDOS E ARMARINHOS EIRELI</t>
  </si>
  <si>
    <t>PUPPETS</t>
  </si>
  <si>
    <t>06270952000292</t>
  </si>
  <si>
    <t>2647</t>
  </si>
  <si>
    <t>43934737000194</t>
  </si>
  <si>
    <t>2648</t>
  </si>
  <si>
    <t>JP CHURRASCARIA GRILL RESTAURANTE E COMERCIO LTDA</t>
  </si>
  <si>
    <t>JP CHURRASCARIA</t>
  </si>
  <si>
    <t>12316965000177</t>
  </si>
  <si>
    <t>2649</t>
  </si>
  <si>
    <t>07838266000157</t>
  </si>
  <si>
    <t>2650</t>
  </si>
  <si>
    <t>EMPORIO SANTA CRUZ MINIMERCADO EIRELI</t>
  </si>
  <si>
    <t>EMPORIO SANTA CRUZ</t>
  </si>
  <si>
    <t>27022337000156</t>
  </si>
  <si>
    <t>2651</t>
  </si>
  <si>
    <t>KALUNGA SA</t>
  </si>
  <si>
    <t>KALUNGA</t>
  </si>
  <si>
    <t>43283811003841</t>
  </si>
  <si>
    <t>2652</t>
  </si>
  <si>
    <t>04379856000170</t>
  </si>
  <si>
    <t>2653</t>
  </si>
  <si>
    <t>MINASCOPY NACIONAL E</t>
  </si>
  <si>
    <t>19425487000182</t>
  </si>
  <si>
    <t>2654</t>
  </si>
  <si>
    <t>MIKE BORDADOS - EIRELI</t>
  </si>
  <si>
    <t>MIKE BORDADOS</t>
  </si>
  <si>
    <t>26203531000175</t>
  </si>
  <si>
    <t>2655</t>
  </si>
  <si>
    <t>RODRIGO GALVAO DOS SANTOS SOLUCOES EM SAUDE</t>
  </si>
  <si>
    <t>CONVERGE SOLUCOES EM</t>
  </si>
  <si>
    <t>43453564000192</t>
  </si>
  <si>
    <t>2656</t>
  </si>
  <si>
    <t>00049791000144</t>
  </si>
  <si>
    <t>2657</t>
  </si>
  <si>
    <t>ELAINE FERNANDES DA CRUZ</t>
  </si>
  <si>
    <t>ELAINE FERNANDES DA</t>
  </si>
  <si>
    <t>00035058345803</t>
  </si>
  <si>
    <t>2658</t>
  </si>
  <si>
    <t>GERALDO SOARES DA SILVA</t>
  </si>
  <si>
    <t>GERALDO SOARES DA SI</t>
  </si>
  <si>
    <t>00093173903404</t>
  </si>
  <si>
    <t>2659</t>
  </si>
  <si>
    <t>26536432000105</t>
  </si>
  <si>
    <t>2660</t>
  </si>
  <si>
    <t>31002203000140</t>
  </si>
  <si>
    <t>2661</t>
  </si>
  <si>
    <t>42252921000191</t>
  </si>
  <si>
    <t>2662</t>
  </si>
  <si>
    <t>39971576000131</t>
  </si>
  <si>
    <t>2663</t>
  </si>
  <si>
    <t>BREIA &amp; FUNCHAL SOCIEDADE DE ADVOGADOS</t>
  </si>
  <si>
    <t>BREIA &amp; FUNCHAL SOCI</t>
  </si>
  <si>
    <t>22004594000141</t>
  </si>
  <si>
    <t>2664</t>
  </si>
  <si>
    <t>03167993000189</t>
  </si>
  <si>
    <t>2665</t>
  </si>
  <si>
    <t>60678604000202</t>
  </si>
  <si>
    <t>2666</t>
  </si>
  <si>
    <t>29094711000154</t>
  </si>
  <si>
    <t>2667</t>
  </si>
  <si>
    <t>10296070000192</t>
  </si>
  <si>
    <t>2668</t>
  </si>
  <si>
    <t>43025082000131</t>
  </si>
  <si>
    <t>2669</t>
  </si>
  <si>
    <t>ELY MINAS CONFECCOES LTDA</t>
  </si>
  <si>
    <t>ELY CONFECCOES</t>
  </si>
  <si>
    <t>13214230000103</t>
  </si>
  <si>
    <t>2670</t>
  </si>
  <si>
    <t>36667302000165</t>
  </si>
  <si>
    <t>2671</t>
  </si>
  <si>
    <t>BEATRIZ IMBERNON NOGUEIRA</t>
  </si>
  <si>
    <t>BEATRIZ IMBERNON NOG</t>
  </si>
  <si>
    <t>03151821000117</t>
  </si>
  <si>
    <t>2672</t>
  </si>
  <si>
    <t>JOSE MESSIAS ANDRADE</t>
  </si>
  <si>
    <t>00001105429830</t>
  </si>
  <si>
    <t>2673</t>
  </si>
  <si>
    <t>MUNDO CEREALISTA COMERCIO DE ALIMENTOS EIRELI</t>
  </si>
  <si>
    <t>MUNDO CEREALISTA</t>
  </si>
  <si>
    <t>31217101000142</t>
  </si>
  <si>
    <t>2674</t>
  </si>
  <si>
    <t>CLICK ENTREGAS PORTAIS, PROVEDORES DE CONTEUDO E O</t>
  </si>
  <si>
    <t>CLICK ENTREGAS</t>
  </si>
  <si>
    <t>29110156000107</t>
  </si>
  <si>
    <t>2675</t>
  </si>
  <si>
    <t>36672265000183</t>
  </si>
  <si>
    <t>2676</t>
  </si>
  <si>
    <t>05980447000198</t>
  </si>
  <si>
    <t>2677</t>
  </si>
  <si>
    <t>JSMC COMERCIO DE ALIMENTOS LTDA</t>
  </si>
  <si>
    <t>JSMC COMERCIO DE ALI</t>
  </si>
  <si>
    <t>40922923000115</t>
  </si>
  <si>
    <t>2678</t>
  </si>
  <si>
    <t>00021353790851</t>
  </si>
  <si>
    <t>2679</t>
  </si>
  <si>
    <t>28647267000194</t>
  </si>
  <si>
    <t>2680</t>
  </si>
  <si>
    <t>14803549000129</t>
  </si>
  <si>
    <t>2681</t>
  </si>
  <si>
    <t>00006020415899</t>
  </si>
  <si>
    <t>2682</t>
  </si>
  <si>
    <t>25106982000121</t>
  </si>
  <si>
    <t>2683</t>
  </si>
  <si>
    <t>45633112000118</t>
  </si>
  <si>
    <t>2684</t>
  </si>
  <si>
    <t>05147338000194</t>
  </si>
  <si>
    <t>2685</t>
  </si>
  <si>
    <t>06047087011920</t>
  </si>
  <si>
    <t>2686</t>
  </si>
  <si>
    <t>00032101371880</t>
  </si>
  <si>
    <t>2687</t>
  </si>
  <si>
    <t>ANTONIO SANTOS COELHO</t>
  </si>
  <si>
    <t>ANTONIO SANTOS COELH</t>
  </si>
  <si>
    <t>00008131660800</t>
  </si>
  <si>
    <t>2688</t>
  </si>
  <si>
    <t>RAIA DROGASIL S/A</t>
  </si>
  <si>
    <t>61585865217304</t>
  </si>
  <si>
    <t>2689</t>
  </si>
  <si>
    <t>MARDONIO CARGO EXPRESS TRANSPORTES EIRELI</t>
  </si>
  <si>
    <t>MARDONIO CARGO EXPRE</t>
  </si>
  <si>
    <t>67743625000114</t>
  </si>
  <si>
    <t>2690</t>
  </si>
  <si>
    <t>33858150000190</t>
  </si>
  <si>
    <t>2691</t>
  </si>
  <si>
    <t>POSTO DE MOLAS RADIAL LTDA</t>
  </si>
  <si>
    <t>POSTO DE MOLAS RADIA</t>
  </si>
  <si>
    <t>44079861000182</t>
  </si>
  <si>
    <t>2692</t>
  </si>
  <si>
    <t>46005344000194</t>
  </si>
  <si>
    <t>2693</t>
  </si>
  <si>
    <t>00005758809535</t>
  </si>
  <si>
    <t>2694</t>
  </si>
  <si>
    <t>17904863000196</t>
  </si>
  <si>
    <t>2695</t>
  </si>
  <si>
    <t>19157431000194</t>
  </si>
  <si>
    <t>2696</t>
  </si>
  <si>
    <t>00008306970632</t>
  </si>
  <si>
    <t>2697</t>
  </si>
  <si>
    <t>00040980719836</t>
  </si>
  <si>
    <t>2698</t>
  </si>
  <si>
    <t>BRAZA BANK  S.A. BANCO DE CAMBIO</t>
  </si>
  <si>
    <t>BRAZA BANK S.A.</t>
  </si>
  <si>
    <t>19307785000178</t>
  </si>
  <si>
    <t>2699</t>
  </si>
  <si>
    <t>ROMULO LUIS MOTA SILVA</t>
  </si>
  <si>
    <t>ROMULO LUIS MOTA SIL</t>
  </si>
  <si>
    <t>00004885965306</t>
  </si>
  <si>
    <t>2700</t>
  </si>
  <si>
    <t>ERICK DOUGLAS DUARTE DO NASCIMENTO 44635102874</t>
  </si>
  <si>
    <t>JOSE ADIMARIO</t>
  </si>
  <si>
    <t>35576956000110</t>
  </si>
  <si>
    <t>2701</t>
  </si>
  <si>
    <t>00042662613300</t>
  </si>
  <si>
    <t>2702</t>
  </si>
  <si>
    <t>00003526557128</t>
  </si>
  <si>
    <t>2703</t>
  </si>
  <si>
    <t>FORCE CONSULTORIA E LOGISTICA INTERNACIONAL LTDA</t>
  </si>
  <si>
    <t>FORCE CONSULTORIA E</t>
  </si>
  <si>
    <t>13993938000100</t>
  </si>
  <si>
    <t>2704</t>
  </si>
  <si>
    <t>00033323081811</t>
  </si>
  <si>
    <t>2705</t>
  </si>
  <si>
    <t>00006147282824</t>
  </si>
  <si>
    <t>2706</t>
  </si>
  <si>
    <t>00001585187054</t>
  </si>
  <si>
    <t>2707</t>
  </si>
  <si>
    <t>MARCIA CRISTIANE DOS SANTOS SILVA 16695409870</t>
  </si>
  <si>
    <t>MC</t>
  </si>
  <si>
    <t>35757986000123</t>
  </si>
  <si>
    <t>2708</t>
  </si>
  <si>
    <t>00077659996568</t>
  </si>
  <si>
    <t>2709</t>
  </si>
  <si>
    <t>37847631000150</t>
  </si>
  <si>
    <t>2710</t>
  </si>
  <si>
    <t>AMMAN COMERCIO E PRESTACAO DE SERVICOS EMPRESARIAI</t>
  </si>
  <si>
    <t>AMMAN</t>
  </si>
  <si>
    <t>31819029000123</t>
  </si>
  <si>
    <t>2711</t>
  </si>
  <si>
    <t>00001628085002</t>
  </si>
  <si>
    <t>2712</t>
  </si>
  <si>
    <t>CELF PAPELARIA E TIPOGRAFIA LTDA</t>
  </si>
  <si>
    <t>CELF PAPELARIA E TIP</t>
  </si>
  <si>
    <t>69021681000170</t>
  </si>
  <si>
    <t>2713</t>
  </si>
  <si>
    <t>SANTTO AMARO LASER COPIAS ESPECIAIS EIRELI</t>
  </si>
  <si>
    <t>SANTTO AMARO LASER C</t>
  </si>
  <si>
    <t>00827038000132</t>
  </si>
  <si>
    <t>2714</t>
  </si>
  <si>
    <t>00000667432906</t>
  </si>
  <si>
    <t>2715</t>
  </si>
  <si>
    <t>00022162919869</t>
  </si>
  <si>
    <t>2716</t>
  </si>
  <si>
    <t>OPERA IN EVENTOS EMPRESARIAIS LTDA</t>
  </si>
  <si>
    <t>GRUPO OPERA</t>
  </si>
  <si>
    <t>00510779000195</t>
  </si>
  <si>
    <t>2717</t>
  </si>
  <si>
    <t>38241049000109</t>
  </si>
  <si>
    <t>2718</t>
  </si>
  <si>
    <t>SERGIO BELARMINO DA SILVA 03224715405</t>
  </si>
  <si>
    <t>OFICINA SERGIO</t>
  </si>
  <si>
    <t>45589075000198</t>
  </si>
  <si>
    <t>2719</t>
  </si>
  <si>
    <t>06944282000161</t>
  </si>
  <si>
    <t>2720</t>
  </si>
  <si>
    <t>02238702000214</t>
  </si>
  <si>
    <t>2721</t>
  </si>
  <si>
    <t>00010756059704</t>
  </si>
  <si>
    <t>2722</t>
  </si>
  <si>
    <t>14991872000173</t>
  </si>
  <si>
    <t>2723</t>
  </si>
  <si>
    <t>39842550000193</t>
  </si>
  <si>
    <t>2724</t>
  </si>
  <si>
    <t>00010843366850</t>
  </si>
  <si>
    <t>2725</t>
  </si>
  <si>
    <t>00004276967988</t>
  </si>
  <si>
    <t>2726</t>
  </si>
  <si>
    <t>00011652690743</t>
  </si>
  <si>
    <t>2727</t>
  </si>
  <si>
    <t>33501214000109</t>
  </si>
  <si>
    <t>2728</t>
  </si>
  <si>
    <t>09276932000136</t>
  </si>
  <si>
    <t>2729</t>
  </si>
  <si>
    <t>PERSITEXTIL COMERCIAL E INDUSTRIAL LT</t>
  </si>
  <si>
    <t>PERSITEXTIL COMERCIA</t>
  </si>
  <si>
    <t>02352256000193</t>
  </si>
  <si>
    <t>2730</t>
  </si>
  <si>
    <t>FO PINTURAS LTDA</t>
  </si>
  <si>
    <t>GERALDO CLAUDINO GUI</t>
  </si>
  <si>
    <t>18288952000118</t>
  </si>
  <si>
    <t>2731</t>
  </si>
  <si>
    <t>CLEITON DOS SANTOS ANDRADE 34854182857</t>
  </si>
  <si>
    <t>ANDRADE MODAS</t>
  </si>
  <si>
    <t>20612948000105</t>
  </si>
  <si>
    <t>2732</t>
  </si>
  <si>
    <t>26617011000109</t>
  </si>
  <si>
    <t>2733</t>
  </si>
  <si>
    <t>EXLOG DISTRIBUICAO LTDA</t>
  </si>
  <si>
    <t>EXLOG LOGISTICA</t>
  </si>
  <si>
    <t>03817439000108</t>
  </si>
  <si>
    <t>2734</t>
  </si>
  <si>
    <t>00004510869967</t>
  </si>
  <si>
    <t>2735</t>
  </si>
  <si>
    <t>BENESTAR FRAGRANCIAS E PRODUTOS PARA CASA EIRELI</t>
  </si>
  <si>
    <t>BENESTAR FRAGRANCIAS</t>
  </si>
  <si>
    <t>31424244000125</t>
  </si>
  <si>
    <t>2736</t>
  </si>
  <si>
    <t>42535627000197</t>
  </si>
  <si>
    <t>2737</t>
  </si>
  <si>
    <t>NOVA DANJOR COMERCIO DE CONFECCOES LTDA</t>
  </si>
  <si>
    <t>NOVA DANJOR COMERCIO</t>
  </si>
  <si>
    <t>22298341000128</t>
  </si>
  <si>
    <t>2738</t>
  </si>
  <si>
    <t>35703654000166</t>
  </si>
  <si>
    <t>2739</t>
  </si>
  <si>
    <t>40048655000235</t>
  </si>
  <si>
    <t>2740</t>
  </si>
  <si>
    <t>INTERLAGOS CASA DE PAES E CONVENIENCIA LTDA</t>
  </si>
  <si>
    <t>COLINA VERDE INTERLA</t>
  </si>
  <si>
    <t>44206246000190</t>
  </si>
  <si>
    <t>2741</t>
  </si>
  <si>
    <t>00010901338710</t>
  </si>
  <si>
    <t>2742</t>
  </si>
  <si>
    <t>S/A FABRIL SCAVONE</t>
  </si>
  <si>
    <t>50115849001150</t>
  </si>
  <si>
    <t>2743</t>
  </si>
  <si>
    <t>PEALE INDUSTRIA E COMERCIO DE MOVEIS S/A</t>
  </si>
  <si>
    <t>PEALE INDUSTRIA E CO</t>
  </si>
  <si>
    <t>01962011000115</t>
  </si>
  <si>
    <t>2744</t>
  </si>
  <si>
    <t>96827639000114</t>
  </si>
  <si>
    <t>2745</t>
  </si>
  <si>
    <t>02223966011662</t>
  </si>
  <si>
    <t>2746</t>
  </si>
  <si>
    <t>00031606809830</t>
  </si>
  <si>
    <t>2747</t>
  </si>
  <si>
    <t>11371433000331</t>
  </si>
  <si>
    <t>2748</t>
  </si>
  <si>
    <t>11371433000250</t>
  </si>
  <si>
    <t>2749</t>
  </si>
  <si>
    <t>MANOEL LUCIANO DE LIMA SILVA 21652447814</t>
  </si>
  <si>
    <t>MANOEL LUCIANO DE LI</t>
  </si>
  <si>
    <t>31995696000167</t>
  </si>
  <si>
    <t>2750</t>
  </si>
  <si>
    <t>22491026000112</t>
  </si>
  <si>
    <t>2751</t>
  </si>
  <si>
    <t>J.J. SUL TRANSPORTES LTDA.</t>
  </si>
  <si>
    <t>J.J. SUL TRANSPORTES</t>
  </si>
  <si>
    <t>78517588000142</t>
  </si>
  <si>
    <t>2752</t>
  </si>
  <si>
    <t>BLIMOSAM ADMINISTRACAO DE BENS E PARTICIPACOES EIR</t>
  </si>
  <si>
    <t>BLIMOSAM</t>
  </si>
  <si>
    <t>12323534000138</t>
  </si>
  <si>
    <t>2753</t>
  </si>
  <si>
    <t>02223966008289</t>
  </si>
  <si>
    <t>2754</t>
  </si>
  <si>
    <t>POTTENCIAL SEGURADORA S.A.</t>
  </si>
  <si>
    <t>POTTENCIAL SEGURADOR</t>
  </si>
  <si>
    <t>11699534000174</t>
  </si>
  <si>
    <t>2755</t>
  </si>
  <si>
    <t>MARLEY DE PAULA ROCHA BENITO</t>
  </si>
  <si>
    <t>MARLEY DE PAULA ROCH</t>
  </si>
  <si>
    <t>00014857426846</t>
  </si>
  <si>
    <t>2756</t>
  </si>
  <si>
    <t>40611207000117</t>
  </si>
  <si>
    <t>2757</t>
  </si>
  <si>
    <t>00078255422153</t>
  </si>
  <si>
    <t>2758</t>
  </si>
  <si>
    <t>00003753423467</t>
  </si>
  <si>
    <t>2759</t>
  </si>
  <si>
    <t>00022419698851</t>
  </si>
  <si>
    <t>2760</t>
  </si>
  <si>
    <t>WILLIAM DE OLIVEIRA DE JESUS 31633573850</t>
  </si>
  <si>
    <t>WMW CONFECCOES</t>
  </si>
  <si>
    <t>45951713000179</t>
  </si>
  <si>
    <t>2761</t>
  </si>
  <si>
    <t>45925957000187</t>
  </si>
  <si>
    <t>2762</t>
  </si>
  <si>
    <t>P.G. ASSESSORIA TECNICA LTDA</t>
  </si>
  <si>
    <t>ABRAMODA</t>
  </si>
  <si>
    <t>01323751000101</t>
  </si>
  <si>
    <t>2763</t>
  </si>
  <si>
    <t>32333159000114</t>
  </si>
  <si>
    <t>2764</t>
  </si>
  <si>
    <t>MARINS E MARINS CORRETORA DE SEGUROS LTDA</t>
  </si>
  <si>
    <t>MARINS.CO CORRETORA</t>
  </si>
  <si>
    <t>30511816000140</t>
  </si>
  <si>
    <t>2765</t>
  </si>
  <si>
    <t>CRISTIANO RICARDO DE LIMA VIEIRA</t>
  </si>
  <si>
    <t>CRISTIANO RICARDO DE</t>
  </si>
  <si>
    <t>00037353256885</t>
  </si>
  <si>
    <t>2766</t>
  </si>
  <si>
    <t>37434670000126</t>
  </si>
  <si>
    <t>2767</t>
  </si>
  <si>
    <t>07577304000165</t>
  </si>
  <si>
    <t>2768</t>
  </si>
  <si>
    <t>08517787000175</t>
  </si>
  <si>
    <t>2769</t>
  </si>
  <si>
    <t>00014783423822</t>
  </si>
  <si>
    <t>2770</t>
  </si>
  <si>
    <t>26556297000160</t>
  </si>
  <si>
    <t>2771</t>
  </si>
  <si>
    <t>26442175000142</t>
  </si>
  <si>
    <t>2772</t>
  </si>
  <si>
    <t>11677228000137</t>
  </si>
  <si>
    <t>2773</t>
  </si>
  <si>
    <t>00071710331127</t>
  </si>
  <si>
    <t>2774</t>
  </si>
  <si>
    <t>OLIVEIRA &amp; LOPES LT</t>
  </si>
  <si>
    <t>54514294000603</t>
  </si>
  <si>
    <t>2775</t>
  </si>
  <si>
    <t>40983380000146</t>
  </si>
  <si>
    <t>2776</t>
  </si>
  <si>
    <t>LUIS NILSON LOPES SILVA SERV. E COM. EM GESSO</t>
  </si>
  <si>
    <t>FABRICA MUNDO DO GES</t>
  </si>
  <si>
    <t>19592168000161</t>
  </si>
  <si>
    <t>2777</t>
  </si>
  <si>
    <t>FRANCISCO ANTONIO DE FREITAS 07445922830</t>
  </si>
  <si>
    <t>FAF-SERVICOS DE ASSE</t>
  </si>
  <si>
    <t>46295644000155</t>
  </si>
  <si>
    <t>2778</t>
  </si>
  <si>
    <t>26286415000167</t>
  </si>
  <si>
    <t>2779</t>
  </si>
  <si>
    <t>04591672000170</t>
  </si>
  <si>
    <t>2780</t>
  </si>
  <si>
    <t>20701245000153</t>
  </si>
  <si>
    <t>2781</t>
  </si>
  <si>
    <t>CLAUDIO RIBEIRO DOS SANTOS</t>
  </si>
  <si>
    <t>CLAUDIO RIBEIRO DOS</t>
  </si>
  <si>
    <t>00006461588809</t>
  </si>
  <si>
    <t>2782</t>
  </si>
  <si>
    <t>34362189000184</t>
  </si>
  <si>
    <t>2783</t>
  </si>
  <si>
    <t>00002477781170</t>
  </si>
  <si>
    <t>2784</t>
  </si>
  <si>
    <t>39357312000192</t>
  </si>
  <si>
    <t>2785</t>
  </si>
  <si>
    <t>FAIZER ENGENHARIA LTDA</t>
  </si>
  <si>
    <t>FAIZER ENGENHARIA LT</t>
  </si>
  <si>
    <t>42567333000147</t>
  </si>
  <si>
    <t>2786</t>
  </si>
  <si>
    <t>FELIPE THIAGO DA ROCHA SANTOS</t>
  </si>
  <si>
    <t>FELIPE THIAGO DA ROC</t>
  </si>
  <si>
    <t>00050802753833</t>
  </si>
  <si>
    <t>2787</t>
  </si>
  <si>
    <t>CACILDO DE OLIVEIRA GUIMARAES</t>
  </si>
  <si>
    <t>CACILDO DE OLIVEIRA</t>
  </si>
  <si>
    <t>00011763237842</t>
  </si>
  <si>
    <t>2788</t>
  </si>
  <si>
    <t>FELIPE THIAGO DA ROCHA SANTOS 50802753833</t>
  </si>
  <si>
    <t>PINCEL DE OURO PINTU</t>
  </si>
  <si>
    <t>37788020000189</t>
  </si>
  <si>
    <t>2789</t>
  </si>
  <si>
    <t>GERALDO SOUTO DOS SANTOS 00801069513</t>
  </si>
  <si>
    <t>GERALDO TRANSPORTE</t>
  </si>
  <si>
    <t>31018592000100</t>
  </si>
  <si>
    <t>2790</t>
  </si>
  <si>
    <t>GABI EMBALAGENS LTDA</t>
  </si>
  <si>
    <t>43551361000139</t>
  </si>
  <si>
    <t>2791</t>
  </si>
  <si>
    <t>JF LIMPEZA PESADA LTDA</t>
  </si>
  <si>
    <t>JF LIMPEZA PESADA</t>
  </si>
  <si>
    <t>34293184000147</t>
  </si>
  <si>
    <t>2792</t>
  </si>
  <si>
    <t>JOEMY CONFECCOES LTDA</t>
  </si>
  <si>
    <t>JOEMY CONFECCOES LTD</t>
  </si>
  <si>
    <t>57900250000103</t>
  </si>
  <si>
    <t>2793</t>
  </si>
  <si>
    <t>00036190657800</t>
  </si>
  <si>
    <t>2794</t>
  </si>
  <si>
    <t>12442385000126</t>
  </si>
  <si>
    <t>2795</t>
  </si>
  <si>
    <t>SAINT-GOBAIN DISTRIBUICAO BRASIL LTDA</t>
  </si>
  <si>
    <t>TELHANORTE</t>
  </si>
  <si>
    <t>03840986003898</t>
  </si>
  <si>
    <t>2796</t>
  </si>
  <si>
    <t>MESALINHO ARTIGOS PARA FESTAS LTDA</t>
  </si>
  <si>
    <t>MESALINHO ARTIGOS PA</t>
  </si>
  <si>
    <t>00866284000101</t>
  </si>
  <si>
    <t>2797</t>
  </si>
  <si>
    <t>NOVO GESSO ROCHDALE EIRELI</t>
  </si>
  <si>
    <t>NOVO GESSO ROCHDALE</t>
  </si>
  <si>
    <t>14646589000104</t>
  </si>
  <si>
    <t>2798</t>
  </si>
  <si>
    <t>10294236000131</t>
  </si>
  <si>
    <t>2799</t>
  </si>
  <si>
    <t>GESSO EXPRESS EIRELI</t>
  </si>
  <si>
    <t>26796436000122</t>
  </si>
  <si>
    <t>2800</t>
  </si>
  <si>
    <t>46674839000106</t>
  </si>
  <si>
    <t>2801</t>
  </si>
  <si>
    <t>CENTRAL CABOS COMERCIO DE CONEXOES ELETRONICAS LTD</t>
  </si>
  <si>
    <t>CENTRAL CABOS</t>
  </si>
  <si>
    <t>08626431000170</t>
  </si>
  <si>
    <t>2802</t>
  </si>
  <si>
    <t>09967852022015</t>
  </si>
  <si>
    <t>2803</t>
  </si>
  <si>
    <t>19114125002033</t>
  </si>
  <si>
    <t>2804</t>
  </si>
  <si>
    <t>PRIMEX CENTER INTERLAGOS AUTO POSTO - EIRELI</t>
  </si>
  <si>
    <t>PRIMEX INTERLAGOS</t>
  </si>
  <si>
    <t>12234583000102</t>
  </si>
  <si>
    <t>2805</t>
  </si>
  <si>
    <t>10348318001274</t>
  </si>
  <si>
    <t>2806</t>
  </si>
  <si>
    <t>10348318000898</t>
  </si>
  <si>
    <t>2807</t>
  </si>
  <si>
    <t>REI DO PALLET COMERCIO DE EMBALAGENS EIRELI</t>
  </si>
  <si>
    <t>GRUPO REI</t>
  </si>
  <si>
    <t>09074525000146</t>
  </si>
  <si>
    <t>2808</t>
  </si>
  <si>
    <t>27713178000560</t>
  </si>
  <si>
    <t>2809</t>
  </si>
  <si>
    <t>00036395336827</t>
  </si>
  <si>
    <t>2810</t>
  </si>
  <si>
    <t>FEMEC LTDA</t>
  </si>
  <si>
    <t>FEMEC</t>
  </si>
  <si>
    <t>27350942000156</t>
  </si>
  <si>
    <t>2811</t>
  </si>
  <si>
    <t>MARCENARIA PLANALTO CENTRAL COMERCIO E SERVICOS LT</t>
  </si>
  <si>
    <t>MARCENARIA PLANALTO</t>
  </si>
  <si>
    <t>56266497000149</t>
  </si>
  <si>
    <t>2812</t>
  </si>
  <si>
    <t>33794132000191</t>
  </si>
  <si>
    <t>2813</t>
  </si>
  <si>
    <t>35490683000197</t>
  </si>
  <si>
    <t>2814</t>
  </si>
  <si>
    <t>11605971000181</t>
  </si>
  <si>
    <t>2815</t>
  </si>
  <si>
    <t>11095425000148</t>
  </si>
  <si>
    <t>2816</t>
  </si>
  <si>
    <t>00011612071716</t>
  </si>
  <si>
    <t>2817</t>
  </si>
  <si>
    <t>00097437360349</t>
  </si>
  <si>
    <t>2818</t>
  </si>
  <si>
    <t>REFRIGERACAO DUFRIO COMERCIO E IMPORTACAO S.A.</t>
  </si>
  <si>
    <t>REFRIGERACAO DUFRIO</t>
  </si>
  <si>
    <t>01754239003640</t>
  </si>
  <si>
    <t>2819</t>
  </si>
  <si>
    <t>00092379770182</t>
  </si>
  <si>
    <t>2820</t>
  </si>
  <si>
    <t>BANCO INTER S.A.</t>
  </si>
  <si>
    <t>00416968000101</t>
  </si>
  <si>
    <t>2821</t>
  </si>
  <si>
    <t>MASTER COMERCIAL DE TECNOLOGIAS E SISTEMAS LTDA</t>
  </si>
  <si>
    <t>MASTER COMERCIAL DE</t>
  </si>
  <si>
    <t>74446949000156</t>
  </si>
  <si>
    <t>2822</t>
  </si>
  <si>
    <t>29081058000199</t>
  </si>
  <si>
    <t>2823</t>
  </si>
  <si>
    <t>55395735000153</t>
  </si>
  <si>
    <t>2824</t>
  </si>
  <si>
    <t>JTC DISTRIBUIDORA EIRELI</t>
  </si>
  <si>
    <t>JTC DISTRIBUIDORA EI</t>
  </si>
  <si>
    <t>07612579000273</t>
  </si>
  <si>
    <t>2825</t>
  </si>
  <si>
    <t>02223966008874</t>
  </si>
  <si>
    <t>2826</t>
  </si>
  <si>
    <t>00023464468828</t>
  </si>
  <si>
    <t>2827</t>
  </si>
  <si>
    <t>28700483000156</t>
  </si>
  <si>
    <t>2828</t>
  </si>
  <si>
    <t>MILLENIUM E GI SERVICOS E APOIO ADMINISTRATIVOS LT</t>
  </si>
  <si>
    <t>MILLENIUM &amp; GI SERVI</t>
  </si>
  <si>
    <t>42359772000164</t>
  </si>
  <si>
    <t>2829</t>
  </si>
  <si>
    <t>CONCESSIONARIA DE RODOVIAS DO OESTE DE SAO PAULO -</t>
  </si>
  <si>
    <t>VIAOESTE</t>
  </si>
  <si>
    <t>02415408000150</t>
  </si>
  <si>
    <t>2830</t>
  </si>
  <si>
    <t>RODOVIAS DAS COLINAS S/A</t>
  </si>
  <si>
    <t>RODOVIAS DAS COLINAS</t>
  </si>
  <si>
    <t>03025305000146</t>
  </si>
  <si>
    <t>2831</t>
  </si>
  <si>
    <t>24 SUBDISTRITO REG CIVIL PESSOAS NATURAIS-INDIANOP</t>
  </si>
  <si>
    <t>24 SUBDISTRITO REG C</t>
  </si>
  <si>
    <t>00491751000158</t>
  </si>
  <si>
    <t>2832</t>
  </si>
  <si>
    <t>Z.A. DIGITAL DE SAO PAULO SISTEMA DE ESTACIONAMENT</t>
  </si>
  <si>
    <t>Z.A. DIGITAL DE SAO</t>
  </si>
  <si>
    <t>35993098000100</t>
  </si>
  <si>
    <t>2833</t>
  </si>
  <si>
    <t>DROGARIA RIVAFARMA LTDA.</t>
  </si>
  <si>
    <t>DROGARIA RIVAFARMA L</t>
  </si>
  <si>
    <t>28883780000184</t>
  </si>
  <si>
    <t>2834</t>
  </si>
  <si>
    <t>03221095001303</t>
  </si>
  <si>
    <t>2835</t>
  </si>
  <si>
    <t>MAKFIX MAQUINAS E ACESSORIOS PARA CONFECCOES EIREL</t>
  </si>
  <si>
    <t>MAKFIX MAQUINAS E AC</t>
  </si>
  <si>
    <t>05099084000186</t>
  </si>
  <si>
    <t>2836</t>
  </si>
  <si>
    <t>K. R. DE OLIVEIRA RODRIGUES DOS SANTOS</t>
  </si>
  <si>
    <t>PAPELARIA REVIR</t>
  </si>
  <si>
    <t>02607946000146</t>
  </si>
  <si>
    <t>2837</t>
  </si>
  <si>
    <t>CARLOS E. L. BRAGA POSTO</t>
  </si>
  <si>
    <t>MENDEL S MIX AUTO PO</t>
  </si>
  <si>
    <t>06224122000148</t>
  </si>
  <si>
    <t>2838</t>
  </si>
  <si>
    <t>FAVE COMERCIO E DISTRIBUIDORA LTDA</t>
  </si>
  <si>
    <t>FAVE COMERCIO E DIST</t>
  </si>
  <si>
    <t>32176007000155</t>
  </si>
  <si>
    <t>2839</t>
  </si>
  <si>
    <t>ELASTOBOR BORRACHAS E PLASTICOS LTDA</t>
  </si>
  <si>
    <t>ELASTOBOR BORRACHAS</t>
  </si>
  <si>
    <t>53840542000210</t>
  </si>
  <si>
    <t>2840</t>
  </si>
  <si>
    <t>PANDA - MATERIAIS ELETRICOS LTDA</t>
  </si>
  <si>
    <t>PANDA</t>
  </si>
  <si>
    <t>50989581000104</t>
  </si>
  <si>
    <t>2841</t>
  </si>
  <si>
    <t>MSM SECURITY SEGURANCA ELETRONICA EIRELI</t>
  </si>
  <si>
    <t>MSM SECURITY SEGURAN</t>
  </si>
  <si>
    <t>13512931000110</t>
  </si>
  <si>
    <t>2842</t>
  </si>
  <si>
    <t>36244270000195</t>
  </si>
  <si>
    <t>2843</t>
  </si>
  <si>
    <t>CHAVEIRO MANUEL</t>
  </si>
  <si>
    <t>00026482347800</t>
  </si>
  <si>
    <t>2844</t>
  </si>
  <si>
    <t>TENDA ATACADO SA</t>
  </si>
  <si>
    <t>TENDA ATACADO</t>
  </si>
  <si>
    <t>01157555000880</t>
  </si>
  <si>
    <t>2845</t>
  </si>
  <si>
    <t>ONEPABX TELECOM LTDA</t>
  </si>
  <si>
    <t>ONEPABX TELECOM</t>
  </si>
  <si>
    <t>22745500000195</t>
  </si>
  <si>
    <t>2846</t>
  </si>
  <si>
    <t>00027779667880</t>
  </si>
  <si>
    <t>2847</t>
  </si>
  <si>
    <t>09273125000160</t>
  </si>
  <si>
    <t>2848</t>
  </si>
  <si>
    <t>00024696706672</t>
  </si>
  <si>
    <t>2849</t>
  </si>
  <si>
    <t>POSTO ISOLA DERIVADOS DE PETROLEO LTDA</t>
  </si>
  <si>
    <t>POSTO ISOLA DERIVADO</t>
  </si>
  <si>
    <t>02872106000100</t>
  </si>
  <si>
    <t>2850</t>
  </si>
  <si>
    <t>42084462000184</t>
  </si>
  <si>
    <t>2851</t>
  </si>
  <si>
    <t>46788039000116</t>
  </si>
  <si>
    <t>2852</t>
  </si>
  <si>
    <t>SAO PAULO TRIBUNAL DE JUSTICA</t>
  </si>
  <si>
    <t>SP TJ</t>
  </si>
  <si>
    <t>51174001000193</t>
  </si>
  <si>
    <t>2853</t>
  </si>
  <si>
    <t>MM TEXTIL LTDA</t>
  </si>
  <si>
    <t>45281709000140</t>
  </si>
  <si>
    <t>2854</t>
  </si>
  <si>
    <t>TURBO CFTV DISTRIBUIDORA DE PRODUTOS ELETRONICOS E</t>
  </si>
  <si>
    <t>TURBO CFTV DISTRIBUI</t>
  </si>
  <si>
    <t>22533140000168</t>
  </si>
  <si>
    <t>2855</t>
  </si>
  <si>
    <t>LUCINEIA ROSA DE OLIVEIRA 32886550809</t>
  </si>
  <si>
    <t>INK TAPETES PERSONAL</t>
  </si>
  <si>
    <t>41223095000190</t>
  </si>
  <si>
    <t>2856</t>
  </si>
  <si>
    <t>46355898000111</t>
  </si>
  <si>
    <t>2857</t>
  </si>
  <si>
    <t>ELIANA DE AGUIAR GONCALVES 27984835810</t>
  </si>
  <si>
    <t>CAELY CONFECCOES</t>
  </si>
  <si>
    <t>46931435000150</t>
  </si>
  <si>
    <t>2858</t>
  </si>
  <si>
    <t>61486650088927</t>
  </si>
  <si>
    <t>2859</t>
  </si>
  <si>
    <t>COMERCIO DE MATERIAIS PARA CONSTRUÇÃO JOLY LTDA</t>
  </si>
  <si>
    <t>PRECO BAIXO E AQUI</t>
  </si>
  <si>
    <t>51769255000740</t>
  </si>
  <si>
    <t>2860</t>
  </si>
  <si>
    <t>ATACADAO S.A.</t>
  </si>
  <si>
    <t>ATACADAO S.A</t>
  </si>
  <si>
    <t>75315333022935</t>
  </si>
  <si>
    <t>2861</t>
  </si>
  <si>
    <t>RENATO DA SILVA 35877445804</t>
  </si>
  <si>
    <t>ARENA PRINT</t>
  </si>
  <si>
    <t>23855425000188</t>
  </si>
  <si>
    <t>2862</t>
  </si>
  <si>
    <t>CROSSLOG TRANSPORTES LTDA</t>
  </si>
  <si>
    <t>CROSSLOG TRANSPORTES</t>
  </si>
  <si>
    <t>11358046000101</t>
  </si>
  <si>
    <t>2863</t>
  </si>
  <si>
    <t>00097325015291</t>
  </si>
  <si>
    <t>2864</t>
  </si>
  <si>
    <t>RENAN ROCHA ALVES 33259752838</t>
  </si>
  <si>
    <t>TRANSAGUA</t>
  </si>
  <si>
    <t>28031877000169</t>
  </si>
  <si>
    <t>2865</t>
  </si>
  <si>
    <t>LAVA RAPIDO PREMIER OMEGA LTDA.</t>
  </si>
  <si>
    <t>LAVA RAPIDO PREMIER</t>
  </si>
  <si>
    <t>42735703000108</t>
  </si>
  <si>
    <t>2866</t>
  </si>
  <si>
    <t>TF LOGISTICA TRANSPORTES EIRELI</t>
  </si>
  <si>
    <t>TRANSFAX</t>
  </si>
  <si>
    <t>35444914000126</t>
  </si>
  <si>
    <t>2867</t>
  </si>
  <si>
    <t>FAF COMERCIO TEXTIL UNIPESSOAL LTDA</t>
  </si>
  <si>
    <t>FAF TEXTIL</t>
  </si>
  <si>
    <t>47104289000152</t>
  </si>
  <si>
    <t>2868</t>
  </si>
  <si>
    <t>MAURICIO MATHIAS FILHO 49699252839</t>
  </si>
  <si>
    <t>M&amp;M SERRALHERIA</t>
  </si>
  <si>
    <t>41372127000119</t>
  </si>
  <si>
    <t>2869</t>
  </si>
  <si>
    <t>FRANS COMERCIO DE PRODUTOS LTDA</t>
  </si>
  <si>
    <t>FRANS COMERCIO DE PR</t>
  </si>
  <si>
    <t>01566615000142</t>
  </si>
  <si>
    <t>2870</t>
  </si>
  <si>
    <t>ANNA B - IMPORTACAO E EXPORTACAO LTDA.</t>
  </si>
  <si>
    <t>ANNA B - IMPORTACAO</t>
  </si>
  <si>
    <t>39403695000198</t>
  </si>
  <si>
    <t>2871</t>
  </si>
  <si>
    <t>ANINHA BOLOS E SALGADOS</t>
  </si>
  <si>
    <t>ANINHA BOLOS E SALGA</t>
  </si>
  <si>
    <t>00086169025468</t>
  </si>
  <si>
    <t>2872</t>
  </si>
  <si>
    <t>EDILSON SERRA DOS SANTOS</t>
  </si>
  <si>
    <t>EDMIL UTILIDADES</t>
  </si>
  <si>
    <t>02378406000138</t>
  </si>
  <si>
    <t>2873</t>
  </si>
  <si>
    <t>ARMARINHOS FERNANDO LTDA</t>
  </si>
  <si>
    <t>ARMARINHOS FERNANDO</t>
  </si>
  <si>
    <t>48076228002569</t>
  </si>
  <si>
    <t>2874</t>
  </si>
  <si>
    <t>24730538000110</t>
  </si>
  <si>
    <t>2875</t>
  </si>
  <si>
    <t>11371433000170</t>
  </si>
  <si>
    <t>2876</t>
  </si>
  <si>
    <t>ALINE DA COSTA MARTINS</t>
  </si>
  <si>
    <t>ALINE DA COSTA MARTI</t>
  </si>
  <si>
    <t>00038803428810</t>
  </si>
  <si>
    <t>2877</t>
  </si>
  <si>
    <t>MARCIA SANTOS DE JESUS</t>
  </si>
  <si>
    <t>MARCIA SANTOS DE JES</t>
  </si>
  <si>
    <t>00027504836893</t>
  </si>
  <si>
    <t>2878</t>
  </si>
  <si>
    <t>JENNIFER BASTOS RIBEIRO DA SILVA</t>
  </si>
  <si>
    <t>JENNIFER BASTOS RIBE</t>
  </si>
  <si>
    <t>00032951711816</t>
  </si>
  <si>
    <t>2879</t>
  </si>
  <si>
    <t>FLADIMY DAGOBERTO FERREIRA</t>
  </si>
  <si>
    <t>FLADIMY DAGOBERTO FE</t>
  </si>
  <si>
    <t>00040536358885</t>
  </si>
  <si>
    <t>2880</t>
  </si>
  <si>
    <t>JOAO PAULO MARQUES PAIVA MATERIAIS DE CONSTRUCAO</t>
  </si>
  <si>
    <t>JM MATERIAL DE CONST</t>
  </si>
  <si>
    <t>36594187000146</t>
  </si>
  <si>
    <t>2881</t>
  </si>
  <si>
    <t>VERISURE BRASIL MONITORAMENTO DE ALARMES S.A</t>
  </si>
  <si>
    <t>VERISURE BRASIL MONI</t>
  </si>
  <si>
    <t>11660106000138</t>
  </si>
  <si>
    <t>2882</t>
  </si>
  <si>
    <t>PADOCA DA PRACA PADARIA E CONFEITARIA EIRELI</t>
  </si>
  <si>
    <t>PADOCA DA PRACA</t>
  </si>
  <si>
    <t>38091946000183</t>
  </si>
  <si>
    <t>2883</t>
  </si>
  <si>
    <t>00047284510463</t>
  </si>
  <si>
    <t>2884</t>
  </si>
  <si>
    <t>A.G.S. CARGO LTDA</t>
  </si>
  <si>
    <t>03221699000108</t>
  </si>
  <si>
    <t>2885</t>
  </si>
  <si>
    <t>08969518000140</t>
  </si>
  <si>
    <t>2886</t>
  </si>
  <si>
    <t>00022005673838</t>
  </si>
  <si>
    <t>2887</t>
  </si>
  <si>
    <t>07196444000193</t>
  </si>
  <si>
    <t>2888</t>
  </si>
  <si>
    <t>FACTORY X ENVELOPAMENTO LTDA</t>
  </si>
  <si>
    <t>FACTORY X</t>
  </si>
  <si>
    <t>13726555000167</t>
  </si>
  <si>
    <t>2889</t>
  </si>
  <si>
    <t>CELF GRAFICA EXPRESS LTDA</t>
  </si>
  <si>
    <t>CELF GRAFICA EXPRESS</t>
  </si>
  <si>
    <t>46438290000150</t>
  </si>
  <si>
    <t>2890</t>
  </si>
  <si>
    <t>RODOVIARIO BEDIN LIMITADA</t>
  </si>
  <si>
    <t>RODOVIARIO BEDIN LIM</t>
  </si>
  <si>
    <t>43025774000180</t>
  </si>
  <si>
    <t>2891</t>
  </si>
  <si>
    <t>E.L. GREGORIN SANT ANA INFORMATICA LTDA</t>
  </si>
  <si>
    <t>E.L. GREGORIN SANT A</t>
  </si>
  <si>
    <t>10464003000130</t>
  </si>
  <si>
    <t>2892</t>
  </si>
  <si>
    <t>26568261000104</t>
  </si>
  <si>
    <t>2893</t>
  </si>
  <si>
    <t>MONTE FUJI DESENTUPIDORA E DEDETIZADORA LTDA</t>
  </si>
  <si>
    <t>MONTE FUJI</t>
  </si>
  <si>
    <t>05889593000102</t>
  </si>
  <si>
    <t>2894</t>
  </si>
  <si>
    <t>M C R RODRIGUES COMERCIO DE DOCES LTDA</t>
  </si>
  <si>
    <t>M C R RODRIGUES COME</t>
  </si>
  <si>
    <t>47019673000157</t>
  </si>
  <si>
    <t>2895</t>
  </si>
  <si>
    <t>ANDRADE &amp; LAMEIRA LTDA</t>
  </si>
  <si>
    <t>ANDRADE &amp; LAMEIRA LT</t>
  </si>
  <si>
    <t>03264803000141</t>
  </si>
  <si>
    <t>2896</t>
  </si>
  <si>
    <t>ESTRELA COMERCIO E SERVICOS DE LUBRIFICANTES LTDA</t>
  </si>
  <si>
    <t>ESTRELA COMERCIO E S</t>
  </si>
  <si>
    <t>08948026000178</t>
  </si>
  <si>
    <t>2897</t>
  </si>
  <si>
    <t>43283811001717</t>
  </si>
  <si>
    <t>2898</t>
  </si>
  <si>
    <t>00001545512019</t>
  </si>
  <si>
    <t>2899</t>
  </si>
  <si>
    <t>PANIFICADORA DELIKATESSE XI LTDA</t>
  </si>
  <si>
    <t>PANIFICADORA DELIKAT</t>
  </si>
  <si>
    <t>16790749000110</t>
  </si>
  <si>
    <t>2900</t>
  </si>
  <si>
    <t>00006452001825</t>
  </si>
  <si>
    <t>2901</t>
  </si>
  <si>
    <t>32042510000118</t>
  </si>
  <si>
    <t>2902</t>
  </si>
  <si>
    <t>00082414467568</t>
  </si>
  <si>
    <t>2903</t>
  </si>
  <si>
    <t>00011891551680</t>
  </si>
  <si>
    <t>2904</t>
  </si>
  <si>
    <t>00010173758878</t>
  </si>
  <si>
    <t>2905</t>
  </si>
  <si>
    <t>15497202000168</t>
  </si>
  <si>
    <t>2906</t>
  </si>
  <si>
    <t>CENTRAL DOCUMENTOS SERVICOS LTDA.</t>
  </si>
  <si>
    <t>CENTRAL DOCUMENTOS S</t>
  </si>
  <si>
    <t>18983737000137</t>
  </si>
  <si>
    <t>2907</t>
  </si>
  <si>
    <t>R2 COMERCIAL E SERVICOS DE COSTURA LTDA</t>
  </si>
  <si>
    <t>ALMEIDA COSTURA</t>
  </si>
  <si>
    <t>34457852000124</t>
  </si>
  <si>
    <t>2908</t>
  </si>
  <si>
    <t>MOMENT LOCACOES E EVENTOS LTDA</t>
  </si>
  <si>
    <t>MOMENT LOCACOES E EV</t>
  </si>
  <si>
    <t>05018998000175</t>
  </si>
  <si>
    <t>2909</t>
  </si>
  <si>
    <t>IRENE P. FORMIGONI COMERCIO DE MAQUINAS DE COSTURA</t>
  </si>
  <si>
    <t>SPEED MAC COMERCIO D</t>
  </si>
  <si>
    <t>22005662000197</t>
  </si>
  <si>
    <t>2910</t>
  </si>
  <si>
    <t>SILVICLEIA MARIA DE CARVALHO</t>
  </si>
  <si>
    <t>REAL PRIMAVERA</t>
  </si>
  <si>
    <t>05283092000188</t>
  </si>
  <si>
    <t>2911</t>
  </si>
  <si>
    <t>PAYMEE BRASIL INSTITUICAO DE PAGAMENTO SA</t>
  </si>
  <si>
    <t>PAYMEE BRASIL INSTIT</t>
  </si>
  <si>
    <t>28683892000191</t>
  </si>
  <si>
    <t>2912</t>
  </si>
  <si>
    <t>CAIXA CARTOES PRE-PAGOS S.A.</t>
  </si>
  <si>
    <t>CAIXA CARTOES PRE-PA</t>
  </si>
  <si>
    <t>39459331000634</t>
  </si>
  <si>
    <t>2913</t>
  </si>
  <si>
    <t>42913404000116</t>
  </si>
  <si>
    <t>2914</t>
  </si>
  <si>
    <t>ZURC ETIQUETAS SERVICOS ADMINISTRATIVOS LTDA</t>
  </si>
  <si>
    <t>TEMPO NOVO</t>
  </si>
  <si>
    <t>06160443000126</t>
  </si>
  <si>
    <t>2915</t>
  </si>
  <si>
    <t>17748882000170</t>
  </si>
  <si>
    <t>2916</t>
  </si>
  <si>
    <t>ART VIT PAPELARIA - EIRELI</t>
  </si>
  <si>
    <t>ART VIT PAPELARIA -</t>
  </si>
  <si>
    <t>05443026000128</t>
  </si>
  <si>
    <t>2917</t>
  </si>
  <si>
    <t>TRANSPORTES E MUDANCAS REIS ARAGAO LTDA</t>
  </si>
  <si>
    <t>TRANSPORTES E MUDANC</t>
  </si>
  <si>
    <t>17706435000582</t>
  </si>
  <si>
    <t>2918</t>
  </si>
  <si>
    <t>22220104000144</t>
  </si>
  <si>
    <t>2919</t>
  </si>
  <si>
    <t>13655202000628</t>
  </si>
  <si>
    <t>2920</t>
  </si>
  <si>
    <t>MARIA ANITA DE MORAES 07279174809</t>
  </si>
  <si>
    <t>ICO.</t>
  </si>
  <si>
    <t>30853258000100</t>
  </si>
  <si>
    <t>2921</t>
  </si>
  <si>
    <t>GABRIEL CALABRESE DOSA SANTOS DA SILVA</t>
  </si>
  <si>
    <t>GABRIEL CALABRESE DO</t>
  </si>
  <si>
    <t>00011650820470</t>
  </si>
  <si>
    <t>2922</t>
  </si>
  <si>
    <t>10355528000137</t>
  </si>
  <si>
    <t>2923</t>
  </si>
  <si>
    <t>DON COMERCIO E IMPORTACAO DE EMBALAGENS UNIPESSOAL</t>
  </si>
  <si>
    <t>DON EMBALAGENS</t>
  </si>
  <si>
    <t>20606930000109</t>
  </si>
  <si>
    <t>2924</t>
  </si>
  <si>
    <t>LEROY MERLIN COMPANHIA BRASILEIRA DE BRICOLAGEM</t>
  </si>
  <si>
    <t>LEROY MERLIN COMPANH</t>
  </si>
  <si>
    <t>01438784000288</t>
  </si>
  <si>
    <t>2925</t>
  </si>
  <si>
    <t>00041700274856</t>
  </si>
  <si>
    <t>2926</t>
  </si>
  <si>
    <t>05008748000154</t>
  </si>
  <si>
    <t>2927</t>
  </si>
  <si>
    <t>06758888000374</t>
  </si>
  <si>
    <t>2928</t>
  </si>
  <si>
    <t>00004141988405</t>
  </si>
  <si>
    <t>2929</t>
  </si>
  <si>
    <t>06311274000420</t>
  </si>
  <si>
    <t>2930</t>
  </si>
  <si>
    <t>00036852788865</t>
  </si>
  <si>
    <t>2931</t>
  </si>
  <si>
    <t>BARONE REPRESENTAÇÕES S/C LTDA</t>
  </si>
  <si>
    <t>BARONE ZETAFLEX</t>
  </si>
  <si>
    <t>96532999000199</t>
  </si>
  <si>
    <t>2932</t>
  </si>
  <si>
    <t>R&amp;C REPRESENTAÇÕES &amp; SERVIÇOS LTDA</t>
  </si>
  <si>
    <t>21545209000100</t>
  </si>
  <si>
    <t>2933</t>
  </si>
  <si>
    <t>23604412000136</t>
  </si>
  <si>
    <t>2934</t>
  </si>
  <si>
    <t>SECRETARIA DA FAZENDA E PLANEJAMENTO</t>
  </si>
  <si>
    <t>GNRE</t>
  </si>
  <si>
    <t>46377222000129</t>
  </si>
  <si>
    <t>2935</t>
  </si>
  <si>
    <t>00001822469902</t>
  </si>
  <si>
    <t>2936</t>
  </si>
  <si>
    <t>JOLI</t>
  </si>
  <si>
    <t>51769255002106</t>
  </si>
  <si>
    <t>2937</t>
  </si>
  <si>
    <t>18522330000102</t>
  </si>
  <si>
    <t>2938</t>
  </si>
  <si>
    <t>39720041000198</t>
  </si>
  <si>
    <t>2939</t>
  </si>
  <si>
    <t>00000822642603</t>
  </si>
  <si>
    <t>2940</t>
  </si>
  <si>
    <t>00085585262220</t>
  </si>
  <si>
    <t>2941</t>
  </si>
  <si>
    <t>34094841000127</t>
  </si>
  <si>
    <t>2942</t>
  </si>
  <si>
    <t>00036717760800</t>
  </si>
  <si>
    <t>2943</t>
  </si>
  <si>
    <t>45668011000182</t>
  </si>
  <si>
    <t>2944</t>
  </si>
  <si>
    <t>NIK PRINT COMUNICACAO E SERVICOS LTDA.</t>
  </si>
  <si>
    <t>NIK PRINT COMUNICACA</t>
  </si>
  <si>
    <t>46240914000120</t>
  </si>
  <si>
    <t>2945</t>
  </si>
  <si>
    <t>00041772231827</t>
  </si>
  <si>
    <t>2946</t>
  </si>
  <si>
    <t>00035024881850</t>
  </si>
  <si>
    <t>2947</t>
  </si>
  <si>
    <t>LOCCITANE DO BRASIL</t>
  </si>
  <si>
    <t>03276090000136</t>
  </si>
  <si>
    <t>2948</t>
  </si>
  <si>
    <t>ABGRAFICA LTDA</t>
  </si>
  <si>
    <t>51531564000191</t>
  </si>
  <si>
    <t>2949</t>
  </si>
  <si>
    <t>47020612000100</t>
  </si>
  <si>
    <t>2950</t>
  </si>
  <si>
    <t>DROGA VIVER COM SAUDE LTDA</t>
  </si>
  <si>
    <t>ULTRAFARMA POPULAR</t>
  </si>
  <si>
    <t>62093455000580</t>
  </si>
  <si>
    <t>2951</t>
  </si>
  <si>
    <t>TRANSPORTADORA EDUARDO LTDA</t>
  </si>
  <si>
    <t>TRANSP EDUARDO</t>
  </si>
  <si>
    <t>80157936000160</t>
  </si>
  <si>
    <t>2952</t>
  </si>
  <si>
    <t>ARTMAQUINAS COMERCIO DE MAQUINAS DE COSTURA - EIRE</t>
  </si>
  <si>
    <t>ARTMAQUINAS COMERCIO</t>
  </si>
  <si>
    <t>71613293000120</t>
  </si>
  <si>
    <t>2953</t>
  </si>
  <si>
    <t>ADG COMERCIO DE IMPRESSOS E ADESIVOS LTDA</t>
  </si>
  <si>
    <t>ADG IMPRESSOS E ADES</t>
  </si>
  <si>
    <t>22414450000163</t>
  </si>
  <si>
    <t>2954</t>
  </si>
  <si>
    <t>00003235694129</t>
  </si>
  <si>
    <t>2955</t>
  </si>
  <si>
    <t>14361399000140</t>
  </si>
  <si>
    <t>2956</t>
  </si>
  <si>
    <t>40050039000138</t>
  </si>
  <si>
    <t>2957</t>
  </si>
  <si>
    <t>00082645566049</t>
  </si>
  <si>
    <t>2958</t>
  </si>
  <si>
    <t>34561131000160</t>
  </si>
  <si>
    <t>2959</t>
  </si>
  <si>
    <t>00119690000100</t>
  </si>
  <si>
    <t>2960</t>
  </si>
  <si>
    <t>07045025000150</t>
  </si>
  <si>
    <t>2961</t>
  </si>
  <si>
    <t>29890858000150</t>
  </si>
  <si>
    <t>2962</t>
  </si>
  <si>
    <t>MATELES LAUNDRY SERVIÇOS EIRELI</t>
  </si>
  <si>
    <t>MATELES</t>
  </si>
  <si>
    <t>35712717000140</t>
  </si>
  <si>
    <t>2963</t>
  </si>
  <si>
    <t>22555275000124</t>
  </si>
  <si>
    <t>2964</t>
  </si>
  <si>
    <t>SP LASER COPIAS ESPECIAIS LTDA</t>
  </si>
  <si>
    <t>SP LASER COPIAS ESPE</t>
  </si>
  <si>
    <t>86765500000130</t>
  </si>
  <si>
    <t>2965</t>
  </si>
  <si>
    <t>62413877004744</t>
  </si>
  <si>
    <t>2966</t>
  </si>
  <si>
    <t>62413877004663</t>
  </si>
  <si>
    <t>2967</t>
  </si>
  <si>
    <t>AFP LACRES, PLACAS, SISTEMAS E SERVICOS EIRELI</t>
  </si>
  <si>
    <t>AFP LACRES, PLACAS,</t>
  </si>
  <si>
    <t>11737260000160</t>
  </si>
  <si>
    <t>2968</t>
  </si>
  <si>
    <t>06047087004550</t>
  </si>
  <si>
    <t>2969</t>
  </si>
  <si>
    <t>TRIART BRASIL LOCAÇÃO DE BENS MOVEIS</t>
  </si>
  <si>
    <t>TRIART</t>
  </si>
  <si>
    <t>04810864000120</t>
  </si>
  <si>
    <t>2970</t>
  </si>
  <si>
    <t>47581872000154</t>
  </si>
  <si>
    <t>2971</t>
  </si>
  <si>
    <t>20990112000144</t>
  </si>
  <si>
    <t>2972</t>
  </si>
  <si>
    <t>05267012000109</t>
  </si>
  <si>
    <t>2973</t>
  </si>
  <si>
    <t>33458594000138</t>
  </si>
  <si>
    <t>2974</t>
  </si>
  <si>
    <t>47819032000187</t>
  </si>
  <si>
    <t>2975</t>
  </si>
  <si>
    <t>06311274000692</t>
  </si>
  <si>
    <t>2976</t>
  </si>
  <si>
    <t>ADEMAR JOSE DOS SANTOS 27759960867</t>
  </si>
  <si>
    <t>ADEMAR MAQUINAS DE C</t>
  </si>
  <si>
    <t>36499988000122</t>
  </si>
  <si>
    <t>2977</t>
  </si>
  <si>
    <t>54651716001150</t>
  </si>
  <si>
    <t>2978</t>
  </si>
  <si>
    <t>ALADIM DECORACOES LTDA</t>
  </si>
  <si>
    <t>ALADIM DECORACOES LT</t>
  </si>
  <si>
    <t>60890381000153</t>
  </si>
  <si>
    <t>2979</t>
  </si>
  <si>
    <t>00000081647620</t>
  </si>
  <si>
    <t>2980</t>
  </si>
  <si>
    <t>00007421233407</t>
  </si>
  <si>
    <t>2981</t>
  </si>
  <si>
    <t>ESTUDIO MIX CONTEUDO LTDA</t>
  </si>
  <si>
    <t>MINIMUNDO</t>
  </si>
  <si>
    <t>23857736000186</t>
  </si>
  <si>
    <t>2982</t>
  </si>
  <si>
    <t>00001930918011</t>
  </si>
  <si>
    <t>2983</t>
  </si>
  <si>
    <t>LAGOS DO SUL RESTAURANTE E PIZZARIA LTDA</t>
  </si>
  <si>
    <t>LAGOS DO SUL RESTAUR</t>
  </si>
  <si>
    <t>21756177000192</t>
  </si>
  <si>
    <t>2984</t>
  </si>
  <si>
    <t>00004179383144</t>
  </si>
  <si>
    <t>2985</t>
  </si>
  <si>
    <t>00011621512770</t>
  </si>
  <si>
    <t>2986</t>
  </si>
  <si>
    <t>JULIANA SOLDAN BERTOLA DUTRA</t>
  </si>
  <si>
    <t>JULIANA SOLDAN BERTO</t>
  </si>
  <si>
    <t>00024890095837</t>
  </si>
  <si>
    <t>2987</t>
  </si>
  <si>
    <t>33384171000110</t>
  </si>
  <si>
    <t>2988</t>
  </si>
  <si>
    <t>KB IMPORTACAO, EXPORTACAO, CONFECCAO E COMERCIO DE</t>
  </si>
  <si>
    <t>KB IMPORT</t>
  </si>
  <si>
    <t>22175360000167</t>
  </si>
  <si>
    <t>2989</t>
  </si>
  <si>
    <t>24045527000109</t>
  </si>
  <si>
    <t>2990</t>
  </si>
  <si>
    <t>VITTORIO PACCHIAROTTI COMERCIO DE COMBUSTIVEIS EIR</t>
  </si>
  <si>
    <t>VITTORIO PACCHIAROTT</t>
  </si>
  <si>
    <t>47993050000180</t>
  </si>
  <si>
    <t>2991</t>
  </si>
  <si>
    <t>VIVE BRAND - CONFECCAO DO VESTUARIO LTDA</t>
  </si>
  <si>
    <t>VIVE BRAND</t>
  </si>
  <si>
    <t>09223907000194</t>
  </si>
  <si>
    <t>2992</t>
  </si>
  <si>
    <t>61014841000142</t>
  </si>
  <si>
    <t>2993</t>
  </si>
  <si>
    <t>00038005867468</t>
  </si>
  <si>
    <t>2994</t>
  </si>
  <si>
    <t>ASIA SHIPPING TRANSPORTES INTERNACIONAIS LTDA</t>
  </si>
  <si>
    <t>ASIA SHIPPING TRANSP</t>
  </si>
  <si>
    <t>01137526000180</t>
  </si>
  <si>
    <t>2995</t>
  </si>
  <si>
    <t>00006991007633</t>
  </si>
  <si>
    <t>2996</t>
  </si>
  <si>
    <t>PLENITUDE COMERCIO DE EMBALAGENS LTDA</t>
  </si>
  <si>
    <t>PLENITUDE COMERCIO D</t>
  </si>
  <si>
    <t>14773073000120</t>
  </si>
  <si>
    <t>2997</t>
  </si>
  <si>
    <t>FAYARD ORGANIZAÇÃO E SERVIÇOS EMPRESARIAIS LTDA EP</t>
  </si>
  <si>
    <t>FAYARD</t>
  </si>
  <si>
    <t>18339174000149</t>
  </si>
  <si>
    <t>2998</t>
  </si>
  <si>
    <t>24544207000195</t>
  </si>
  <si>
    <t>2999</t>
  </si>
  <si>
    <t>14990114000130</t>
  </si>
  <si>
    <t>3000</t>
  </si>
  <si>
    <t>73917502000155</t>
  </si>
  <si>
    <t>3001</t>
  </si>
  <si>
    <t>28056219000121</t>
  </si>
  <si>
    <t>3002</t>
  </si>
  <si>
    <t>00008126264608</t>
  </si>
  <si>
    <t>3003</t>
  </si>
  <si>
    <t>SENDAS DISTRIBUIDORA S/A</t>
  </si>
  <si>
    <t>SENDAS DISTRIBUIDORA</t>
  </si>
  <si>
    <t>06057223041528</t>
  </si>
  <si>
    <t>3004</t>
  </si>
  <si>
    <t>00004230333870</t>
  </si>
  <si>
    <t>3005</t>
  </si>
  <si>
    <t>AUTO POSTO CAPIM FINO LTDA</t>
  </si>
  <si>
    <t>AUTO POSTO CAPIM FIN</t>
  </si>
  <si>
    <t>27411731000186</t>
  </si>
  <si>
    <t>3006</t>
  </si>
  <si>
    <t>BVQI DO BRASIL SOCIEDADE CERTIFICADORA LTDA</t>
  </si>
  <si>
    <t>BVQI DO BRASIL SOCIE</t>
  </si>
  <si>
    <t>72368012000265</t>
  </si>
  <si>
    <t>3007</t>
  </si>
  <si>
    <t>LUCAS FERRARI SILVA 31262291828</t>
  </si>
  <si>
    <t>FERRARI SOLUCOES</t>
  </si>
  <si>
    <t>22338629000189</t>
  </si>
  <si>
    <t>3008</t>
  </si>
  <si>
    <t>FIACAO E TECELAGEM SAO GERALDO LTDA</t>
  </si>
  <si>
    <t>SÃO GERALDO</t>
  </si>
  <si>
    <t>19791227000120</t>
  </si>
  <si>
    <t>3009</t>
  </si>
  <si>
    <t>FRANCISCO CARLOS DA SILVA 26722721825</t>
  </si>
  <si>
    <t>FRAN CARIMBOS</t>
  </si>
  <si>
    <t>26991774000115</t>
  </si>
  <si>
    <t>3010</t>
  </si>
  <si>
    <t>00005984496712</t>
  </si>
  <si>
    <t>3011</t>
  </si>
  <si>
    <t>48417038000190</t>
  </si>
  <si>
    <t>3012</t>
  </si>
  <si>
    <t>CHURRASCARIA CAMPO BELO LTDA</t>
  </si>
  <si>
    <t>CHURRASCARIA CAMPO B</t>
  </si>
  <si>
    <t>44597864000108</t>
  </si>
  <si>
    <t>3013</t>
  </si>
  <si>
    <t>33062460000284</t>
  </si>
  <si>
    <t>3014</t>
  </si>
  <si>
    <t>07612958000182</t>
  </si>
  <si>
    <t>3015</t>
  </si>
  <si>
    <t>16835228000131</t>
  </si>
  <si>
    <t>3016</t>
  </si>
  <si>
    <t>42970773000140</t>
  </si>
  <si>
    <t>3017</t>
  </si>
  <si>
    <t>00005794143886</t>
  </si>
  <si>
    <t>3018</t>
  </si>
  <si>
    <t>CICERO ALEXSON LIMA DE OLIVEIRA</t>
  </si>
  <si>
    <t>CICERO ALEXSON LIMA</t>
  </si>
  <si>
    <t>00027427259890</t>
  </si>
  <si>
    <t>3019</t>
  </si>
  <si>
    <t>00000000003019</t>
  </si>
  <si>
    <t>3020</t>
  </si>
  <si>
    <t>00023159612899</t>
  </si>
  <si>
    <t>3021</t>
  </si>
  <si>
    <t>707 AUTO-SERVICO DE ALIMENTOS LTDA</t>
  </si>
  <si>
    <t>707 AKKI ATACADISTA</t>
  </si>
  <si>
    <t>12539517000132</t>
  </si>
  <si>
    <t>3022</t>
  </si>
  <si>
    <t>00029555409862</t>
  </si>
  <si>
    <t>3023</t>
  </si>
  <si>
    <t>00041641469668</t>
  </si>
  <si>
    <t>3024</t>
  </si>
  <si>
    <t>00009636591970</t>
  </si>
  <si>
    <t>3025</t>
  </si>
  <si>
    <t>09341293000307</t>
  </si>
  <si>
    <t>3026</t>
  </si>
  <si>
    <t>07127753000101</t>
  </si>
  <si>
    <t>3027</t>
  </si>
  <si>
    <t>00088025632253</t>
  </si>
  <si>
    <t>3028</t>
  </si>
  <si>
    <t>00032885087889</t>
  </si>
  <si>
    <t>3029</t>
  </si>
  <si>
    <t>POUSADA MIRANTE EMPREENDIMENTOS TURISTICOS LTDA</t>
  </si>
  <si>
    <t>POUSADA HAMARES NORO</t>
  </si>
  <si>
    <t>31472303000130</t>
  </si>
  <si>
    <t>3030</t>
  </si>
  <si>
    <t>05439543000123</t>
  </si>
  <si>
    <t>3031</t>
  </si>
  <si>
    <t>00022206508800</t>
  </si>
  <si>
    <t>3032</t>
  </si>
  <si>
    <t>49004456000119</t>
  </si>
  <si>
    <t>3033</t>
  </si>
  <si>
    <t>16554034000168</t>
  </si>
  <si>
    <t>3034</t>
  </si>
  <si>
    <t>OVD PRINT COMUNICACAO VISUAL LTDA</t>
  </si>
  <si>
    <t>OVD PRINT COMUNICACA</t>
  </si>
  <si>
    <t>16977008000142</t>
  </si>
  <si>
    <t>3035</t>
  </si>
  <si>
    <t>00038438575803</t>
  </si>
  <si>
    <t>3036</t>
  </si>
  <si>
    <t>PAULETTE PATRICIO</t>
  </si>
  <si>
    <t>PAULETTE</t>
  </si>
  <si>
    <t>00033239409895</t>
  </si>
  <si>
    <t>3037</t>
  </si>
  <si>
    <t>COMERCIAL DE AVIAMENTOS ALFA LTDA</t>
  </si>
  <si>
    <t>ALFA AVIAMENTOS</t>
  </si>
  <si>
    <t>06278448000158</t>
  </si>
  <si>
    <t>3038</t>
  </si>
  <si>
    <t>ROGERIO JOSE DE SANTANA JESUS</t>
  </si>
  <si>
    <t>ROGERIO</t>
  </si>
  <si>
    <t>18172401000194</t>
  </si>
  <si>
    <t>3039</t>
  </si>
  <si>
    <t>00022992444847</t>
  </si>
  <si>
    <t>3040</t>
  </si>
  <si>
    <t>31460260000173</t>
  </si>
  <si>
    <t>3041</t>
  </si>
  <si>
    <t>24878066000651</t>
  </si>
  <si>
    <t>3042</t>
  </si>
  <si>
    <t>PRINCESA COMERCIO DE CAMA,MESA E BANHO LTDA ME</t>
  </si>
  <si>
    <t>PRINCESA TOALHAS</t>
  </si>
  <si>
    <t>26105750000111</t>
  </si>
  <si>
    <t>3043</t>
  </si>
  <si>
    <t>33026264000173</t>
  </si>
  <si>
    <t>3044</t>
  </si>
  <si>
    <t>00001273775309</t>
  </si>
  <si>
    <t>3045</t>
  </si>
  <si>
    <t>SP CONTROLE DE PRAGAS LTDA</t>
  </si>
  <si>
    <t>36983840000169</t>
  </si>
  <si>
    <t>3046</t>
  </si>
  <si>
    <t>ACCOR</t>
  </si>
  <si>
    <t>09967852015744</t>
  </si>
  <si>
    <t>3047</t>
  </si>
  <si>
    <t>ELIANA SOUZA SANTOS</t>
  </si>
  <si>
    <t>ELIANA</t>
  </si>
  <si>
    <t>00028329736806</t>
  </si>
  <si>
    <t>3048</t>
  </si>
  <si>
    <t>GLEYCE PEREIRA DA SILVA SANTOS</t>
  </si>
  <si>
    <t>GLEYSE</t>
  </si>
  <si>
    <t>00044837204813</t>
  </si>
  <si>
    <t>3049</t>
  </si>
  <si>
    <t>ISABELLA PASCHOAL BARBOSA</t>
  </si>
  <si>
    <t>ISABELLA</t>
  </si>
  <si>
    <t>33900157000122</t>
  </si>
  <si>
    <t>3050</t>
  </si>
  <si>
    <t>41636450000152</t>
  </si>
  <si>
    <t>3051</t>
  </si>
  <si>
    <t>DE PINEDO BAR E LANCHES LTDA</t>
  </si>
  <si>
    <t>DE PINEDO</t>
  </si>
  <si>
    <t>08178120000195</t>
  </si>
  <si>
    <t>3052</t>
  </si>
  <si>
    <t>00014353532774</t>
  </si>
  <si>
    <t>3053</t>
  </si>
  <si>
    <t>61346318000113</t>
  </si>
  <si>
    <t>3054</t>
  </si>
  <si>
    <t>13625175000136</t>
  </si>
  <si>
    <t>3055</t>
  </si>
  <si>
    <t>02584924005096</t>
  </si>
  <si>
    <t>3056</t>
  </si>
  <si>
    <t>E-MOTOR AUTOMOTIVE SERVICE LTDA</t>
  </si>
  <si>
    <t>E-MOTOR AUTOMOTIVE S</t>
  </si>
  <si>
    <t>06160372000161</t>
  </si>
  <si>
    <t>3057</t>
  </si>
  <si>
    <t>LAVA RAPIDO COLOMBO</t>
  </si>
  <si>
    <t>JOAO RICARDO</t>
  </si>
  <si>
    <t>20327855000139</t>
  </si>
  <si>
    <t>3058</t>
  </si>
  <si>
    <t>47960950046970</t>
  </si>
  <si>
    <t>3059</t>
  </si>
  <si>
    <t>13857661000180</t>
  </si>
  <si>
    <t>3060</t>
  </si>
  <si>
    <t>00070942625668</t>
  </si>
  <si>
    <t>3061</t>
  </si>
  <si>
    <t>JANAINA FIALHO DE ALMEIDA</t>
  </si>
  <si>
    <t>DOCURA BOLOS</t>
  </si>
  <si>
    <t>05957647000120</t>
  </si>
  <si>
    <t>3062</t>
  </si>
  <si>
    <t>27562777000104</t>
  </si>
  <si>
    <t>3063</t>
  </si>
  <si>
    <t>ANDAIMES EVEREST LOCACOES LTDA</t>
  </si>
  <si>
    <t>AINDAIMES EVEREST</t>
  </si>
  <si>
    <t>09022417000120</t>
  </si>
  <si>
    <t>3064</t>
  </si>
  <si>
    <t>49015171000183</t>
  </si>
  <si>
    <t>3065</t>
  </si>
  <si>
    <t>21450424000128</t>
  </si>
  <si>
    <t>3066</t>
  </si>
  <si>
    <t>24241659000106</t>
  </si>
  <si>
    <t>3067</t>
  </si>
  <si>
    <t>00036812906875</t>
  </si>
  <si>
    <t>3068</t>
  </si>
  <si>
    <t>SALES DISTRIBUIDORA LTDA</t>
  </si>
  <si>
    <t>SALES DISTRIBUIDORA</t>
  </si>
  <si>
    <t>47978428000177</t>
  </si>
  <si>
    <t>3069</t>
  </si>
  <si>
    <t>12827269000125</t>
  </si>
  <si>
    <t>3070</t>
  </si>
  <si>
    <t>29435005009932</t>
  </si>
  <si>
    <t>3071</t>
  </si>
  <si>
    <t>SAO JOANENSE TEXTIL LTDA</t>
  </si>
  <si>
    <t>SAO JOANENSE</t>
  </si>
  <si>
    <t>21842729000347</t>
  </si>
  <si>
    <t>3072</t>
  </si>
  <si>
    <t>45330770000130</t>
  </si>
  <si>
    <t>3073</t>
  </si>
  <si>
    <t>00043346497852</t>
  </si>
  <si>
    <t>3074</t>
  </si>
  <si>
    <t>28653131000197</t>
  </si>
  <si>
    <t>3075</t>
  </si>
  <si>
    <t>45813912000110</t>
  </si>
  <si>
    <t>3076</t>
  </si>
  <si>
    <t>01943121000130</t>
  </si>
  <si>
    <t>3077</t>
  </si>
  <si>
    <t>13791912000170</t>
  </si>
  <si>
    <t>3078</t>
  </si>
  <si>
    <t>COMERCIAL TEIXEIRA DE PNEUS LTDA</t>
  </si>
  <si>
    <t>COMERCIAL TEIXEIRA D</t>
  </si>
  <si>
    <t>52811734000154</t>
  </si>
  <si>
    <t>3079</t>
  </si>
  <si>
    <t>ELETRON SERVICE COMERCIO E SERVICO LTDA</t>
  </si>
  <si>
    <t>ELETRON SERVICE COME</t>
  </si>
  <si>
    <t>04586463000138</t>
  </si>
  <si>
    <t>3080</t>
  </si>
  <si>
    <t>IURI DO CARMO MENDONCA</t>
  </si>
  <si>
    <t>FLEX STORE</t>
  </si>
  <si>
    <t>39281933000130</t>
  </si>
  <si>
    <t>3081</t>
  </si>
  <si>
    <t>46009718000140</t>
  </si>
  <si>
    <t>3082</t>
  </si>
  <si>
    <t>15453068000101</t>
  </si>
  <si>
    <t>3083</t>
  </si>
  <si>
    <t>CAIO BRUCE RIBEIRO 40812504801</t>
  </si>
  <si>
    <t>CB TRANSPORTES</t>
  </si>
  <si>
    <t>31999803000125</t>
  </si>
  <si>
    <t>3084</t>
  </si>
  <si>
    <t>FABIO MANOEL DE SOUZA JUNIOR</t>
  </si>
  <si>
    <t>FABIO MANOEL DE SOUZ</t>
  </si>
  <si>
    <t>00022719711870</t>
  </si>
  <si>
    <t>3085</t>
  </si>
  <si>
    <t>CRS MOVEIS E SERVICOS LTDA</t>
  </si>
  <si>
    <t>CRS MOVEIS E SERVICO</t>
  </si>
  <si>
    <t>46960822000115</t>
  </si>
  <si>
    <t>3086</t>
  </si>
  <si>
    <t>TDL LOGISTICA E ARMAZENAGEM LTDA</t>
  </si>
  <si>
    <t>TDL LOGISTICA E ARMA</t>
  </si>
  <si>
    <t>13653603000134</t>
  </si>
  <si>
    <t>3087</t>
  </si>
  <si>
    <t>02558157075685</t>
  </si>
  <si>
    <t>3088</t>
  </si>
  <si>
    <t>TOPCELL SOLUTIONS ACESSORIOS PARA CELULARES LTDA</t>
  </si>
  <si>
    <t>TOP CELL ACESSORIOS</t>
  </si>
  <si>
    <t>33401682000101</t>
  </si>
  <si>
    <t>3089</t>
  </si>
  <si>
    <t>43283811005623</t>
  </si>
  <si>
    <t>3090</t>
  </si>
  <si>
    <t>45719123000115</t>
  </si>
  <si>
    <t>3091</t>
  </si>
  <si>
    <t>LABTEX ENGENHARIA S/S LTDA</t>
  </si>
  <si>
    <t>LABTEX</t>
  </si>
  <si>
    <t>13632244000139</t>
  </si>
  <si>
    <t>3092</t>
  </si>
  <si>
    <t>SANDRA REGINA DA SILVA</t>
  </si>
  <si>
    <t>00022912837820</t>
  </si>
  <si>
    <t>3093</t>
  </si>
  <si>
    <t>INOVA IMPRESSO SERVICOS GRAFICOS LTDA</t>
  </si>
  <si>
    <t>INOVA IMPRESSO SERVI</t>
  </si>
  <si>
    <t>24056108000164</t>
  </si>
  <si>
    <t>3094</t>
  </si>
  <si>
    <t>IMPERIO DO OLEO COMERCIO E SERVICOS DE LUBRIFICANT</t>
  </si>
  <si>
    <t>IMPERIO DO OLEO COME</t>
  </si>
  <si>
    <t>04567641000183</t>
  </si>
  <si>
    <t>3095</t>
  </si>
  <si>
    <t>44664937000137</t>
  </si>
  <si>
    <t>3096</t>
  </si>
  <si>
    <t>00002938621175</t>
  </si>
  <si>
    <t>3097</t>
  </si>
  <si>
    <t>NICOM COMERCIO DE MA</t>
  </si>
  <si>
    <t>60403110000630</t>
  </si>
  <si>
    <t>3098</t>
  </si>
  <si>
    <t>FOLGOSI &amp; RUBIRA ADVOGADAS ASSOCIADAS</t>
  </si>
  <si>
    <t>PRISCILLA</t>
  </si>
  <si>
    <t>41768795000160</t>
  </si>
  <si>
    <t>3099</t>
  </si>
  <si>
    <t>00009101914928</t>
  </si>
  <si>
    <t>3100</t>
  </si>
  <si>
    <t>00036964879889</t>
  </si>
  <si>
    <t>3101</t>
  </si>
  <si>
    <t>00036870009821</t>
  </si>
  <si>
    <t>3102</t>
  </si>
  <si>
    <t>TRANS SENA EXPRESSO LTDA</t>
  </si>
  <si>
    <t>TRANS-SENA</t>
  </si>
  <si>
    <t>02058894000104</t>
  </si>
  <si>
    <t>3103</t>
  </si>
  <si>
    <t>TERRA CERALISTA ALIMENTOS NATURAIS LTDA</t>
  </si>
  <si>
    <t>TERRA CERALISTA</t>
  </si>
  <si>
    <t>29120034000100</t>
  </si>
  <si>
    <t>3104</t>
  </si>
  <si>
    <t>48204063000196</t>
  </si>
  <si>
    <t>3105</t>
  </si>
  <si>
    <t>DROGARIA PROSPERIDADE LTDA</t>
  </si>
  <si>
    <t>REMEDIO POPULAR</t>
  </si>
  <si>
    <t>27754083000160</t>
  </si>
  <si>
    <t>3106</t>
  </si>
  <si>
    <t>AUTOZONE BRASIL COMERCIO DE AUTOPECAS LTDA.</t>
  </si>
  <si>
    <t>AUTOZONE</t>
  </si>
  <si>
    <t>14310170001078</t>
  </si>
  <si>
    <t>3107</t>
  </si>
  <si>
    <t>39287376000245</t>
  </si>
  <si>
    <t>3108</t>
  </si>
  <si>
    <t>AMERITOP TRANSPORTES LTDA</t>
  </si>
  <si>
    <t>AMERITOP TRANSPORTES</t>
  </si>
  <si>
    <t>03744615000110</t>
  </si>
  <si>
    <t>3109</t>
  </si>
  <si>
    <t>05850171000123</t>
  </si>
  <si>
    <t>3110</t>
  </si>
  <si>
    <t>FOTOLUX DO BRASIL LTDA</t>
  </si>
  <si>
    <t>FOTOLUX DO BRASIL LT</t>
  </si>
  <si>
    <t>18601527000137</t>
  </si>
  <si>
    <t>3111</t>
  </si>
  <si>
    <t>43283811001202</t>
  </si>
  <si>
    <t>3112</t>
  </si>
  <si>
    <t>08614292000164</t>
  </si>
  <si>
    <t>3113</t>
  </si>
  <si>
    <t>COMERCIO DE TECIDOS MARAVILHA LTDA</t>
  </si>
  <si>
    <t>COMERCIO DE TECIDOS</t>
  </si>
  <si>
    <t>59921387000161</t>
  </si>
  <si>
    <t>3114</t>
  </si>
  <si>
    <t>19394593000146</t>
  </si>
  <si>
    <t>3115</t>
  </si>
  <si>
    <t>DAVID FALCAO BORGES 45685459866</t>
  </si>
  <si>
    <t>RBB INSTALACAO E MAN</t>
  </si>
  <si>
    <t>30752894000137</t>
  </si>
  <si>
    <t>3116</t>
  </si>
  <si>
    <t>BRUNO &amp; FURTADO LTDA</t>
  </si>
  <si>
    <t>RESTAURANTE KI SABOR</t>
  </si>
  <si>
    <t>30234712000136</t>
  </si>
  <si>
    <t>3117</t>
  </si>
  <si>
    <t>THIAGO HENRIQUE LONGANI 37285916889</t>
  </si>
  <si>
    <t>MYGATI SUSHI</t>
  </si>
  <si>
    <t>29179487000101</t>
  </si>
  <si>
    <t>3118</t>
  </si>
  <si>
    <t>00007445922830</t>
  </si>
  <si>
    <t>3119</t>
  </si>
  <si>
    <t>NOVA KARINA PAES E DOCES LTDA</t>
  </si>
  <si>
    <t>NOVA KARINA</t>
  </si>
  <si>
    <t>67783316000178</t>
  </si>
  <si>
    <t>3120</t>
  </si>
  <si>
    <t>COMPRADORA</t>
  </si>
  <si>
    <t>00008731005810</t>
  </si>
  <si>
    <t>3121</t>
  </si>
  <si>
    <t>KIDDZ MARKET LTDA</t>
  </si>
  <si>
    <t>KIDDZ</t>
  </si>
  <si>
    <t>39668803000154</t>
  </si>
  <si>
    <t>3122</t>
  </si>
  <si>
    <t>SAO MATHEUS COMERCIO E TECNOLOGIA EM MARMORES E GR</t>
  </si>
  <si>
    <t>SAO MATHEUS COMERCIO</t>
  </si>
  <si>
    <t>68113372000168</t>
  </si>
  <si>
    <t>3123</t>
  </si>
  <si>
    <t>02890785001112</t>
  </si>
  <si>
    <t>3124</t>
  </si>
  <si>
    <t>45591547000147</t>
  </si>
  <si>
    <t>3125</t>
  </si>
  <si>
    <t>COOPÉRATIVA DE PRODUTOS RURAIS</t>
  </si>
  <si>
    <t>COOPERCITRUS</t>
  </si>
  <si>
    <t>45236791012793</t>
  </si>
  <si>
    <t>3126</t>
  </si>
  <si>
    <t>00012920474618</t>
  </si>
  <si>
    <t>3127</t>
  </si>
  <si>
    <t>RENOVA ELETRO COMERCIO VAREJISTA LTDA</t>
  </si>
  <si>
    <t>RENOVA ELETRO COMERC</t>
  </si>
  <si>
    <t>38374422000361</t>
  </si>
  <si>
    <t>3128</t>
  </si>
  <si>
    <t>46801749000139</t>
  </si>
  <si>
    <t>3129</t>
  </si>
  <si>
    <t>ANA CILENE DE VASCONCELOS 13484085886</t>
  </si>
  <si>
    <t>OFICINA DNª RAULINDA</t>
  </si>
  <si>
    <t>27443057000111</t>
  </si>
  <si>
    <t>3130</t>
  </si>
  <si>
    <t>C4 MATERIAIS PARA CONSTRUCOES LTDA</t>
  </si>
  <si>
    <t>C4 MATERIAIS PARA CO</t>
  </si>
  <si>
    <t>58220187000119</t>
  </si>
  <si>
    <t>3131</t>
  </si>
  <si>
    <t>00031046935879</t>
  </si>
  <si>
    <t>3132</t>
  </si>
  <si>
    <t>45491601000263</t>
  </si>
  <si>
    <t>3133</t>
  </si>
  <si>
    <t>VIANET COMPRAS DISTRIBUIDORA LTDA</t>
  </si>
  <si>
    <t>VIANET COMPRAS</t>
  </si>
  <si>
    <t>37878068000188</t>
  </si>
  <si>
    <t>3134</t>
  </si>
  <si>
    <t>CORTINAS LUCIRA IND COM LT</t>
  </si>
  <si>
    <t>LUCIRA TECIDOS</t>
  </si>
  <si>
    <t>59302513000108</t>
  </si>
  <si>
    <t>3135</t>
  </si>
  <si>
    <t>AGLEY MENEZES DE OLIVEIRA</t>
  </si>
  <si>
    <t>AGLEY MENEZES DE OLI</t>
  </si>
  <si>
    <t>00025783431877</t>
  </si>
  <si>
    <t>3136</t>
  </si>
  <si>
    <t>32533269000120</t>
  </si>
  <si>
    <t>3137</t>
  </si>
  <si>
    <t>DUTRA MAQUINAS COMERCIAL E TECNICA LTDA</t>
  </si>
  <si>
    <t>DUTRA MAQUINAS</t>
  </si>
  <si>
    <t>50970342000706</t>
  </si>
  <si>
    <t>3138</t>
  </si>
  <si>
    <t>ITAU UNIBANCO HOLDING S.A</t>
  </si>
  <si>
    <t>ITAU HOLDING</t>
  </si>
  <si>
    <t>60872504000123</t>
  </si>
  <si>
    <t>3139</t>
  </si>
  <si>
    <t>43466206000114</t>
  </si>
  <si>
    <t>3140</t>
  </si>
  <si>
    <t>00080288090578</t>
  </si>
  <si>
    <t>3141</t>
  </si>
  <si>
    <t>PULIRE INDUSTRIA E COMERCIO DE MATERIAIS DE LIMPEZ</t>
  </si>
  <si>
    <t>PULIRE INDUSTRIA E C</t>
  </si>
  <si>
    <t>65791089000105</t>
  </si>
  <si>
    <t>3142</t>
  </si>
  <si>
    <t>E &amp; B ESTACIONAMENTO ME</t>
  </si>
  <si>
    <t>E &amp; B ESTACIONAMENTO</t>
  </si>
  <si>
    <t>16720665000290</t>
  </si>
  <si>
    <t>3143</t>
  </si>
  <si>
    <t>02223966010852</t>
  </si>
  <si>
    <t>3144</t>
  </si>
  <si>
    <t>UNIMED SEGURADORA SA</t>
  </si>
  <si>
    <t>UNIMED</t>
  </si>
  <si>
    <t>92863505000106</t>
  </si>
  <si>
    <t>3145</t>
  </si>
  <si>
    <t>01438784006308</t>
  </si>
  <si>
    <t>3146</t>
  </si>
  <si>
    <t>31261200000202</t>
  </si>
  <si>
    <t>3147</t>
  </si>
  <si>
    <t>ROLANTE SERVICOS TECNOLOGIA DA INFORMACAO LTDA.</t>
  </si>
  <si>
    <t>ROLANTE SERVICOS TEC</t>
  </si>
  <si>
    <t>34252365000125</t>
  </si>
  <si>
    <t>3148</t>
  </si>
  <si>
    <t>TEXTIL SUIÇA LTDA</t>
  </si>
  <si>
    <t>05003162000792</t>
  </si>
  <si>
    <t>3149</t>
  </si>
  <si>
    <t>08050436000105</t>
  </si>
  <si>
    <t>3150</t>
  </si>
  <si>
    <t>17312237000100</t>
  </si>
  <si>
    <t>3151</t>
  </si>
  <si>
    <t>TEXTIL SUICA LTDA</t>
  </si>
  <si>
    <t>TEXTIL SUICA</t>
  </si>
  <si>
    <t>05003162000601</t>
  </si>
  <si>
    <t>3152</t>
  </si>
  <si>
    <t>11740779000106</t>
  </si>
  <si>
    <t>3153</t>
  </si>
  <si>
    <t>00007761723877</t>
  </si>
  <si>
    <t>3154</t>
  </si>
  <si>
    <t>REGINA MARIA LOPES DA FONSECA</t>
  </si>
  <si>
    <t>ATELIE REGININHA FON</t>
  </si>
  <si>
    <t>30242900000106</t>
  </si>
  <si>
    <t>3155</t>
  </si>
  <si>
    <t>COROA DE FLORES SP LTDA</t>
  </si>
  <si>
    <t>COROA DE FLORES SP L</t>
  </si>
  <si>
    <t>48886043000142</t>
  </si>
  <si>
    <t>3156</t>
  </si>
  <si>
    <t>05003162000105</t>
  </si>
  <si>
    <t>3157</t>
  </si>
  <si>
    <t>MADRIGAL ENXOVAIS LTDA</t>
  </si>
  <si>
    <t>MADRIGAL ENXOVAIS LT</t>
  </si>
  <si>
    <t>65921439000100</t>
  </si>
  <si>
    <t>3158</t>
  </si>
  <si>
    <t>00030742741826</t>
  </si>
  <si>
    <t>3159</t>
  </si>
  <si>
    <t>MATRIX FUNILARIA E ESTACIONAMENTO LTDA</t>
  </si>
  <si>
    <t>MATRIX FUNILARIA E E</t>
  </si>
  <si>
    <t>37737719000110</t>
  </si>
  <si>
    <t>3160</t>
  </si>
  <si>
    <t>00064414736820</t>
  </si>
  <si>
    <t>3161</t>
  </si>
  <si>
    <t>00034934921893</t>
  </si>
  <si>
    <t>3162</t>
  </si>
  <si>
    <t>11470550000190</t>
  </si>
  <si>
    <t>3163</t>
  </si>
  <si>
    <t>00001138122130</t>
  </si>
  <si>
    <t>3164</t>
  </si>
  <si>
    <t>00031056540893</t>
  </si>
  <si>
    <t>3165</t>
  </si>
  <si>
    <t>14177456000136</t>
  </si>
  <si>
    <t>3166</t>
  </si>
  <si>
    <t>43283811015181</t>
  </si>
  <si>
    <t>3167</t>
  </si>
  <si>
    <t>00011001413750</t>
  </si>
  <si>
    <t>3168</t>
  </si>
  <si>
    <t>INFOJOBS BRASIL ATIVIDADES E INTERNET LTDA</t>
  </si>
  <si>
    <t>INFOJOBS</t>
  </si>
  <si>
    <t>07756995000164</t>
  </si>
  <si>
    <t>3169</t>
  </si>
  <si>
    <t>33106723000129</t>
  </si>
  <si>
    <t>3170</t>
  </si>
  <si>
    <t>02284062001250</t>
  </si>
  <si>
    <t>3171</t>
  </si>
  <si>
    <t>00008865380845</t>
  </si>
  <si>
    <t>3172</t>
  </si>
  <si>
    <t>94749207000107</t>
  </si>
  <si>
    <t>3173</t>
  </si>
  <si>
    <t>36503622000180</t>
  </si>
  <si>
    <t>3174</t>
  </si>
  <si>
    <t>38268123000180</t>
  </si>
  <si>
    <t>3175</t>
  </si>
  <si>
    <t>35132228000110</t>
  </si>
  <si>
    <t>3176</t>
  </si>
  <si>
    <t>NOVA VISAO ASSISTENCIA TECNICA LTDA</t>
  </si>
  <si>
    <t>TECNO VISION</t>
  </si>
  <si>
    <t>18565631000113</t>
  </si>
  <si>
    <t>3177</t>
  </si>
  <si>
    <t>48182754000136</t>
  </si>
  <si>
    <t>3178</t>
  </si>
  <si>
    <t>19201659000134</t>
  </si>
  <si>
    <t>3179</t>
  </si>
  <si>
    <t>VICTOR HENRIQUE OLIVEIRA DE ALMEIDA</t>
  </si>
  <si>
    <t>VICTOR HENRIQUE OLIV</t>
  </si>
  <si>
    <t>00046767379808</t>
  </si>
  <si>
    <t>3180</t>
  </si>
  <si>
    <t>ANA ATELIE DE COSTUR</t>
  </si>
  <si>
    <t>50968252000187</t>
  </si>
  <si>
    <t>3181</t>
  </si>
  <si>
    <t>00044724471859</t>
  </si>
  <si>
    <t>3182</t>
  </si>
  <si>
    <t>50511331000164</t>
  </si>
  <si>
    <t>3183</t>
  </si>
  <si>
    <t>00007491578950</t>
  </si>
  <si>
    <t>3184</t>
  </si>
  <si>
    <t>00000921142960</t>
  </si>
  <si>
    <t>3185</t>
  </si>
  <si>
    <t>47666793000146</t>
  </si>
  <si>
    <t>3186</t>
  </si>
  <si>
    <t>LUCIANA REGINA DOS SANTOS PERFUMARIA LTDA</t>
  </si>
  <si>
    <t>ELEGANCIA PERFUMARIA</t>
  </si>
  <si>
    <t>05852171000162</t>
  </si>
  <si>
    <t>3187</t>
  </si>
  <si>
    <t>05858784000107</t>
  </si>
  <si>
    <t>3188</t>
  </si>
  <si>
    <t>22476853000218</t>
  </si>
  <si>
    <t>3189</t>
  </si>
  <si>
    <t>00035644924882</t>
  </si>
  <si>
    <t>3190</t>
  </si>
  <si>
    <t>J &amp; Y HOTEL LTDA</t>
  </si>
  <si>
    <t>23006909000152</t>
  </si>
  <si>
    <t>3191</t>
  </si>
  <si>
    <t>48354073000108</t>
  </si>
  <si>
    <t>3192</t>
  </si>
  <si>
    <t>03378624000135</t>
  </si>
  <si>
    <t>3193</t>
  </si>
  <si>
    <t>CHECAR CAR ATLANTICA 1  VISTORIA VEICULAR LTDA</t>
  </si>
  <si>
    <t>CHECAR CAR</t>
  </si>
  <si>
    <t>49779617000146</t>
  </si>
  <si>
    <t>3194</t>
  </si>
  <si>
    <t>MESSIAS</t>
  </si>
  <si>
    <t>50507909000109</t>
  </si>
  <si>
    <t>3195</t>
  </si>
  <si>
    <t>THIAGO TENTONI DIAS VIDROS E MOLDURAS</t>
  </si>
  <si>
    <t>VIDRACARIA IPANEMA</t>
  </si>
  <si>
    <t>10777031000107</t>
  </si>
  <si>
    <t>3196</t>
  </si>
  <si>
    <t>46097401000293</t>
  </si>
  <si>
    <t>3197</t>
  </si>
  <si>
    <t>11805397000962</t>
  </si>
  <si>
    <t>3198</t>
  </si>
  <si>
    <t>00006395107607</t>
  </si>
  <si>
    <t>3199</t>
  </si>
  <si>
    <t>TERMACO - TERMINAIS MARITIMOS DE CONTAINERS E SERV</t>
  </si>
  <si>
    <t>TERMACO LOGISTICA</t>
  </si>
  <si>
    <t>11552312000710</t>
  </si>
  <si>
    <t>3200</t>
  </si>
  <si>
    <t>02127664000141</t>
  </si>
  <si>
    <t>3201</t>
  </si>
  <si>
    <t>00003550659679</t>
  </si>
  <si>
    <t>3202</t>
  </si>
  <si>
    <t>00038613937861</t>
  </si>
  <si>
    <t>3203</t>
  </si>
  <si>
    <t>00041286562830</t>
  </si>
  <si>
    <t>3204</t>
  </si>
  <si>
    <t>00001188418904</t>
  </si>
  <si>
    <t>3205</t>
  </si>
  <si>
    <t>00081301677787</t>
  </si>
  <si>
    <t>3206</t>
  </si>
  <si>
    <t>00018356751829</t>
  </si>
  <si>
    <t>3207</t>
  </si>
  <si>
    <t>28618960000139</t>
  </si>
  <si>
    <t>3208</t>
  </si>
  <si>
    <t>61486650048623</t>
  </si>
  <si>
    <t>3209</t>
  </si>
  <si>
    <t>61486650087955</t>
  </si>
  <si>
    <t>3210</t>
  </si>
  <si>
    <t>ATR TELEINFORMATICA LTDA</t>
  </si>
  <si>
    <t>ATR TELEINFORMATICA</t>
  </si>
  <si>
    <t>09243638000128</t>
  </si>
  <si>
    <t>3211</t>
  </si>
  <si>
    <t>07862418000157</t>
  </si>
  <si>
    <t>3212</t>
  </si>
  <si>
    <t>FLORICULTURA COROAS 24 HORAS LTDA</t>
  </si>
  <si>
    <t>FLORICULTURA COROAS</t>
  </si>
  <si>
    <t>45152819000102</t>
  </si>
  <si>
    <t>3213</t>
  </si>
  <si>
    <t>SEMCO DISPLAYS EXPOSITORES E STANDS PORTATEIS INDU</t>
  </si>
  <si>
    <t>SEMCO DISPLAYS EXPOS</t>
  </si>
  <si>
    <t>03416082000148</t>
  </si>
  <si>
    <t>3214</t>
  </si>
  <si>
    <t>WEBCONTINENTAL LTDA</t>
  </si>
  <si>
    <t>WEBCONTINENTAL</t>
  </si>
  <si>
    <t>08584116000550</t>
  </si>
  <si>
    <t>3215</t>
  </si>
  <si>
    <t>47960950091330</t>
  </si>
  <si>
    <t>3216</t>
  </si>
  <si>
    <t>FUNDAÇÃO GETULIO VARGAS</t>
  </si>
  <si>
    <t>FGV</t>
  </si>
  <si>
    <t>33641663000144</t>
  </si>
  <si>
    <t>3217</t>
  </si>
  <si>
    <t>00000909191069</t>
  </si>
  <si>
    <t>3218</t>
  </si>
  <si>
    <t>SAWADA SERVICOS AUTOMOTIVOS LTDA</t>
  </si>
  <si>
    <t>AUTO ELETRICA SAWADA</t>
  </si>
  <si>
    <t>46255646000110</t>
  </si>
  <si>
    <t>3219</t>
  </si>
  <si>
    <t>07136089000167</t>
  </si>
  <si>
    <t>3220</t>
  </si>
  <si>
    <t>TODOBRASIL TRANSPORTES LTDA</t>
  </si>
  <si>
    <t>TODOBRASIL TRANSPORT</t>
  </si>
  <si>
    <t>46556446000106</t>
  </si>
  <si>
    <t>3221</t>
  </si>
  <si>
    <t>02892125000107</t>
  </si>
  <si>
    <t>3222</t>
  </si>
  <si>
    <t>21102682000113</t>
  </si>
  <si>
    <t>3223</t>
  </si>
  <si>
    <t>FABIO FERRO GUERRA</t>
  </si>
  <si>
    <t>ARTICHAUT GASTRONOMI</t>
  </si>
  <si>
    <t>06992917000104</t>
  </si>
  <si>
    <t>3224</t>
  </si>
  <si>
    <t>SPEED MAC COMERCIO DE MAQUINAS DE COSTURAS LTDA</t>
  </si>
  <si>
    <t>SPEED MAC</t>
  </si>
  <si>
    <t>04773952000107</t>
  </si>
  <si>
    <t>3225</t>
  </si>
  <si>
    <t>DROGARIA MIX I LTDA</t>
  </si>
  <si>
    <t>04946306000510</t>
  </si>
  <si>
    <t>3226</t>
  </si>
  <si>
    <t>GRUPO ZETTA LTDA</t>
  </si>
  <si>
    <t>PRIMO PIANO CUCINA</t>
  </si>
  <si>
    <t>24379917000450</t>
  </si>
  <si>
    <t>3227</t>
  </si>
  <si>
    <t>LINDEANE BASTOS DE JESUS</t>
  </si>
  <si>
    <t>LINDEANE BASTOS DE J</t>
  </si>
  <si>
    <t>00037526354875</t>
  </si>
  <si>
    <t>3228</t>
  </si>
  <si>
    <t>YANKA SANTOS RODRIGUES</t>
  </si>
  <si>
    <t>YANKA SANTOS RODRIGU</t>
  </si>
  <si>
    <t>00046599439845</t>
  </si>
  <si>
    <t>3229</t>
  </si>
  <si>
    <t>ANA CAROLINA MARCELINO ALVES</t>
  </si>
  <si>
    <t>ANA CAROLINA MARCELI</t>
  </si>
  <si>
    <t>00042074399863</t>
  </si>
  <si>
    <t>3230</t>
  </si>
  <si>
    <t>VICTORIA SANTANA DOS REIS</t>
  </si>
  <si>
    <t>VICTORIA SANTANA DOS</t>
  </si>
  <si>
    <t>00047346336810</t>
  </si>
  <si>
    <t>3231</t>
  </si>
  <si>
    <t>50.206.289 CAROLINA PEREZ BUZO</t>
  </si>
  <si>
    <t>50.206.289 CAROLINA</t>
  </si>
  <si>
    <t>50206289000178</t>
  </si>
  <si>
    <t>3232</t>
  </si>
  <si>
    <t>00008101849904</t>
  </si>
  <si>
    <t>3233</t>
  </si>
  <si>
    <t>51327651000121</t>
  </si>
  <si>
    <t>3234</t>
  </si>
  <si>
    <t>00011011993775</t>
  </si>
  <si>
    <t>3235</t>
  </si>
  <si>
    <t>07224103000184</t>
  </si>
  <si>
    <t>3236</t>
  </si>
  <si>
    <t>48429859000147</t>
  </si>
  <si>
    <t>3237</t>
  </si>
  <si>
    <t>00099999999999</t>
  </si>
  <si>
    <t>3238</t>
  </si>
  <si>
    <t>00088888888888</t>
  </si>
  <si>
    <t>3239</t>
  </si>
  <si>
    <t>12529791000120</t>
  </si>
  <si>
    <t>3240</t>
  </si>
  <si>
    <t>11200043000137</t>
  </si>
  <si>
    <t>3241</t>
  </si>
  <si>
    <t>PRINT COTTON COMERCIO VAREJISTA DE TECIDOS LTDA</t>
  </si>
  <si>
    <t>OFICINA PRINT COTTO</t>
  </si>
  <si>
    <t>34987714000157</t>
  </si>
  <si>
    <t>3242</t>
  </si>
  <si>
    <t>78039328000109</t>
  </si>
  <si>
    <t>3243</t>
  </si>
  <si>
    <t>PH CONCEIÇÃO AR CONDICIONADO</t>
  </si>
  <si>
    <t>14432925000116</t>
  </si>
  <si>
    <t>3244</t>
  </si>
  <si>
    <t>RODOTITANIO TRANSPORTES RODOVIARIOS LTDA</t>
  </si>
  <si>
    <t>RODOTITANIO TRANSPOR</t>
  </si>
  <si>
    <t>24414520000370</t>
  </si>
  <si>
    <t>3245</t>
  </si>
  <si>
    <t>27216869001104</t>
  </si>
  <si>
    <t>3246</t>
  </si>
  <si>
    <t>00013203917882</t>
  </si>
  <si>
    <t>3247</t>
  </si>
  <si>
    <t>POSTNET E VELOX SERVIÇOS FINANCEIROS LTDA</t>
  </si>
  <si>
    <t>POSTNET</t>
  </si>
  <si>
    <t>46796746000154</t>
  </si>
  <si>
    <t>3248</t>
  </si>
  <si>
    <t>OMATEX INDUSTRIA E COMERCIO DE MAQUINAS TEXTEIS LT</t>
  </si>
  <si>
    <t>OMATEX INDUSTRIA E C</t>
  </si>
  <si>
    <t>74632720000106</t>
  </si>
  <si>
    <t>3249</t>
  </si>
  <si>
    <t>IMIGRANTES MERCANTIL LTDA</t>
  </si>
  <si>
    <t>IMIGRANTES BEBIDAS</t>
  </si>
  <si>
    <t>04517343000774</t>
  </si>
  <si>
    <t>3250</t>
  </si>
  <si>
    <t>01621911000107</t>
  </si>
  <si>
    <t>3251</t>
  </si>
  <si>
    <t>40058397000197</t>
  </si>
  <si>
    <t>3252</t>
  </si>
  <si>
    <t>32888865000122</t>
  </si>
  <si>
    <t>3253</t>
  </si>
  <si>
    <t>18481161000100</t>
  </si>
  <si>
    <t>3254</t>
  </si>
  <si>
    <t>POSTO DE SERVICOS ANTONIO PAES LTDA</t>
  </si>
  <si>
    <t>POSTO DE SERVICOS AN</t>
  </si>
  <si>
    <t>62409305000109</t>
  </si>
  <si>
    <t>3255</t>
  </si>
  <si>
    <t>09109567001902</t>
  </si>
  <si>
    <t>3256</t>
  </si>
  <si>
    <t>24062154000176</t>
  </si>
  <si>
    <t>3257</t>
  </si>
  <si>
    <t>EURO TEXTIL COMERCIO E IMPORTACAO LTDA</t>
  </si>
  <si>
    <t>EURO TEXTIL</t>
  </si>
  <si>
    <t>05038925000145</t>
  </si>
  <si>
    <t>3258</t>
  </si>
  <si>
    <t>LENOVO TECNOLOGIA BRASIL LIMITADA</t>
  </si>
  <si>
    <t>LENOVO TECNOLOGIA BR</t>
  </si>
  <si>
    <t>07275920000161</t>
  </si>
  <si>
    <t>3259</t>
  </si>
  <si>
    <t>57784415000110</t>
  </si>
  <si>
    <t>3260</t>
  </si>
  <si>
    <t>BK ELETRONICOS LTDA</t>
  </si>
  <si>
    <t>47242492000195</t>
  </si>
  <si>
    <t>3261</t>
  </si>
  <si>
    <t>35981087000100</t>
  </si>
  <si>
    <t>3262</t>
  </si>
  <si>
    <t>32090051000148</t>
  </si>
  <si>
    <t>3263</t>
  </si>
  <si>
    <t>JACQUARD TECIDOS LTDA</t>
  </si>
  <si>
    <t>JACQUARD TECIDOS</t>
  </si>
  <si>
    <t>30625552000156</t>
  </si>
  <si>
    <t>3264</t>
  </si>
  <si>
    <t>42927468000176</t>
  </si>
  <si>
    <t>3265</t>
  </si>
  <si>
    <t>00039561774879</t>
  </si>
  <si>
    <t>3266</t>
  </si>
  <si>
    <t>06312325000196</t>
  </si>
  <si>
    <t>3267</t>
  </si>
  <si>
    <t>MULTCABOS COMERCIO E MANUTENCAO DE REDES LTDA</t>
  </si>
  <si>
    <t>MULTCABOS COMERCIO E</t>
  </si>
  <si>
    <t>30184999000137</t>
  </si>
  <si>
    <t>3268</t>
  </si>
  <si>
    <t>27713178000721</t>
  </si>
  <si>
    <t>3269</t>
  </si>
  <si>
    <t>92784537001180</t>
  </si>
  <si>
    <t>3270</t>
  </si>
  <si>
    <t>GOOGLE BRASIL INTERNET LTDA.</t>
  </si>
  <si>
    <t>GOOGLE BRASIL INTERN</t>
  </si>
  <si>
    <t>06990590000123</t>
  </si>
  <si>
    <t>3271</t>
  </si>
  <si>
    <t>ADYEN DO BRASIL INSTITUICAO DE PAGAMENTO LTDA.</t>
  </si>
  <si>
    <t>ADYEN LATIN AMERICA</t>
  </si>
  <si>
    <t>14796606000190</t>
  </si>
  <si>
    <t>3272</t>
  </si>
  <si>
    <t>A. KUHLMANN CHOHFI CONSULTORIA EM MARKETING LTDA</t>
  </si>
  <si>
    <t>ESCALERA</t>
  </si>
  <si>
    <t>37537283000115</t>
  </si>
  <si>
    <t>3273</t>
  </si>
  <si>
    <t>CENOFISCO CENTRO CAPAC PROF LTDA</t>
  </si>
  <si>
    <t>CENOFISCO</t>
  </si>
  <si>
    <t>07799454000113</t>
  </si>
  <si>
    <t>3274</t>
  </si>
  <si>
    <t>00022046162811</t>
  </si>
  <si>
    <t>3275</t>
  </si>
  <si>
    <t>31116704000158</t>
  </si>
  <si>
    <t>3276</t>
  </si>
  <si>
    <t>AFONSO HENRIQUE SOARES COSTA NETTO 46875558882</t>
  </si>
  <si>
    <t>A2H AGENCIA DE PUBLI</t>
  </si>
  <si>
    <t>39309985000177</t>
  </si>
  <si>
    <t>3277</t>
  </si>
  <si>
    <t>11211009000168</t>
  </si>
  <si>
    <t>3278</t>
  </si>
  <si>
    <t>GLEISE DOS SANTOS NAZIAZENO</t>
  </si>
  <si>
    <t>GLEISE</t>
  </si>
  <si>
    <t>00003653500524</t>
  </si>
  <si>
    <t>3279</t>
  </si>
  <si>
    <t>METROPOLIS FOOD LTDA</t>
  </si>
  <si>
    <t>METROPOLIS FOOD</t>
  </si>
  <si>
    <t>45857534000177</t>
  </si>
  <si>
    <t>3280</t>
  </si>
  <si>
    <t>44133816000169</t>
  </si>
  <si>
    <t>3281</t>
  </si>
  <si>
    <t>39161690000104</t>
  </si>
  <si>
    <t>3282</t>
  </si>
  <si>
    <t>DIS COMERCIO DE ELETRODOMESTICOS S.A</t>
  </si>
  <si>
    <t>DIS COMERCIO</t>
  </si>
  <si>
    <t>23209013001223</t>
  </si>
  <si>
    <t>3283</t>
  </si>
  <si>
    <t>NUNES COMERCIO DE MAQUINAS PARA COSTURA LTDA</t>
  </si>
  <si>
    <t>OFICINA DA COSTURA</t>
  </si>
  <si>
    <t>00319796000140</t>
  </si>
  <si>
    <t>3284</t>
  </si>
  <si>
    <t>00007409922877</t>
  </si>
  <si>
    <t>3285</t>
  </si>
  <si>
    <t>18502527000422</t>
  </si>
  <si>
    <t>3286</t>
  </si>
  <si>
    <t>30780034000107</t>
  </si>
  <si>
    <t>3287</t>
  </si>
  <si>
    <t>49877660000144</t>
  </si>
  <si>
    <t>3288</t>
  </si>
  <si>
    <t>34251463000148</t>
  </si>
  <si>
    <t>3289</t>
  </si>
  <si>
    <t>47843177000113</t>
  </si>
  <si>
    <t>3290</t>
  </si>
  <si>
    <t>00027179251801</t>
  </si>
  <si>
    <t>3291</t>
  </si>
  <si>
    <t>34094290000100</t>
  </si>
  <si>
    <t>3292</t>
  </si>
  <si>
    <t>WEB</t>
  </si>
  <si>
    <t>08584116000470</t>
  </si>
  <si>
    <t>3293</t>
  </si>
  <si>
    <t>29982221000194</t>
  </si>
  <si>
    <t>3294</t>
  </si>
  <si>
    <t>49855667000165</t>
  </si>
  <si>
    <t>3295</t>
  </si>
  <si>
    <t>00022231321890</t>
  </si>
  <si>
    <t>3296</t>
  </si>
  <si>
    <t>00008371015658</t>
  </si>
  <si>
    <t>3297</t>
  </si>
  <si>
    <t>00000291857345</t>
  </si>
  <si>
    <t>3298</t>
  </si>
  <si>
    <t>FONTPRESS ASSESSORIA DE COMUNICAÇÃO LTDA</t>
  </si>
  <si>
    <t>FONTPRESS</t>
  </si>
  <si>
    <t>07888821000155</t>
  </si>
  <si>
    <t>3299</t>
  </si>
  <si>
    <t>00034821573830</t>
  </si>
  <si>
    <t>3300</t>
  </si>
  <si>
    <t>BRASIL INTER COMEX ELETRONICOS E INFORMATICA LTDA</t>
  </si>
  <si>
    <t>INPOWER</t>
  </si>
  <si>
    <t>17642282000123</t>
  </si>
  <si>
    <t>3301</t>
  </si>
  <si>
    <t>ANA CAROLINA DE ANDRADE GONÇALVES LTDA</t>
  </si>
  <si>
    <t>ANA CAROLINA</t>
  </si>
  <si>
    <t>52409708000102</t>
  </si>
  <si>
    <t>3302</t>
  </si>
  <si>
    <t>02583697000104</t>
  </si>
  <si>
    <t>3303</t>
  </si>
  <si>
    <t>AURELIO SEVERINO DOS SANTOS 01027896812</t>
  </si>
  <si>
    <t>HOMENAGEM FLORES</t>
  </si>
  <si>
    <t>26539867000103</t>
  </si>
  <si>
    <t>3304</t>
  </si>
  <si>
    <t>48005034000103</t>
  </si>
  <si>
    <t>3305</t>
  </si>
  <si>
    <t>00005653271608</t>
  </si>
  <si>
    <t>3306</t>
  </si>
  <si>
    <t>00002072751306</t>
  </si>
  <si>
    <t>3307</t>
  </si>
  <si>
    <t>00011667339710</t>
  </si>
  <si>
    <t>3308</t>
  </si>
  <si>
    <t>ANADIA COMERCIAL PANIFICADORA E IMPORTADORA LTDA</t>
  </si>
  <si>
    <t>PADARIA ANADIA</t>
  </si>
  <si>
    <t>34194950000116</t>
  </si>
  <si>
    <t>3309</t>
  </si>
  <si>
    <t>C-FREIGHT AGENCIAMENTOS INTERNACIONAIS LTDA</t>
  </si>
  <si>
    <t>COMPLEX FREIGHT LOGI</t>
  </si>
  <si>
    <t>21995590000100</t>
  </si>
  <si>
    <t>3310</t>
  </si>
  <si>
    <t>00031060699885</t>
  </si>
  <si>
    <t>3311</t>
  </si>
  <si>
    <t>LUANA ANTONIOLLI DE ANDRADE</t>
  </si>
  <si>
    <t>LUANA ANTONIOLLI DE</t>
  </si>
  <si>
    <t>00047333201830</t>
  </si>
  <si>
    <t>3312</t>
  </si>
  <si>
    <t>E O S INSTALACOES E SERVICOS TECNICOS LTDA</t>
  </si>
  <si>
    <t>E O S INSTALACOES E</t>
  </si>
  <si>
    <t>31085047000129</t>
  </si>
  <si>
    <t>3313</t>
  </si>
  <si>
    <t>00018121976839</t>
  </si>
  <si>
    <t>3314</t>
  </si>
  <si>
    <t>00728488000178</t>
  </si>
  <si>
    <t>3315</t>
  </si>
  <si>
    <t>52315655000152</t>
  </si>
  <si>
    <t>3316</t>
  </si>
  <si>
    <t>CENTRAL FELIX LOGISTICA E TRANSPORTES LTDA</t>
  </si>
  <si>
    <t>CENTRAL FELIX</t>
  </si>
  <si>
    <t>04208610000489</t>
  </si>
  <si>
    <t>3317</t>
  </si>
  <si>
    <t>07269845000126</t>
  </si>
  <si>
    <t>3318</t>
  </si>
  <si>
    <t>00038370689191</t>
  </si>
  <si>
    <t>3319</t>
  </si>
  <si>
    <t>00005628736430</t>
  </si>
  <si>
    <t>3320</t>
  </si>
  <si>
    <t>CASA DA EMBALAGEM COMERCIO DE EMBALAGENS E DESCART</t>
  </si>
  <si>
    <t>SAMPLASTIC</t>
  </si>
  <si>
    <t>08015544000139</t>
  </si>
  <si>
    <t>3321</t>
  </si>
  <si>
    <t>PMD SOLUCOES EM INFORMATICA LTDA</t>
  </si>
  <si>
    <t>SBSOLUTION</t>
  </si>
  <si>
    <t>04835726000103</t>
  </si>
  <si>
    <t>3322</t>
  </si>
  <si>
    <t>52234023000164</t>
  </si>
  <si>
    <t>3323</t>
  </si>
  <si>
    <t>DUEME VIAGENS E TURISMO LTDA</t>
  </si>
  <si>
    <t>ATLANTIS PARAISO</t>
  </si>
  <si>
    <t>57366551000190</t>
  </si>
  <si>
    <t>3324</t>
  </si>
  <si>
    <t>JS COMERCIO DE EMBALAGENS TEXTEIS LTDA</t>
  </si>
  <si>
    <t>JS COMERCIO DE EMBAL</t>
  </si>
  <si>
    <t>07462541000180</t>
  </si>
  <si>
    <t>3325</t>
  </si>
  <si>
    <t>KARLA QUEIROS DE CARVALHO</t>
  </si>
  <si>
    <t>OFICINA DINA</t>
  </si>
  <si>
    <t>52204697000116</t>
  </si>
  <si>
    <t>3326</t>
  </si>
  <si>
    <t>CLUB ATHLETICO PAULISTANO</t>
  </si>
  <si>
    <t>CLUB ATHLETICO PAULI</t>
  </si>
  <si>
    <t>60927472000116</t>
  </si>
  <si>
    <t>3327</t>
  </si>
  <si>
    <t>09021781000175</t>
  </si>
  <si>
    <t>3328</t>
  </si>
  <si>
    <t>00005150598704</t>
  </si>
  <si>
    <t>3329</t>
  </si>
  <si>
    <t>00001980187894</t>
  </si>
  <si>
    <t>3330</t>
  </si>
  <si>
    <t>23598502000161</t>
  </si>
  <si>
    <t>3331</t>
  </si>
  <si>
    <t>05876729000140</t>
  </si>
  <si>
    <t>3332</t>
  </si>
  <si>
    <t>52347867000111</t>
  </si>
  <si>
    <t>3333</t>
  </si>
  <si>
    <t>N. S. OGATA OSHIRO</t>
  </si>
  <si>
    <t>DUPACK</t>
  </si>
  <si>
    <t>34060618000169</t>
  </si>
  <si>
    <t>3334</t>
  </si>
  <si>
    <t>38611302000179</t>
  </si>
  <si>
    <t>3335</t>
  </si>
  <si>
    <t>44657546000195</t>
  </si>
  <si>
    <t>3336</t>
  </si>
  <si>
    <t>51417451000160</t>
  </si>
  <si>
    <t>3337</t>
  </si>
  <si>
    <t>00000867271841</t>
  </si>
  <si>
    <t>3338</t>
  </si>
  <si>
    <t>NACHAV - COMERCIO E SERVICOS LTDA - ME</t>
  </si>
  <si>
    <t>NACHAV</t>
  </si>
  <si>
    <t>05358533000163</t>
  </si>
  <si>
    <t>3339</t>
  </si>
  <si>
    <t>00019994985850</t>
  </si>
  <si>
    <t>3340</t>
  </si>
  <si>
    <t>00005024736818</t>
  </si>
  <si>
    <t>3341</t>
  </si>
  <si>
    <t>00008442984844</t>
  </si>
  <si>
    <t>3342</t>
  </si>
  <si>
    <t>3PONTOS STANDS E EVENTOS LTDA</t>
  </si>
  <si>
    <t>3PONTOS</t>
  </si>
  <si>
    <t>37725992000124</t>
  </si>
  <si>
    <t>3343</t>
  </si>
  <si>
    <t>00023041511835</t>
  </si>
  <si>
    <t>3344</t>
  </si>
  <si>
    <t>TOKIO MARINE SEGURADORA S.A.</t>
  </si>
  <si>
    <t>TOKIO MARINE SEGURAD</t>
  </si>
  <si>
    <t>33164021000100</t>
  </si>
  <si>
    <t>3345</t>
  </si>
  <si>
    <t>00036895021876</t>
  </si>
  <si>
    <t>3346</t>
  </si>
  <si>
    <t>06047087009276</t>
  </si>
  <si>
    <t>3347</t>
  </si>
  <si>
    <t>07196444000355</t>
  </si>
  <si>
    <t>3348</t>
  </si>
  <si>
    <t>BAZAR NOSSA SENHORA DO FREIXO LTDA</t>
  </si>
  <si>
    <t>BAZAR NOSSA SENHORA</t>
  </si>
  <si>
    <t>56992712000199</t>
  </si>
  <si>
    <t>3349</t>
  </si>
  <si>
    <t>00007554555685</t>
  </si>
  <si>
    <t>3350</t>
  </si>
  <si>
    <t>08188714000187</t>
  </si>
  <si>
    <t>3351</t>
  </si>
  <si>
    <t>00040584248857</t>
  </si>
  <si>
    <t>3352</t>
  </si>
  <si>
    <t>00002768048640</t>
  </si>
  <si>
    <t>3353</t>
  </si>
  <si>
    <t>TRD TRANSPORTE RODOVIARIO DALFAN LTDA</t>
  </si>
  <si>
    <t>TRD TRANSPORTES</t>
  </si>
  <si>
    <t>03350624000127</t>
  </si>
  <si>
    <t>3354</t>
  </si>
  <si>
    <t>DANJOR COMERCIO DE BOLSAS E ACESSORIOS LTDA</t>
  </si>
  <si>
    <t>DANJOR BOLSAS E ACES</t>
  </si>
  <si>
    <t>49952259000121</t>
  </si>
  <si>
    <t>3355</t>
  </si>
  <si>
    <t>00007641802400</t>
  </si>
  <si>
    <t>3356</t>
  </si>
  <si>
    <t>00014059129607</t>
  </si>
  <si>
    <t>3357</t>
  </si>
  <si>
    <t>GOOD SHOP LTDA</t>
  </si>
  <si>
    <t>GOOD SHOP</t>
  </si>
  <si>
    <t>40465335000108</t>
  </si>
  <si>
    <t>3358</t>
  </si>
  <si>
    <t>WELTTEC COMERCIAL IMPORTADORA E EXPORTADORA LTDA</t>
  </si>
  <si>
    <t>WELTTEC</t>
  </si>
  <si>
    <t>08088938000117</t>
  </si>
  <si>
    <t>3359</t>
  </si>
  <si>
    <t>08489093000171</t>
  </si>
  <si>
    <t>3360</t>
  </si>
  <si>
    <t>11461279000127</t>
  </si>
  <si>
    <t>3361</t>
  </si>
  <si>
    <t>11805397000377</t>
  </si>
  <si>
    <t>3362</t>
  </si>
  <si>
    <t>11805397000539</t>
  </si>
  <si>
    <t>3363</t>
  </si>
  <si>
    <t>73919060000186</t>
  </si>
  <si>
    <t>3364</t>
  </si>
  <si>
    <t>08696145000261</t>
  </si>
  <si>
    <t>3365</t>
  </si>
  <si>
    <t>00005423586623</t>
  </si>
  <si>
    <t>3366</t>
  </si>
  <si>
    <t>00046695544840</t>
  </si>
  <si>
    <t>3367</t>
  </si>
  <si>
    <t>AMAZON SERVIÇOS DE VAREJO DO BRASIL LTDA</t>
  </si>
  <si>
    <t>AMAZON</t>
  </si>
  <si>
    <t>15436940001509</t>
  </si>
  <si>
    <t>3368</t>
  </si>
  <si>
    <t>00005726763793</t>
  </si>
  <si>
    <t>3369</t>
  </si>
  <si>
    <t>ROGERIO FRANCISCO DA SILVA BOUTIQUE DOS APARELHOS</t>
  </si>
  <si>
    <t>ROGERIO FRANCISCO DA</t>
  </si>
  <si>
    <t>31202924000102</t>
  </si>
  <si>
    <t>3370</t>
  </si>
  <si>
    <t>31030826000127</t>
  </si>
  <si>
    <t>3371</t>
  </si>
  <si>
    <t>00090428358268</t>
  </si>
  <si>
    <t>3372</t>
  </si>
  <si>
    <t>CLAYTON DOS REIS SOARES</t>
  </si>
  <si>
    <t>GELADEIRA</t>
  </si>
  <si>
    <t>33051094000187</t>
  </si>
  <si>
    <t>3373</t>
  </si>
  <si>
    <t>47113957000299</t>
  </si>
  <si>
    <t>3374</t>
  </si>
  <si>
    <t>CICERA QUITERIA DA SILVA</t>
  </si>
  <si>
    <t>ANA INTERLAGOS</t>
  </si>
  <si>
    <t>00083198857449</t>
  </si>
  <si>
    <t>3375</t>
  </si>
  <si>
    <t>00027396547822</t>
  </si>
  <si>
    <t>3376</t>
  </si>
  <si>
    <t>00000099918838</t>
  </si>
  <si>
    <t>3377</t>
  </si>
  <si>
    <t>00008792823637</t>
  </si>
  <si>
    <t>3378</t>
  </si>
  <si>
    <t>00007405376959</t>
  </si>
  <si>
    <t>3379</t>
  </si>
  <si>
    <t>00000888847165</t>
  </si>
  <si>
    <t>3380</t>
  </si>
  <si>
    <t>00009792489657</t>
  </si>
  <si>
    <t>3381</t>
  </si>
  <si>
    <t>00013045252796</t>
  </si>
  <si>
    <t>3382</t>
  </si>
  <si>
    <t>00005231123781</t>
  </si>
  <si>
    <t>3383</t>
  </si>
  <si>
    <t>00075984105772</t>
  </si>
  <si>
    <t>3384</t>
  </si>
  <si>
    <t>CORDEX INDUSTRIA TEXTIL LTDA</t>
  </si>
  <si>
    <t>CORDEX INDUSTRIA TEX</t>
  </si>
  <si>
    <t>45630639000199</t>
  </si>
  <si>
    <t>3385</t>
  </si>
  <si>
    <t>FABRICA DE BARBANTE BANDEIRANTES LT</t>
  </si>
  <si>
    <t>FABRICA DE BARBANTE</t>
  </si>
  <si>
    <t>43948439000153</t>
  </si>
  <si>
    <t>3386</t>
  </si>
  <si>
    <t>00001350409499</t>
  </si>
  <si>
    <t>3387</t>
  </si>
  <si>
    <t>73917627000185</t>
  </si>
  <si>
    <t>3388</t>
  </si>
  <si>
    <t>TRANSPORTADORA CRISTINA LTDA EPP</t>
  </si>
  <si>
    <t>08781702000161</t>
  </si>
  <si>
    <t>3389</t>
  </si>
  <si>
    <t>TJLC FILTROS E SERVIÇOS ESPECIALIZADOS LTDA</t>
  </si>
  <si>
    <t>TJLC FILTROS</t>
  </si>
  <si>
    <t>38215754000131</t>
  </si>
  <si>
    <t>3390</t>
  </si>
  <si>
    <t>WELTTEC COMERCIAL IMPORTADORA EXP.SALTO</t>
  </si>
  <si>
    <t>08088938000893</t>
  </si>
  <si>
    <t>3391</t>
  </si>
  <si>
    <t>00041564574865</t>
  </si>
  <si>
    <t>3392</t>
  </si>
  <si>
    <t>00006219964756</t>
  </si>
  <si>
    <t>3393</t>
  </si>
  <si>
    <t>00071747694118</t>
  </si>
  <si>
    <t>3394</t>
  </si>
  <si>
    <t>00010988057719</t>
  </si>
  <si>
    <t>3395</t>
  </si>
  <si>
    <t>00002127980735</t>
  </si>
  <si>
    <t>3396</t>
  </si>
  <si>
    <t>00088328104768</t>
  </si>
  <si>
    <t>3397</t>
  </si>
  <si>
    <t>00009806587723</t>
  </si>
  <si>
    <t>3398</t>
  </si>
  <si>
    <t>00011187231711</t>
  </si>
  <si>
    <t>3399</t>
  </si>
  <si>
    <t>00079238041768</t>
  </si>
  <si>
    <t>3400</t>
  </si>
  <si>
    <t>00005505126758</t>
  </si>
  <si>
    <t>3401</t>
  </si>
  <si>
    <t>00092917410787</t>
  </si>
  <si>
    <t>3402</t>
  </si>
  <si>
    <t>00010715824708</t>
  </si>
  <si>
    <t>3403</t>
  </si>
  <si>
    <t>00010091844746</t>
  </si>
  <si>
    <t>3404</t>
  </si>
  <si>
    <t>11743899000159</t>
  </si>
  <si>
    <t>3405</t>
  </si>
  <si>
    <t>45630639000270</t>
  </si>
  <si>
    <t>3406</t>
  </si>
  <si>
    <t>34162806000106</t>
  </si>
  <si>
    <t>3407</t>
  </si>
  <si>
    <t>00011232301701</t>
  </si>
  <si>
    <t>3408</t>
  </si>
  <si>
    <t>00066187508734</t>
  </si>
  <si>
    <t>3409</t>
  </si>
  <si>
    <t>00016021510755</t>
  </si>
  <si>
    <t>3410</t>
  </si>
  <si>
    <t>00087416646715</t>
  </si>
  <si>
    <t>3411</t>
  </si>
  <si>
    <t>FIBRO FIVER COMERCIAL LTDA</t>
  </si>
  <si>
    <t>FIBRO FIVER</t>
  </si>
  <si>
    <t>03987655000193</t>
  </si>
  <si>
    <t>3412</t>
  </si>
  <si>
    <t>DMG SERVIÇOS MEDICOS HOSPITALARES LTDA</t>
  </si>
  <si>
    <t>DIMEG</t>
  </si>
  <si>
    <t>14322722000177</t>
  </si>
  <si>
    <t>3413</t>
  </si>
  <si>
    <t>JHONATAS ROQUE DE SOUZA</t>
  </si>
  <si>
    <t>CASA ROQUE</t>
  </si>
  <si>
    <t>28549320000114</t>
  </si>
  <si>
    <t>3414</t>
  </si>
  <si>
    <t>SAVIATO &amp; CASAS REPRESENTACOES LTDA</t>
  </si>
  <si>
    <t>SACAP</t>
  </si>
  <si>
    <t>13012376000168</t>
  </si>
  <si>
    <t>3415</t>
  </si>
  <si>
    <t>COMERCIAL FERREIRA E TEIXEIRA LTDA</t>
  </si>
  <si>
    <t>COMERCIAL FERREIRA E</t>
  </si>
  <si>
    <t>22013515000169</t>
  </si>
  <si>
    <t>3416</t>
  </si>
  <si>
    <t>ESTACIONAMENTO KELLY CAR LTDA</t>
  </si>
  <si>
    <t>KELLY CAR</t>
  </si>
  <si>
    <t>65502478000165</t>
  </si>
  <si>
    <t>3417</t>
  </si>
  <si>
    <t>05456379000162</t>
  </si>
  <si>
    <t>3418</t>
  </si>
  <si>
    <t>COELHOS LANCHONETE LTDA.</t>
  </si>
  <si>
    <t>PORTO DA GULA III</t>
  </si>
  <si>
    <t>09227325000186</t>
  </si>
  <si>
    <t>3419</t>
  </si>
  <si>
    <t>50105380000105</t>
  </si>
  <si>
    <t>3420</t>
  </si>
  <si>
    <t>ESG COMERCIO ELETRONICO LTDA</t>
  </si>
  <si>
    <t>COROAS PARA VELORIO</t>
  </si>
  <si>
    <t>12404942000114</t>
  </si>
  <si>
    <t>3421</t>
  </si>
  <si>
    <t>AUTO POSTO PORTAL DE INTERLAGOS LTDA.</t>
  </si>
  <si>
    <t>AUTO POSTO PORTAL DE</t>
  </si>
  <si>
    <t>10203913000169</t>
  </si>
  <si>
    <t>3422</t>
  </si>
  <si>
    <t>00028013282864</t>
  </si>
  <si>
    <t>3423</t>
  </si>
  <si>
    <t>00094825750249</t>
  </si>
  <si>
    <t>3424</t>
  </si>
  <si>
    <t>00013294160747</t>
  </si>
  <si>
    <t>3425</t>
  </si>
  <si>
    <t>MIRALVA MARIA DE JESUS LIMA</t>
  </si>
  <si>
    <t>MIRALVA</t>
  </si>
  <si>
    <t>00029472275818</t>
  </si>
  <si>
    <t>3426</t>
  </si>
  <si>
    <t>LUCILEIA MARIA DOS SANTOS</t>
  </si>
  <si>
    <t>LUCILEIA</t>
  </si>
  <si>
    <t>00019682488893</t>
  </si>
  <si>
    <t>3427</t>
  </si>
  <si>
    <t>MARIA EDUARDA NUNES CHAVES</t>
  </si>
  <si>
    <t>MARIA EDUARDA</t>
  </si>
  <si>
    <t>00042532496800</t>
  </si>
  <si>
    <t>3428</t>
  </si>
  <si>
    <t>61148052001761</t>
  </si>
  <si>
    <t>3429</t>
  </si>
  <si>
    <t>00037459108855</t>
  </si>
  <si>
    <t>3430</t>
  </si>
  <si>
    <t>52945340000199</t>
  </si>
  <si>
    <t>3431</t>
  </si>
  <si>
    <t>TRANSREFER TRANSPORTE E LOGISTICA LTDA</t>
  </si>
  <si>
    <t>TRANSREFER</t>
  </si>
  <si>
    <t>19694199000123</t>
  </si>
  <si>
    <t>3432</t>
  </si>
  <si>
    <t>09967852011080</t>
  </si>
  <si>
    <t>3433</t>
  </si>
  <si>
    <t>01944732000100</t>
  </si>
  <si>
    <t>3434</t>
  </si>
  <si>
    <t>10516230000161</t>
  </si>
  <si>
    <t>3435</t>
  </si>
  <si>
    <t>SPY DIVISORIAS LTDA</t>
  </si>
  <si>
    <t>10417733000180</t>
  </si>
  <si>
    <t>3436</t>
  </si>
  <si>
    <t>00033615472888</t>
  </si>
  <si>
    <t>3437</t>
  </si>
  <si>
    <t>00013672183733</t>
  </si>
  <si>
    <t>3438</t>
  </si>
  <si>
    <t>00015413655770</t>
  </si>
  <si>
    <t>3439</t>
  </si>
  <si>
    <t>00015115651793</t>
  </si>
  <si>
    <t>3440</t>
  </si>
  <si>
    <t>00005939592996</t>
  </si>
  <si>
    <t>3441</t>
  </si>
  <si>
    <t>FABIO JOSE DA SILVA</t>
  </si>
  <si>
    <t>FABIO JOSE</t>
  </si>
  <si>
    <t>00003295629404</t>
  </si>
  <si>
    <t>3442</t>
  </si>
  <si>
    <t>00017850589750</t>
  </si>
  <si>
    <t>3443</t>
  </si>
  <si>
    <t>00010941334775</t>
  </si>
  <si>
    <t>3444</t>
  </si>
  <si>
    <t>AGILYTECH COMERCIO E ELETRONICA LTDA ME</t>
  </si>
  <si>
    <t>AGILYTECH</t>
  </si>
  <si>
    <t>20956970000172</t>
  </si>
  <si>
    <t>3445</t>
  </si>
  <si>
    <t>43098567000155</t>
  </si>
  <si>
    <t>3446</t>
  </si>
  <si>
    <t>00034170354818</t>
  </si>
  <si>
    <t>3447</t>
  </si>
  <si>
    <t>20382713000174</t>
  </si>
  <si>
    <t>3448</t>
  </si>
  <si>
    <t>00014845583755</t>
  </si>
  <si>
    <t>3449</t>
  </si>
  <si>
    <t>07947587000190</t>
  </si>
  <si>
    <t>3450</t>
  </si>
  <si>
    <t>00002301668142</t>
  </si>
  <si>
    <t>3451</t>
  </si>
  <si>
    <t>33850714000148</t>
  </si>
  <si>
    <t>3452</t>
  </si>
  <si>
    <t>47960950089351</t>
  </si>
  <si>
    <t>3453</t>
  </si>
  <si>
    <t>MERCADOCAR MERCANTIL DE PEÇAS LTDA</t>
  </si>
  <si>
    <t>MERCADOCAR</t>
  </si>
  <si>
    <t>43158302000529</t>
  </si>
  <si>
    <t>3454</t>
  </si>
  <si>
    <t>52.974.256 DAVID RODRIGUES DA SILVA</t>
  </si>
  <si>
    <t>MARITZA</t>
  </si>
  <si>
    <t>52974256000101</t>
  </si>
  <si>
    <t>3455</t>
  </si>
  <si>
    <t>20938818000167</t>
  </si>
  <si>
    <t>3456</t>
  </si>
  <si>
    <t>05469172000122</t>
  </si>
  <si>
    <t>3457</t>
  </si>
  <si>
    <t>53.108.177 ANA LUCIA DE FRANCA DO CARMO</t>
  </si>
  <si>
    <t>OFICINA ANA INTER</t>
  </si>
  <si>
    <t>53108177000172</t>
  </si>
  <si>
    <t>3458</t>
  </si>
  <si>
    <t>00072312971100</t>
  </si>
  <si>
    <t>3459</t>
  </si>
  <si>
    <t>08584116001280</t>
  </si>
  <si>
    <t>3460</t>
  </si>
  <si>
    <t>REFRIGERACAO DUFRIO COM E IMP S.A</t>
  </si>
  <si>
    <t>01754239004611</t>
  </si>
  <si>
    <t>3461</t>
  </si>
  <si>
    <t>VITOR ALACOQUE LIMA 43155689889</t>
  </si>
  <si>
    <t>ALC PORTOES AUTOMACA</t>
  </si>
  <si>
    <t>40327274000104</t>
  </si>
  <si>
    <t>3462</t>
  </si>
  <si>
    <t>00010738260746</t>
  </si>
  <si>
    <t>3463</t>
  </si>
  <si>
    <t>00005625455309</t>
  </si>
  <si>
    <t>3464</t>
  </si>
  <si>
    <t>00028740565882</t>
  </si>
  <si>
    <t>3465</t>
  </si>
  <si>
    <t>IRMAOS DECARIS COMERCIO DE CORTINAS EM PVC LTDA</t>
  </si>
  <si>
    <t>DECAFLEX CORTINAS EM</t>
  </si>
  <si>
    <t>31395473000169</t>
  </si>
  <si>
    <t>3466</t>
  </si>
  <si>
    <t>29758436000126</t>
  </si>
  <si>
    <t>3467</t>
  </si>
  <si>
    <t>08331990000152</t>
  </si>
  <si>
    <t>3468</t>
  </si>
  <si>
    <t>L AUTO CARGO TRANSPORTE RODOVIARIO S/A</t>
  </si>
  <si>
    <t>L AUTO</t>
  </si>
  <si>
    <t>07189259000767</t>
  </si>
  <si>
    <t>3469</t>
  </si>
  <si>
    <t>04747566000132</t>
  </si>
  <si>
    <t>3470</t>
  </si>
  <si>
    <t>38023321000184</t>
  </si>
  <si>
    <t>3471</t>
  </si>
  <si>
    <t>37288010000184</t>
  </si>
  <si>
    <t>3472</t>
  </si>
  <si>
    <t>JOSE ADEMIR FERREIRA</t>
  </si>
  <si>
    <t>ADEMIR</t>
  </si>
  <si>
    <t>00031947704893</t>
  </si>
  <si>
    <t>3473</t>
  </si>
  <si>
    <t>47359036000120</t>
  </si>
  <si>
    <t>3474</t>
  </si>
  <si>
    <t>08894737000107</t>
  </si>
  <si>
    <t>3475</t>
  </si>
  <si>
    <t>18638950000101</t>
  </si>
  <si>
    <t>3476</t>
  </si>
  <si>
    <t>00014800828724</t>
  </si>
  <si>
    <t>3477</t>
  </si>
  <si>
    <t>PROCOPIOS - MAQUINAS, PECAS E ACESSORIOS PARA COST</t>
  </si>
  <si>
    <t>PROCOPIOS - MAQUINAS</t>
  </si>
  <si>
    <t>57590671000177</t>
  </si>
  <si>
    <t>3478</t>
  </si>
  <si>
    <t>05271416000168</t>
  </si>
  <si>
    <t>3479</t>
  </si>
  <si>
    <t>LEONARDO ALVES DA SILVEIRA 09385707655</t>
  </si>
  <si>
    <t>L.A SHOPS</t>
  </si>
  <si>
    <t>44791011000102</t>
  </si>
  <si>
    <t>3480</t>
  </si>
  <si>
    <t>10538142000160</t>
  </si>
  <si>
    <t>3481</t>
  </si>
  <si>
    <t>23646970000164</t>
  </si>
  <si>
    <t>3482</t>
  </si>
  <si>
    <t>00000904432920</t>
  </si>
  <si>
    <t>3483</t>
  </si>
  <si>
    <t>00003780223856</t>
  </si>
  <si>
    <t>3484</t>
  </si>
  <si>
    <t>00009945804871</t>
  </si>
  <si>
    <t>3485</t>
  </si>
  <si>
    <t>00002589327080</t>
  </si>
  <si>
    <t>3486</t>
  </si>
  <si>
    <t>00031636029833</t>
  </si>
  <si>
    <t>3487</t>
  </si>
  <si>
    <t>50470499000179</t>
  </si>
  <si>
    <t>3488</t>
  </si>
  <si>
    <t>01157555000619</t>
  </si>
  <si>
    <t>3489</t>
  </si>
  <si>
    <t>61599908000158</t>
  </si>
  <si>
    <t>3490</t>
  </si>
  <si>
    <t>00006373167623</t>
  </si>
  <si>
    <t>3491</t>
  </si>
  <si>
    <t>00006349674871</t>
  </si>
  <si>
    <t>3492</t>
  </si>
  <si>
    <t>29289694000100</t>
  </si>
  <si>
    <t>3493</t>
  </si>
  <si>
    <t>PLASTITAPE - IMPORTACAO E EXPORTACAO DE PRODUTOS D</t>
  </si>
  <si>
    <t>PLASTITAPE - IMPORTA</t>
  </si>
  <si>
    <t>07023231000160</t>
  </si>
  <si>
    <t>3494</t>
  </si>
  <si>
    <t>COLATIO TECNOLOGIA EM ADESIVOS LTDA</t>
  </si>
  <si>
    <t>COLATIO TECNOLOGIA E</t>
  </si>
  <si>
    <t>21235881000108</t>
  </si>
  <si>
    <t>3495</t>
  </si>
  <si>
    <t>DEDE CORTINAS E DECORACOES LTDA</t>
  </si>
  <si>
    <t>DEDE CORTINAS</t>
  </si>
  <si>
    <t>53143303000120</t>
  </si>
  <si>
    <t>3496</t>
  </si>
  <si>
    <t>28967057000183</t>
  </si>
  <si>
    <t>3497</t>
  </si>
  <si>
    <t>APERFLEX MOVEIS E EQUIPAMENTOS PARA CONFECCAO LTDA</t>
  </si>
  <si>
    <t>APERFLEX</t>
  </si>
  <si>
    <t>13569346000157</t>
  </si>
  <si>
    <t>3498</t>
  </si>
  <si>
    <t>43444348000342</t>
  </si>
  <si>
    <t>3499</t>
  </si>
  <si>
    <t>MADELINE TAOUK EL KHOURY LTDA</t>
  </si>
  <si>
    <t>ARJES CORTINAS</t>
  </si>
  <si>
    <t>18732031000100</t>
  </si>
  <si>
    <t>3500</t>
  </si>
  <si>
    <t>00034566822800</t>
  </si>
  <si>
    <t>3501</t>
  </si>
  <si>
    <t>00046095942187</t>
  </si>
  <si>
    <t>3502</t>
  </si>
  <si>
    <t>00035446026870</t>
  </si>
  <si>
    <t>3503</t>
  </si>
  <si>
    <t>56122641000173</t>
  </si>
  <si>
    <t>3504</t>
  </si>
  <si>
    <t>02223966009099</t>
  </si>
  <si>
    <t>3505</t>
  </si>
  <si>
    <t>51008317000105</t>
  </si>
  <si>
    <t>3506</t>
  </si>
  <si>
    <t>00002423042736</t>
  </si>
  <si>
    <t>3507</t>
  </si>
  <si>
    <t>00001419147501</t>
  </si>
  <si>
    <t>3508</t>
  </si>
  <si>
    <t>00009379749945</t>
  </si>
  <si>
    <t>3509</t>
  </si>
  <si>
    <t>07216581000142</t>
  </si>
  <si>
    <t>3510</t>
  </si>
  <si>
    <t>CAVALHEIRO LOGISTICS LTDA</t>
  </si>
  <si>
    <t>CAVALHEIROLOG</t>
  </si>
  <si>
    <t>07689042000473</t>
  </si>
  <si>
    <t>3511</t>
  </si>
  <si>
    <t>00003065896648</t>
  </si>
  <si>
    <t>3512</t>
  </si>
  <si>
    <t>00022786718805</t>
  </si>
  <si>
    <t>3513</t>
  </si>
  <si>
    <t>14913257000149</t>
  </si>
  <si>
    <t>3514</t>
  </si>
  <si>
    <t>48417705000135</t>
  </si>
  <si>
    <t>3515</t>
  </si>
  <si>
    <t>EXPRESSO TRANSPORTE JORDANENSE LTDA</t>
  </si>
  <si>
    <t>EXPRESSO TRANSPORTE</t>
  </si>
  <si>
    <t>48300099000173</t>
  </si>
  <si>
    <t>3516</t>
  </si>
  <si>
    <t>00001828147770</t>
  </si>
  <si>
    <t>3517</t>
  </si>
  <si>
    <t>19114125000170</t>
  </si>
  <si>
    <t>3518</t>
  </si>
  <si>
    <t>MARCELA FONGARO PASCOWITCH 30079094813</t>
  </si>
  <si>
    <t>MFCEC</t>
  </si>
  <si>
    <t>36383972000150</t>
  </si>
  <si>
    <t>3519</t>
  </si>
  <si>
    <t>46458770000183</t>
  </si>
  <si>
    <t>3520</t>
  </si>
  <si>
    <t>LARYSSA PIRES BERNARDES DIAS</t>
  </si>
  <si>
    <t>LARYSSA</t>
  </si>
  <si>
    <t>00005771502600</t>
  </si>
  <si>
    <t>3521</t>
  </si>
  <si>
    <t>SAMANTA SILVA DOS SANTOS</t>
  </si>
  <si>
    <t>SAMANTA</t>
  </si>
  <si>
    <t>00032810272883</t>
  </si>
  <si>
    <t>3522</t>
  </si>
  <si>
    <t>00010002581655</t>
  </si>
  <si>
    <t>3523</t>
  </si>
  <si>
    <t>PACKWAY COMERCIO DE EMBALAGENS LTDA</t>
  </si>
  <si>
    <t>REI DO PALLET</t>
  </si>
  <si>
    <t>51514856000116</t>
  </si>
  <si>
    <t>3524</t>
  </si>
  <si>
    <t>00012863355821</t>
  </si>
  <si>
    <t>3525</t>
  </si>
  <si>
    <t>00022849544809</t>
  </si>
  <si>
    <t>3526</t>
  </si>
  <si>
    <t>00002447272103</t>
  </si>
  <si>
    <t>3527</t>
  </si>
  <si>
    <t>00017307243881</t>
  </si>
  <si>
    <t>3528</t>
  </si>
  <si>
    <t>00000627075150</t>
  </si>
  <si>
    <t>3529</t>
  </si>
  <si>
    <t>GS BRINDES COMERCIO DE VARIEDADES LTDA</t>
  </si>
  <si>
    <t>GS BRINDES COMERCIO</t>
  </si>
  <si>
    <t>44102725000166</t>
  </si>
  <si>
    <t>3530</t>
  </si>
  <si>
    <t>00005417268976</t>
  </si>
  <si>
    <t>3531</t>
  </si>
  <si>
    <t>15650647000136</t>
  </si>
  <si>
    <t>3532</t>
  </si>
  <si>
    <t>00012923415728</t>
  </si>
  <si>
    <t>3533</t>
  </si>
  <si>
    <t>00021700905848</t>
  </si>
  <si>
    <t>3534</t>
  </si>
  <si>
    <t>HELOUISE MARTINEZ DE MORAES</t>
  </si>
  <si>
    <t>HELOUISE(PATRICIA)</t>
  </si>
  <si>
    <t>53907170000110</t>
  </si>
  <si>
    <t>3535</t>
  </si>
  <si>
    <t>AUTO ONIBUS MORATENSE LTDA</t>
  </si>
  <si>
    <t>MORATENSE</t>
  </si>
  <si>
    <t>51030229000100</t>
  </si>
  <si>
    <t>3536</t>
  </si>
  <si>
    <t>MARIA DAS DORES CABRAL SILVA DE SOUZA</t>
  </si>
  <si>
    <t>MARIA DAS DORES</t>
  </si>
  <si>
    <t>51662082000170</t>
  </si>
  <si>
    <t>3537</t>
  </si>
  <si>
    <t>00039515182867</t>
  </si>
  <si>
    <t>3538</t>
  </si>
  <si>
    <t>HAILTON APARECIDO DE OLIVEIRA</t>
  </si>
  <si>
    <t>HAILTON TAPECEIRO</t>
  </si>
  <si>
    <t>35041096000110</t>
  </si>
  <si>
    <t>3539</t>
  </si>
  <si>
    <t>14378555000186</t>
  </si>
  <si>
    <t>3540</t>
  </si>
  <si>
    <t>40686675000150</t>
  </si>
  <si>
    <t>3541</t>
  </si>
  <si>
    <t>00001634535510</t>
  </si>
  <si>
    <t>3542</t>
  </si>
  <si>
    <t>ASSB COMERCIO VAREJISTA DE DOCES LTDA.</t>
  </si>
  <si>
    <t>ASSB COMERCIO VAREJI</t>
  </si>
  <si>
    <t>17611014004727</t>
  </si>
  <si>
    <t>3543</t>
  </si>
  <si>
    <t>00832577000160</t>
  </si>
  <si>
    <t>3544</t>
  </si>
  <si>
    <t>43998365000160</t>
  </si>
  <si>
    <t>3545</t>
  </si>
  <si>
    <t>TECIDOS SALIM &amp; DANIEL LTDA</t>
  </si>
  <si>
    <t>TECIDOS SALIM &amp; DANI</t>
  </si>
  <si>
    <t>54422712000128</t>
  </si>
  <si>
    <t>3546</t>
  </si>
  <si>
    <t>00007759382464</t>
  </si>
  <si>
    <t>3547</t>
  </si>
  <si>
    <t>00039699520850</t>
  </si>
  <si>
    <t>3548</t>
  </si>
  <si>
    <t>00030981899838</t>
  </si>
  <si>
    <t>3549</t>
  </si>
  <si>
    <t>00074347705700</t>
  </si>
  <si>
    <t>3550</t>
  </si>
  <si>
    <t>00000650411196</t>
  </si>
  <si>
    <t>3551</t>
  </si>
  <si>
    <t>61875563000118</t>
  </si>
  <si>
    <t>3552</t>
  </si>
  <si>
    <t>00023347187857</t>
  </si>
  <si>
    <t>3553</t>
  </si>
  <si>
    <t>EXATA COMERCIO DE MOLAS E SERVICOS DE ALINHAMENTO</t>
  </si>
  <si>
    <t>EXATA COMERCIO DE MO</t>
  </si>
  <si>
    <t>33265163000155</t>
  </si>
  <si>
    <t>3554</t>
  </si>
  <si>
    <t>00040967104823</t>
  </si>
  <si>
    <t>3555</t>
  </si>
  <si>
    <t>20042949000242</t>
  </si>
  <si>
    <t>3556</t>
  </si>
  <si>
    <t>00037969830811</t>
  </si>
  <si>
    <t>3557</t>
  </si>
  <si>
    <t>00038822418883</t>
  </si>
  <si>
    <t>3558</t>
  </si>
  <si>
    <t>INOVE INDUSTRIA E COMERCIO DE MOVEIS PARA ESCRITOR</t>
  </si>
  <si>
    <t>GLOBO MOVEIS CORPOR</t>
  </si>
  <si>
    <t>33420379000148</t>
  </si>
  <si>
    <t>3559</t>
  </si>
  <si>
    <t>CASA LIMPA PRODUTOS DE LIMPEZA LTDA</t>
  </si>
  <si>
    <t>CASA LIMPA</t>
  </si>
  <si>
    <t>05240959000380</t>
  </si>
  <si>
    <t>3560</t>
  </si>
  <si>
    <t>00007207256663</t>
  </si>
  <si>
    <t>3561</t>
  </si>
  <si>
    <t>JC FÁBRICA DE TECIDOS LTDA</t>
  </si>
  <si>
    <t>JACQUARD</t>
  </si>
  <si>
    <t>48049689000175</t>
  </si>
  <si>
    <t>3562</t>
  </si>
  <si>
    <t>MIRIAN DA SILVA ELOI</t>
  </si>
  <si>
    <t>MIRIAN FUNC</t>
  </si>
  <si>
    <t>00014512011846</t>
  </si>
  <si>
    <t>3563</t>
  </si>
  <si>
    <t>24732603000146</t>
  </si>
  <si>
    <t>3564</t>
  </si>
  <si>
    <t>00007947110654</t>
  </si>
  <si>
    <t>3565</t>
  </si>
  <si>
    <t>LEONARDO DINIZ GALERA</t>
  </si>
  <si>
    <t>AMIGO DA MONICA</t>
  </si>
  <si>
    <t>00025917279888</t>
  </si>
  <si>
    <t>3566</t>
  </si>
  <si>
    <t>00010369625714</t>
  </si>
  <si>
    <t>3567</t>
  </si>
  <si>
    <t>00028662620850</t>
  </si>
  <si>
    <t>3568</t>
  </si>
  <si>
    <t>00089815483404</t>
  </si>
  <si>
    <t>3569</t>
  </si>
  <si>
    <t>00011222341719</t>
  </si>
  <si>
    <t>3570</t>
  </si>
  <si>
    <t>00008174360735</t>
  </si>
  <si>
    <t>3571</t>
  </si>
  <si>
    <t>00010298351790</t>
  </si>
  <si>
    <t>3572</t>
  </si>
  <si>
    <t>61486650114600</t>
  </si>
  <si>
    <t>3573</t>
  </si>
  <si>
    <t>00079501370453</t>
  </si>
  <si>
    <t>3574</t>
  </si>
  <si>
    <t>00022634357869</t>
  </si>
  <si>
    <t>3575</t>
  </si>
  <si>
    <t>00000186380747</t>
  </si>
  <si>
    <t>3576</t>
  </si>
  <si>
    <t>00035844242831</t>
  </si>
  <si>
    <t>3577</t>
  </si>
  <si>
    <t>00092796214168</t>
  </si>
  <si>
    <t>3578</t>
  </si>
  <si>
    <t>00001666906271</t>
  </si>
  <si>
    <t>3579</t>
  </si>
  <si>
    <t>00034169425820</t>
  </si>
  <si>
    <t>3580</t>
  </si>
  <si>
    <t>00036386358805</t>
  </si>
  <si>
    <t>3581</t>
  </si>
  <si>
    <t>37363698000209</t>
  </si>
  <si>
    <t>3582</t>
  </si>
  <si>
    <t>00002893338739</t>
  </si>
  <si>
    <t>3583</t>
  </si>
  <si>
    <t>00024825040829</t>
  </si>
  <si>
    <t>3584</t>
  </si>
  <si>
    <t>00087245922772</t>
  </si>
  <si>
    <t>3585</t>
  </si>
  <si>
    <t>32786978000117</t>
  </si>
  <si>
    <t>3586</t>
  </si>
  <si>
    <t>00008469179985</t>
  </si>
  <si>
    <t>3587</t>
  </si>
  <si>
    <t>10239262000167</t>
  </si>
  <si>
    <t>3588</t>
  </si>
  <si>
    <t>00000468109609</t>
  </si>
  <si>
    <t>3589</t>
  </si>
  <si>
    <t>29721674000167</t>
  </si>
  <si>
    <t>3590</t>
  </si>
  <si>
    <t>ID HOSPITALITY LTDA</t>
  </si>
  <si>
    <t>INÊS DECCIA ZVEIBILZ</t>
  </si>
  <si>
    <t>52722835000159</t>
  </si>
  <si>
    <t>3591</t>
  </si>
  <si>
    <t>00011551792770</t>
  </si>
  <si>
    <t>3592</t>
  </si>
  <si>
    <t>00013794480856</t>
  </si>
  <si>
    <t>3593</t>
  </si>
  <si>
    <t>61486650088765</t>
  </si>
  <si>
    <t>3594</t>
  </si>
  <si>
    <t>BEMOL EXPRESS LOGISTICA LTDA</t>
  </si>
  <si>
    <t>BEMOL EXPRESS LOGIST</t>
  </si>
  <si>
    <t>35441755000106</t>
  </si>
  <si>
    <t>3595</t>
  </si>
  <si>
    <t>00029820019850</t>
  </si>
  <si>
    <t>3596</t>
  </si>
  <si>
    <t>ROSEMARY OLIVEIRA POLVORA</t>
  </si>
  <si>
    <t>ROSEMARY POLVORA</t>
  </si>
  <si>
    <t>00012739247893</t>
  </si>
  <si>
    <t>3597</t>
  </si>
  <si>
    <t>00077548990782</t>
  </si>
  <si>
    <t>3598</t>
  </si>
  <si>
    <t>00007075709640</t>
  </si>
  <si>
    <t>3599</t>
  </si>
  <si>
    <t>00035182347812</t>
  </si>
  <si>
    <t>3600</t>
  </si>
  <si>
    <t>00070277961122</t>
  </si>
  <si>
    <t>3601</t>
  </si>
  <si>
    <t>11905050000134</t>
  </si>
  <si>
    <t>3602</t>
  </si>
  <si>
    <t>CARLOS SANTOS RODRIGUES</t>
  </si>
  <si>
    <t>CARLOS FLORES</t>
  </si>
  <si>
    <t>32355891000195</t>
  </si>
  <si>
    <t>3603</t>
  </si>
  <si>
    <t>00040012457876</t>
  </si>
  <si>
    <t>3604</t>
  </si>
  <si>
    <t>16514761000100</t>
  </si>
  <si>
    <t>3605</t>
  </si>
  <si>
    <t>00087954400972</t>
  </si>
  <si>
    <t>3606</t>
  </si>
  <si>
    <t>11736288000183</t>
  </si>
  <si>
    <t>3607</t>
  </si>
  <si>
    <t>27723989000118</t>
  </si>
  <si>
    <t>3608</t>
  </si>
  <si>
    <t>19051833000100</t>
  </si>
  <si>
    <t>3609</t>
  </si>
  <si>
    <t>53386057000137</t>
  </si>
  <si>
    <t>3610</t>
  </si>
  <si>
    <t>00033665166829</t>
  </si>
  <si>
    <t>3611</t>
  </si>
  <si>
    <t>00012406524701</t>
  </si>
  <si>
    <t>3612</t>
  </si>
  <si>
    <t>00003694617973</t>
  </si>
  <si>
    <t>3613</t>
  </si>
  <si>
    <t>00010066838797</t>
  </si>
  <si>
    <t>3614</t>
  </si>
  <si>
    <t>40190919000371</t>
  </si>
  <si>
    <t>3615</t>
  </si>
  <si>
    <t>WANESSA NASCIMENTO ALVES</t>
  </si>
  <si>
    <t>WANESSA NASCIMENTO</t>
  </si>
  <si>
    <t>00049126279843</t>
  </si>
  <si>
    <t>3616</t>
  </si>
  <si>
    <t>00034703829053</t>
  </si>
  <si>
    <t>3617</t>
  </si>
  <si>
    <t>00019252928863</t>
  </si>
  <si>
    <t>3618</t>
  </si>
  <si>
    <t>00023845783168</t>
  </si>
  <si>
    <t>3619</t>
  </si>
  <si>
    <t>00004922509950</t>
  </si>
  <si>
    <t>3620</t>
  </si>
  <si>
    <t>00005736014700</t>
  </si>
  <si>
    <t>3621</t>
  </si>
  <si>
    <t>FUNDAÇÃO DE APOIO AO INSTITUTO DE PESQUISA TECNOLÓ</t>
  </si>
  <si>
    <t>FIPT</t>
  </si>
  <si>
    <t>05505390000175</t>
  </si>
  <si>
    <t>3622</t>
  </si>
  <si>
    <t>BRANCO MARETIAIS PARA CONSTRUÇAO E FERRAGENS</t>
  </si>
  <si>
    <t>BRANCO MATERIAIS CON</t>
  </si>
  <si>
    <t>47488697000155</t>
  </si>
  <si>
    <t>3623</t>
  </si>
  <si>
    <t>SETE LAGOAS TRANSPORTES LTDA</t>
  </si>
  <si>
    <t>SETE LAGOS</t>
  </si>
  <si>
    <t>03098929000517</t>
  </si>
  <si>
    <t>3624</t>
  </si>
  <si>
    <t>FOLLMANN MATELASSE LTDA</t>
  </si>
  <si>
    <t>FOLLMANN MATELASSE L</t>
  </si>
  <si>
    <t>22218320000155</t>
  </si>
  <si>
    <t>3625</t>
  </si>
  <si>
    <t>61486650079502</t>
  </si>
  <si>
    <t>3626</t>
  </si>
  <si>
    <t>00001579605524</t>
  </si>
  <si>
    <t>3627</t>
  </si>
  <si>
    <t>00010846250756</t>
  </si>
  <si>
    <t>3628</t>
  </si>
  <si>
    <t>00007811402939</t>
  </si>
  <si>
    <t>3629</t>
  </si>
  <si>
    <t>00023002107620</t>
  </si>
  <si>
    <t>3630</t>
  </si>
  <si>
    <t>53407154000169</t>
  </si>
  <si>
    <t>3631</t>
  </si>
  <si>
    <t>18309666000515</t>
  </si>
  <si>
    <t>3632</t>
  </si>
  <si>
    <t>00038755758819</t>
  </si>
  <si>
    <t>3633</t>
  </si>
  <si>
    <t>00081439512000</t>
  </si>
  <si>
    <t>3634</t>
  </si>
  <si>
    <t>ARMARINHOS SANTA CECILIA LTDA</t>
  </si>
  <si>
    <t>ARMARINHOS SANTA CEC</t>
  </si>
  <si>
    <t>61069639000118</t>
  </si>
  <si>
    <t>3635</t>
  </si>
  <si>
    <t>00033271527806</t>
  </si>
  <si>
    <t>3636</t>
  </si>
  <si>
    <t>05327605000105</t>
  </si>
  <si>
    <t>3637</t>
  </si>
  <si>
    <t>00023123299805</t>
  </si>
  <si>
    <t>3638</t>
  </si>
  <si>
    <t>00022980406805</t>
  </si>
  <si>
    <t>3639</t>
  </si>
  <si>
    <t>00001296233855</t>
  </si>
  <si>
    <t>3640</t>
  </si>
  <si>
    <t>00028070353880</t>
  </si>
  <si>
    <t>3641</t>
  </si>
  <si>
    <t>00089303482387</t>
  </si>
  <si>
    <t>3642</t>
  </si>
  <si>
    <t>00044456309857</t>
  </si>
  <si>
    <t>3643</t>
  </si>
  <si>
    <t>92754852000192</t>
  </si>
  <si>
    <t>3644</t>
  </si>
  <si>
    <t>00040901292818</t>
  </si>
  <si>
    <t>3645</t>
  </si>
  <si>
    <t>00014988147860</t>
  </si>
  <si>
    <t>3646</t>
  </si>
  <si>
    <t>00031164659839</t>
  </si>
  <si>
    <t>3647</t>
  </si>
  <si>
    <t>00010317911678</t>
  </si>
  <si>
    <t>3648</t>
  </si>
  <si>
    <t>00012237007632</t>
  </si>
  <si>
    <t>3649</t>
  </si>
  <si>
    <t>00010512502773</t>
  </si>
  <si>
    <t>3650</t>
  </si>
  <si>
    <t>00041599417880</t>
  </si>
  <si>
    <t>3651</t>
  </si>
  <si>
    <t>00008373065903</t>
  </si>
  <si>
    <t>3652</t>
  </si>
  <si>
    <t>07749188000114</t>
  </si>
  <si>
    <t>3653</t>
  </si>
  <si>
    <t>00014224853744</t>
  </si>
  <si>
    <t>3654</t>
  </si>
  <si>
    <t>00038484044866</t>
  </si>
  <si>
    <t>3655</t>
  </si>
  <si>
    <t>54093176000164</t>
  </si>
  <si>
    <t>3656</t>
  </si>
  <si>
    <t>FABI LINHAS COMERCIO DE AVIAMENTOS LTDA</t>
  </si>
  <si>
    <t>FABI LINHAS COMERCIO</t>
  </si>
  <si>
    <t>01724762000101</t>
  </si>
  <si>
    <t>3657</t>
  </si>
  <si>
    <t>43119536000133</t>
  </si>
  <si>
    <t>3658</t>
  </si>
  <si>
    <t>00029845240801</t>
  </si>
  <si>
    <t>3659</t>
  </si>
  <si>
    <t>00013347769708</t>
  </si>
  <si>
    <t>3660</t>
  </si>
  <si>
    <t>02284062001765</t>
  </si>
  <si>
    <t>3661</t>
  </si>
  <si>
    <t>00046471405634</t>
  </si>
  <si>
    <t>3662</t>
  </si>
  <si>
    <t>00041014875889</t>
  </si>
  <si>
    <t>3663</t>
  </si>
  <si>
    <t>00001298382840</t>
  </si>
  <si>
    <t>3664</t>
  </si>
  <si>
    <t>EUROTEXTIL COMERCIO E IMPORTACAO LTDA</t>
  </si>
  <si>
    <t>EUROTEXTIL COMERCIO</t>
  </si>
  <si>
    <t>05038925000226</t>
  </si>
  <si>
    <t>3665</t>
  </si>
  <si>
    <t>00039556746811</t>
  </si>
  <si>
    <t>3666</t>
  </si>
  <si>
    <t>00005730466544</t>
  </si>
  <si>
    <t>3667</t>
  </si>
  <si>
    <t>00036753778810</t>
  </si>
  <si>
    <t>3668</t>
  </si>
  <si>
    <t>00048277721854</t>
  </si>
  <si>
    <t>3669</t>
  </si>
  <si>
    <t>14586232000188</t>
  </si>
  <si>
    <t>3670</t>
  </si>
  <si>
    <t>00036023922449</t>
  </si>
  <si>
    <t>3671</t>
  </si>
  <si>
    <t>00009786419731</t>
  </si>
  <si>
    <t>3672</t>
  </si>
  <si>
    <t>00032536187810</t>
  </si>
  <si>
    <t>3673</t>
  </si>
  <si>
    <t>30421230000195</t>
  </si>
  <si>
    <t>3674</t>
  </si>
  <si>
    <t>21833031000101</t>
  </si>
  <si>
    <t>3675</t>
  </si>
  <si>
    <t>41662769000152</t>
  </si>
  <si>
    <t>3676</t>
  </si>
  <si>
    <t>43704542000158</t>
  </si>
  <si>
    <t>3677</t>
  </si>
  <si>
    <t>TECIDOS FIAMA LTDA</t>
  </si>
  <si>
    <t>FIAMA</t>
  </si>
  <si>
    <t>45986718000137</t>
  </si>
  <si>
    <t>3678</t>
  </si>
  <si>
    <t>ANCHIETA BORDADOS LTDA</t>
  </si>
  <si>
    <t>OFICINA ANCHIETA</t>
  </si>
  <si>
    <t>21710994000100</t>
  </si>
  <si>
    <t>3679</t>
  </si>
  <si>
    <t>00004187446109</t>
  </si>
  <si>
    <t>3680</t>
  </si>
  <si>
    <t>07369561000101</t>
  </si>
  <si>
    <t>3681</t>
  </si>
  <si>
    <t>00008947175889</t>
  </si>
  <si>
    <t>3682</t>
  </si>
  <si>
    <t>RICARDO SEIXAS BATISTA</t>
  </si>
  <si>
    <t>RICARDO SEIXAS BATIS</t>
  </si>
  <si>
    <t>00032212802897</t>
  </si>
  <si>
    <t>3683</t>
  </si>
  <si>
    <t>00001807852148</t>
  </si>
  <si>
    <t>3684</t>
  </si>
  <si>
    <t>00005265052658</t>
  </si>
  <si>
    <t>3685</t>
  </si>
  <si>
    <t>00001702348512</t>
  </si>
  <si>
    <t>3686</t>
  </si>
  <si>
    <t>00036897696803</t>
  </si>
  <si>
    <t>3687</t>
  </si>
  <si>
    <t>00022931854867</t>
  </si>
  <si>
    <t>3688</t>
  </si>
  <si>
    <t>00008427520646</t>
  </si>
  <si>
    <t>3689</t>
  </si>
  <si>
    <t>00004161798946</t>
  </si>
  <si>
    <t>3690</t>
  </si>
  <si>
    <t>03091495000108</t>
  </si>
  <si>
    <t>3691</t>
  </si>
  <si>
    <t>RICARDO ROCHA COMERCIO DE MAQUINAS ME</t>
  </si>
  <si>
    <t>INK MAQUINAS PUBLICA</t>
  </si>
  <si>
    <t>07488757000115</t>
  </si>
  <si>
    <t>3692</t>
  </si>
  <si>
    <t>00015376092461</t>
  </si>
  <si>
    <t>3693</t>
  </si>
  <si>
    <t>00007376990607</t>
  </si>
  <si>
    <t>3694</t>
  </si>
  <si>
    <t>00035180491860</t>
  </si>
  <si>
    <t>3695</t>
  </si>
  <si>
    <t>00008352273671</t>
  </si>
  <si>
    <t>3696</t>
  </si>
  <si>
    <t>30798269000126</t>
  </si>
  <si>
    <t>3697</t>
  </si>
  <si>
    <t>00011738140784</t>
  </si>
  <si>
    <t>3698</t>
  </si>
  <si>
    <t>00030163728860</t>
  </si>
  <si>
    <t>3699</t>
  </si>
  <si>
    <t>46793821000123</t>
  </si>
  <si>
    <t>3700</t>
  </si>
  <si>
    <t>02558157091613</t>
  </si>
  <si>
    <t>3701</t>
  </si>
  <si>
    <t>00003703527188</t>
  </si>
  <si>
    <t>3702</t>
  </si>
  <si>
    <t>31848524000160</t>
  </si>
  <si>
    <t>3703</t>
  </si>
  <si>
    <t>00044242000600</t>
  </si>
  <si>
    <t>3704</t>
  </si>
  <si>
    <t>48858762000150</t>
  </si>
  <si>
    <t>3705</t>
  </si>
  <si>
    <t>28633366000117</t>
  </si>
  <si>
    <t>3706</t>
  </si>
  <si>
    <t>44268775000118</t>
  </si>
  <si>
    <t>3707</t>
  </si>
  <si>
    <t>ARTIGRAF ETIQUETAS E-COMMECE LTDA</t>
  </si>
  <si>
    <t>ARTGRAF</t>
  </si>
  <si>
    <t>54951520000109</t>
  </si>
  <si>
    <t>3708</t>
  </si>
  <si>
    <t>27252040000187</t>
  </si>
  <si>
    <t>3709</t>
  </si>
  <si>
    <t>03378888000199</t>
  </si>
  <si>
    <t>3710</t>
  </si>
  <si>
    <t>38037294000107</t>
  </si>
  <si>
    <t>3711</t>
  </si>
  <si>
    <t>00002727937440</t>
  </si>
  <si>
    <t>3712</t>
  </si>
  <si>
    <t>00001526157683</t>
  </si>
  <si>
    <t>3713</t>
  </si>
  <si>
    <t>33216093000145</t>
  </si>
  <si>
    <t>3714</t>
  </si>
  <si>
    <t>00014730512901</t>
  </si>
  <si>
    <t>3715</t>
  </si>
  <si>
    <t>00046175133889</t>
  </si>
  <si>
    <t>3716</t>
  </si>
  <si>
    <t>GLOBOFLEX COMERCIO DE MOVEIS E CADEIRAS PARA ESCRI</t>
  </si>
  <si>
    <t>GLOBOFLEX</t>
  </si>
  <si>
    <t>49149955000102</t>
  </si>
  <si>
    <t>3717</t>
  </si>
  <si>
    <t>GG GESSO LTDA</t>
  </si>
  <si>
    <t>GESSO GUARAPIRANGA</t>
  </si>
  <si>
    <t>02498523000135</t>
  </si>
  <si>
    <t>3718</t>
  </si>
  <si>
    <t>00002006362003</t>
  </si>
  <si>
    <t>3719</t>
  </si>
  <si>
    <t>39287376000164</t>
  </si>
  <si>
    <t>3720</t>
  </si>
  <si>
    <t>00010156845644</t>
  </si>
  <si>
    <t>3721</t>
  </si>
  <si>
    <t>LEROY MERLIN</t>
  </si>
  <si>
    <t>01438784001330</t>
  </si>
  <si>
    <t>3722</t>
  </si>
  <si>
    <t>00003393349678</t>
  </si>
  <si>
    <t>3723</t>
  </si>
  <si>
    <t>00044089786800</t>
  </si>
  <si>
    <t>3724</t>
  </si>
  <si>
    <t>BMP UTILIDADES DOMESTICAS S.A.</t>
  </si>
  <si>
    <t>LOJAS MEL - SP</t>
  </si>
  <si>
    <t>12356100003907</t>
  </si>
  <si>
    <t>3725</t>
  </si>
  <si>
    <t>38824554000186</t>
  </si>
  <si>
    <t>3726</t>
  </si>
  <si>
    <t>00002641839083</t>
  </si>
  <si>
    <t>3727</t>
  </si>
  <si>
    <t>00002815189208</t>
  </si>
  <si>
    <t>3728</t>
  </si>
  <si>
    <t>REHEM CELL ASSISTENCIA E ACESSÓRIOS LTDA</t>
  </si>
  <si>
    <t>HEHEM</t>
  </si>
  <si>
    <t>27872265000136</t>
  </si>
  <si>
    <t>3729</t>
  </si>
  <si>
    <t>KELLE APARECIDA LIMA TEIXAIRA UTILIDADES</t>
  </si>
  <si>
    <t>KELLE APARECIDA LIMA</t>
  </si>
  <si>
    <t>05909625000194</t>
  </si>
  <si>
    <t>3730</t>
  </si>
  <si>
    <t>RV ASSOCIADOS COMERCIO E ASSISTENCIA TECNICA LTDA</t>
  </si>
  <si>
    <t>RV ASSOCIADOS</t>
  </si>
  <si>
    <t>04775835000174</t>
  </si>
  <si>
    <t>3731</t>
  </si>
  <si>
    <t>THAIS PAULUCI - GOVERNANCIA EM HOTELEIRA E TREINAM</t>
  </si>
  <si>
    <t>THAIS PAULUCI</t>
  </si>
  <si>
    <t>48962034000193</t>
  </si>
  <si>
    <t>3732</t>
  </si>
  <si>
    <t>02386079000166</t>
  </si>
  <si>
    <t>3733</t>
  </si>
  <si>
    <t>MARCOS SANTONIO SAPATEIRO</t>
  </si>
  <si>
    <t>MARCOS SANTONIO SAPA</t>
  </si>
  <si>
    <t>21827310000154</t>
  </si>
  <si>
    <t>3734</t>
  </si>
  <si>
    <t>LUCIANO FERNANDES CAMPOS ME</t>
  </si>
  <si>
    <t>LIRIOS DOS VALES</t>
  </si>
  <si>
    <t>10581804000185</t>
  </si>
  <si>
    <t>3735</t>
  </si>
  <si>
    <t>00013844950702</t>
  </si>
  <si>
    <t>3736</t>
  </si>
  <si>
    <t>45024168000175</t>
  </si>
  <si>
    <t>3737</t>
  </si>
  <si>
    <t>AVATHAR ASSESSORIA EMPRESARIAL, MARKETING E EDUCAC</t>
  </si>
  <si>
    <t>AVATHAR</t>
  </si>
  <si>
    <t>66057183000190</t>
  </si>
  <si>
    <t>3738</t>
  </si>
  <si>
    <t>TINOCO SOARES SOCIEDADE DE ADVOGADOS</t>
  </si>
  <si>
    <t>TINOCO SOARES SOCIED</t>
  </si>
  <si>
    <t>59949594000124</t>
  </si>
  <si>
    <t>3739</t>
  </si>
  <si>
    <t>30589367000153</t>
  </si>
  <si>
    <t>3740</t>
  </si>
  <si>
    <t>00044269843861</t>
  </si>
  <si>
    <t>3741</t>
  </si>
  <si>
    <t>LEONARDO GALVAO PEREIRA</t>
  </si>
  <si>
    <t>JET POINT INFORMATIC</t>
  </si>
  <si>
    <t>10533068000190</t>
  </si>
  <si>
    <t>3742</t>
  </si>
  <si>
    <t>JOAO LUCA MACEDO ROSA LTDA</t>
  </si>
  <si>
    <t>MUJU</t>
  </si>
  <si>
    <t>48251211000123</t>
  </si>
  <si>
    <t>3743</t>
  </si>
  <si>
    <t>MARCELO DE CARVALHO</t>
  </si>
  <si>
    <t>36311969000120</t>
  </si>
  <si>
    <t>3744</t>
  </si>
  <si>
    <t>38482799000253</t>
  </si>
  <si>
    <t>3745</t>
  </si>
  <si>
    <t>00001396720600</t>
  </si>
  <si>
    <t>3746</t>
  </si>
  <si>
    <t>00008618702986</t>
  </si>
  <si>
    <t>3747</t>
  </si>
  <si>
    <t>00004389552856</t>
  </si>
  <si>
    <t>3748</t>
  </si>
  <si>
    <t>11938558000139</t>
  </si>
  <si>
    <t>3749</t>
  </si>
  <si>
    <t>00017478642772</t>
  </si>
  <si>
    <t>3750</t>
  </si>
  <si>
    <t>ILMA SANTOS BANZATTO</t>
  </si>
  <si>
    <t>00070839492553</t>
  </si>
  <si>
    <t>3751</t>
  </si>
  <si>
    <t>RODOBENS ADMINISTRADORA DE CONSORCIOS LTDA</t>
  </si>
  <si>
    <t>RODOBENS ADMINISTRAD</t>
  </si>
  <si>
    <t>51855716000101</t>
  </si>
  <si>
    <t>3752</t>
  </si>
  <si>
    <t>45518539000175</t>
  </si>
  <si>
    <t>3753</t>
  </si>
  <si>
    <t>19157431000275</t>
  </si>
  <si>
    <t>3754</t>
  </si>
  <si>
    <t>63476592000132</t>
  </si>
  <si>
    <t>3755</t>
  </si>
  <si>
    <t>24758428000166</t>
  </si>
  <si>
    <t>3756</t>
  </si>
  <si>
    <t>44357694000194</t>
  </si>
  <si>
    <t>3757</t>
  </si>
  <si>
    <t>A. V. PEREIRA DOS SANTOS</t>
  </si>
  <si>
    <t>VICTORIA FANTASIAS</t>
  </si>
  <si>
    <t>53570599000165</t>
  </si>
  <si>
    <t>3758</t>
  </si>
  <si>
    <t>DANI LINGERIE LTDA</t>
  </si>
  <si>
    <t>DANI LINGERIE</t>
  </si>
  <si>
    <t>04503511000187</t>
  </si>
  <si>
    <t>3759</t>
  </si>
  <si>
    <t>00015070288814</t>
  </si>
  <si>
    <t>3760</t>
  </si>
  <si>
    <t>00053106012870</t>
  </si>
  <si>
    <t>3761</t>
  </si>
  <si>
    <t>00010062403818</t>
  </si>
  <si>
    <t>3762</t>
  </si>
  <si>
    <t>62791116000305</t>
  </si>
  <si>
    <t>3763</t>
  </si>
  <si>
    <t>00011266881425</t>
  </si>
  <si>
    <t>3764</t>
  </si>
  <si>
    <t>WMB SUPERMERCADOS DOBRASIL LTDA</t>
  </si>
  <si>
    <t>CARREFOUR</t>
  </si>
  <si>
    <t>00063960003620</t>
  </si>
  <si>
    <t>3765</t>
  </si>
  <si>
    <t>00013009156766</t>
  </si>
  <si>
    <t>3766</t>
  </si>
  <si>
    <t>10015728000140</t>
  </si>
  <si>
    <t>3767</t>
  </si>
  <si>
    <t>COMERCIAL MALULI LTDA</t>
  </si>
  <si>
    <t>COMERCIAL MALULI LTD</t>
  </si>
  <si>
    <t>51669307000110</t>
  </si>
  <si>
    <t>3768</t>
  </si>
  <si>
    <t>00008992400977</t>
  </si>
  <si>
    <t>3769</t>
  </si>
  <si>
    <t>19511902000110</t>
  </si>
  <si>
    <t>3770</t>
  </si>
  <si>
    <t>17499284000105</t>
  </si>
  <si>
    <t>3771</t>
  </si>
  <si>
    <t>00063769751353</t>
  </si>
  <si>
    <t>3772</t>
  </si>
  <si>
    <t>00013265816788</t>
  </si>
  <si>
    <t>3773</t>
  </si>
  <si>
    <t>00030917287819</t>
  </si>
  <si>
    <t>3774</t>
  </si>
  <si>
    <t>00039718354816</t>
  </si>
  <si>
    <t>3775</t>
  </si>
  <si>
    <t>MESO OCEANICA ERVIÇO DE EMBARCAÇÕES LTDA</t>
  </si>
  <si>
    <t>MEO OCEANICA</t>
  </si>
  <si>
    <t>13966745000151</t>
  </si>
  <si>
    <t>3776</t>
  </si>
  <si>
    <t>23266383000140</t>
  </si>
  <si>
    <t>3777</t>
  </si>
  <si>
    <t>00001383534098</t>
  </si>
  <si>
    <t>3778</t>
  </si>
  <si>
    <t>10852237000154</t>
  </si>
  <si>
    <t>3779</t>
  </si>
  <si>
    <t>VALLELOG TRANSPORTES LTDA</t>
  </si>
  <si>
    <t>VALLELOG</t>
  </si>
  <si>
    <t>46834541000116</t>
  </si>
  <si>
    <t>3780</t>
  </si>
  <si>
    <t>00006277346695</t>
  </si>
  <si>
    <t>3781</t>
  </si>
  <si>
    <t>00036848674893</t>
  </si>
  <si>
    <t>3782</t>
  </si>
  <si>
    <t>00043918089860</t>
  </si>
  <si>
    <t>3783</t>
  </si>
  <si>
    <t>00007687357930</t>
  </si>
  <si>
    <t>3784</t>
  </si>
  <si>
    <t>48553497000100</t>
  </si>
  <si>
    <t>3785</t>
  </si>
  <si>
    <t>00037399761876</t>
  </si>
  <si>
    <t>3786</t>
  </si>
  <si>
    <t>00041685402860</t>
  </si>
  <si>
    <t>3787</t>
  </si>
  <si>
    <t>55860334000127</t>
  </si>
  <si>
    <t>3788</t>
  </si>
  <si>
    <t>55.883.906 LEUZANIA CARVALHO RODRIGUES CARLOS</t>
  </si>
  <si>
    <t>OFICINA LEUZANIA</t>
  </si>
  <si>
    <t>55883906000193</t>
  </si>
  <si>
    <t>3789</t>
  </si>
  <si>
    <t>COMERCIO UNIÃO LTDA</t>
  </si>
  <si>
    <t>53931484000159</t>
  </si>
  <si>
    <t>3790</t>
  </si>
  <si>
    <t>12051345000315</t>
  </si>
  <si>
    <t>3791</t>
  </si>
  <si>
    <t>00031004686862</t>
  </si>
  <si>
    <t>3792</t>
  </si>
  <si>
    <t>PATRICIA MARTINEZ LIMA GUIMARAES</t>
  </si>
  <si>
    <t>PATRICIA MARTINEZ LI</t>
  </si>
  <si>
    <t>55128421000194</t>
  </si>
  <si>
    <t>3793</t>
  </si>
  <si>
    <t>52975437000225</t>
  </si>
  <si>
    <t>3794</t>
  </si>
  <si>
    <t>00040765650886</t>
  </si>
  <si>
    <t>3795</t>
  </si>
  <si>
    <t>49559948000170</t>
  </si>
  <si>
    <t>3796</t>
  </si>
  <si>
    <t>18363329000182</t>
  </si>
  <si>
    <t>3797</t>
  </si>
  <si>
    <t>00067646808768</t>
  </si>
  <si>
    <t>3798</t>
  </si>
  <si>
    <t>ORGANISYS SOFTWARE LTDA</t>
  </si>
  <si>
    <t>ORGANISYS SOFTWARE</t>
  </si>
  <si>
    <t>01056417000139</t>
  </si>
  <si>
    <t>3799</t>
  </si>
  <si>
    <t>21193102000140</t>
  </si>
  <si>
    <t>3800</t>
  </si>
  <si>
    <t>CARMEN CRISTIANA BRAGA</t>
  </si>
  <si>
    <t>CARMEN CRISTIANA BRA</t>
  </si>
  <si>
    <t>00017328869895</t>
  </si>
  <si>
    <t>3801</t>
  </si>
  <si>
    <t>ROSANGELA CARMELITA PESSOA MORENO</t>
  </si>
  <si>
    <t>ROSANGELA CARMELITA</t>
  </si>
  <si>
    <t>55411014000190</t>
  </si>
  <si>
    <t>3802</t>
  </si>
  <si>
    <t>06876196000169</t>
  </si>
  <si>
    <t>3803</t>
  </si>
  <si>
    <t>00075342618720</t>
  </si>
  <si>
    <t>3804</t>
  </si>
  <si>
    <t>00008294943835</t>
  </si>
  <si>
    <t>3805</t>
  </si>
  <si>
    <t>00006453344998</t>
  </si>
  <si>
    <t>3806</t>
  </si>
  <si>
    <t>00033055374851</t>
  </si>
  <si>
    <t>3807</t>
  </si>
  <si>
    <t>04823123000264</t>
  </si>
  <si>
    <t>3808</t>
  </si>
  <si>
    <t>00010714429880</t>
  </si>
  <si>
    <t>3809</t>
  </si>
  <si>
    <t>00011807581616</t>
  </si>
  <si>
    <t>3810</t>
  </si>
  <si>
    <t>46172262000134</t>
  </si>
  <si>
    <t>3811</t>
  </si>
  <si>
    <t>00009485242603</t>
  </si>
  <si>
    <t>3812</t>
  </si>
  <si>
    <t>LUIZ FERNANDO MELGADO</t>
  </si>
  <si>
    <t>LUIZ FERNANDO MELGAD</t>
  </si>
  <si>
    <t>08915595000117</t>
  </si>
  <si>
    <t>3813</t>
  </si>
  <si>
    <t>34956807000114</t>
  </si>
  <si>
    <t>3814</t>
  </si>
  <si>
    <t>00066729777753</t>
  </si>
  <si>
    <t>3815</t>
  </si>
  <si>
    <t>LAVIVE &amp; HOTELERIE INDUSTRIA E COMERCIO DE ENXOVAI</t>
  </si>
  <si>
    <t>LAVIVE ENXOVAIS</t>
  </si>
  <si>
    <t>02815903000156</t>
  </si>
  <si>
    <t>3816</t>
  </si>
  <si>
    <t>67750026000128</t>
  </si>
  <si>
    <t>3817</t>
  </si>
  <si>
    <t>11503680000182</t>
  </si>
  <si>
    <t>3818</t>
  </si>
  <si>
    <t>ICELMA SANTANA FREITAS</t>
  </si>
  <si>
    <t>OFICINA ICELMA</t>
  </si>
  <si>
    <t>19977745000133</t>
  </si>
  <si>
    <t>3819</t>
  </si>
  <si>
    <t>00027343066897</t>
  </si>
  <si>
    <t>3820</t>
  </si>
  <si>
    <t>CELESTINA ACOSTA ALCARAZ 23731027810</t>
  </si>
  <si>
    <t>OFICINA MELANY.A.G.</t>
  </si>
  <si>
    <t>42097228000191</t>
  </si>
  <si>
    <t>3821</t>
  </si>
  <si>
    <t>RBR FERREIRA DIESEL LTDA</t>
  </si>
  <si>
    <t>RBR DIESEL</t>
  </si>
  <si>
    <t>54810417000149</t>
  </si>
  <si>
    <t>3822</t>
  </si>
  <si>
    <t>45734841000160</t>
  </si>
  <si>
    <t>3823</t>
  </si>
  <si>
    <t>12284455000165</t>
  </si>
  <si>
    <t>3824</t>
  </si>
  <si>
    <t>09326499000104</t>
  </si>
  <si>
    <t>3825</t>
  </si>
  <si>
    <t>00013656258775</t>
  </si>
  <si>
    <t>3826</t>
  </si>
  <si>
    <t>00043022391072</t>
  </si>
  <si>
    <t>3827</t>
  </si>
  <si>
    <t>SUELI ROSA DOS SANTOS</t>
  </si>
  <si>
    <t>SUELI ROSA DOS SANTO</t>
  </si>
  <si>
    <t>00033626369854</t>
  </si>
  <si>
    <t>3828</t>
  </si>
  <si>
    <t>HELENA ARANHA DE OLIVEIRA</t>
  </si>
  <si>
    <t>HELENA ARANHA DE OLI</t>
  </si>
  <si>
    <t>00054249683842</t>
  </si>
  <si>
    <t>3829</t>
  </si>
  <si>
    <t>00011061473759</t>
  </si>
  <si>
    <t>3830</t>
  </si>
  <si>
    <t>UTILFACIL PRESENTES LTDA</t>
  </si>
  <si>
    <t>UTILFACIL PRESENTES</t>
  </si>
  <si>
    <t>36548850000176</t>
  </si>
  <si>
    <t>3831</t>
  </si>
  <si>
    <t>ANDREA RODRIGUES RAMOS 31113830832</t>
  </si>
  <si>
    <t>ESTACIONAM. IGUATEMI</t>
  </si>
  <si>
    <t>22543489000180</t>
  </si>
  <si>
    <t>3832</t>
  </si>
  <si>
    <t>MASTER OFFICE PRINT E COMRCIO LTDA</t>
  </si>
  <si>
    <t>MASTER OFFICE</t>
  </si>
  <si>
    <t>52885049000172</t>
  </si>
  <si>
    <t>3833</t>
  </si>
  <si>
    <t>YAMPI DESENVOLVIMENTO DE SFTWARES LTDA</t>
  </si>
  <si>
    <t>YAMPI DESENV. SOFTWA</t>
  </si>
  <si>
    <t>15699640000109</t>
  </si>
  <si>
    <t>3834</t>
  </si>
  <si>
    <t>04945377000174</t>
  </si>
  <si>
    <t>3835</t>
  </si>
  <si>
    <t>00009395982802</t>
  </si>
  <si>
    <t>3836</t>
  </si>
  <si>
    <t>17981065000168</t>
  </si>
  <si>
    <t>3837</t>
  </si>
  <si>
    <t>13773702000150</t>
  </si>
  <si>
    <t>3838</t>
  </si>
  <si>
    <t>TRANSPORTADORA PRIMEIRA DO NORDESTE LTDA</t>
  </si>
  <si>
    <t>TPN TRANSPORTADORA</t>
  </si>
  <si>
    <t>15129315000887</t>
  </si>
  <si>
    <t>3839</t>
  </si>
  <si>
    <t>00045248974615</t>
  </si>
  <si>
    <t>3840</t>
  </si>
  <si>
    <t>00011719409714</t>
  </si>
  <si>
    <t>3841</t>
  </si>
  <si>
    <t>00001001684770</t>
  </si>
  <si>
    <t>3842</t>
  </si>
  <si>
    <t>00041768612153</t>
  </si>
  <si>
    <t>3843</t>
  </si>
  <si>
    <t>00041576605876</t>
  </si>
  <si>
    <t>3844</t>
  </si>
  <si>
    <t>00010737615761</t>
  </si>
  <si>
    <t>3845</t>
  </si>
  <si>
    <t>00007335066662</t>
  </si>
  <si>
    <t>3846</t>
  </si>
  <si>
    <t>00031187510882</t>
  </si>
  <si>
    <t>3847</t>
  </si>
  <si>
    <t>00039009163814</t>
  </si>
  <si>
    <t>3848</t>
  </si>
  <si>
    <t>00098399560359</t>
  </si>
  <si>
    <t>3849</t>
  </si>
  <si>
    <t>00048554110862</t>
  </si>
  <si>
    <t>3850</t>
  </si>
  <si>
    <t>00011732068682</t>
  </si>
  <si>
    <t>3851</t>
  </si>
  <si>
    <t>LE SAC COMERCIAL CENTER COUROS LTDA</t>
  </si>
  <si>
    <t>LE POSTICHE</t>
  </si>
  <si>
    <t>61777009011132</t>
  </si>
  <si>
    <t>3852</t>
  </si>
  <si>
    <t>00001512000507</t>
  </si>
  <si>
    <t>3853</t>
  </si>
  <si>
    <t>49746656000147</t>
  </si>
  <si>
    <t>3854</t>
  </si>
  <si>
    <t>00006630932790</t>
  </si>
  <si>
    <t>3855</t>
  </si>
  <si>
    <t>14535117000184</t>
  </si>
  <si>
    <t>3856</t>
  </si>
  <si>
    <t>39679913000111</t>
  </si>
  <si>
    <t>3857</t>
  </si>
  <si>
    <t>PAPERPACK GRAFICA S/A</t>
  </si>
  <si>
    <t>08751249000140</t>
  </si>
  <si>
    <t>3858</t>
  </si>
  <si>
    <t>28001161000119</t>
  </si>
  <si>
    <t>3859</t>
  </si>
  <si>
    <t>49591759000185</t>
  </si>
  <si>
    <t>3860</t>
  </si>
  <si>
    <t>00037148589894</t>
  </si>
  <si>
    <t>3861</t>
  </si>
  <si>
    <t>00090511484020</t>
  </si>
  <si>
    <t>3862</t>
  </si>
  <si>
    <t>00035980720820</t>
  </si>
  <si>
    <t>3863</t>
  </si>
  <si>
    <t>00033108662899</t>
  </si>
  <si>
    <t>3864</t>
  </si>
  <si>
    <t>00052390589898</t>
  </si>
  <si>
    <t>3865</t>
  </si>
  <si>
    <t>LUISA CATARINA ALMEIDA BENDER VERRONE</t>
  </si>
  <si>
    <t>LUISA CATARINA ALMEI</t>
  </si>
  <si>
    <t>24089184000176</t>
  </si>
  <si>
    <t>3866</t>
  </si>
  <si>
    <t>45491601000182</t>
  </si>
  <si>
    <t>3867</t>
  </si>
  <si>
    <t>00033428817800</t>
  </si>
  <si>
    <t>3868</t>
  </si>
  <si>
    <t>00042789522871</t>
  </si>
  <si>
    <t>3869</t>
  </si>
  <si>
    <t>00000862007399</t>
  </si>
  <si>
    <t>3870</t>
  </si>
  <si>
    <t>MARKETPLACE</t>
  </si>
  <si>
    <t>34346591000175</t>
  </si>
  <si>
    <t>3871</t>
  </si>
  <si>
    <t>09391159000159</t>
  </si>
  <si>
    <t>3872</t>
  </si>
  <si>
    <t>KAIZEN PRINTER COMERCIO DE IMPRESSÃO GRÁFICA LTDA</t>
  </si>
  <si>
    <t>KAIZEN PRINTER COMER</t>
  </si>
  <si>
    <t>11158614000112</t>
  </si>
  <si>
    <t>3873</t>
  </si>
  <si>
    <t>00006618486980</t>
  </si>
  <si>
    <t>3874</t>
  </si>
  <si>
    <t>55809771000116</t>
  </si>
  <si>
    <t>3875</t>
  </si>
  <si>
    <t>45844234000153</t>
  </si>
  <si>
    <t>3876</t>
  </si>
  <si>
    <t>26134326000103</t>
  </si>
  <si>
    <t>3877</t>
  </si>
  <si>
    <t>31305943000156</t>
  </si>
  <si>
    <t>3878</t>
  </si>
  <si>
    <t>00057397643191</t>
  </si>
  <si>
    <t>3879</t>
  </si>
  <si>
    <t>DROGA VIVA COM SAUDE LTDA</t>
  </si>
  <si>
    <t>DROGA VIVA</t>
  </si>
  <si>
    <t>62093455000741</t>
  </si>
  <si>
    <t>3880</t>
  </si>
  <si>
    <t>00006278858886</t>
  </si>
  <si>
    <t>3881</t>
  </si>
  <si>
    <t>00042707465801</t>
  </si>
  <si>
    <t>3882</t>
  </si>
  <si>
    <t>00008802228914</t>
  </si>
  <si>
    <t>3883</t>
  </si>
  <si>
    <t>00091034981900</t>
  </si>
  <si>
    <t>3884</t>
  </si>
  <si>
    <t>00009905483764</t>
  </si>
  <si>
    <t>3885</t>
  </si>
  <si>
    <t>10317019000110</t>
  </si>
  <si>
    <t>3886</t>
  </si>
  <si>
    <t>02223966010771</t>
  </si>
  <si>
    <t>3887</t>
  </si>
  <si>
    <t>06060166000180</t>
  </si>
  <si>
    <t>3888</t>
  </si>
  <si>
    <t>00006572830616</t>
  </si>
  <si>
    <t>3889</t>
  </si>
  <si>
    <t>00042698555840</t>
  </si>
  <si>
    <t>3890</t>
  </si>
  <si>
    <t>00021509410821</t>
  </si>
  <si>
    <t>3891</t>
  </si>
  <si>
    <t>18825056000140</t>
  </si>
  <si>
    <t>3892</t>
  </si>
  <si>
    <t>00055235280300</t>
  </si>
  <si>
    <t>3893</t>
  </si>
  <si>
    <t>00027596410820</t>
  </si>
  <si>
    <t>3894</t>
  </si>
  <si>
    <t>00088212866491</t>
  </si>
  <si>
    <t>3895</t>
  </si>
  <si>
    <t>96818745000131</t>
  </si>
  <si>
    <t>3896</t>
  </si>
  <si>
    <t>23418520000114</t>
  </si>
  <si>
    <t>3897</t>
  </si>
  <si>
    <t>00010013602659</t>
  </si>
  <si>
    <t>3898</t>
  </si>
  <si>
    <t>00033469726825</t>
  </si>
  <si>
    <t>3899</t>
  </si>
  <si>
    <t>00017959479852</t>
  </si>
  <si>
    <t>3900</t>
  </si>
  <si>
    <t>00012908721635</t>
  </si>
  <si>
    <t>3901</t>
  </si>
  <si>
    <t>00033480467857</t>
  </si>
  <si>
    <t>3902</t>
  </si>
  <si>
    <t>55910999000106</t>
  </si>
  <si>
    <t>3903</t>
  </si>
  <si>
    <t>44533649000143</t>
  </si>
  <si>
    <t>3904</t>
  </si>
  <si>
    <t>ROSCHEL &amp; CARRER CONVENIENCIA LTDA</t>
  </si>
  <si>
    <t>ROSCHEL PARKING</t>
  </si>
  <si>
    <t>03144047000117</t>
  </si>
  <si>
    <t>3905</t>
  </si>
  <si>
    <t>00036395668072</t>
  </si>
  <si>
    <t>3906</t>
  </si>
  <si>
    <t>00014545142729</t>
  </si>
  <si>
    <t>3907</t>
  </si>
  <si>
    <t>00002504000570</t>
  </si>
  <si>
    <t>3908</t>
  </si>
  <si>
    <t>00001617126659</t>
  </si>
  <si>
    <t>3909</t>
  </si>
  <si>
    <t>PROXYS COMERCIO ELETRONICO LTDA</t>
  </si>
  <si>
    <t>PROXYS COMERCIO ELET</t>
  </si>
  <si>
    <t>11027350000168</t>
  </si>
  <si>
    <t>3910</t>
  </si>
  <si>
    <t>11027350000753</t>
  </si>
  <si>
    <t>3911</t>
  </si>
  <si>
    <t>CENTRAL DOCUMENTOS MEDICINA E SEGURANCA DO TRABALH</t>
  </si>
  <si>
    <t>CENTRAL DOCUMENTOS M</t>
  </si>
  <si>
    <t>49920333000128</t>
  </si>
  <si>
    <t>3912</t>
  </si>
  <si>
    <t>LWSA S/A</t>
  </si>
  <si>
    <t>02351877001124</t>
  </si>
  <si>
    <t>3913</t>
  </si>
  <si>
    <t>20701245000234</t>
  </si>
  <si>
    <t>3914</t>
  </si>
  <si>
    <t>00071297073649</t>
  </si>
  <si>
    <t>3915</t>
  </si>
  <si>
    <t>00045052442882</t>
  </si>
  <si>
    <t>3916</t>
  </si>
  <si>
    <t>00002854286839</t>
  </si>
  <si>
    <t>3917</t>
  </si>
  <si>
    <t>CLARO NXT TELECOMUNICACOES S/A</t>
  </si>
  <si>
    <t>CLARO NXT TELECOMUNI</t>
  </si>
  <si>
    <t>66970229000167</t>
  </si>
  <si>
    <t>3918</t>
  </si>
  <si>
    <t>00047280131034</t>
  </si>
  <si>
    <t>3919</t>
  </si>
  <si>
    <t>FACEBOOK SERVICOS ONLINE DO BRASIL LTDA</t>
  </si>
  <si>
    <t>FACEBOOK SERVICOS ON</t>
  </si>
  <si>
    <t>13347016000117</t>
  </si>
  <si>
    <t>3920</t>
  </si>
  <si>
    <t>32147106000109</t>
  </si>
  <si>
    <t>3921</t>
  </si>
  <si>
    <t>10840450000146</t>
  </si>
  <si>
    <t>3922</t>
  </si>
  <si>
    <t>ACCA TEXTIL COMERCIO UNIPESSOAL LTDA</t>
  </si>
  <si>
    <t>ACCA TEXTIL</t>
  </si>
  <si>
    <t>57310347000158</t>
  </si>
  <si>
    <t>3923</t>
  </si>
  <si>
    <t>00031099214807</t>
  </si>
  <si>
    <t>3924</t>
  </si>
  <si>
    <t>10348318001002</t>
  </si>
  <si>
    <t>3925</t>
  </si>
  <si>
    <t>10348318000200</t>
  </si>
  <si>
    <t>3926</t>
  </si>
  <si>
    <t>10348318000464</t>
  </si>
  <si>
    <t>3927</t>
  </si>
  <si>
    <t>10348318001517</t>
  </si>
  <si>
    <t>3928</t>
  </si>
  <si>
    <t>10348318000545</t>
  </si>
  <si>
    <t>3929</t>
  </si>
  <si>
    <t>00009061470773</t>
  </si>
  <si>
    <t>3930</t>
  </si>
  <si>
    <t>00012274835705</t>
  </si>
  <si>
    <t>3931</t>
  </si>
  <si>
    <t>DR. CONSULTA CENTRO MEDICO LTDA</t>
  </si>
  <si>
    <t>DR. CONSULTA</t>
  </si>
  <si>
    <t>14245016001906</t>
  </si>
  <si>
    <t>3932</t>
  </si>
  <si>
    <t>00043636355848</t>
  </si>
  <si>
    <t>3933</t>
  </si>
  <si>
    <t>43647356000124</t>
  </si>
  <si>
    <t>3934</t>
  </si>
  <si>
    <t>00009269672662</t>
  </si>
  <si>
    <t>3935</t>
  </si>
  <si>
    <t>00019728022832</t>
  </si>
  <si>
    <t>3936</t>
  </si>
  <si>
    <t>00031051274885</t>
  </si>
  <si>
    <t>3937</t>
  </si>
  <si>
    <t>45543915002125</t>
  </si>
  <si>
    <t>3938</t>
  </si>
  <si>
    <t>00022493972104</t>
  </si>
  <si>
    <t>3939</t>
  </si>
  <si>
    <t>SHOPEE LTDA</t>
  </si>
  <si>
    <t>SHOPEE</t>
  </si>
  <si>
    <t>54289446000107</t>
  </si>
  <si>
    <t>3940</t>
  </si>
  <si>
    <t>00037658429821</t>
  </si>
  <si>
    <t>3941</t>
  </si>
  <si>
    <t>35188339000148</t>
  </si>
  <si>
    <t>3942</t>
  </si>
  <si>
    <t>09967852020233</t>
  </si>
  <si>
    <t>3943</t>
  </si>
  <si>
    <t>36332508000134</t>
  </si>
  <si>
    <t>3944</t>
  </si>
  <si>
    <t>00005167321700</t>
  </si>
  <si>
    <t>3945</t>
  </si>
  <si>
    <t>00040933512015</t>
  </si>
  <si>
    <t>3946</t>
  </si>
  <si>
    <t>00015829123860</t>
  </si>
  <si>
    <t>3947</t>
  </si>
  <si>
    <t>00007032009689</t>
  </si>
  <si>
    <t>3948</t>
  </si>
  <si>
    <t>00037059454837</t>
  </si>
  <si>
    <t>3949</t>
  </si>
  <si>
    <t>07577304000327</t>
  </si>
  <si>
    <t>3950</t>
  </si>
  <si>
    <t>27870042000130</t>
  </si>
  <si>
    <t>3951</t>
  </si>
  <si>
    <t>10348318000383</t>
  </si>
  <si>
    <t>3952</t>
  </si>
  <si>
    <t>00023362696864</t>
  </si>
  <si>
    <t>3953</t>
  </si>
  <si>
    <t>00022224196890</t>
  </si>
  <si>
    <t>3954</t>
  </si>
  <si>
    <t>00038677108807</t>
  </si>
  <si>
    <t>3955</t>
  </si>
  <si>
    <t>00042696641854</t>
  </si>
  <si>
    <t>3956</t>
  </si>
  <si>
    <t>00043529241806</t>
  </si>
  <si>
    <t>3957</t>
  </si>
  <si>
    <t>17547634000161</t>
  </si>
  <si>
    <t>3958</t>
  </si>
  <si>
    <t>00040023166886</t>
  </si>
  <si>
    <t>3959</t>
  </si>
  <si>
    <t>00003105120343</t>
  </si>
  <si>
    <t>3960</t>
  </si>
  <si>
    <t>00035008576801</t>
  </si>
  <si>
    <t>3961</t>
  </si>
  <si>
    <t>00002492288315</t>
  </si>
  <si>
    <t>3962</t>
  </si>
  <si>
    <t>00000655130101</t>
  </si>
  <si>
    <t>3963</t>
  </si>
  <si>
    <t>00000122428889</t>
  </si>
  <si>
    <t>3964</t>
  </si>
  <si>
    <t>09967852009183</t>
  </si>
  <si>
    <t>3965</t>
  </si>
  <si>
    <t>00001588551164</t>
  </si>
  <si>
    <t>3966</t>
  </si>
  <si>
    <t>00077206380697</t>
  </si>
  <si>
    <t>3967</t>
  </si>
  <si>
    <t>00040870414844</t>
  </si>
  <si>
    <t>3968</t>
  </si>
  <si>
    <t>08364485000295</t>
  </si>
  <si>
    <t>3969</t>
  </si>
  <si>
    <t>00034297815826</t>
  </si>
  <si>
    <t>3970</t>
  </si>
  <si>
    <t>00005305619726</t>
  </si>
  <si>
    <t>3971</t>
  </si>
  <si>
    <t>00028836890830</t>
  </si>
  <si>
    <t>3972</t>
  </si>
  <si>
    <t>00004418435654</t>
  </si>
  <si>
    <t>3973</t>
  </si>
  <si>
    <t>KADU INFORMATICA COMERCIO DE SUPRIMENTOS E SERVICO</t>
  </si>
  <si>
    <t>KADU INFORMÁTICA</t>
  </si>
  <si>
    <t>46250453000177</t>
  </si>
  <si>
    <t>3974</t>
  </si>
  <si>
    <t>00040574431500</t>
  </si>
  <si>
    <t>3975</t>
  </si>
  <si>
    <t>00000802819230</t>
  </si>
  <si>
    <t>3976</t>
  </si>
  <si>
    <t>00030617867836</t>
  </si>
  <si>
    <t>3977</t>
  </si>
  <si>
    <t>00051045178888</t>
  </si>
  <si>
    <t>3978</t>
  </si>
  <si>
    <t>COMERCIAL MARINA BOGHOSSIAN LTDA</t>
  </si>
  <si>
    <t>COMERCIAL MARINA BOG</t>
  </si>
  <si>
    <t>04344855000190</t>
  </si>
  <si>
    <t>3979</t>
  </si>
  <si>
    <t>00003857163380</t>
  </si>
  <si>
    <t>3980</t>
  </si>
  <si>
    <t>00014599721808</t>
  </si>
  <si>
    <t>3981</t>
  </si>
  <si>
    <t>00051194502881</t>
  </si>
  <si>
    <t>3982</t>
  </si>
  <si>
    <t>00040615829848</t>
  </si>
  <si>
    <t>3983</t>
  </si>
  <si>
    <t>00041925928861</t>
  </si>
  <si>
    <t>3984</t>
  </si>
  <si>
    <t>00000008905614</t>
  </si>
  <si>
    <t>3985</t>
  </si>
  <si>
    <t>00044339428809</t>
  </si>
  <si>
    <t>3986</t>
  </si>
  <si>
    <t>61148052000102</t>
  </si>
  <si>
    <t>3987</t>
  </si>
  <si>
    <t>ALF SERVIÇOS</t>
  </si>
  <si>
    <t>ANDRE GLAYSON DE OLI</t>
  </si>
  <si>
    <t>51492636000139</t>
  </si>
  <si>
    <t>3988</t>
  </si>
  <si>
    <t>44656229000154</t>
  </si>
  <si>
    <t>3989</t>
  </si>
  <si>
    <t>00029017019816</t>
  </si>
  <si>
    <t>3990</t>
  </si>
  <si>
    <t>45879348000139</t>
  </si>
  <si>
    <t>3991</t>
  </si>
  <si>
    <t>55704300000143</t>
  </si>
  <si>
    <t>3992</t>
  </si>
  <si>
    <t>BRASIMARKETING INDUSTRIA E COMERCIO DE MAQUINAS E</t>
  </si>
  <si>
    <t>BRASIMARKETING INDUS</t>
  </si>
  <si>
    <t>60093820000105</t>
  </si>
  <si>
    <t>3993</t>
  </si>
  <si>
    <t>BABIES R US IMIGRANTES COMERCIO DE VESTUARIO LTDA</t>
  </si>
  <si>
    <t>BABIES R US IMIGRANT</t>
  </si>
  <si>
    <t>54460983000178</t>
  </si>
  <si>
    <t>3994</t>
  </si>
  <si>
    <t>BABIES R US ITUPEVA COMERCIO DE VESTUARIO LTDA.</t>
  </si>
  <si>
    <t>BABIES R US ITUPEVA</t>
  </si>
  <si>
    <t>53404982000143</t>
  </si>
  <si>
    <t>3995</t>
  </si>
  <si>
    <t>26200053000140</t>
  </si>
  <si>
    <t>3996</t>
  </si>
  <si>
    <t>44535246000133</t>
  </si>
  <si>
    <t>3997</t>
  </si>
  <si>
    <t>RENATA D ALMEIDA MELO LOPES 28791507871</t>
  </si>
  <si>
    <t>RENATA D ALMEIDA MEL</t>
  </si>
  <si>
    <t>15442369000121</t>
  </si>
  <si>
    <t>3998</t>
  </si>
  <si>
    <t>00014173331703</t>
  </si>
  <si>
    <t>3999</t>
  </si>
  <si>
    <t>00001380274125</t>
  </si>
  <si>
    <t>4000</t>
  </si>
  <si>
    <t>00034654179844</t>
  </si>
  <si>
    <t>4001</t>
  </si>
  <si>
    <t>00090201086700</t>
  </si>
  <si>
    <t>4002</t>
  </si>
  <si>
    <t>00033145470809</t>
  </si>
  <si>
    <t>4003</t>
  </si>
  <si>
    <t>00040466156804</t>
  </si>
  <si>
    <t>4004</t>
  </si>
  <si>
    <t>50984039000169</t>
  </si>
  <si>
    <t>4005</t>
  </si>
  <si>
    <t>52328702000100</t>
  </si>
  <si>
    <t>4006</t>
  </si>
  <si>
    <t>ARMARINHOS E AVIAMENTOS SAO PAULO LTDA</t>
  </si>
  <si>
    <t>AVIAMENTOS SAO PAULO</t>
  </si>
  <si>
    <t>26872552000183</t>
  </si>
  <si>
    <t>4007</t>
  </si>
  <si>
    <t>57036556000155</t>
  </si>
  <si>
    <t>4008</t>
  </si>
  <si>
    <t>00040014389843</t>
  </si>
  <si>
    <t>4009</t>
  </si>
  <si>
    <t>00008595570655</t>
  </si>
  <si>
    <t>4010</t>
  </si>
  <si>
    <t>46767771000100</t>
  </si>
  <si>
    <t>4011</t>
  </si>
  <si>
    <t>00005554815812</t>
  </si>
  <si>
    <t>4012</t>
  </si>
  <si>
    <t>00070771278853</t>
  </si>
  <si>
    <t>4013</t>
  </si>
  <si>
    <t>00000221056386</t>
  </si>
  <si>
    <t>4014</t>
  </si>
  <si>
    <t>00005395049479</t>
  </si>
  <si>
    <t>4015</t>
  </si>
  <si>
    <t>00039212726534</t>
  </si>
  <si>
    <t>4016</t>
  </si>
  <si>
    <t>00066112575434</t>
  </si>
  <si>
    <t>4017</t>
  </si>
  <si>
    <t>00034231080615</t>
  </si>
  <si>
    <t>4018</t>
  </si>
  <si>
    <t>EMBALAGEM FACIL SUPRIMENTOS LTDA</t>
  </si>
  <si>
    <t>EMBALAGEM FACIL</t>
  </si>
  <si>
    <t>11234516000117</t>
  </si>
  <si>
    <t>4019</t>
  </si>
  <si>
    <t>MATELASSE MELLO FERNANDES LTDA</t>
  </si>
  <si>
    <t>OFICINA MELO FERNAND</t>
  </si>
  <si>
    <t>23831320000199</t>
  </si>
  <si>
    <t>4020</t>
  </si>
  <si>
    <t>00003352274495</t>
  </si>
  <si>
    <t>4021</t>
  </si>
  <si>
    <t>00002018326589</t>
  </si>
  <si>
    <t>4022</t>
  </si>
  <si>
    <t>00002087653011</t>
  </si>
  <si>
    <t>4023</t>
  </si>
  <si>
    <t>00011563089688</t>
  </si>
  <si>
    <t>4024</t>
  </si>
  <si>
    <t>00090595912753</t>
  </si>
  <si>
    <t>4025</t>
  </si>
  <si>
    <t>23890997000106</t>
  </si>
  <si>
    <t>4026</t>
  </si>
  <si>
    <t>00041821282817</t>
  </si>
  <si>
    <t>4027</t>
  </si>
  <si>
    <t>00003065893622</t>
  </si>
  <si>
    <t>4028</t>
  </si>
  <si>
    <t>F. DE PAUL VARIEDADES LTDA</t>
  </si>
  <si>
    <t>F. DE PAUL</t>
  </si>
  <si>
    <t>51514092000169</t>
  </si>
  <si>
    <t>4029</t>
  </si>
  <si>
    <t>00019452781882</t>
  </si>
  <si>
    <t>4030</t>
  </si>
  <si>
    <t>00003465631862</t>
  </si>
  <si>
    <t>4031</t>
  </si>
  <si>
    <t>00029957092804</t>
  </si>
  <si>
    <t>4032</t>
  </si>
  <si>
    <t>57.826.756 JONATO FRANCISCO LOPES</t>
  </si>
  <si>
    <t>OFICINA CRIS</t>
  </si>
  <si>
    <t>57826756000101</t>
  </si>
  <si>
    <t>4033</t>
  </si>
  <si>
    <t>00001503533670</t>
  </si>
  <si>
    <t>4034</t>
  </si>
  <si>
    <t>DESCARTAVEIS 641 COMERCIO DE EMBALAGENS, PAPELARIA</t>
  </si>
  <si>
    <t>DESCARTAVEIS 641 COM</t>
  </si>
  <si>
    <t>04951423000148</t>
  </si>
  <si>
    <t>4035</t>
  </si>
  <si>
    <t>00005648435630</t>
  </si>
  <si>
    <t>4036</t>
  </si>
  <si>
    <t>00047893168668</t>
  </si>
  <si>
    <t>4037</t>
  </si>
  <si>
    <t>00013243518709</t>
  </si>
  <si>
    <t>4038</t>
  </si>
  <si>
    <t>00011753844703</t>
  </si>
  <si>
    <t>4039</t>
  </si>
  <si>
    <t>00003535865522</t>
  </si>
  <si>
    <t>4040</t>
  </si>
  <si>
    <t>00032793424811</t>
  </si>
  <si>
    <t>4041</t>
  </si>
  <si>
    <t>00041010113895</t>
  </si>
  <si>
    <t>4042</t>
  </si>
  <si>
    <t>SAMIR JABAQUARA COMERCIO DE PLAST E ESPUMA LTDA</t>
  </si>
  <si>
    <t>SAMIR JABAQUARA COME</t>
  </si>
  <si>
    <t>64802580000113</t>
  </si>
  <si>
    <t>4043</t>
  </si>
  <si>
    <t>32191659000169</t>
  </si>
  <si>
    <t>4044</t>
  </si>
  <si>
    <t>07826016000105</t>
  </si>
  <si>
    <t>4045</t>
  </si>
  <si>
    <t>44944346000113</t>
  </si>
  <si>
    <t>4046</t>
  </si>
  <si>
    <t>00083373365449</t>
  </si>
  <si>
    <t>4047</t>
  </si>
  <si>
    <t>00001044868058</t>
  </si>
  <si>
    <t>4048</t>
  </si>
  <si>
    <t>00009944217611</t>
  </si>
  <si>
    <t>4049</t>
  </si>
  <si>
    <t>TIM S A</t>
  </si>
  <si>
    <t>02421421000111</t>
  </si>
  <si>
    <t>4050</t>
  </si>
  <si>
    <t>00007635470850</t>
  </si>
  <si>
    <t>4051</t>
  </si>
  <si>
    <t>00027659193805</t>
  </si>
  <si>
    <t>4052</t>
  </si>
  <si>
    <t>BAZAR LEONTINAS LTDA</t>
  </si>
  <si>
    <t>52115094000148</t>
  </si>
  <si>
    <t>4053</t>
  </si>
  <si>
    <t>AMAZON SERVICOS DE VAREJO DO BRASIL LTDA.</t>
  </si>
  <si>
    <t>AMAZON.COM.BR</t>
  </si>
  <si>
    <t>15436940000103</t>
  </si>
  <si>
    <t>4054</t>
  </si>
  <si>
    <t>BUDIN AUTO POSTO DE SERVICOS SOCIEDADE LTDA UNIPES</t>
  </si>
  <si>
    <t>BUDIN AUTO POSTO</t>
  </si>
  <si>
    <t>12436152000110</t>
  </si>
  <si>
    <t>4055</t>
  </si>
  <si>
    <t>00006356147822</t>
  </si>
  <si>
    <t>4056</t>
  </si>
  <si>
    <t>MARIA APARECIDA PEREIRA DA SILVA 26391006881</t>
  </si>
  <si>
    <t>OFICINA M APARECIDA</t>
  </si>
  <si>
    <t>36980379000190</t>
  </si>
  <si>
    <t>4057</t>
  </si>
  <si>
    <t>30628332000186</t>
  </si>
  <si>
    <t>4058</t>
  </si>
  <si>
    <t>CATHO ONLINE LTDA</t>
  </si>
  <si>
    <t>CATHO</t>
  </si>
  <si>
    <t>03753088000100</t>
  </si>
  <si>
    <t>4059</t>
  </si>
  <si>
    <t>SHPP BRASIL INSTIDE PAGTO E SERVIÇOS DE PAGAMENTO</t>
  </si>
  <si>
    <t>SHOPEE BRASIL</t>
  </si>
  <si>
    <t>38372267000182</t>
  </si>
  <si>
    <t>4060</t>
  </si>
  <si>
    <t>00033688899822</t>
  </si>
  <si>
    <t>4061</t>
  </si>
  <si>
    <t>00008266394610</t>
  </si>
  <si>
    <t>4062</t>
  </si>
  <si>
    <t>00001463881002</t>
  </si>
  <si>
    <t>4063</t>
  </si>
  <si>
    <t>00009712339777</t>
  </si>
  <si>
    <t>4064</t>
  </si>
  <si>
    <t>00005333602344</t>
  </si>
  <si>
    <t>4065</t>
  </si>
  <si>
    <t>00046773915805</t>
  </si>
  <si>
    <t>4066</t>
  </si>
  <si>
    <t>00013397224888</t>
  </si>
  <si>
    <t>4067</t>
  </si>
  <si>
    <t>03326640000346</t>
  </si>
  <si>
    <t>4068</t>
  </si>
  <si>
    <t>00002880770165</t>
  </si>
  <si>
    <t>4069</t>
  </si>
  <si>
    <t>00001209506696</t>
  </si>
  <si>
    <t>4070</t>
  </si>
  <si>
    <t>00052301290000</t>
  </si>
  <si>
    <t>4071</t>
  </si>
  <si>
    <t>00048580813700</t>
  </si>
  <si>
    <t>4072</t>
  </si>
  <si>
    <t>05344045000105</t>
  </si>
  <si>
    <t>4073</t>
  </si>
  <si>
    <t>00031744237832</t>
  </si>
  <si>
    <t>4074</t>
  </si>
  <si>
    <t>00010910931720</t>
  </si>
  <si>
    <t>4075</t>
  </si>
  <si>
    <t>37806875000195</t>
  </si>
  <si>
    <t>4076</t>
  </si>
  <si>
    <t>00015771925837</t>
  </si>
  <si>
    <t>4077</t>
  </si>
  <si>
    <t>00013086529504</t>
  </si>
  <si>
    <t>4078</t>
  </si>
  <si>
    <t>00072923164415</t>
  </si>
  <si>
    <t>4079</t>
  </si>
  <si>
    <t>53778714000191</t>
  </si>
  <si>
    <t>4080</t>
  </si>
  <si>
    <t>00012369308605</t>
  </si>
  <si>
    <t>4081</t>
  </si>
  <si>
    <t>51956310000115</t>
  </si>
  <si>
    <t>4082</t>
  </si>
  <si>
    <t>00003312042909</t>
  </si>
  <si>
    <t>4083</t>
  </si>
  <si>
    <t>00037674274861</t>
  </si>
  <si>
    <t>4084</t>
  </si>
  <si>
    <t>00014784322760</t>
  </si>
  <si>
    <t>4085</t>
  </si>
  <si>
    <t>00047192046787</t>
  </si>
  <si>
    <t>4086</t>
  </si>
  <si>
    <t>00066792193615</t>
  </si>
  <si>
    <t>4087</t>
  </si>
  <si>
    <t>FORTE COMERCIO DE ESPUMAS LTDA</t>
  </si>
  <si>
    <t>FORTE ESPUMA</t>
  </si>
  <si>
    <t>36264264000108</t>
  </si>
  <si>
    <t>4088</t>
  </si>
  <si>
    <t>PADARIA SABOR DE PAO LTDA</t>
  </si>
  <si>
    <t>BAIAO DE DOIS RESTAU</t>
  </si>
  <si>
    <t>02398404000534</t>
  </si>
  <si>
    <t>4089</t>
  </si>
  <si>
    <t>29167557000101</t>
  </si>
  <si>
    <t>4090</t>
  </si>
  <si>
    <t>00042357165812</t>
  </si>
  <si>
    <t>4091</t>
  </si>
  <si>
    <t>38482797000183</t>
  </si>
  <si>
    <t>4092</t>
  </si>
  <si>
    <t>48872649000129</t>
  </si>
  <si>
    <t>4093</t>
  </si>
  <si>
    <t>00007512277652</t>
  </si>
  <si>
    <t>4094</t>
  </si>
  <si>
    <t>00069833443672</t>
  </si>
  <si>
    <t>4095</t>
  </si>
  <si>
    <t>00032387036840</t>
  </si>
  <si>
    <t>4096</t>
  </si>
  <si>
    <t>00028268216875</t>
  </si>
  <si>
    <t>4097</t>
  </si>
  <si>
    <t>00011710718684</t>
  </si>
  <si>
    <t>4098</t>
  </si>
  <si>
    <t>00041635213991</t>
  </si>
  <si>
    <t>4099</t>
  </si>
  <si>
    <t>00002918436119</t>
  </si>
  <si>
    <t>4100</t>
  </si>
  <si>
    <t>00033843705895</t>
  </si>
  <si>
    <t>4101</t>
  </si>
  <si>
    <t>00008335455902</t>
  </si>
  <si>
    <t>4102</t>
  </si>
  <si>
    <t>00045684498809</t>
  </si>
  <si>
    <t>4103</t>
  </si>
  <si>
    <t>16928294000156</t>
  </si>
  <si>
    <t>4104</t>
  </si>
  <si>
    <t>PADARIA</t>
  </si>
  <si>
    <t>02398404000100</t>
  </si>
  <si>
    <t>4105</t>
  </si>
  <si>
    <t>54289077000152</t>
  </si>
  <si>
    <t>4106</t>
  </si>
  <si>
    <t>00088750817515</t>
  </si>
  <si>
    <t>4107</t>
  </si>
  <si>
    <t>12644561000102</t>
  </si>
  <si>
    <t>4108</t>
  </si>
  <si>
    <t>00028665091882</t>
  </si>
  <si>
    <t>4109</t>
  </si>
  <si>
    <t>02584924002585</t>
  </si>
  <si>
    <t>4110</t>
  </si>
  <si>
    <t>00034045355880</t>
  </si>
  <si>
    <t>4111</t>
  </si>
  <si>
    <t>00002511763982</t>
  </si>
  <si>
    <t>4112</t>
  </si>
  <si>
    <t>00008982558721</t>
  </si>
  <si>
    <t>4113</t>
  </si>
  <si>
    <t>58.114.809 THIAGO BATISTA DOS SANTOS</t>
  </si>
  <si>
    <t>58114809000124</t>
  </si>
  <si>
    <t>4114</t>
  </si>
  <si>
    <t>00039267512900</t>
  </si>
  <si>
    <t>4115</t>
  </si>
  <si>
    <t>00010880752661</t>
  </si>
  <si>
    <t>4116</t>
  </si>
  <si>
    <t>00008912102885</t>
  </si>
  <si>
    <t>4117</t>
  </si>
  <si>
    <t>37571863000129</t>
  </si>
  <si>
    <t>4118</t>
  </si>
  <si>
    <t>00003015019473</t>
  </si>
  <si>
    <t>4119</t>
  </si>
  <si>
    <t>00009052262918</t>
  </si>
  <si>
    <t>4120</t>
  </si>
  <si>
    <t>00039908734822</t>
  </si>
  <si>
    <t>4121</t>
  </si>
  <si>
    <t>45543915073650</t>
  </si>
  <si>
    <t>4122</t>
  </si>
  <si>
    <t>SHPS TECNOLOGIA E SERVICOS LTDA</t>
  </si>
  <si>
    <t>SHPS TECNOLOGIA E SE</t>
  </si>
  <si>
    <t>35635824000112</t>
  </si>
  <si>
    <t>4123</t>
  </si>
  <si>
    <t>00043079374819</t>
  </si>
  <si>
    <t>4124</t>
  </si>
  <si>
    <t>00029632489896</t>
  </si>
  <si>
    <t>4125</t>
  </si>
  <si>
    <t>00002237041130</t>
  </si>
  <si>
    <t>4126</t>
  </si>
  <si>
    <t>00027733577870</t>
  </si>
  <si>
    <t>4127</t>
  </si>
  <si>
    <t>00003116629943</t>
  </si>
  <si>
    <t>4128</t>
  </si>
  <si>
    <t>45543915000424</t>
  </si>
  <si>
    <t>4129</t>
  </si>
  <si>
    <t>00004999530457</t>
  </si>
  <si>
    <t>4130</t>
  </si>
  <si>
    <t>00043810166880</t>
  </si>
  <si>
    <t>4131</t>
  </si>
  <si>
    <t>00026020428893</t>
  </si>
  <si>
    <t>4132</t>
  </si>
  <si>
    <t>DELMO IMOVEIS LTDA</t>
  </si>
  <si>
    <t>03396906000165</t>
  </si>
  <si>
    <t>4133</t>
  </si>
  <si>
    <t>IN GLOW BRASIL INTERMEDIACAO DE NEGOCIOS LTDA</t>
  </si>
  <si>
    <t>IN GLOW</t>
  </si>
  <si>
    <t>45814425000172</t>
  </si>
  <si>
    <t>4134</t>
  </si>
  <si>
    <t>00003359495845</t>
  </si>
  <si>
    <t>4135</t>
  </si>
  <si>
    <t>04911062000106</t>
  </si>
  <si>
    <t>4136</t>
  </si>
  <si>
    <t>00036877747836</t>
  </si>
  <si>
    <t>4137</t>
  </si>
  <si>
    <t>00071999272749</t>
  </si>
  <si>
    <t>4138</t>
  </si>
  <si>
    <t>40737912000246</t>
  </si>
  <si>
    <t>4139</t>
  </si>
  <si>
    <t>00012534898825</t>
  </si>
  <si>
    <t>4140</t>
  </si>
  <si>
    <t>00084708018487</t>
  </si>
  <si>
    <t>4141</t>
  </si>
  <si>
    <t>00001443830550</t>
  </si>
  <si>
    <t>4142</t>
  </si>
  <si>
    <t>00006404698412</t>
  </si>
  <si>
    <t>4143</t>
  </si>
  <si>
    <t>00000173212638</t>
  </si>
  <si>
    <t>4144</t>
  </si>
  <si>
    <t>00005122720932</t>
  </si>
  <si>
    <t>4145</t>
  </si>
  <si>
    <t>00043390281851</t>
  </si>
  <si>
    <t>4146</t>
  </si>
  <si>
    <t>00007555604507</t>
  </si>
  <si>
    <t>4147</t>
  </si>
  <si>
    <t>00013791585754</t>
  </si>
  <si>
    <t>4148</t>
  </si>
  <si>
    <t>DKTEX REAL TECIDOS LTDA</t>
  </si>
  <si>
    <t>DKTEX REAL TECIDOS L</t>
  </si>
  <si>
    <t>35013391000163</t>
  </si>
  <si>
    <t>4149</t>
  </si>
  <si>
    <t>DH JOIAS LTDA</t>
  </si>
  <si>
    <t>HD ALIANCAS</t>
  </si>
  <si>
    <t>48035997000141</t>
  </si>
  <si>
    <t>4150</t>
  </si>
  <si>
    <t>00009006146927</t>
  </si>
  <si>
    <t>4151</t>
  </si>
  <si>
    <t>LUCIANA CRISTINA TESTA 21446834840</t>
  </si>
  <si>
    <t>LUCIANA CRISTINA TES</t>
  </si>
  <si>
    <t>44538708000176</t>
  </si>
  <si>
    <t>4152</t>
  </si>
  <si>
    <t>00009059330447</t>
  </si>
  <si>
    <t>4153</t>
  </si>
  <si>
    <t>OGOSHI SOLUCOES LTDA</t>
  </si>
  <si>
    <t>HEALTHY CARE</t>
  </si>
  <si>
    <t>39511385000197</t>
  </si>
  <si>
    <t>4154</t>
  </si>
  <si>
    <t>00017816352859</t>
  </si>
  <si>
    <t>4155</t>
  </si>
  <si>
    <t>00001662547625</t>
  </si>
  <si>
    <t>4156</t>
  </si>
  <si>
    <t>00016310027832</t>
  </si>
  <si>
    <t>4157</t>
  </si>
  <si>
    <t>DICICO HOME CENTER D</t>
  </si>
  <si>
    <t>03439316005646</t>
  </si>
  <si>
    <t>4158</t>
  </si>
  <si>
    <t>HIGIELY - COMERCIO DE PRODUTOS DE LIMPEZA LTDA</t>
  </si>
  <si>
    <t>HIGIELY - COMERCIO</t>
  </si>
  <si>
    <t>51017044000165</t>
  </si>
  <si>
    <t>4159</t>
  </si>
  <si>
    <t>01806006000202</t>
  </si>
  <si>
    <t>4160</t>
  </si>
  <si>
    <t>SHPX LOGISTICA LTDA.</t>
  </si>
  <si>
    <t>42446277000605</t>
  </si>
  <si>
    <t>4161</t>
  </si>
  <si>
    <t>57878068000357</t>
  </si>
  <si>
    <t>4162</t>
  </si>
  <si>
    <t>HALLEY LTDA</t>
  </si>
  <si>
    <t>53196629000115</t>
  </si>
  <si>
    <t>4163</t>
  </si>
  <si>
    <t>02223966000890</t>
  </si>
  <si>
    <t>4164</t>
  </si>
  <si>
    <t>00010046949623</t>
  </si>
  <si>
    <t>4165</t>
  </si>
  <si>
    <t>00014984220716</t>
  </si>
  <si>
    <t>4166</t>
  </si>
  <si>
    <t>58.444.805 KATIA CRISTINA GONCALVES DA SILVA</t>
  </si>
  <si>
    <t>OFICINA KATIA</t>
  </si>
  <si>
    <t>58444805000104</t>
  </si>
  <si>
    <t>4167</t>
  </si>
  <si>
    <t>GILMAR EMMERICK</t>
  </si>
  <si>
    <t>58427208000171</t>
  </si>
  <si>
    <t>4168</t>
  </si>
  <si>
    <t>00000364265981</t>
  </si>
  <si>
    <t>4169</t>
  </si>
  <si>
    <t>00010934622566</t>
  </si>
  <si>
    <t>4170</t>
  </si>
  <si>
    <t>00031126647870</t>
  </si>
  <si>
    <t>4171</t>
  </si>
  <si>
    <t>00025506908857</t>
  </si>
  <si>
    <t>4172</t>
  </si>
  <si>
    <t>FLORICULTURA E DECORACAO ARTFLORECIA LTDA</t>
  </si>
  <si>
    <t>ARTFLOR &amp; CIA</t>
  </si>
  <si>
    <t>15756740000120</t>
  </si>
  <si>
    <t>4173</t>
  </si>
  <si>
    <t>00009570909862</t>
  </si>
  <si>
    <t>4174</t>
  </si>
  <si>
    <t>00006260445610</t>
  </si>
  <si>
    <t>4175</t>
  </si>
  <si>
    <t>00032417027828</t>
  </si>
  <si>
    <t>4176</t>
  </si>
  <si>
    <t>00002339883601</t>
  </si>
  <si>
    <t>4177</t>
  </si>
  <si>
    <t>00034084403873</t>
  </si>
  <si>
    <t>4178</t>
  </si>
  <si>
    <t>00002730041150</t>
  </si>
  <si>
    <t>4179</t>
  </si>
  <si>
    <t>00032567438890</t>
  </si>
  <si>
    <t>4180</t>
  </si>
  <si>
    <t>00011109756437</t>
  </si>
  <si>
    <t>4181</t>
  </si>
  <si>
    <t>00013911959656</t>
  </si>
  <si>
    <t>4182</t>
  </si>
  <si>
    <t>08383067000164</t>
  </si>
  <si>
    <t>4183</t>
  </si>
  <si>
    <t>00035825312870</t>
  </si>
  <si>
    <t>4184</t>
  </si>
  <si>
    <t>00033916440870</t>
  </si>
  <si>
    <t>4185</t>
  </si>
  <si>
    <t>00051741785863</t>
  </si>
  <si>
    <t>4186</t>
  </si>
  <si>
    <t>00001963042530</t>
  </si>
  <si>
    <t>4187</t>
  </si>
  <si>
    <t>40823146000151</t>
  </si>
  <si>
    <t>4188</t>
  </si>
  <si>
    <t>00026047332854</t>
  </si>
  <si>
    <t>4189</t>
  </si>
  <si>
    <t>COMPENSADOS LANE LTDA.</t>
  </si>
  <si>
    <t>MADEIRAS LANE</t>
  </si>
  <si>
    <t>61546131000163</t>
  </si>
  <si>
    <t>4190</t>
  </si>
  <si>
    <t>MEGA COMERCIO E INDUSTRIA NACIONAL IMPORTADO LTDA</t>
  </si>
  <si>
    <t>MEGA IMPORTADO</t>
  </si>
  <si>
    <t>33763642000100</t>
  </si>
  <si>
    <t>4191</t>
  </si>
  <si>
    <t>SALLES GLASS VIDRACARIA LTDA</t>
  </si>
  <si>
    <t>SALLES GLASS</t>
  </si>
  <si>
    <t>48588330000176</t>
  </si>
  <si>
    <t>4192</t>
  </si>
  <si>
    <t>EDUARDO DE SOUZA FERREIRA</t>
  </si>
  <si>
    <t>FERRO FORTE</t>
  </si>
  <si>
    <t>30610865000130</t>
  </si>
  <si>
    <t>4193</t>
  </si>
  <si>
    <t>00078502080997</t>
  </si>
  <si>
    <t>4194</t>
  </si>
  <si>
    <t>PORTO SEGURO CAPITALIZACAO S.A</t>
  </si>
  <si>
    <t>PORTO SEGURO CAPITAL</t>
  </si>
  <si>
    <t>16551758000158</t>
  </si>
  <si>
    <t>4195</t>
  </si>
  <si>
    <t>00007335809983</t>
  </si>
  <si>
    <t>4196</t>
  </si>
  <si>
    <t>00006919805600</t>
  </si>
  <si>
    <t>4197</t>
  </si>
  <si>
    <t>CONECTA DESENTUPIDORA DE ESGOTO LTDA</t>
  </si>
  <si>
    <t>CONECTA DESENTUPIDOR</t>
  </si>
  <si>
    <t>52163608000130</t>
  </si>
  <si>
    <t>4198</t>
  </si>
  <si>
    <t>00009430620983</t>
  </si>
  <si>
    <t>4199</t>
  </si>
  <si>
    <t>MODA MUNDIAL BRASIL PAGAMENTOS LTDA</t>
  </si>
  <si>
    <t>MODA MUNDIAL</t>
  </si>
  <si>
    <t>50617696000178</t>
  </si>
  <si>
    <t>4200</t>
  </si>
  <si>
    <t>00005427499717</t>
  </si>
  <si>
    <t>4201</t>
  </si>
  <si>
    <t>00088862798415</t>
  </si>
  <si>
    <t>4202</t>
  </si>
  <si>
    <t>00007620466789</t>
  </si>
  <si>
    <t>4203</t>
  </si>
  <si>
    <t>DLOCAL BRASIL INSTITUICAO DE PAGAMENTO S.A.</t>
  </si>
  <si>
    <t>DLOCAL</t>
  </si>
  <si>
    <t>25021356000132</t>
  </si>
  <si>
    <t>4204</t>
  </si>
  <si>
    <t>ESTOK DISTRIBUIDORA E SERVICOS S.A</t>
  </si>
  <si>
    <t>ESTOK DISTRIBUIDORA</t>
  </si>
  <si>
    <t>34225363000732</t>
  </si>
  <si>
    <t>4205</t>
  </si>
  <si>
    <t>LITEX CONSERVE DEDETIZADORA E DESENTUPIDORA LTDA</t>
  </si>
  <si>
    <t>LITEX CONSERVE DEDET</t>
  </si>
  <si>
    <t>34626498000114</t>
  </si>
  <si>
    <t>4206</t>
  </si>
  <si>
    <t>00041480437832</t>
  </si>
  <si>
    <t>4207</t>
  </si>
  <si>
    <t>00039387158802</t>
  </si>
  <si>
    <t>4208</t>
  </si>
  <si>
    <t>51433987000179</t>
  </si>
  <si>
    <t>4209</t>
  </si>
  <si>
    <t>00012905449640</t>
  </si>
  <si>
    <t>4210</t>
  </si>
  <si>
    <t>09584941000194</t>
  </si>
  <si>
    <t>4211</t>
  </si>
  <si>
    <t>00000919218482</t>
  </si>
  <si>
    <t>4212</t>
  </si>
  <si>
    <t>ANA PAULA DE OLIVEIRA ROSA</t>
  </si>
  <si>
    <t>ANA PAULA DE OLIVEIR</t>
  </si>
  <si>
    <t>00044931179827</t>
  </si>
  <si>
    <t>4213</t>
  </si>
  <si>
    <t>CARLA PEREIRA POLVORA</t>
  </si>
  <si>
    <t>CARLA PEREIRA POLVOR</t>
  </si>
  <si>
    <t>00037506728818</t>
  </si>
  <si>
    <t>4214</t>
  </si>
  <si>
    <t>JOSE ROQUE CONCEICAO DOS SANTOS</t>
  </si>
  <si>
    <t>JRM REFORMAS E ACABA</t>
  </si>
  <si>
    <t>35575330000190</t>
  </si>
  <si>
    <t>4215</t>
  </si>
  <si>
    <t>00092618006020</t>
  </si>
  <si>
    <t>4216</t>
  </si>
  <si>
    <t>00044671334615</t>
  </si>
  <si>
    <t>4217</t>
  </si>
  <si>
    <t>00003380392103</t>
  </si>
  <si>
    <t>4218</t>
  </si>
  <si>
    <t>00036881798890</t>
  </si>
  <si>
    <t>4219</t>
  </si>
  <si>
    <t>00032187745864</t>
  </si>
  <si>
    <t>4220</t>
  </si>
  <si>
    <t>00007083374902</t>
  </si>
  <si>
    <t>4221</t>
  </si>
  <si>
    <t>00099055929972</t>
  </si>
  <si>
    <t>4222</t>
  </si>
  <si>
    <t>MICROSOFT DO BRASIL IMPORTACAO E COMERCIO DE SOFTW</t>
  </si>
  <si>
    <t>MICROSOFT DO BRASIL</t>
  </si>
  <si>
    <t>04712500000107</t>
  </si>
  <si>
    <t>4223</t>
  </si>
  <si>
    <t>AMAZON SERVICOS DE V</t>
  </si>
  <si>
    <t>15436940002815</t>
  </si>
  <si>
    <t>4224</t>
  </si>
  <si>
    <t>13060287000197</t>
  </si>
  <si>
    <t>4225</t>
  </si>
  <si>
    <t>00000196247780</t>
  </si>
  <si>
    <t>4226</t>
  </si>
  <si>
    <t>00001210518627</t>
  </si>
  <si>
    <t>4227</t>
  </si>
  <si>
    <t>00091759471291</t>
  </si>
  <si>
    <t>4228</t>
  </si>
  <si>
    <t>AUTO POSTO 7 DE IBITINGA LTDA</t>
  </si>
  <si>
    <t>AUTO POSTO 7</t>
  </si>
  <si>
    <t>04405899000183</t>
  </si>
  <si>
    <t>4229</t>
  </si>
  <si>
    <t>00081100574700</t>
  </si>
  <si>
    <t>4230</t>
  </si>
  <si>
    <t>00039748491811</t>
  </si>
  <si>
    <t>4231</t>
  </si>
  <si>
    <t>00007633493720</t>
  </si>
  <si>
    <t>4232</t>
  </si>
  <si>
    <t>00004307989112</t>
  </si>
  <si>
    <t>4233</t>
  </si>
  <si>
    <t>25119143000148</t>
  </si>
  <si>
    <t>4234</t>
  </si>
  <si>
    <t>02223966011409</t>
  </si>
  <si>
    <t>4235</t>
  </si>
  <si>
    <t>00032262889899</t>
  </si>
  <si>
    <t>4236</t>
  </si>
  <si>
    <t>00034952448835</t>
  </si>
  <si>
    <t>4237</t>
  </si>
  <si>
    <t>00010675939771</t>
  </si>
  <si>
    <t>4238</t>
  </si>
  <si>
    <t>50088508000161</t>
  </si>
  <si>
    <t>4239</t>
  </si>
  <si>
    <t>00082634637691</t>
  </si>
  <si>
    <t>4240</t>
  </si>
  <si>
    <t>00037044904823</t>
  </si>
  <si>
    <t>4241</t>
  </si>
  <si>
    <t>SARDINHA ASSESSORIA E CONSULTORIA IMOBILIARIA LTDA</t>
  </si>
  <si>
    <t>SARDINHA IMOBILIARIA</t>
  </si>
  <si>
    <t>18163645000100</t>
  </si>
  <si>
    <t>4242</t>
  </si>
  <si>
    <t>32483020000157</t>
  </si>
  <si>
    <t>4243</t>
  </si>
  <si>
    <t>00010466693702</t>
  </si>
  <si>
    <t>4244</t>
  </si>
  <si>
    <t>00035483823800</t>
  </si>
  <si>
    <t>4245</t>
  </si>
  <si>
    <t>00031890609838</t>
  </si>
  <si>
    <t>4246</t>
  </si>
  <si>
    <t>00005489502614</t>
  </si>
  <si>
    <t>4247</t>
  </si>
  <si>
    <t>OFICIAL DE REGISTRO CIVIL DAS PESSOAS NATURAIS DO</t>
  </si>
  <si>
    <t>24º CARTÓRIO INDIANO</t>
  </si>
  <si>
    <t>52845602000143</t>
  </si>
  <si>
    <t>4248</t>
  </si>
  <si>
    <t>00003806538697</t>
  </si>
  <si>
    <t>4249</t>
  </si>
  <si>
    <t>00018250951751</t>
  </si>
  <si>
    <t>4250</t>
  </si>
  <si>
    <t>00002571755048</t>
  </si>
  <si>
    <t>4251</t>
  </si>
  <si>
    <t>BAR RESTAURANTE NOVA DE PINEDO LTDA</t>
  </si>
  <si>
    <t>BAR E LANCHES DE PIN</t>
  </si>
  <si>
    <t>50946232000105</t>
  </si>
  <si>
    <t>4252</t>
  </si>
  <si>
    <t>00010140479945</t>
  </si>
  <si>
    <t>4253</t>
  </si>
  <si>
    <t>00031649709862</t>
  </si>
  <si>
    <t>4254</t>
  </si>
  <si>
    <t>ZAPAY SERVICOS DE PAGAMENTOS S.A.</t>
  </si>
  <si>
    <t>ZAPAY</t>
  </si>
  <si>
    <t>28593387000156</t>
  </si>
  <si>
    <t>4255</t>
  </si>
  <si>
    <t>00011841312606</t>
  </si>
  <si>
    <t>4256</t>
  </si>
  <si>
    <t>UNIAR COMERCIO DE ELETRO-ELETRONICOS E SERVICOS LT</t>
  </si>
  <si>
    <t>UNIÃO COMERCIO DE EL</t>
  </si>
  <si>
    <t>18928807000154</t>
  </si>
  <si>
    <t>4257</t>
  </si>
  <si>
    <t>00022879381843</t>
  </si>
  <si>
    <t>4258</t>
  </si>
  <si>
    <t>00005585806459</t>
  </si>
  <si>
    <t>4259</t>
  </si>
  <si>
    <t>00013493992726</t>
  </si>
  <si>
    <t>4260</t>
  </si>
  <si>
    <t>00001304960145</t>
  </si>
  <si>
    <t>4261</t>
  </si>
  <si>
    <t>00013557125645</t>
  </si>
  <si>
    <t>4262</t>
  </si>
  <si>
    <t>81071623001390</t>
  </si>
  <si>
    <t>4263</t>
  </si>
  <si>
    <t>03162618000146</t>
  </si>
  <si>
    <t>4264</t>
  </si>
  <si>
    <t>00031425495877</t>
  </si>
  <si>
    <t>4265</t>
  </si>
  <si>
    <t>00016493119740</t>
  </si>
  <si>
    <t>4266</t>
  </si>
  <si>
    <t>00032285900899</t>
  </si>
  <si>
    <t>4267</t>
  </si>
  <si>
    <t>00035927584896</t>
  </si>
  <si>
    <t>4268</t>
  </si>
  <si>
    <t>00044387963859</t>
  </si>
  <si>
    <t>4269</t>
  </si>
  <si>
    <t>00013626179702</t>
  </si>
  <si>
    <t>4270</t>
  </si>
  <si>
    <t>00009503407745</t>
  </si>
  <si>
    <t>4271</t>
  </si>
  <si>
    <t>00087530457934</t>
  </si>
  <si>
    <t>4272</t>
  </si>
  <si>
    <t>00011244536792</t>
  </si>
  <si>
    <t>4273</t>
  </si>
  <si>
    <t>00002228100170</t>
  </si>
  <si>
    <t>4274</t>
  </si>
  <si>
    <t>53840542000139</t>
  </si>
  <si>
    <t>4275</t>
  </si>
  <si>
    <t>00089726278791</t>
  </si>
  <si>
    <t>4276</t>
  </si>
  <si>
    <t>EMPIRES - IMPERIO DO OLEO LTDA</t>
  </si>
  <si>
    <t>IMPERIO DO OLEO</t>
  </si>
  <si>
    <t>55331293000181</t>
  </si>
  <si>
    <t>4277</t>
  </si>
  <si>
    <t>00004583158777</t>
  </si>
  <si>
    <t>4278</t>
  </si>
  <si>
    <t>00005441380667</t>
  </si>
  <si>
    <t>4279</t>
  </si>
  <si>
    <t>PORTUPACK EMBALAGENS</t>
  </si>
  <si>
    <t>04091370000132</t>
  </si>
  <si>
    <t>4280</t>
  </si>
  <si>
    <t>00036513079802</t>
  </si>
  <si>
    <t>4281</t>
  </si>
  <si>
    <t>00013037180730</t>
  </si>
  <si>
    <t>4282</t>
  </si>
  <si>
    <t>22488316000107</t>
  </si>
  <si>
    <t>4283</t>
  </si>
  <si>
    <t>00040973082895</t>
  </si>
  <si>
    <t>4284</t>
  </si>
  <si>
    <t>00009831430727</t>
  </si>
  <si>
    <t>4285</t>
  </si>
  <si>
    <t>00022891481801</t>
  </si>
  <si>
    <t>4286</t>
  </si>
  <si>
    <t>00002557784494</t>
  </si>
  <si>
    <t>4287</t>
  </si>
  <si>
    <t>61486650086550</t>
  </si>
  <si>
    <t>4288</t>
  </si>
  <si>
    <t>61486650083968</t>
  </si>
  <si>
    <t>4289</t>
  </si>
  <si>
    <t>00004516026929</t>
  </si>
  <si>
    <t>4290</t>
  </si>
  <si>
    <t>00031473796806</t>
  </si>
  <si>
    <t>4291</t>
  </si>
  <si>
    <t>00007087786822</t>
  </si>
  <si>
    <t>4292</t>
  </si>
  <si>
    <t>ESTOK COMERCIO E REPRESENTAÇÕES LTDA</t>
  </si>
  <si>
    <t>ESTOK</t>
  </si>
  <si>
    <t>49732175009481</t>
  </si>
  <si>
    <t>4293</t>
  </si>
  <si>
    <t>00032005853828</t>
  </si>
  <si>
    <t>4294</t>
  </si>
  <si>
    <t>ANA LUIZA LUZZI SILVA 32670811817</t>
  </si>
  <si>
    <t>ANA LUIZA LUZZI SILV</t>
  </si>
  <si>
    <t>34761408000106</t>
  </si>
  <si>
    <t>4295</t>
  </si>
  <si>
    <t>21669413000133</t>
  </si>
  <si>
    <t>4296</t>
  </si>
  <si>
    <t>00015688335718</t>
  </si>
  <si>
    <t>4297</t>
  </si>
  <si>
    <t>00011455854697</t>
  </si>
  <si>
    <t>4298</t>
  </si>
  <si>
    <t>00073839329353</t>
  </si>
  <si>
    <t>4299</t>
  </si>
  <si>
    <t>00012648098836</t>
  </si>
  <si>
    <t>4300</t>
  </si>
  <si>
    <t>A.M.P HOSPITALIDADE LTDA</t>
  </si>
  <si>
    <t>40466458000155</t>
  </si>
  <si>
    <t>4301</t>
  </si>
  <si>
    <t>00005481193760</t>
  </si>
  <si>
    <t>4302</t>
  </si>
  <si>
    <t>00039779176845</t>
  </si>
  <si>
    <t>4303</t>
  </si>
  <si>
    <t>00005958418483</t>
  </si>
  <si>
    <t>4304</t>
  </si>
  <si>
    <t>00000331441250</t>
  </si>
  <si>
    <t>4305</t>
  </si>
  <si>
    <t>00040948314877</t>
  </si>
  <si>
    <t>4306</t>
  </si>
  <si>
    <t>STARHOUSE MEGA STORE LTDA</t>
  </si>
  <si>
    <t>STARHOUSE MEGA STORE</t>
  </si>
  <si>
    <t>04617659000142</t>
  </si>
  <si>
    <t>4307</t>
  </si>
  <si>
    <t>00006997774610</t>
  </si>
  <si>
    <t>4308</t>
  </si>
  <si>
    <t>00013227422786</t>
  </si>
  <si>
    <t>4309</t>
  </si>
  <si>
    <t>00090013349899</t>
  </si>
  <si>
    <t>4310</t>
  </si>
  <si>
    <t>00023465576845</t>
  </si>
  <si>
    <t>4311</t>
  </si>
  <si>
    <t>00003392390500</t>
  </si>
  <si>
    <t>4312</t>
  </si>
  <si>
    <t>59356991000192</t>
  </si>
  <si>
    <t>4313</t>
  </si>
  <si>
    <t>00011931645752</t>
  </si>
  <si>
    <t>4314</t>
  </si>
  <si>
    <t>31717961000145</t>
  </si>
  <si>
    <t>4315</t>
  </si>
  <si>
    <t>00011880283751</t>
  </si>
  <si>
    <t>4316</t>
  </si>
  <si>
    <t>00073661023187</t>
  </si>
  <si>
    <t>4317</t>
  </si>
  <si>
    <t>00040209676876</t>
  </si>
  <si>
    <t>4318</t>
  </si>
  <si>
    <t>00042616021803</t>
  </si>
  <si>
    <t>4319</t>
  </si>
  <si>
    <t>AMERICANFLEX INDUSTRIAS REUNIDAS LTDA.</t>
  </si>
  <si>
    <t>AMERICANFLEX INDUSTR</t>
  </si>
  <si>
    <t>49967961000240</t>
  </si>
  <si>
    <t>4320</t>
  </si>
  <si>
    <t>01438784000105</t>
  </si>
  <si>
    <t>4321</t>
  </si>
  <si>
    <t>60498417000158</t>
  </si>
  <si>
    <t>4322</t>
  </si>
  <si>
    <t>TW TRANSPORTES E LOGISTICA LTDA</t>
  </si>
  <si>
    <t>TW TRANSPORTES E LOG</t>
  </si>
  <si>
    <t>89317697000728</t>
  </si>
  <si>
    <t>4323</t>
  </si>
  <si>
    <t>03150745000125</t>
  </si>
  <si>
    <t>4324</t>
  </si>
  <si>
    <t>MARMORES E GRANITOS MORUMBI SUL LTDA</t>
  </si>
  <si>
    <t>AURORA COMERCIO DE E</t>
  </si>
  <si>
    <t>00463021000143</t>
  </si>
  <si>
    <t>4325</t>
  </si>
  <si>
    <t>AURORA COMERCIO DE ELETRONICOS LTDA</t>
  </si>
  <si>
    <t>52908450000180</t>
  </si>
  <si>
    <t>4326</t>
  </si>
  <si>
    <t>00075303558649</t>
  </si>
  <si>
    <t>4327</t>
  </si>
  <si>
    <t>00039464353864</t>
  </si>
  <si>
    <t>4328</t>
  </si>
  <si>
    <t>00006539273800</t>
  </si>
  <si>
    <t>4329</t>
  </si>
  <si>
    <t>00051579288820</t>
  </si>
  <si>
    <t>4330</t>
  </si>
  <si>
    <t>00009652549762</t>
  </si>
  <si>
    <t>4331</t>
  </si>
  <si>
    <t>00000142153575</t>
  </si>
  <si>
    <t>4332</t>
  </si>
  <si>
    <t>00014881778803</t>
  </si>
  <si>
    <t>4333</t>
  </si>
  <si>
    <t>00012800790709</t>
  </si>
  <si>
    <t>4334</t>
  </si>
  <si>
    <t>00014112491867</t>
  </si>
  <si>
    <t>4335</t>
  </si>
  <si>
    <t>00002619999316</t>
  </si>
  <si>
    <t>4336</t>
  </si>
  <si>
    <t>00009290603690</t>
  </si>
  <si>
    <t>4337</t>
  </si>
  <si>
    <t>00008486847702</t>
  </si>
  <si>
    <t>4338</t>
  </si>
  <si>
    <t>00037441007828</t>
  </si>
  <si>
    <t>4339</t>
  </si>
  <si>
    <t>00002921999102</t>
  </si>
  <si>
    <t>4340</t>
  </si>
  <si>
    <t>00006633086822</t>
  </si>
  <si>
    <t>4341</t>
  </si>
  <si>
    <t>00013550629850</t>
  </si>
  <si>
    <t>4342</t>
  </si>
  <si>
    <t>00003170087142</t>
  </si>
  <si>
    <t>4343</t>
  </si>
  <si>
    <t>00018274879686</t>
  </si>
  <si>
    <t>4344</t>
  </si>
  <si>
    <t>00008677665730</t>
  </si>
  <si>
    <t>4345</t>
  </si>
  <si>
    <t>00001905865082</t>
  </si>
  <si>
    <t>4346</t>
  </si>
  <si>
    <t>00042041111810</t>
  </si>
  <si>
    <t>4347</t>
  </si>
  <si>
    <t>CLARK DESIGNER SERVICOS LTDA</t>
  </si>
  <si>
    <t>CLARK DESIGNER SERVI</t>
  </si>
  <si>
    <t>59713927000111</t>
  </si>
  <si>
    <t>4348</t>
  </si>
  <si>
    <t>CHURRASCARIA TRADICAO GAUCHA SANTA GERTRUDES LTDA</t>
  </si>
  <si>
    <t>CHURRASCARIA TRADICA</t>
  </si>
  <si>
    <t>08217153000105</t>
  </si>
  <si>
    <t>4349</t>
  </si>
  <si>
    <t>00007704252755</t>
  </si>
  <si>
    <t>4350</t>
  </si>
  <si>
    <t>00085220655191</t>
  </si>
  <si>
    <t>4351</t>
  </si>
  <si>
    <t>00028766486874</t>
  </si>
  <si>
    <t>4352</t>
  </si>
  <si>
    <t>00042174715805</t>
  </si>
  <si>
    <t>4353</t>
  </si>
  <si>
    <t>STICK LINE SERVICES LTDA</t>
  </si>
  <si>
    <t>STICK LINE SERVICES</t>
  </si>
  <si>
    <t>36432915000113</t>
  </si>
  <si>
    <t>4354</t>
  </si>
  <si>
    <t>00007030825829</t>
  </si>
  <si>
    <t>4355</t>
  </si>
  <si>
    <t>00005502696731</t>
  </si>
  <si>
    <t>4356</t>
  </si>
  <si>
    <t>CONTROLID INDUSTRIA, COMERCIO DE HARDWARE E SERVIC</t>
  </si>
  <si>
    <t>CONTROL ID</t>
  </si>
  <si>
    <t>08238299000129</t>
  </si>
  <si>
    <t>4357</t>
  </si>
  <si>
    <t>00034074563878</t>
  </si>
  <si>
    <t>4358</t>
  </si>
  <si>
    <t>RODRIGO BUITRAGO MANILE</t>
  </si>
  <si>
    <t>RODRIGO BUITRAGO MAN</t>
  </si>
  <si>
    <t>09483716000161</t>
  </si>
  <si>
    <t>4359</t>
  </si>
  <si>
    <t>43755440000161</t>
  </si>
  <si>
    <t>4360</t>
  </si>
  <si>
    <t>COMPRE REVENDA LTDA</t>
  </si>
  <si>
    <t>KARZEN ELETRO</t>
  </si>
  <si>
    <t>22124687000100</t>
  </si>
  <si>
    <t>4361</t>
  </si>
  <si>
    <t>00019419571882</t>
  </si>
  <si>
    <t>4362</t>
  </si>
  <si>
    <t>00000528947460</t>
  </si>
  <si>
    <t>4363</t>
  </si>
  <si>
    <t>00002805706609</t>
  </si>
  <si>
    <t>4364</t>
  </si>
  <si>
    <t>00009689589660</t>
  </si>
  <si>
    <t>4365</t>
  </si>
  <si>
    <t>02421421012713</t>
  </si>
  <si>
    <t>4366</t>
  </si>
  <si>
    <t>AZALINI SOLUÇÕES VISUAIS LTDA</t>
  </si>
  <si>
    <t>AZALINI</t>
  </si>
  <si>
    <t>35784900000232</t>
  </si>
  <si>
    <t>4367</t>
  </si>
  <si>
    <t>00012059445752</t>
  </si>
  <si>
    <t>4368</t>
  </si>
  <si>
    <t>00015800830720</t>
  </si>
  <si>
    <t>4369</t>
  </si>
  <si>
    <t>00044615705840</t>
  </si>
  <si>
    <t>4370</t>
  </si>
  <si>
    <t>00012257201760</t>
  </si>
  <si>
    <t>4371</t>
  </si>
  <si>
    <t>00001332778798</t>
  </si>
  <si>
    <t>4372</t>
  </si>
  <si>
    <t>00005580192770</t>
  </si>
  <si>
    <t>4373</t>
  </si>
  <si>
    <t>57.070.656 KELLY APARECIDA ZAMBONI</t>
  </si>
  <si>
    <t>57.070.656 KELLY APA</t>
  </si>
  <si>
    <t>57070656000106</t>
  </si>
  <si>
    <t>4374</t>
  </si>
  <si>
    <t>06228334000101</t>
  </si>
  <si>
    <t>4375</t>
  </si>
  <si>
    <t>JN DE SOUSA - MAQUINAS</t>
  </si>
  <si>
    <t>NJ MAQUINAS</t>
  </si>
  <si>
    <t>09367697000108</t>
  </si>
  <si>
    <t>4376</t>
  </si>
  <si>
    <t>00048251275504</t>
  </si>
  <si>
    <t>4377</t>
  </si>
  <si>
    <t>00040834759861</t>
  </si>
  <si>
    <t>4378</t>
  </si>
  <si>
    <t>00038504549836</t>
  </si>
  <si>
    <t>4379</t>
  </si>
  <si>
    <t>00002226398902</t>
  </si>
  <si>
    <t>4380</t>
  </si>
  <si>
    <t>24172550000156</t>
  </si>
  <si>
    <t>4381</t>
  </si>
  <si>
    <t>00083820094687</t>
  </si>
  <si>
    <t>4382</t>
  </si>
  <si>
    <t>00003586850875</t>
  </si>
  <si>
    <t>4383</t>
  </si>
  <si>
    <t>00017374682719</t>
  </si>
  <si>
    <t>4384</t>
  </si>
  <si>
    <t>TEXTIL ARTE BRASIL IMPORTACAO E EXPORTACAO LTDA</t>
  </si>
  <si>
    <t>TEXTIL ARTE BRASIL I</t>
  </si>
  <si>
    <t>04723370000108</t>
  </si>
  <si>
    <t>4385</t>
  </si>
  <si>
    <t>00001823576940</t>
  </si>
  <si>
    <t>4386</t>
  </si>
  <si>
    <t>00008341171422</t>
  </si>
  <si>
    <t>4387</t>
  </si>
  <si>
    <t>00075489864834</t>
  </si>
  <si>
    <t>4388</t>
  </si>
  <si>
    <t>00028619041860</t>
  </si>
  <si>
    <t>4389</t>
  </si>
  <si>
    <t>44.017.570 CLAUDENISE MORAIS MACHADO</t>
  </si>
  <si>
    <t>PETCALI</t>
  </si>
  <si>
    <t>44017570000160</t>
  </si>
  <si>
    <t>4390</t>
  </si>
  <si>
    <t>00033741153818</t>
  </si>
  <si>
    <t>4391</t>
  </si>
  <si>
    <t>00007977925893</t>
  </si>
  <si>
    <t>4392</t>
  </si>
  <si>
    <t>00089384768391</t>
  </si>
  <si>
    <t>4393</t>
  </si>
  <si>
    <t>00029867289870</t>
  </si>
  <si>
    <t>4394</t>
  </si>
  <si>
    <t>00011514254867</t>
  </si>
  <si>
    <t>4395</t>
  </si>
  <si>
    <t>34759088000141</t>
  </si>
  <si>
    <t>4396</t>
  </si>
  <si>
    <t>00014313834818</t>
  </si>
  <si>
    <t>4397</t>
  </si>
  <si>
    <t>00034871755843</t>
  </si>
  <si>
    <t>4398</t>
  </si>
  <si>
    <t>00011936963809</t>
  </si>
  <si>
    <t>4399</t>
  </si>
  <si>
    <t>00027839781802</t>
  </si>
  <si>
    <t>4400</t>
  </si>
  <si>
    <t>00029784414880</t>
  </si>
  <si>
    <t>4401</t>
  </si>
  <si>
    <t>CORTINAS A JANELA INDUSTRIA E COMERCIO LTDA</t>
  </si>
  <si>
    <t>CORTINAS A JANELA IN</t>
  </si>
  <si>
    <t>61310108000175</t>
  </si>
  <si>
    <t>4402</t>
  </si>
  <si>
    <t>00056764154449</t>
  </si>
  <si>
    <t>4403</t>
  </si>
  <si>
    <t>00006826606399</t>
  </si>
  <si>
    <t>4404</t>
  </si>
  <si>
    <t>00099376806972</t>
  </si>
  <si>
    <t>4405</t>
  </si>
  <si>
    <t>00032655041828</t>
  </si>
  <si>
    <t>4406</t>
  </si>
  <si>
    <t>24556599000102</t>
  </si>
  <si>
    <t>4407</t>
  </si>
  <si>
    <t>27372066000169</t>
  </si>
  <si>
    <t>4408</t>
  </si>
  <si>
    <t>06047087003820</t>
  </si>
  <si>
    <t>4409</t>
  </si>
  <si>
    <t>PROACTIVE- COMERCIO E SERVICOS GRAFICOS LTDA.</t>
  </si>
  <si>
    <t>PROACTIVE- COMERCIO</t>
  </si>
  <si>
    <t>10399811000160</t>
  </si>
  <si>
    <t>4410</t>
  </si>
  <si>
    <t>02284062000521</t>
  </si>
  <si>
    <t>4411</t>
  </si>
  <si>
    <t>30145502000171</t>
  </si>
  <si>
    <t>4412</t>
  </si>
  <si>
    <t>02284062000106</t>
  </si>
  <si>
    <t>4413</t>
  </si>
  <si>
    <t>00038288168868</t>
  </si>
  <si>
    <t>4414</t>
  </si>
  <si>
    <t>NEW FUSION COMERCIAL LTDA</t>
  </si>
  <si>
    <t>NEW FUSION COMERCIAL</t>
  </si>
  <si>
    <t>36453069000118</t>
  </si>
  <si>
    <t>4415</t>
  </si>
  <si>
    <t>06047087014350</t>
  </si>
  <si>
    <t>4416</t>
  </si>
  <si>
    <t>06047087001372</t>
  </si>
  <si>
    <t>4417</t>
  </si>
  <si>
    <t>00015602451587</t>
  </si>
  <si>
    <t>4418</t>
  </si>
  <si>
    <t>00073394815168</t>
  </si>
  <si>
    <t>4419</t>
  </si>
  <si>
    <t>39825725000154</t>
  </si>
  <si>
    <t>4420</t>
  </si>
  <si>
    <t>00033901619100</t>
  </si>
  <si>
    <t>4421</t>
  </si>
  <si>
    <t>00004014725405</t>
  </si>
  <si>
    <t>4422</t>
  </si>
  <si>
    <t>17455913000103</t>
  </si>
  <si>
    <t>4423</t>
  </si>
  <si>
    <t>00079713637534</t>
  </si>
  <si>
    <t>4424</t>
  </si>
  <si>
    <t>00037381681846</t>
  </si>
  <si>
    <t>4425</t>
  </si>
  <si>
    <t>00077382617491</t>
  </si>
  <si>
    <t>4426</t>
  </si>
  <si>
    <t>00016617987802</t>
  </si>
  <si>
    <t>4427</t>
  </si>
  <si>
    <t>00009987254713</t>
  </si>
  <si>
    <t>4428</t>
  </si>
  <si>
    <t>00010821971654</t>
  </si>
  <si>
    <t>4429</t>
  </si>
  <si>
    <t>12415686000322</t>
  </si>
  <si>
    <t>4430</t>
  </si>
  <si>
    <t>00022122607840</t>
  </si>
  <si>
    <t>4431</t>
  </si>
  <si>
    <t>06758888002822</t>
  </si>
  <si>
    <t>4432</t>
  </si>
  <si>
    <t>35067659000140</t>
  </si>
  <si>
    <t>4433</t>
  </si>
  <si>
    <t>00009465916609</t>
  </si>
  <si>
    <t>4434</t>
  </si>
  <si>
    <t>38262510000100</t>
  </si>
  <si>
    <t>4435</t>
  </si>
  <si>
    <t>00009148764736</t>
  </si>
  <si>
    <t>4436</t>
  </si>
  <si>
    <t>18557145000153</t>
  </si>
  <si>
    <t>4437</t>
  </si>
  <si>
    <t>85377174001950</t>
  </si>
  <si>
    <t>4438</t>
  </si>
  <si>
    <t>00060880675357</t>
  </si>
  <si>
    <t>4439</t>
  </si>
  <si>
    <t>CINCO R TRANSPORTES LTDA</t>
  </si>
  <si>
    <t>5R TRANSPORTE &amp; LOGI</t>
  </si>
  <si>
    <t>25005605000104</t>
  </si>
  <si>
    <t>4440</t>
  </si>
  <si>
    <t>00032636386882</t>
  </si>
  <si>
    <t>4441</t>
  </si>
  <si>
    <t>00007184917693</t>
  </si>
  <si>
    <t>4442</t>
  </si>
  <si>
    <t>00070561850615</t>
  </si>
  <si>
    <t>4443</t>
  </si>
  <si>
    <t>00002544176121</t>
  </si>
  <si>
    <t>4444</t>
  </si>
  <si>
    <t>40432544002948</t>
  </si>
  <si>
    <t>4445</t>
  </si>
  <si>
    <t>LOTUS CENTRAL DE DISTRIBUICAO DE HIGIENICOS LTDA</t>
  </si>
  <si>
    <t>58055343000133</t>
  </si>
  <si>
    <t>4446</t>
  </si>
  <si>
    <t>00007195131700</t>
  </si>
  <si>
    <t>4447</t>
  </si>
  <si>
    <t>24839147000138</t>
  </si>
  <si>
    <t>4448</t>
  </si>
  <si>
    <t>00002209360803</t>
  </si>
  <si>
    <t>4449</t>
  </si>
  <si>
    <t>00028520138861</t>
  </si>
  <si>
    <t>4450</t>
  </si>
  <si>
    <t>07960611000120</t>
  </si>
  <si>
    <t>4451</t>
  </si>
  <si>
    <t>48221348000135</t>
  </si>
  <si>
    <t>4452</t>
  </si>
  <si>
    <t>49770427000249</t>
  </si>
  <si>
    <t>4453</t>
  </si>
  <si>
    <t>06879476000120</t>
  </si>
  <si>
    <t>4454</t>
  </si>
  <si>
    <t>00007659486640</t>
  </si>
  <si>
    <t>4455</t>
  </si>
  <si>
    <t>13447098000171</t>
  </si>
  <si>
    <t>4456</t>
  </si>
  <si>
    <t>00044220628835</t>
  </si>
  <si>
    <t>4457</t>
  </si>
  <si>
    <t>00007330589497</t>
  </si>
  <si>
    <t>4458</t>
  </si>
  <si>
    <t>31028342000143</t>
  </si>
  <si>
    <t>4459</t>
  </si>
  <si>
    <t>00005587353559</t>
  </si>
  <si>
    <t>4460</t>
  </si>
  <si>
    <t>00032235316883</t>
  </si>
  <si>
    <t>4461</t>
  </si>
  <si>
    <t>D2W CABOS &amp; NETWORK LTDA</t>
  </si>
  <si>
    <t>D2W CABOS</t>
  </si>
  <si>
    <t>48270602000195</t>
  </si>
  <si>
    <t>4462</t>
  </si>
  <si>
    <t>00055896820020</t>
  </si>
  <si>
    <t>4463</t>
  </si>
  <si>
    <t>SHOP STORE COMERCIO LTDA</t>
  </si>
  <si>
    <t>SHOP STORE</t>
  </si>
  <si>
    <t>26302292000100</t>
  </si>
  <si>
    <t>4464</t>
  </si>
  <si>
    <t>53028490000109</t>
  </si>
  <si>
    <t>4465</t>
  </si>
  <si>
    <t>00037396098858</t>
  </si>
  <si>
    <t>4466</t>
  </si>
  <si>
    <t>00016121669896</t>
  </si>
  <si>
    <t>4467</t>
  </si>
  <si>
    <t>JASMYNE BOTANIC LTDA</t>
  </si>
  <si>
    <t>JASMYNE BOTANIC</t>
  </si>
  <si>
    <t>47727726000194</t>
  </si>
  <si>
    <t>4468</t>
  </si>
  <si>
    <t>39430793000114</t>
  </si>
  <si>
    <t>4469</t>
  </si>
  <si>
    <t>27708448000110</t>
  </si>
  <si>
    <t>4470</t>
  </si>
  <si>
    <t>00043267038812</t>
  </si>
  <si>
    <t>4471</t>
  </si>
  <si>
    <t>00007497073729</t>
  </si>
  <si>
    <t>4472</t>
  </si>
  <si>
    <t>00002794565818</t>
  </si>
  <si>
    <t>4473</t>
  </si>
  <si>
    <t>00001834144116</t>
  </si>
  <si>
    <t>4474</t>
  </si>
  <si>
    <t>00068821310744</t>
  </si>
  <si>
    <t>4475</t>
  </si>
  <si>
    <t>55972360000147</t>
  </si>
  <si>
    <t>4476</t>
  </si>
  <si>
    <t>CONFORTO STORE</t>
  </si>
  <si>
    <t>53141525000103</t>
  </si>
  <si>
    <t>4477</t>
  </si>
  <si>
    <t>00067986625449</t>
  </si>
  <si>
    <t>4478</t>
  </si>
  <si>
    <t>00026792669865</t>
  </si>
  <si>
    <t>4479</t>
  </si>
  <si>
    <t>00001889144126</t>
  </si>
  <si>
    <t>4480</t>
  </si>
  <si>
    <t>00041004613806</t>
  </si>
  <si>
    <t>4481</t>
  </si>
  <si>
    <t>PRIME FABRICAÇÃO E COM. DE ARTEFATOS TEXTEIS LTDA</t>
  </si>
  <si>
    <t>PRIME</t>
  </si>
  <si>
    <t>30002631000534</t>
  </si>
  <si>
    <t>4482</t>
  </si>
  <si>
    <t>00012030330604</t>
  </si>
  <si>
    <t>4483</t>
  </si>
  <si>
    <t>00069517320604</t>
  </si>
  <si>
    <t>4484</t>
  </si>
  <si>
    <t>00011037665627</t>
  </si>
  <si>
    <t>4485</t>
  </si>
  <si>
    <t>00033115177844</t>
  </si>
  <si>
    <t>4486</t>
  </si>
  <si>
    <t>00028534290830</t>
  </si>
  <si>
    <t>4487</t>
  </si>
  <si>
    <t>00044197258852</t>
  </si>
  <si>
    <t>4488</t>
  </si>
  <si>
    <t>00016823717866</t>
  </si>
  <si>
    <t>4489</t>
  </si>
  <si>
    <t>00062877615715</t>
  </si>
  <si>
    <t>4490</t>
  </si>
  <si>
    <t>SALUTE INDUSTRIA DE PAPELAO ONDULADO LTDA</t>
  </si>
  <si>
    <t>SALUTE INDUSTRIA DE</t>
  </si>
  <si>
    <t>45923919000195</t>
  </si>
  <si>
    <t>4491</t>
  </si>
  <si>
    <t>00024566544800</t>
  </si>
  <si>
    <t>4492</t>
  </si>
  <si>
    <t>39679270000106</t>
  </si>
  <si>
    <t>4493</t>
  </si>
  <si>
    <t>TRANS IBITINGA TRANSPORTES LTDA</t>
  </si>
  <si>
    <t>TRANSIBITINGA</t>
  </si>
  <si>
    <t>23208639000243</t>
  </si>
  <si>
    <t>4494</t>
  </si>
  <si>
    <t>40177506000195</t>
  </si>
  <si>
    <t>4495</t>
  </si>
  <si>
    <t>04718955000563</t>
  </si>
  <si>
    <t>4496</t>
  </si>
  <si>
    <t>00026678625897</t>
  </si>
  <si>
    <t>4497</t>
  </si>
  <si>
    <t>00060595345549</t>
  </si>
  <si>
    <t>4498</t>
  </si>
  <si>
    <t>00077223349468</t>
  </si>
  <si>
    <t>4499</t>
  </si>
  <si>
    <t>LIVIA LOPEZ INACIO</t>
  </si>
  <si>
    <t>00048026892844</t>
  </si>
  <si>
    <t>4500</t>
  </si>
  <si>
    <t>FELIPE FERREIRA SILVA</t>
  </si>
  <si>
    <t>FELIPE FERREIRA SILV</t>
  </si>
  <si>
    <t>00053481339810</t>
  </si>
  <si>
    <t>4501</t>
  </si>
  <si>
    <t>21610383000190</t>
  </si>
  <si>
    <t>4502</t>
  </si>
  <si>
    <t>14644865000103</t>
  </si>
  <si>
    <t>4503</t>
  </si>
  <si>
    <t>24823720000115</t>
  </si>
  <si>
    <t>4504</t>
  </si>
  <si>
    <t>00003945412196</t>
  </si>
  <si>
    <t>4505</t>
  </si>
  <si>
    <t>00004755512492</t>
  </si>
  <si>
    <t>4506</t>
  </si>
  <si>
    <t>00002457787300</t>
  </si>
  <si>
    <t>4507</t>
  </si>
  <si>
    <t>54534794000100</t>
  </si>
  <si>
    <t>4508</t>
  </si>
  <si>
    <t>00001042058490</t>
  </si>
  <si>
    <t>4509</t>
  </si>
  <si>
    <t>00009286661665</t>
  </si>
  <si>
    <t>4510</t>
  </si>
  <si>
    <t>19204434000131</t>
  </si>
  <si>
    <t>4511</t>
  </si>
  <si>
    <t>00031795282819</t>
  </si>
  <si>
    <t>4512</t>
  </si>
  <si>
    <t>00010816343756</t>
  </si>
  <si>
    <t>4513</t>
  </si>
  <si>
    <t>38159944000189</t>
  </si>
  <si>
    <t>4514</t>
  </si>
  <si>
    <t>00019227577807</t>
  </si>
  <si>
    <t>4515</t>
  </si>
  <si>
    <t>58.584.895 FATIMA GABRIEL FRANCISCO</t>
  </si>
  <si>
    <t>OFICINA FATIMA</t>
  </si>
  <si>
    <t>58584895000139</t>
  </si>
  <si>
    <t>4516</t>
  </si>
  <si>
    <t>00031054243859</t>
  </si>
  <si>
    <t>4517</t>
  </si>
  <si>
    <t>00022418321894</t>
  </si>
  <si>
    <t>4518</t>
  </si>
  <si>
    <t>WTS ESTACIONAMENTO LTDA</t>
  </si>
  <si>
    <t>WTS ESTACIONAMENTO L</t>
  </si>
  <si>
    <t>20428906000208</t>
  </si>
  <si>
    <t>4519</t>
  </si>
  <si>
    <t>00014521071732</t>
  </si>
  <si>
    <t>4520</t>
  </si>
  <si>
    <t>00005492943413</t>
  </si>
  <si>
    <t>4521</t>
  </si>
  <si>
    <t>00055345638772</t>
  </si>
  <si>
    <t>4522</t>
  </si>
  <si>
    <t>MARIA LIDIANE DOS SANTOS 22520053860</t>
  </si>
  <si>
    <t>OFICINA Mª LIDIANE</t>
  </si>
  <si>
    <t>18081625000190</t>
  </si>
  <si>
    <t>4523</t>
  </si>
  <si>
    <t>02129942000108</t>
  </si>
  <si>
    <t>4524</t>
  </si>
  <si>
    <t>23.815.230 MARIA ERIEUDA FERREIRA NUNES DA SILVA</t>
  </si>
  <si>
    <t>OFICINA LILIKA MODAS</t>
  </si>
  <si>
    <t>23815230000104</t>
  </si>
  <si>
    <t>4525</t>
  </si>
  <si>
    <t>PUCCINI  ENGELKE SERVIÇOS LTDA</t>
  </si>
  <si>
    <t>MARIANA ENGELKE</t>
  </si>
  <si>
    <t>55142104000122</t>
  </si>
  <si>
    <t>4526</t>
  </si>
  <si>
    <t>26737712000181</t>
  </si>
  <si>
    <t>4527</t>
  </si>
  <si>
    <t>46467215000118</t>
  </si>
  <si>
    <t>4528</t>
  </si>
  <si>
    <t>00067982280030</t>
  </si>
  <si>
    <t>4529</t>
  </si>
  <si>
    <t>00029295127846</t>
  </si>
  <si>
    <t>4530</t>
  </si>
  <si>
    <t>00000427801010</t>
  </si>
  <si>
    <t>4531</t>
  </si>
  <si>
    <t>00005151526685</t>
  </si>
  <si>
    <t>4532</t>
  </si>
  <si>
    <t>61486650047570</t>
  </si>
  <si>
    <t>4533</t>
  </si>
  <si>
    <t>00025684329500</t>
  </si>
  <si>
    <t>4534</t>
  </si>
  <si>
    <t>38051506000100</t>
  </si>
  <si>
    <t>4535</t>
  </si>
  <si>
    <t>00028941296889</t>
  </si>
  <si>
    <t>4536</t>
  </si>
  <si>
    <t>PATRICIA OLIVEIRA POLVORA DA SILVA</t>
  </si>
  <si>
    <t>PATRICIA POLVORA</t>
  </si>
  <si>
    <t>00013239632861</t>
  </si>
  <si>
    <t>4537</t>
  </si>
  <si>
    <t>00054860830172</t>
  </si>
  <si>
    <t>4538</t>
  </si>
  <si>
    <t>MARIA DE FATIMA DE SOUSA DUTRA</t>
  </si>
  <si>
    <t>MARIA DE FATIMA</t>
  </si>
  <si>
    <t>00027191829826</t>
  </si>
  <si>
    <t>4539</t>
  </si>
  <si>
    <t>46769297000155</t>
  </si>
  <si>
    <t>4540</t>
  </si>
  <si>
    <t>00005659834310</t>
  </si>
  <si>
    <t>4541</t>
  </si>
  <si>
    <t>49.646.247 JOSIELTON MANIERI LOPES</t>
  </si>
  <si>
    <t>JOSIELTON MANIERI LO</t>
  </si>
  <si>
    <t>49646247000179</t>
  </si>
  <si>
    <t>4542</t>
  </si>
  <si>
    <t>CRISTIANE PALUDETO</t>
  </si>
  <si>
    <t>Cris Paludeto</t>
  </si>
  <si>
    <t>33487900000164</t>
  </si>
  <si>
    <t>4543</t>
  </si>
  <si>
    <t>00019032532847</t>
  </si>
  <si>
    <t>4544</t>
  </si>
  <si>
    <t>CANVA MARKETING LTDA</t>
  </si>
  <si>
    <t>CANVA</t>
  </si>
  <si>
    <t>45537041000150</t>
  </si>
  <si>
    <t>4545</t>
  </si>
  <si>
    <t>00092609287704</t>
  </si>
  <si>
    <t>4546</t>
  </si>
  <si>
    <t>00000343711176</t>
  </si>
  <si>
    <t>4547</t>
  </si>
  <si>
    <t>00013134747707</t>
  </si>
  <si>
    <t>4548</t>
  </si>
  <si>
    <t>26116131000203</t>
  </si>
  <si>
    <t>4549</t>
  </si>
  <si>
    <t>00013907106709</t>
  </si>
  <si>
    <t>4550</t>
  </si>
  <si>
    <t>00004983280669</t>
  </si>
  <si>
    <t>4551</t>
  </si>
  <si>
    <t>00007984505683</t>
  </si>
  <si>
    <t>4552</t>
  </si>
  <si>
    <t>00061263683398</t>
  </si>
  <si>
    <t>4553</t>
  </si>
  <si>
    <t>00024997466883</t>
  </si>
  <si>
    <t>4554</t>
  </si>
  <si>
    <t>00029749655800</t>
  </si>
  <si>
    <t>4555</t>
  </si>
  <si>
    <t>00083864768004</t>
  </si>
  <si>
    <t>4556</t>
  </si>
  <si>
    <t>00004547386765</t>
  </si>
  <si>
    <t>4557</t>
  </si>
  <si>
    <t>00089596102168</t>
  </si>
  <si>
    <t>4558</t>
  </si>
  <si>
    <t>00085552593120</t>
  </si>
  <si>
    <t>4559</t>
  </si>
  <si>
    <t>00063153491372</t>
  </si>
  <si>
    <t>4560</t>
  </si>
  <si>
    <t>00031585172804</t>
  </si>
  <si>
    <t>4561</t>
  </si>
  <si>
    <t>CLARA RHAIANNY SANTANA DE DEUS</t>
  </si>
  <si>
    <t>CLARA RHAIANNY SANTA</t>
  </si>
  <si>
    <t>00037885697860</t>
  </si>
  <si>
    <t>4562</t>
  </si>
  <si>
    <t>AMANDA DE CASTRO VITAL LEITE</t>
  </si>
  <si>
    <t>AMANDA DE CASTRO VIT</t>
  </si>
  <si>
    <t>00039472602886</t>
  </si>
  <si>
    <t>4563</t>
  </si>
  <si>
    <t>45.627.723 ROMULO LUIS MOTA SILVA</t>
  </si>
  <si>
    <t>RJS SOLUCOES</t>
  </si>
  <si>
    <t>45627723000153</t>
  </si>
  <si>
    <t>4564</t>
  </si>
  <si>
    <t>00016956831708</t>
  </si>
  <si>
    <t>4565</t>
  </si>
  <si>
    <t>00033735580858</t>
  </si>
  <si>
    <t>4566</t>
  </si>
  <si>
    <t>ANA PAULA DE OLIVEIRA ROSA44931179827</t>
  </si>
  <si>
    <t>46493105000120</t>
  </si>
  <si>
    <t>4567</t>
  </si>
  <si>
    <t>00011794219730</t>
  </si>
  <si>
    <t>4568</t>
  </si>
  <si>
    <t>07929820000101</t>
  </si>
  <si>
    <t>4569</t>
  </si>
  <si>
    <t>65962854000102</t>
  </si>
  <si>
    <t>4570</t>
  </si>
  <si>
    <t>00083760334849</t>
  </si>
  <si>
    <t>4571</t>
  </si>
  <si>
    <t>00006723750365</t>
  </si>
  <si>
    <t>4572</t>
  </si>
  <si>
    <t>MARCELLO ROCHA DE CARVALHO 02269197305</t>
  </si>
  <si>
    <t>MARCELLOARMAQUINAS</t>
  </si>
  <si>
    <t>43371480000100</t>
  </si>
  <si>
    <t>4573</t>
  </si>
  <si>
    <t>06047087008709</t>
  </si>
  <si>
    <t>4574</t>
  </si>
  <si>
    <t>33791591000111</t>
  </si>
  <si>
    <t>4575</t>
  </si>
  <si>
    <t>00034226260856</t>
  </si>
  <si>
    <t>4576</t>
  </si>
  <si>
    <t>00034923181850</t>
  </si>
  <si>
    <t>4577</t>
  </si>
  <si>
    <t>00004369794382</t>
  </si>
  <si>
    <t>4578</t>
  </si>
  <si>
    <t>00008205501670</t>
  </si>
  <si>
    <t>4579</t>
  </si>
  <si>
    <t>00005951046149</t>
  </si>
  <si>
    <t>4580</t>
  </si>
  <si>
    <t>COMPLEX MULTIMODAL LTDA</t>
  </si>
  <si>
    <t>COMPLEX MULTIMODAL</t>
  </si>
  <si>
    <t>23475594000192</t>
  </si>
  <si>
    <t>4581</t>
  </si>
  <si>
    <t>00048231304568</t>
  </si>
  <si>
    <t>4582</t>
  </si>
  <si>
    <t>00014142573845</t>
  </si>
  <si>
    <t>4583</t>
  </si>
  <si>
    <t>00026366582890</t>
  </si>
  <si>
    <t>4584</t>
  </si>
  <si>
    <t>00013481359640</t>
  </si>
  <si>
    <t>4585</t>
  </si>
  <si>
    <t>47960950057824</t>
  </si>
  <si>
    <t>4586</t>
  </si>
  <si>
    <t>00071881951103</t>
  </si>
  <si>
    <t>4587</t>
  </si>
  <si>
    <t>SERVICO NACIONAL DE APRENDIZAGEM INDUSTRIAL</t>
  </si>
  <si>
    <t>SENAI</t>
  </si>
  <si>
    <t>03774819006054</t>
  </si>
  <si>
    <t>4588</t>
  </si>
  <si>
    <t>TIGRÃO TRAVEL CENTER COMÉRCIO DE ALIMENTOS LTDA</t>
  </si>
  <si>
    <t>TIGRÃO TRAVEL CENTER</t>
  </si>
  <si>
    <t>72724826000104</t>
  </si>
  <si>
    <t>4589</t>
  </si>
  <si>
    <t>00011168983908</t>
  </si>
  <si>
    <t>4590</t>
  </si>
  <si>
    <t>00001306752108</t>
  </si>
  <si>
    <t>4591</t>
  </si>
  <si>
    <t>00013365790721</t>
  </si>
  <si>
    <t>4592</t>
  </si>
  <si>
    <t>RISSO ENCOMENDAS CENTRO OESTE LTDA.</t>
  </si>
  <si>
    <t>RISSO ENCOMENDAS CEN</t>
  </si>
  <si>
    <t>05209691000151</t>
  </si>
  <si>
    <t>4593</t>
  </si>
  <si>
    <t>JOÃO VITOR DE PAIVA GOMES</t>
  </si>
  <si>
    <t>JOÃO VITOR DE PAIVA</t>
  </si>
  <si>
    <t>00047405930840</t>
  </si>
  <si>
    <t>4594</t>
  </si>
  <si>
    <t>GEOVANNA MOREIRA CRUZ</t>
  </si>
  <si>
    <t>GEOVANNA MOREIRA CRU</t>
  </si>
  <si>
    <t>00048634991830</t>
  </si>
  <si>
    <t>4595</t>
  </si>
  <si>
    <t>KAUANE SANTOS PEREIRA</t>
  </si>
  <si>
    <t>KAUANE SANTOS PEREIR</t>
  </si>
  <si>
    <t>00051831484811</t>
  </si>
  <si>
    <t>4596</t>
  </si>
  <si>
    <t>ROBERTA NEVES BRITO</t>
  </si>
  <si>
    <t>00059722149890</t>
  </si>
  <si>
    <t>4597</t>
  </si>
  <si>
    <t>00058863834172</t>
  </si>
  <si>
    <t>4598</t>
  </si>
  <si>
    <t>56081317000154</t>
  </si>
  <si>
    <t>4599</t>
  </si>
  <si>
    <t>60.876.689 AGLEY MENEZES DE OLIVEIRA</t>
  </si>
  <si>
    <t>OFICINA AGLEY</t>
  </si>
  <si>
    <t>60876689000144</t>
  </si>
  <si>
    <t>4600</t>
  </si>
  <si>
    <t>00035310420843</t>
  </si>
  <si>
    <t>4601</t>
  </si>
  <si>
    <t>CARBUTEC SERVICO DE MANUTENCAO AUTOMOTIVA LTDA</t>
  </si>
  <si>
    <t>CARBUTEC</t>
  </si>
  <si>
    <t>43486943000189</t>
  </si>
  <si>
    <t>4602</t>
  </si>
  <si>
    <t>40177506000608</t>
  </si>
  <si>
    <t>4603</t>
  </si>
  <si>
    <t>00034847648803</t>
  </si>
  <si>
    <t>4604</t>
  </si>
  <si>
    <t>46910564000162</t>
  </si>
  <si>
    <t>4605</t>
  </si>
  <si>
    <t>00002942944145</t>
  </si>
  <si>
    <t>4606</t>
  </si>
  <si>
    <t xml:space="preserve"> MARIANA VALENÇA CAHÚ COUTINHO</t>
  </si>
  <si>
    <t xml:space="preserve"> MARIANA VALENÇA CAH</t>
  </si>
  <si>
    <t>00002152749464</t>
  </si>
  <si>
    <t>4607</t>
  </si>
  <si>
    <t>ELITE-ACO INDUSTRIA E COMERCIO DE MOVEIS LTDA</t>
  </si>
  <si>
    <t>ELITE-ACO INDUSTRIA</t>
  </si>
  <si>
    <t>02141835000197</t>
  </si>
  <si>
    <t>4608</t>
  </si>
  <si>
    <t>00700114000144</t>
  </si>
  <si>
    <t>4609</t>
  </si>
  <si>
    <t>PASSAPORTE DESCOMPLICADO SERVICOS E TURISMO LTDA</t>
  </si>
  <si>
    <t>ASSESSORIA EM DOCUME</t>
  </si>
  <si>
    <t>54241608000137</t>
  </si>
  <si>
    <t>4610</t>
  </si>
  <si>
    <t>00001629072222</t>
  </si>
  <si>
    <t>4611</t>
  </si>
  <si>
    <t>00002144088179</t>
  </si>
  <si>
    <t>4612</t>
  </si>
  <si>
    <t>00001593059000</t>
  </si>
  <si>
    <t>4613</t>
  </si>
  <si>
    <t>00070943559553</t>
  </si>
  <si>
    <t>4614</t>
  </si>
  <si>
    <t>00011867659760</t>
  </si>
  <si>
    <t>4615</t>
  </si>
  <si>
    <t>00004580454111</t>
  </si>
  <si>
    <t>4616</t>
  </si>
  <si>
    <t>00011530811643</t>
  </si>
  <si>
    <t>4617</t>
  </si>
  <si>
    <t>00027348367852</t>
  </si>
  <si>
    <t>4618</t>
  </si>
  <si>
    <t>60.981.804 LUIZ ANGELO DOS SANTOS</t>
  </si>
  <si>
    <t>OFICINA Mª JAQUELINE</t>
  </si>
  <si>
    <t>60981804000140</t>
  </si>
  <si>
    <t>4619</t>
  </si>
  <si>
    <t>SCAN GLOBAL LOGISTICS DO BRASIL LTDA</t>
  </si>
  <si>
    <t>SCAN GLOBAL LOGISTIC</t>
  </si>
  <si>
    <t>18829864000186</t>
  </si>
  <si>
    <t>4620</t>
  </si>
  <si>
    <t>43283811000150</t>
  </si>
  <si>
    <t>4621</t>
  </si>
  <si>
    <t>MAR TURQUESA COMERCIO DE PRODUTOS DE PAPELARIA LTD</t>
  </si>
  <si>
    <t>MAR TURQUESA COMERCI</t>
  </si>
  <si>
    <t>44669553000107</t>
  </si>
  <si>
    <t>4622</t>
  </si>
  <si>
    <t>43283811006867</t>
  </si>
  <si>
    <t>4623</t>
  </si>
  <si>
    <t>00008495248654</t>
  </si>
  <si>
    <t>4624</t>
  </si>
  <si>
    <t>24117027000127</t>
  </si>
  <si>
    <t>4625</t>
  </si>
  <si>
    <t>28227275000181</t>
  </si>
  <si>
    <t>4626</t>
  </si>
  <si>
    <t>50365788000108</t>
  </si>
  <si>
    <t>4627</t>
  </si>
  <si>
    <t>00031770866809</t>
  </si>
  <si>
    <t>4628</t>
  </si>
  <si>
    <t>CLAUDENIR M. RADAEL</t>
  </si>
  <si>
    <t>RESTAURANTE NOSSA SE</t>
  </si>
  <si>
    <t>05555684000101</t>
  </si>
  <si>
    <t>4629</t>
  </si>
  <si>
    <t>NATHALLY COMERCIO DE MAQUINAS E EQUIPAMENTOS LTDA</t>
  </si>
  <si>
    <t>NATHALLY COMERCIO DE</t>
  </si>
  <si>
    <t>07840323000132</t>
  </si>
  <si>
    <t>4630</t>
  </si>
  <si>
    <t>EMPRESA BRASILEIRA DE BENEFICIOS E PAGAMENTOS LTDA</t>
  </si>
  <si>
    <t>CAJÚ</t>
  </si>
  <si>
    <t>33449007000144</t>
  </si>
  <si>
    <t>4631</t>
  </si>
  <si>
    <t>60099408000194</t>
  </si>
  <si>
    <t>4632</t>
  </si>
  <si>
    <t>13683862000108</t>
  </si>
  <si>
    <t>4633</t>
  </si>
  <si>
    <t>00010154368628</t>
  </si>
  <si>
    <t>4634</t>
  </si>
  <si>
    <t>00013682414762</t>
  </si>
  <si>
    <t>4635</t>
  </si>
  <si>
    <t>00005834794130</t>
  </si>
  <si>
    <t>4636</t>
  </si>
  <si>
    <t>J. UILAS DOS SANTOS</t>
  </si>
  <si>
    <t>GARAGE UNIQUE CAR EN</t>
  </si>
  <si>
    <t>25104109000280</t>
  </si>
  <si>
    <t>4637</t>
  </si>
  <si>
    <t>11794674000121</t>
  </si>
  <si>
    <t>4638</t>
  </si>
  <si>
    <t>00013404546881</t>
  </si>
  <si>
    <t>4639</t>
  </si>
  <si>
    <t>00017574264775</t>
  </si>
  <si>
    <t>4640</t>
  </si>
  <si>
    <t>00048140184870</t>
  </si>
  <si>
    <t>4641</t>
  </si>
  <si>
    <t>HAMAM GLOBAL INTERIOR SOLUTIONS LTDA</t>
  </si>
  <si>
    <t>HAMAM GLOBAL INTERIO</t>
  </si>
  <si>
    <t>39617819000138</t>
  </si>
  <si>
    <t>4642</t>
  </si>
  <si>
    <t>00037732034899</t>
  </si>
  <si>
    <t>4643</t>
  </si>
  <si>
    <t>00092236790287</t>
  </si>
  <si>
    <t>4644</t>
  </si>
  <si>
    <t>00045068758850</t>
  </si>
  <si>
    <t>4645</t>
  </si>
  <si>
    <t>MALCO LOGISTICA E TRANSPORTES LTDA</t>
  </si>
  <si>
    <t>MALCO LOGISTICA E TR</t>
  </si>
  <si>
    <t>10484297000161</t>
  </si>
  <si>
    <t>4646</t>
  </si>
  <si>
    <t>HIPERCOMERCIAL LTDA</t>
  </si>
  <si>
    <t>22338874000196</t>
  </si>
  <si>
    <t>4647</t>
  </si>
  <si>
    <t>00003189439133</t>
  </si>
  <si>
    <t>4648</t>
  </si>
  <si>
    <t>38028570000162</t>
  </si>
  <si>
    <t>4649</t>
  </si>
  <si>
    <t>06272575011850</t>
  </si>
  <si>
    <t>4650</t>
  </si>
  <si>
    <t>LEPOK DISTRIBUICAO E LOGISTICA LTDA ( PIMACO )</t>
  </si>
  <si>
    <t>LEPOK (PIMACO)</t>
  </si>
  <si>
    <t>19576717000104</t>
  </si>
  <si>
    <t>4651</t>
  </si>
  <si>
    <t>BRS SUPRIMENTOS CORPORATIVOS S/A (OCEANO B2B)</t>
  </si>
  <si>
    <t>BRS SUPRIMENTOS CORP</t>
  </si>
  <si>
    <t>03746938001549</t>
  </si>
  <si>
    <t>4652</t>
  </si>
  <si>
    <t>11805397001934</t>
  </si>
  <si>
    <t>4653</t>
  </si>
  <si>
    <t>00011311523600</t>
  </si>
  <si>
    <t>4654</t>
  </si>
  <si>
    <t>00006383026682</t>
  </si>
  <si>
    <t>4655</t>
  </si>
  <si>
    <t>00009516397492</t>
  </si>
  <si>
    <t>4656</t>
  </si>
  <si>
    <t>44857916000138</t>
  </si>
  <si>
    <t>4657</t>
  </si>
  <si>
    <t>00039098323855</t>
  </si>
  <si>
    <t>4658</t>
  </si>
  <si>
    <t>00080101291515</t>
  </si>
  <si>
    <t>4659</t>
  </si>
  <si>
    <t>00047242752191</t>
  </si>
  <si>
    <t>4660</t>
  </si>
  <si>
    <t>00036923919860</t>
  </si>
  <si>
    <t>4661</t>
  </si>
  <si>
    <t>00004248586304</t>
  </si>
  <si>
    <t>4662</t>
  </si>
  <si>
    <t>00093581289172</t>
  </si>
  <si>
    <t>4663</t>
  </si>
  <si>
    <t>DOC COM LTDA</t>
  </si>
  <si>
    <t>DOC COM</t>
  </si>
  <si>
    <t>15065408000119</t>
  </si>
  <si>
    <t>4664</t>
  </si>
  <si>
    <t>DH IMPORTACAO E COMERCIO LTDA</t>
  </si>
  <si>
    <t>DH IMPORTACAO E COME</t>
  </si>
  <si>
    <t>43819269000107</t>
  </si>
  <si>
    <t>4665</t>
  </si>
  <si>
    <t>00030193512866</t>
  </si>
  <si>
    <t>4666</t>
  </si>
  <si>
    <t>DOGS &amp;amp; CATS LTDA</t>
  </si>
  <si>
    <t>DOGS &amp;amp; CATS</t>
  </si>
  <si>
    <t>49459461000116</t>
  </si>
  <si>
    <t>4667</t>
  </si>
  <si>
    <t>00002263031014</t>
  </si>
  <si>
    <t>4668</t>
  </si>
  <si>
    <t>00002649533129</t>
  </si>
  <si>
    <t>4669</t>
  </si>
  <si>
    <t>00040848055802</t>
  </si>
  <si>
    <t>4670</t>
  </si>
  <si>
    <t>00011061781496</t>
  </si>
  <si>
    <t>4671</t>
  </si>
  <si>
    <t>00040334000874</t>
  </si>
  <si>
    <t>4672</t>
  </si>
  <si>
    <t>MÍRIAM PERAZZIO</t>
  </si>
  <si>
    <t>00004709061890</t>
  </si>
  <si>
    <t>4673</t>
  </si>
  <si>
    <t>00056403747800</t>
  </si>
  <si>
    <t>4674</t>
  </si>
  <si>
    <t>00024112997884</t>
  </si>
  <si>
    <t>4675</t>
  </si>
  <si>
    <t>00034119720845</t>
  </si>
  <si>
    <t>4676</t>
  </si>
  <si>
    <t>56130485000192</t>
  </si>
  <si>
    <t>4677</t>
  </si>
  <si>
    <t>00029725594878</t>
  </si>
  <si>
    <t>4678</t>
  </si>
  <si>
    <t>00001449634699</t>
  </si>
  <si>
    <t>4679</t>
  </si>
  <si>
    <t>00065879210197</t>
  </si>
  <si>
    <t>4680</t>
  </si>
  <si>
    <t>00062333712368</t>
  </si>
  <si>
    <t>4681</t>
  </si>
  <si>
    <t>00000271405635</t>
  </si>
  <si>
    <t>4682</t>
  </si>
  <si>
    <t>00027947112886</t>
  </si>
  <si>
    <t>4683</t>
  </si>
  <si>
    <t>00028567033802</t>
  </si>
  <si>
    <t>4684</t>
  </si>
  <si>
    <t>MARIA DA CONCEIÇÃO SANTOS DE OLIVEIRA</t>
  </si>
  <si>
    <t>60921989000106</t>
  </si>
  <si>
    <t>4685</t>
  </si>
  <si>
    <t>02584924003808</t>
  </si>
  <si>
    <t>4686</t>
  </si>
  <si>
    <t>00041163455806</t>
  </si>
  <si>
    <t>4687</t>
  </si>
  <si>
    <t>00036584239861</t>
  </si>
  <si>
    <t>4688</t>
  </si>
  <si>
    <t>RM LOGISTICA E TRANSPORTES LTDA</t>
  </si>
  <si>
    <t>RM LOGISTICA E TRANS</t>
  </si>
  <si>
    <t>10691842000271</t>
  </si>
  <si>
    <t>4689</t>
  </si>
  <si>
    <t>00014959593253</t>
  </si>
  <si>
    <t>4690</t>
  </si>
  <si>
    <t>RGL SUPERMERCADO LTDA</t>
  </si>
  <si>
    <t>RGL SUPERMERCADO LTD</t>
  </si>
  <si>
    <t>47826965000100</t>
  </si>
  <si>
    <t>4691</t>
  </si>
  <si>
    <t>17228590000298</t>
  </si>
  <si>
    <t>4692</t>
  </si>
  <si>
    <t>00001502148471</t>
  </si>
  <si>
    <t>4693</t>
  </si>
  <si>
    <t>00028286826841</t>
  </si>
  <si>
    <t>4694</t>
  </si>
  <si>
    <t>00041282065807</t>
  </si>
  <si>
    <t>4695</t>
  </si>
  <si>
    <t>00034743456487</t>
  </si>
  <si>
    <t>4696</t>
  </si>
  <si>
    <t>00009826384771</t>
  </si>
  <si>
    <t>4697</t>
  </si>
  <si>
    <t>08683337000586</t>
  </si>
  <si>
    <t>4698</t>
  </si>
  <si>
    <t>08683337000314</t>
  </si>
  <si>
    <t>4699</t>
  </si>
  <si>
    <t>00005917471460</t>
  </si>
  <si>
    <t>4700</t>
  </si>
  <si>
    <t>00006285810680</t>
  </si>
  <si>
    <t>4701</t>
  </si>
  <si>
    <t>00027012087854</t>
  </si>
  <si>
    <t>4702</t>
  </si>
  <si>
    <t>00005580760760</t>
  </si>
  <si>
    <t>4703</t>
  </si>
  <si>
    <t>RAFAEL GOMES DE ARANTES</t>
  </si>
  <si>
    <t>RAFAEL GOMES DE ARAN</t>
  </si>
  <si>
    <t>42330748000100</t>
  </si>
  <si>
    <t>4704</t>
  </si>
  <si>
    <t>00011918605742</t>
  </si>
  <si>
    <t>4705</t>
  </si>
  <si>
    <t>ZOE POVOA</t>
  </si>
  <si>
    <t>00044900630837</t>
  </si>
  <si>
    <t>4706</t>
  </si>
  <si>
    <t>00014520352703</t>
  </si>
  <si>
    <t>4707</t>
  </si>
  <si>
    <t>00015254096705</t>
  </si>
  <si>
    <t>4708</t>
  </si>
  <si>
    <t>00005598527707</t>
  </si>
  <si>
    <t>4709</t>
  </si>
  <si>
    <t>61059838000145</t>
  </si>
  <si>
    <t>4710</t>
  </si>
  <si>
    <t>06990115000157</t>
  </si>
  <si>
    <t>4711</t>
  </si>
  <si>
    <t>00045781732837</t>
  </si>
  <si>
    <t>4712</t>
  </si>
  <si>
    <t>00007726274441</t>
  </si>
  <si>
    <t>4713</t>
  </si>
  <si>
    <t>40126794000159</t>
  </si>
  <si>
    <t>4714</t>
  </si>
  <si>
    <t>03068790000720</t>
  </si>
  <si>
    <t>4715</t>
  </si>
  <si>
    <t>00009472638961</t>
  </si>
  <si>
    <t>4716</t>
  </si>
  <si>
    <t>47960950070928</t>
  </si>
  <si>
    <t>4717</t>
  </si>
  <si>
    <t>00095030379720</t>
  </si>
  <si>
    <t>4718</t>
  </si>
  <si>
    <t>00833219000252</t>
  </si>
  <si>
    <t>4719</t>
  </si>
  <si>
    <t>00033032176883</t>
  </si>
  <si>
    <t>4720</t>
  </si>
  <si>
    <t>00006392843965</t>
  </si>
  <si>
    <t>4721</t>
  </si>
  <si>
    <t>00026070756886</t>
  </si>
  <si>
    <t>4722</t>
  </si>
  <si>
    <t>00000753148510</t>
  </si>
  <si>
    <t>4723</t>
  </si>
  <si>
    <t>00006006940540</t>
  </si>
  <si>
    <t>4724</t>
  </si>
  <si>
    <t>00003361332192</t>
  </si>
  <si>
    <t>4725</t>
  </si>
  <si>
    <t>00018355170130</t>
  </si>
  <si>
    <t>4726</t>
  </si>
  <si>
    <t>00040499614828</t>
  </si>
  <si>
    <t>4727</t>
  </si>
  <si>
    <t>00038976724801</t>
  </si>
  <si>
    <t>4728</t>
  </si>
  <si>
    <t>00025800888817</t>
  </si>
  <si>
    <t>4729</t>
  </si>
  <si>
    <t>WALTER FRANCISCO JUNIOR</t>
  </si>
  <si>
    <t>WALTER FRANCISCO JUN</t>
  </si>
  <si>
    <t>00009277264837</t>
  </si>
  <si>
    <t>4730</t>
  </si>
  <si>
    <t>00007696516400</t>
  </si>
  <si>
    <t>4731</t>
  </si>
  <si>
    <t>00003107357502</t>
  </si>
  <si>
    <t>4732</t>
  </si>
  <si>
    <t>00004931543880</t>
  </si>
  <si>
    <t>4733</t>
  </si>
  <si>
    <t>00005215754608</t>
  </si>
  <si>
    <t>4734</t>
  </si>
  <si>
    <t>00002234820561</t>
  </si>
  <si>
    <t>4735</t>
  </si>
  <si>
    <t>00031567593844</t>
  </si>
  <si>
    <t>4736</t>
  </si>
  <si>
    <t>00004187419560</t>
  </si>
  <si>
    <t>4737</t>
  </si>
  <si>
    <t>00009484625908</t>
  </si>
  <si>
    <t>4738</t>
  </si>
  <si>
    <t>00009946277778</t>
  </si>
  <si>
    <t>4739</t>
  </si>
  <si>
    <t>00002772383156</t>
  </si>
  <si>
    <t>4740</t>
  </si>
  <si>
    <t>00008949289962</t>
  </si>
  <si>
    <t>4741</t>
  </si>
  <si>
    <t>00000588778001</t>
  </si>
  <si>
    <t>4742</t>
  </si>
  <si>
    <t>00044288960851</t>
  </si>
  <si>
    <t>4743</t>
  </si>
  <si>
    <t>00000113728697</t>
  </si>
  <si>
    <t>4744</t>
  </si>
  <si>
    <t>00001586720031</t>
  </si>
  <si>
    <t>4745</t>
  </si>
  <si>
    <t>37950229000105</t>
  </si>
  <si>
    <t>4746</t>
  </si>
  <si>
    <t>00097475599353</t>
  </si>
  <si>
    <t>4747</t>
  </si>
  <si>
    <t>00022727754892</t>
  </si>
  <si>
    <t>4748</t>
  </si>
  <si>
    <t>00007476564952</t>
  </si>
  <si>
    <t>4749</t>
  </si>
  <si>
    <t>00042040677860</t>
  </si>
  <si>
    <t>4750</t>
  </si>
  <si>
    <t>00021847662838</t>
  </si>
  <si>
    <t>4751</t>
  </si>
  <si>
    <t>00003451651106</t>
  </si>
  <si>
    <t>4752</t>
  </si>
  <si>
    <t>00026323945894</t>
  </si>
  <si>
    <t>4753</t>
  </si>
  <si>
    <t>00061715182200</t>
  </si>
  <si>
    <t>4754</t>
  </si>
  <si>
    <t>00037292564836</t>
  </si>
  <si>
    <t>4755</t>
  </si>
  <si>
    <t>00004601292603</t>
  </si>
  <si>
    <t>4756</t>
  </si>
  <si>
    <t>00012998707750</t>
  </si>
  <si>
    <t>4757</t>
  </si>
  <si>
    <t>00018458713756</t>
  </si>
  <si>
    <t>4758</t>
  </si>
  <si>
    <t>00000583015182</t>
  </si>
  <si>
    <t>4759</t>
  </si>
  <si>
    <t>00076306542000</t>
  </si>
  <si>
    <t>4760</t>
  </si>
  <si>
    <t>00007458494743</t>
  </si>
  <si>
    <t>4761</t>
  </si>
  <si>
    <t>10389832000103</t>
  </si>
  <si>
    <t>4762</t>
  </si>
  <si>
    <t>00029445340841</t>
  </si>
  <si>
    <t>4763</t>
  </si>
  <si>
    <t>00003346141551</t>
  </si>
  <si>
    <t>4764</t>
  </si>
  <si>
    <t>00039451700870</t>
  </si>
  <si>
    <t>4765</t>
  </si>
  <si>
    <t>00007131413950</t>
  </si>
  <si>
    <t>4766</t>
  </si>
  <si>
    <t>00002282983181</t>
  </si>
  <si>
    <t>4767</t>
  </si>
  <si>
    <t>00003942654750</t>
  </si>
  <si>
    <t>4768</t>
  </si>
  <si>
    <t>CORDTEX AVIAMENTOS LTDA</t>
  </si>
  <si>
    <t>CORDTEX</t>
  </si>
  <si>
    <t>52746977000156</t>
  </si>
  <si>
    <t>4769</t>
  </si>
  <si>
    <t>00025035798844</t>
  </si>
  <si>
    <t>4770</t>
  </si>
  <si>
    <t>00011900257602</t>
  </si>
  <si>
    <t>4771</t>
  </si>
  <si>
    <t>00017112958920</t>
  </si>
  <si>
    <t>4772</t>
  </si>
  <si>
    <t>00076367932291</t>
  </si>
  <si>
    <t>4773</t>
  </si>
  <si>
    <t>00011699578621</t>
  </si>
  <si>
    <t>4774</t>
  </si>
  <si>
    <t>00004787622161</t>
  </si>
  <si>
    <t>4775</t>
  </si>
  <si>
    <t>00010466489420</t>
  </si>
  <si>
    <t>4776</t>
  </si>
  <si>
    <t>ATACADAO DE ACO LTDA</t>
  </si>
  <si>
    <t>MULTI AÇO FLEX</t>
  </si>
  <si>
    <t>44323169000158</t>
  </si>
  <si>
    <t>4777</t>
  </si>
  <si>
    <t>30474098000341</t>
  </si>
  <si>
    <t>4778</t>
  </si>
  <si>
    <t>44990799000186</t>
  </si>
  <si>
    <t>4779</t>
  </si>
  <si>
    <t>52045457000892</t>
  </si>
  <si>
    <t>4780</t>
  </si>
  <si>
    <t>00002100246402</t>
  </si>
  <si>
    <t>4781</t>
  </si>
  <si>
    <t>00041685707890</t>
  </si>
  <si>
    <t>4782</t>
  </si>
  <si>
    <t>00001177416123</t>
  </si>
  <si>
    <t>4783</t>
  </si>
  <si>
    <t>00099337436434</t>
  </si>
  <si>
    <t>4784</t>
  </si>
  <si>
    <t>00010858885689</t>
  </si>
  <si>
    <t>4785</t>
  </si>
  <si>
    <t>00002631944771</t>
  </si>
  <si>
    <t>4786</t>
  </si>
  <si>
    <t>29839743000131</t>
  </si>
  <si>
    <t>4787</t>
  </si>
  <si>
    <t>00000000004787</t>
  </si>
  <si>
    <t>4788</t>
  </si>
  <si>
    <t>GRUPO CASAS BAHIA S.A.</t>
  </si>
  <si>
    <t>GRUPO CASAS BAHIA S.</t>
  </si>
  <si>
    <t>33041260100541</t>
  </si>
  <si>
    <t>4789</t>
  </si>
  <si>
    <t>00036634736863</t>
  </si>
  <si>
    <t>4790</t>
  </si>
  <si>
    <t>00015366764890</t>
  </si>
  <si>
    <t>4791</t>
  </si>
  <si>
    <t>00003345986132</t>
  </si>
  <si>
    <t>4792</t>
  </si>
  <si>
    <t>00005796331442</t>
  </si>
  <si>
    <t>4793</t>
  </si>
  <si>
    <t>00046061944802</t>
  </si>
  <si>
    <t>4794</t>
  </si>
  <si>
    <t>20294088000109</t>
  </si>
  <si>
    <t>4795</t>
  </si>
  <si>
    <t>00051080729704</t>
  </si>
  <si>
    <t>4796</t>
  </si>
  <si>
    <t>00002048754716</t>
  </si>
  <si>
    <t>4797</t>
  </si>
  <si>
    <t>00027097205822</t>
  </si>
  <si>
    <t>4798</t>
  </si>
  <si>
    <t>05646244000160</t>
  </si>
  <si>
    <t>4799</t>
  </si>
  <si>
    <t>00027656325883</t>
  </si>
  <si>
    <t>4800</t>
  </si>
  <si>
    <t>FELIPE SILVA DE OLIVEIRA 36093651886</t>
  </si>
  <si>
    <t>TAPEÇARIA ALFA</t>
  </si>
  <si>
    <t>38400801000117</t>
  </si>
  <si>
    <t>4801</t>
  </si>
  <si>
    <t>DESIGN OFFICE MOVEIS LTDA</t>
  </si>
  <si>
    <t>DESIGN OFFICE MOVEIS</t>
  </si>
  <si>
    <t>20198923000107</t>
  </si>
  <si>
    <t>4802</t>
  </si>
  <si>
    <t>00039938989829</t>
  </si>
  <si>
    <t>4803</t>
  </si>
  <si>
    <t>PE DE NOIVA MAGAZINE, VESTUARIO E ACESSORIOS LTDA</t>
  </si>
  <si>
    <t>PE DE NOIVA MAGAZINE</t>
  </si>
  <si>
    <t>53312258000190</t>
  </si>
  <si>
    <t>4804</t>
  </si>
  <si>
    <t>00065102681168</t>
  </si>
  <si>
    <t>4805</t>
  </si>
  <si>
    <t>00005438544697</t>
  </si>
  <si>
    <t>4806</t>
  </si>
  <si>
    <t>00078657598191</t>
  </si>
  <si>
    <t>4807</t>
  </si>
  <si>
    <t>00001315241277</t>
  </si>
  <si>
    <t>4808</t>
  </si>
  <si>
    <t>00008346835639</t>
  </si>
  <si>
    <t>4809</t>
  </si>
  <si>
    <t>RC CARVALHO REPRESENTACOES LTDA</t>
  </si>
  <si>
    <t>RC CARVALHO REPRESEN</t>
  </si>
  <si>
    <t>61180339000101</t>
  </si>
  <si>
    <t>4810</t>
  </si>
  <si>
    <t>00001586377639</t>
  </si>
  <si>
    <t>4811</t>
  </si>
  <si>
    <t>00015363459892</t>
  </si>
  <si>
    <t>4812</t>
  </si>
  <si>
    <t>00040735282897</t>
  </si>
  <si>
    <t>4813</t>
  </si>
  <si>
    <t>00001371543569</t>
  </si>
  <si>
    <t>4814</t>
  </si>
  <si>
    <t>00003794515145</t>
  </si>
  <si>
    <t>4815</t>
  </si>
  <si>
    <t>00001497513979</t>
  </si>
  <si>
    <t>4816</t>
  </si>
  <si>
    <t>00008792731600</t>
  </si>
  <si>
    <t>4817</t>
  </si>
  <si>
    <t>00011997665425</t>
  </si>
  <si>
    <t>4818</t>
  </si>
  <si>
    <t>00003443325513</t>
  </si>
  <si>
    <t>4819</t>
  </si>
  <si>
    <t>00004948728101</t>
  </si>
  <si>
    <t>4820</t>
  </si>
  <si>
    <t>00044797516887</t>
  </si>
  <si>
    <t>4821</t>
  </si>
  <si>
    <t>00039914150896</t>
  </si>
  <si>
    <t>4822</t>
  </si>
  <si>
    <t>00044073330144</t>
  </si>
  <si>
    <t>4823</t>
  </si>
  <si>
    <t>CROMO SOLUÇÕES ADUANEIRAS LTDA</t>
  </si>
  <si>
    <t>CROMO SOLUÇÕES</t>
  </si>
  <si>
    <t>53704820000120</t>
  </si>
  <si>
    <t>4824</t>
  </si>
  <si>
    <t>00002387986156</t>
  </si>
  <si>
    <t>4825</t>
  </si>
  <si>
    <t>MADEIRAMADEIRA COMERCIO ELETRONICO S/A</t>
  </si>
  <si>
    <t>MADEIRAMADEIRA COMER</t>
  </si>
  <si>
    <t>10490181000569</t>
  </si>
  <si>
    <t>4826</t>
  </si>
  <si>
    <t>00079089577734</t>
  </si>
  <si>
    <t>4827</t>
  </si>
  <si>
    <t>33041260161419</t>
  </si>
  <si>
    <t>4828</t>
  </si>
  <si>
    <t>00002898407160</t>
  </si>
  <si>
    <t>4829</t>
  </si>
  <si>
    <t>00003470487499</t>
  </si>
  <si>
    <t>4830</t>
  </si>
  <si>
    <t>00005344008929</t>
  </si>
  <si>
    <t>4831</t>
  </si>
  <si>
    <t>00065424433804</t>
  </si>
  <si>
    <t>4832</t>
  </si>
  <si>
    <t>00030904081800</t>
  </si>
  <si>
    <t>4833</t>
  </si>
  <si>
    <t>00096566914072</t>
  </si>
  <si>
    <t>4834</t>
  </si>
  <si>
    <t>00034200785870</t>
  </si>
  <si>
    <t>4835</t>
  </si>
  <si>
    <t>00036862492861</t>
  </si>
  <si>
    <t>4836</t>
  </si>
  <si>
    <t>00011374679836</t>
  </si>
  <si>
    <t>4837</t>
  </si>
  <si>
    <t>TALU CONCEPT LTDA</t>
  </si>
  <si>
    <t>TALU CONCEPT</t>
  </si>
  <si>
    <t>39312229000105</t>
  </si>
  <si>
    <t>4838</t>
  </si>
  <si>
    <t>00014242930810</t>
  </si>
  <si>
    <t>4839</t>
  </si>
  <si>
    <t>00043236636840</t>
  </si>
  <si>
    <t>4840</t>
  </si>
  <si>
    <t>CS SERVICO AUTORIZADO LTDA.</t>
  </si>
  <si>
    <t>CS AGUA BOA</t>
  </si>
  <si>
    <t>37281690000104</t>
  </si>
  <si>
    <t>4841</t>
  </si>
  <si>
    <t>00001426640498</t>
  </si>
  <si>
    <t>4842</t>
  </si>
  <si>
    <t>00039175181800</t>
  </si>
  <si>
    <t>4843</t>
  </si>
  <si>
    <t>00033976867845</t>
  </si>
  <si>
    <t>4844</t>
  </si>
  <si>
    <t>00021337874884</t>
  </si>
  <si>
    <t>4845</t>
  </si>
  <si>
    <t>00012473364761</t>
  </si>
  <si>
    <t>4846</t>
  </si>
  <si>
    <t>00002351496329</t>
  </si>
  <si>
    <t>4847</t>
  </si>
  <si>
    <t>00093551134391</t>
  </si>
  <si>
    <t>4848</t>
  </si>
  <si>
    <t>RK VISTORIA VEICULAR LTDA ME</t>
  </si>
  <si>
    <t>RK VISTORIA VEICULAR</t>
  </si>
  <si>
    <t>12119841000100</t>
  </si>
  <si>
    <t>4849</t>
  </si>
  <si>
    <t>WEDO DECOR LTDA</t>
  </si>
  <si>
    <t>31574103000199</t>
  </si>
  <si>
    <t>4850</t>
  </si>
  <si>
    <t>20354664000166</t>
  </si>
  <si>
    <t>4851</t>
  </si>
  <si>
    <t>00035186338800</t>
  </si>
  <si>
    <t>4852</t>
  </si>
  <si>
    <t>00006278933683</t>
  </si>
  <si>
    <t>4853</t>
  </si>
  <si>
    <t>ABAF SUN FILMES LIMITADA</t>
  </si>
  <si>
    <t>ABAF SUN FILMES LIMI</t>
  </si>
  <si>
    <t>08839999000179</t>
  </si>
  <si>
    <t>4854</t>
  </si>
  <si>
    <t>MARIA LUCIA DIAS DE GODOY</t>
  </si>
  <si>
    <t>ATELIE LUCIA GODOY</t>
  </si>
  <si>
    <t>23776605000174</t>
  </si>
  <si>
    <t>4855</t>
  </si>
  <si>
    <t>00014823459784</t>
  </si>
  <si>
    <t>4856</t>
  </si>
  <si>
    <t>00099024179149</t>
  </si>
  <si>
    <t>4857</t>
  </si>
  <si>
    <t>00013283889643</t>
  </si>
  <si>
    <t>4858</t>
  </si>
  <si>
    <t>MOVEIS VIDEIRA LTDA</t>
  </si>
  <si>
    <t>00397926000162</t>
  </si>
  <si>
    <t>4859</t>
  </si>
  <si>
    <t>POLITORNO MOVEIS LTDA</t>
  </si>
  <si>
    <t>POLITORNO MOVEIS LTD</t>
  </si>
  <si>
    <t>90236621000161</t>
  </si>
  <si>
    <t>4860</t>
  </si>
  <si>
    <t>CASTRO DE MENDOCA COMERCIO DE ALIMENTO LTDA</t>
  </si>
  <si>
    <t>CASTRO DE MENDOCA CO</t>
  </si>
  <si>
    <t>34423209000180</t>
  </si>
  <si>
    <t>4861</t>
  </si>
  <si>
    <t>00046708747804</t>
  </si>
  <si>
    <t>4862</t>
  </si>
  <si>
    <t>00007839040969</t>
  </si>
  <si>
    <t>4863</t>
  </si>
  <si>
    <t>00009219854791</t>
  </si>
  <si>
    <t>4864</t>
  </si>
  <si>
    <t>47.363.673 PALOMA DE FREITAS CRUZ</t>
  </si>
  <si>
    <t>47.363.673 PALOMA DE</t>
  </si>
  <si>
    <t>47363673000170</t>
  </si>
  <si>
    <t>4865</t>
  </si>
  <si>
    <t>47960950059010</t>
  </si>
  <si>
    <t>4866</t>
  </si>
  <si>
    <t>WAPA FERRAGENS E FERRAMENTAS LTDA</t>
  </si>
  <si>
    <t>WAPA FERRAGENS E FER</t>
  </si>
  <si>
    <t>47897996000143</t>
  </si>
  <si>
    <t>4867</t>
  </si>
  <si>
    <t>55.476.750 BRENO ALLISON DE SOUZA</t>
  </si>
  <si>
    <t>55.476.750 BRENO ALL</t>
  </si>
  <si>
    <t>55476750000126</t>
  </si>
  <si>
    <t>4868</t>
  </si>
  <si>
    <t>00009878108473</t>
  </si>
  <si>
    <t>4869</t>
  </si>
  <si>
    <t>00006362685601</t>
  </si>
  <si>
    <t>4870</t>
  </si>
  <si>
    <t>00044105957848</t>
  </si>
  <si>
    <t>4871</t>
  </si>
  <si>
    <t>00087257904553</t>
  </si>
  <si>
    <t>4872</t>
  </si>
  <si>
    <t>47235948000190</t>
  </si>
  <si>
    <t>4873</t>
  </si>
  <si>
    <t>WEIQIAO TEXTILE TRADING  COMPANY LIMITED</t>
  </si>
  <si>
    <t>WEIQIAO TEXTILE</t>
  </si>
  <si>
    <t>00000000004873</t>
  </si>
  <si>
    <t>4874</t>
  </si>
  <si>
    <t>EASTERN IMPEX HK LTD</t>
  </si>
  <si>
    <t>JMM IMPEX</t>
  </si>
  <si>
    <t>00000000004874</t>
  </si>
  <si>
    <t>4875</t>
  </si>
  <si>
    <t>00007485466771</t>
  </si>
  <si>
    <t>4876</t>
  </si>
  <si>
    <t>00036964922806</t>
  </si>
  <si>
    <t>4877</t>
  </si>
  <si>
    <t>00007115305641</t>
  </si>
  <si>
    <t>4878</t>
  </si>
  <si>
    <t>00001401842526</t>
  </si>
  <si>
    <t>4879</t>
  </si>
  <si>
    <t>00009760118408</t>
  </si>
  <si>
    <t>4880</t>
  </si>
  <si>
    <t>00007708623650</t>
  </si>
  <si>
    <t>4881</t>
  </si>
  <si>
    <t>27216869001600</t>
  </si>
  <si>
    <t>4882</t>
  </si>
  <si>
    <t>EDSON XAVIER DOS SANTOS 24832114883</t>
  </si>
  <si>
    <t>EDSON XAVIER DOS SAN</t>
  </si>
  <si>
    <t>22304660000107</t>
  </si>
  <si>
    <t>4883</t>
  </si>
  <si>
    <t>00001935442961</t>
  </si>
  <si>
    <t>4884</t>
  </si>
  <si>
    <t>00006259909519</t>
  </si>
  <si>
    <t>4885</t>
  </si>
  <si>
    <t>60922168000348</t>
  </si>
  <si>
    <t>4886</t>
  </si>
  <si>
    <t>CHARLES MICHAEL DE SOUZA ABREU</t>
  </si>
  <si>
    <t>CHARLES MICHAEL</t>
  </si>
  <si>
    <t>17165741000125</t>
  </si>
  <si>
    <t>4887</t>
  </si>
  <si>
    <t>00005758218766</t>
  </si>
  <si>
    <t>4888</t>
  </si>
  <si>
    <t>00001969036613</t>
  </si>
  <si>
    <t>4889</t>
  </si>
  <si>
    <t>00066561256891</t>
  </si>
  <si>
    <t>4890</t>
  </si>
  <si>
    <t>00034019287830</t>
  </si>
  <si>
    <t>4891</t>
  </si>
  <si>
    <t>36779929000108</t>
  </si>
  <si>
    <t>4892</t>
  </si>
  <si>
    <t>00034294748842</t>
  </si>
  <si>
    <t>4893</t>
  </si>
  <si>
    <t>00038234945890</t>
  </si>
  <si>
    <t>4894</t>
  </si>
  <si>
    <t>SILK SCREEN KATO LTDA</t>
  </si>
  <si>
    <t>KATO</t>
  </si>
  <si>
    <t>01981766000167</t>
  </si>
  <si>
    <t>4895</t>
  </si>
  <si>
    <t>00004420744928</t>
  </si>
  <si>
    <t>4896</t>
  </si>
  <si>
    <t>00001808759303</t>
  </si>
  <si>
    <t>4897</t>
  </si>
  <si>
    <t>00035401010630</t>
  </si>
  <si>
    <t>4898</t>
  </si>
  <si>
    <t>00037433607803</t>
  </si>
  <si>
    <t>4899</t>
  </si>
  <si>
    <t>00016958133757</t>
  </si>
  <si>
    <t>4900</t>
  </si>
  <si>
    <t>00028671125831</t>
  </si>
  <si>
    <t>4901</t>
  </si>
  <si>
    <t>ARTE TEXTIL PRODUCAO</t>
  </si>
  <si>
    <t>57813799000152</t>
  </si>
  <si>
    <t>4902</t>
  </si>
  <si>
    <t>SMART FELLOW COMERCIO DE ARTIGOS PARA PET LTDA</t>
  </si>
  <si>
    <t>OFICINA NIILDES</t>
  </si>
  <si>
    <t>54532881000110</t>
  </si>
  <si>
    <t>4903</t>
  </si>
  <si>
    <t>00370353000183</t>
  </si>
  <si>
    <t>4904</t>
  </si>
  <si>
    <t>00000088054667</t>
  </si>
  <si>
    <t>4905</t>
  </si>
  <si>
    <t>00032587035821</t>
  </si>
  <si>
    <t>4906</t>
  </si>
  <si>
    <t>06047087001020</t>
  </si>
  <si>
    <t>4907</t>
  </si>
  <si>
    <t>LEROY</t>
  </si>
  <si>
    <t>01438784000601</t>
  </si>
  <si>
    <t>4908</t>
  </si>
  <si>
    <t>00038333216870</t>
  </si>
  <si>
    <t>4909</t>
  </si>
  <si>
    <t>00046020171850</t>
  </si>
  <si>
    <t>4910</t>
  </si>
  <si>
    <t>00036896877804</t>
  </si>
  <si>
    <t>4911</t>
  </si>
  <si>
    <t>00027098108839</t>
  </si>
  <si>
    <t>4912</t>
  </si>
  <si>
    <t>00050372973892</t>
  </si>
  <si>
    <t>4913</t>
  </si>
  <si>
    <t>00037449512866</t>
  </si>
  <si>
    <t>4914</t>
  </si>
  <si>
    <t>62.419.394 MARIA JAQUELINE QUEIROZ TIMOTEO</t>
  </si>
  <si>
    <t>62419394000174</t>
  </si>
  <si>
    <t>4915</t>
  </si>
  <si>
    <t>IDEALLE ACRILICOS LTDA</t>
  </si>
  <si>
    <t>Idealle Acrilicos</t>
  </si>
  <si>
    <t>33551356000172</t>
  </si>
  <si>
    <t>4916</t>
  </si>
  <si>
    <t>00045563608620</t>
  </si>
  <si>
    <t>4917</t>
  </si>
  <si>
    <t>IMB COMERCIO DE MAQUINAS E EQUIPAMENTOS LTDA</t>
  </si>
  <si>
    <t>IMB COMERCIO DE MAQU</t>
  </si>
  <si>
    <t>47601370000148</t>
  </si>
  <si>
    <t>4918</t>
  </si>
  <si>
    <t>COMERCIO DE FERRAGENS AGROFER LTDA</t>
  </si>
  <si>
    <t>COMERCIO DE FERRAGEN</t>
  </si>
  <si>
    <t>49635931000155</t>
  </si>
  <si>
    <t>4919</t>
  </si>
  <si>
    <t>19526748001394</t>
  </si>
  <si>
    <t>4920</t>
  </si>
  <si>
    <t>60409075054082</t>
  </si>
  <si>
    <t>4921</t>
  </si>
  <si>
    <t>00000738780812</t>
  </si>
  <si>
    <t>4922</t>
  </si>
  <si>
    <t>00042147054836</t>
  </si>
  <si>
    <t>4923</t>
  </si>
  <si>
    <t>00001088626238</t>
  </si>
  <si>
    <t>4924</t>
  </si>
  <si>
    <t>00037084126805</t>
  </si>
  <si>
    <t>4925</t>
  </si>
  <si>
    <t>00004547990557</t>
  </si>
  <si>
    <t>4926</t>
  </si>
  <si>
    <t>00029568550852</t>
  </si>
  <si>
    <t>4927</t>
  </si>
  <si>
    <t>ASPER PREVENCAO E COMBATE A INCENDIO</t>
  </si>
  <si>
    <t>ASPER PREVENCAO E CO</t>
  </si>
  <si>
    <t>56127339000108</t>
  </si>
  <si>
    <t>4928</t>
  </si>
  <si>
    <t>00049377978831</t>
  </si>
  <si>
    <t>4929</t>
  </si>
  <si>
    <t>RETIRE AGORA COMERCIO DE PRODUTOS EM GERAL E ELETR</t>
  </si>
  <si>
    <t>RETIRE AGORA COMERCI</t>
  </si>
  <si>
    <t>34433675000146</t>
  </si>
  <si>
    <t>4930</t>
  </si>
  <si>
    <t>GARDEN DA VILLA LTDA</t>
  </si>
  <si>
    <t>GARDEN DA VILLA</t>
  </si>
  <si>
    <t>54488826000170</t>
  </si>
  <si>
    <t>4931</t>
  </si>
  <si>
    <t>TODOS OS EMPREENDIMENTOS LTDA</t>
  </si>
  <si>
    <t>CARTAO DE TODOS</t>
  </si>
  <si>
    <t>04644515000185</t>
  </si>
  <si>
    <t>4932</t>
  </si>
  <si>
    <t>00006037899606</t>
  </si>
  <si>
    <t>4933</t>
  </si>
  <si>
    <t>00009648486603</t>
  </si>
  <si>
    <t>4934</t>
  </si>
  <si>
    <t>RENATA BATOCHO AMARAL</t>
  </si>
  <si>
    <t>RENATA BATOCHO</t>
  </si>
  <si>
    <t>07444350000196</t>
  </si>
  <si>
    <t>4935</t>
  </si>
  <si>
    <t>ROCCO BRUZZESE TANAKA</t>
  </si>
  <si>
    <t>ROCCO BRUZZESE TANAK</t>
  </si>
  <si>
    <t>58451849000161</t>
  </si>
  <si>
    <t>4936</t>
  </si>
  <si>
    <t>OURO VERDE REFORMAS LTDA</t>
  </si>
  <si>
    <t>OURO VERDE REFORMAS</t>
  </si>
  <si>
    <t>42248197000122</t>
  </si>
  <si>
    <t>4937</t>
  </si>
  <si>
    <t>ADMINISTRACAO DE CARTOES VIDA E SAUDE CAPELA DO SO</t>
  </si>
  <si>
    <t>ADMINISTRACAO DE CAR</t>
  </si>
  <si>
    <t>24709287000191</t>
  </si>
  <si>
    <t>4938</t>
  </si>
  <si>
    <t>YAPAY PAGAMENTOS ONLINE S/A</t>
  </si>
  <si>
    <t>VINDI PAGAMENTOS ONL</t>
  </si>
  <si>
    <t>14338304000178</t>
  </si>
  <si>
    <t>4939</t>
  </si>
  <si>
    <t>00060452717345</t>
  </si>
  <si>
    <t>4940</t>
  </si>
  <si>
    <t>61466465000127</t>
  </si>
  <si>
    <t>4941</t>
  </si>
  <si>
    <t>ICONNE PUBLICIDADE E COMERCIO LTDA</t>
  </si>
  <si>
    <t>ICONNE PUBLICIDADE E</t>
  </si>
  <si>
    <t>41801623000140</t>
  </si>
  <si>
    <t>4942</t>
  </si>
  <si>
    <t>60249025000155</t>
  </si>
  <si>
    <t>4943</t>
  </si>
  <si>
    <t>ANDREIA DOS SANTOS</t>
  </si>
  <si>
    <t>ANDREIA</t>
  </si>
  <si>
    <t>34593455000180</t>
  </si>
  <si>
    <t>4944</t>
  </si>
  <si>
    <t>00020880969733</t>
  </si>
  <si>
    <t>4945</t>
  </si>
  <si>
    <t>00000649055195</t>
  </si>
  <si>
    <t>4946</t>
  </si>
  <si>
    <t>00032233959892</t>
  </si>
  <si>
    <t>4947</t>
  </si>
  <si>
    <t>00068618689572</t>
  </si>
  <si>
    <t>4948</t>
  </si>
  <si>
    <t>00007589119474</t>
  </si>
  <si>
    <t>4949</t>
  </si>
  <si>
    <t>00009541379907</t>
  </si>
  <si>
    <t>4950</t>
  </si>
  <si>
    <t>00005600636105</t>
  </si>
  <si>
    <t>4951</t>
  </si>
  <si>
    <t>61486650081248</t>
  </si>
  <si>
    <t>4952</t>
  </si>
  <si>
    <t>PAULO LUCIANO DA SILVA</t>
  </si>
  <si>
    <t>PAULO LUCIANO</t>
  </si>
  <si>
    <t>12950097000182</t>
  </si>
  <si>
    <t>4953</t>
  </si>
  <si>
    <t>00031604014806</t>
  </si>
  <si>
    <t>4954</t>
  </si>
  <si>
    <t>00012071663675</t>
  </si>
  <si>
    <t>4955</t>
  </si>
  <si>
    <t>BRS SUPRIMENTOS CORPORATIVOS S/A</t>
  </si>
  <si>
    <t>03746938001620</t>
  </si>
  <si>
    <t>4956</t>
  </si>
  <si>
    <t>19937510000118</t>
  </si>
  <si>
    <t>4957</t>
  </si>
  <si>
    <t>00009133051976</t>
  </si>
  <si>
    <t>4958</t>
  </si>
  <si>
    <t>00005336427527</t>
  </si>
  <si>
    <t>4959</t>
  </si>
  <si>
    <t>00047918330749</t>
  </si>
  <si>
    <t>4960</t>
  </si>
  <si>
    <t>ACHEI O QUE EU QUERIA ATELIE DE DESIGN E DECORACAO</t>
  </si>
  <si>
    <t>ACHEI O QUE EU QUERI</t>
  </si>
  <si>
    <t>27892811000109</t>
  </si>
  <si>
    <t>4961</t>
  </si>
  <si>
    <t>00003401264508</t>
  </si>
  <si>
    <t>4962</t>
  </si>
  <si>
    <t>00015590633788</t>
  </si>
  <si>
    <t>4963</t>
  </si>
  <si>
    <t>00012506452478</t>
  </si>
  <si>
    <t>4964</t>
  </si>
  <si>
    <t>00008754325307</t>
  </si>
  <si>
    <t>4965</t>
  </si>
  <si>
    <t>00093619774153</t>
  </si>
  <si>
    <t>4966</t>
  </si>
  <si>
    <t>00015746631604</t>
  </si>
  <si>
    <t>4967</t>
  </si>
  <si>
    <t>SANTACONSTANCIA</t>
  </si>
  <si>
    <t>61105474002217</t>
  </si>
  <si>
    <t>4968</t>
  </si>
  <si>
    <t>00040249812851</t>
  </si>
  <si>
    <t>4969</t>
  </si>
  <si>
    <t>00013251012738</t>
  </si>
  <si>
    <t>4970</t>
  </si>
  <si>
    <t>ADMINISTRADORA DE CARTAO DE TODOS PINHEIROS - SAO</t>
  </si>
  <si>
    <t>25056410000185</t>
  </si>
  <si>
    <t>4971</t>
  </si>
  <si>
    <t>FOLHA DE LOURO COMERCIO DE PRODUTOS NATURAIS LTDA</t>
  </si>
  <si>
    <t>FOLHA DE LOURO</t>
  </si>
  <si>
    <t>34317581000535</t>
  </si>
  <si>
    <t>4972</t>
  </si>
  <si>
    <t>00096193441115</t>
  </si>
  <si>
    <t>4973</t>
  </si>
  <si>
    <t>COSTURA MODA COMERCIAL DE MAQUINAS DE COSTURA LTDA</t>
  </si>
  <si>
    <t>COSTURA MODA COMERCI</t>
  </si>
  <si>
    <t>40004805000128</t>
  </si>
  <si>
    <t>4974</t>
  </si>
  <si>
    <t>48463696000119</t>
  </si>
  <si>
    <t>4975</t>
  </si>
  <si>
    <t>00006786012329</t>
  </si>
  <si>
    <t>4976</t>
  </si>
  <si>
    <t>00003064747355</t>
  </si>
  <si>
    <t>4977</t>
  </si>
  <si>
    <t>00006850551671</t>
  </si>
  <si>
    <t>4978</t>
  </si>
  <si>
    <t>00000982633319</t>
  </si>
  <si>
    <t>4979</t>
  </si>
  <si>
    <t>MAGALUPAY INSTITUIÇÃO DE PAGAMENTO</t>
  </si>
  <si>
    <t>MAGALUPAY</t>
  </si>
  <si>
    <t>13884775000119</t>
  </si>
  <si>
    <t>4980</t>
  </si>
  <si>
    <t>00009143023614</t>
  </si>
  <si>
    <t>4981</t>
  </si>
  <si>
    <t>00029760550172</t>
  </si>
  <si>
    <t>4982</t>
  </si>
  <si>
    <t>JOSE DA SILVA VIEIRA</t>
  </si>
  <si>
    <t>JOSE DA SILVA</t>
  </si>
  <si>
    <t>19851734000102</t>
  </si>
  <si>
    <t>4983</t>
  </si>
  <si>
    <t>00006189500870</t>
  </si>
  <si>
    <t>4984</t>
  </si>
  <si>
    <t>GOLD SAND COMERCIAL LTDA.</t>
  </si>
  <si>
    <t>GOLD SAND COMERCIAL</t>
  </si>
  <si>
    <t>35386944000123</t>
  </si>
  <si>
    <t>4985</t>
  </si>
  <si>
    <t>00039167834833</t>
  </si>
  <si>
    <t>4986</t>
  </si>
  <si>
    <t>MARCOS VINICIUS MENDES DO NASCIMENTO</t>
  </si>
  <si>
    <t>MARCOS VINICIUS MEND</t>
  </si>
  <si>
    <t>53079996000139</t>
  </si>
  <si>
    <t>4987</t>
  </si>
  <si>
    <t>00034299075862</t>
  </si>
  <si>
    <t>4988</t>
  </si>
  <si>
    <t>CRIATURO DESIGN LTDA</t>
  </si>
  <si>
    <t>19836890000102</t>
  </si>
  <si>
    <t>4989</t>
  </si>
  <si>
    <t>SUELEM CRISTINA SACAMOTO</t>
  </si>
  <si>
    <t>SUELEM CRISTINA SACA</t>
  </si>
  <si>
    <t>19828703000130</t>
  </si>
  <si>
    <t>4990</t>
  </si>
  <si>
    <t>00006701818625</t>
  </si>
  <si>
    <t>4991</t>
  </si>
  <si>
    <t>00013104568790</t>
  </si>
  <si>
    <t>4992</t>
  </si>
  <si>
    <t>00086095382572</t>
  </si>
  <si>
    <t>4993</t>
  </si>
  <si>
    <t>00065205448091</t>
  </si>
  <si>
    <t>4994</t>
  </si>
  <si>
    <t>OSCAR HILD ANDOUNI</t>
  </si>
  <si>
    <t>15225979000173</t>
  </si>
  <si>
    <t>4995</t>
  </si>
  <si>
    <t>00036427161806</t>
  </si>
  <si>
    <t>4996</t>
  </si>
  <si>
    <t>00051552574768</t>
  </si>
  <si>
    <t>4997</t>
  </si>
  <si>
    <t>00010484807471</t>
  </si>
  <si>
    <t>4998</t>
  </si>
  <si>
    <t>00026657081839</t>
  </si>
  <si>
    <t>4999</t>
  </si>
  <si>
    <t>00003055881419</t>
  </si>
  <si>
    <t>5000</t>
  </si>
  <si>
    <t>00013901193782</t>
  </si>
  <si>
    <t>5001</t>
  </si>
  <si>
    <t>45543915084695</t>
  </si>
  <si>
    <t>5002</t>
  </si>
  <si>
    <t>00005581286701</t>
  </si>
  <si>
    <t>5003</t>
  </si>
  <si>
    <t>WEIQIAO TEXTILE TRADING (SHANGHAI) COMPANY LIMITED</t>
  </si>
  <si>
    <t>WEIQIAO</t>
  </si>
  <si>
    <t>00000000005003</t>
  </si>
  <si>
    <t>5004</t>
  </si>
  <si>
    <t>00010869350471</t>
  </si>
  <si>
    <t>5005</t>
  </si>
  <si>
    <t>00011669317730</t>
  </si>
  <si>
    <t>5006</t>
  </si>
  <si>
    <t>00011312634995</t>
  </si>
  <si>
    <t>5007</t>
  </si>
  <si>
    <t>00011302781669</t>
  </si>
  <si>
    <t>5008</t>
  </si>
  <si>
    <t>IMAGE SOLUTION-DIGITALIZACAO LTDA</t>
  </si>
  <si>
    <t>IMAGE SOLUTION-DIGIT</t>
  </si>
  <si>
    <t>03363688000162</t>
  </si>
  <si>
    <t>5009</t>
  </si>
  <si>
    <t>62.794.410 WAGNER RUIZ ROSA</t>
  </si>
  <si>
    <t>OFICINA ROSANGELA</t>
  </si>
  <si>
    <t>62794410000109</t>
  </si>
  <si>
    <t>5010</t>
  </si>
  <si>
    <t>PRIME BOUTIQUE PET COMERCIO DE ARTIGOS PARA ANIMAI</t>
  </si>
  <si>
    <t>PRIME BOUTIQUE PET C</t>
  </si>
  <si>
    <t>37350722000186</t>
  </si>
  <si>
    <t>5011</t>
  </si>
  <si>
    <t>00007519049965</t>
  </si>
  <si>
    <t>5012</t>
  </si>
  <si>
    <t>JJ FIT STORE VENDAS NA INTERNET LTDA</t>
  </si>
  <si>
    <t>JJ FIT STORE</t>
  </si>
  <si>
    <t>41488105000119</t>
  </si>
  <si>
    <t>5013</t>
  </si>
  <si>
    <t>ESTOK COMERCIO E REPRESENTACOES S.A.</t>
  </si>
  <si>
    <t>ESTOK COMERCIO E REP</t>
  </si>
  <si>
    <t>49732175011036</t>
  </si>
  <si>
    <t>5014</t>
  </si>
  <si>
    <t>00012850201707</t>
  </si>
  <si>
    <t>5015</t>
  </si>
  <si>
    <t>AMPFER DISTRIBUIDOR LTDA</t>
  </si>
  <si>
    <t>AMPFER DISTRIBUIDOR</t>
  </si>
  <si>
    <t>07321213000164</t>
  </si>
  <si>
    <t>5016</t>
  </si>
  <si>
    <t>00034540841807</t>
  </si>
  <si>
    <t>5017</t>
  </si>
  <si>
    <t>DISK-TEM COMERCIO E LOCACAO LTDA</t>
  </si>
  <si>
    <t>DISK-TEM COMERCIO E</t>
  </si>
  <si>
    <t>43824135000184</t>
  </si>
  <si>
    <t>5018</t>
  </si>
  <si>
    <t>MARISA BRITO WILLMERSDORF DECORACAO</t>
  </si>
  <si>
    <t>MARISA BRITO WILLMER</t>
  </si>
  <si>
    <t>31977966000107</t>
  </si>
  <si>
    <t>5019</t>
  </si>
  <si>
    <t>00001161438009</t>
  </si>
  <si>
    <t>5020</t>
  </si>
  <si>
    <t>00072196939153</t>
  </si>
  <si>
    <t>5021</t>
  </si>
  <si>
    <t>00001543710689</t>
  </si>
  <si>
    <t>5022</t>
  </si>
  <si>
    <t>00015131820804</t>
  </si>
  <si>
    <t>5023</t>
  </si>
  <si>
    <t>00005744364137</t>
  </si>
  <si>
    <t>5024</t>
  </si>
  <si>
    <t>00000155891103</t>
  </si>
  <si>
    <t>5025</t>
  </si>
  <si>
    <t>RAF AGUA COMERCIAL LTDA</t>
  </si>
  <si>
    <t>RAF AGUA COMERCIAL L</t>
  </si>
  <si>
    <t>00214797000120</t>
  </si>
  <si>
    <t>5026</t>
  </si>
  <si>
    <t>00013570672670</t>
  </si>
  <si>
    <t>5027</t>
  </si>
  <si>
    <t>00008272961776</t>
  </si>
  <si>
    <t>5028</t>
  </si>
  <si>
    <t>00003725049572</t>
  </si>
  <si>
    <t>5029</t>
  </si>
  <si>
    <t>00007369376680</t>
  </si>
  <si>
    <t>5030</t>
  </si>
  <si>
    <t>00027986012153</t>
  </si>
  <si>
    <t>5031</t>
  </si>
  <si>
    <t>39918027000101</t>
  </si>
  <si>
    <t>5032</t>
  </si>
  <si>
    <t>00011759985759</t>
  </si>
  <si>
    <t>5033</t>
  </si>
  <si>
    <t>00045788497833</t>
  </si>
  <si>
    <t>5034</t>
  </si>
  <si>
    <t>00035016480818</t>
  </si>
  <si>
    <t>5035</t>
  </si>
  <si>
    <t>00007125405983</t>
  </si>
  <si>
    <t>5036</t>
  </si>
  <si>
    <t>00011151573701</t>
  </si>
  <si>
    <t>5037</t>
  </si>
  <si>
    <t>00009881104408</t>
  </si>
  <si>
    <t>5038</t>
  </si>
  <si>
    <t>00000654307946</t>
  </si>
  <si>
    <t>5039</t>
  </si>
  <si>
    <t>00010473340623</t>
  </si>
  <si>
    <t>5040</t>
  </si>
  <si>
    <t>ITALO HENRIQUE MOURA SILVA 37636412896</t>
  </si>
  <si>
    <t>MASTERKV</t>
  </si>
  <si>
    <t>38192392000100</t>
  </si>
  <si>
    <t>5041</t>
  </si>
  <si>
    <t>02223966011239</t>
  </si>
  <si>
    <t>5042</t>
  </si>
  <si>
    <t>CELPAN INDUSTRIA E COMERCIO DE PLASTICOS LTDA</t>
  </si>
  <si>
    <t>CELPAN INDUSTRIA E C</t>
  </si>
  <si>
    <t>12926067000130</t>
  </si>
  <si>
    <t>5043</t>
  </si>
  <si>
    <t>53676987000125</t>
  </si>
  <si>
    <t>5044</t>
  </si>
  <si>
    <t>00034442705852</t>
  </si>
  <si>
    <t>5045</t>
  </si>
  <si>
    <t>00002078807516</t>
  </si>
  <si>
    <t>5046</t>
  </si>
  <si>
    <t>00003422647619</t>
  </si>
  <si>
    <t>5047</t>
  </si>
  <si>
    <t>PANIFICADORA PARQUE CONTINENTAL LTDA</t>
  </si>
  <si>
    <t>PARQUE CONTINENTAL</t>
  </si>
  <si>
    <t>43107648000255</t>
  </si>
  <si>
    <t>5048</t>
  </si>
  <si>
    <t>00026514592830</t>
  </si>
  <si>
    <t>5049</t>
  </si>
  <si>
    <t>00000297263102</t>
  </si>
  <si>
    <t>5050</t>
  </si>
  <si>
    <t>00016350914708</t>
  </si>
  <si>
    <t>5051</t>
  </si>
  <si>
    <t>00055006485272</t>
  </si>
  <si>
    <t>5052</t>
  </si>
  <si>
    <t>00004831592986</t>
  </si>
  <si>
    <t>5053</t>
  </si>
  <si>
    <t>00007483444541</t>
  </si>
  <si>
    <t>5054</t>
  </si>
  <si>
    <t>00008004123708</t>
  </si>
  <si>
    <t>5055</t>
  </si>
  <si>
    <t>00080282113720</t>
  </si>
  <si>
    <t>5056</t>
  </si>
  <si>
    <t>00001285166310</t>
  </si>
  <si>
    <t>5057</t>
  </si>
  <si>
    <t>00010775467421</t>
  </si>
  <si>
    <t>5058</t>
  </si>
  <si>
    <t>00013268683657</t>
  </si>
  <si>
    <t>5059</t>
  </si>
  <si>
    <t>00022891797876</t>
  </si>
  <si>
    <t>5060</t>
  </si>
  <si>
    <t>00040731670817</t>
  </si>
  <si>
    <t>5061</t>
  </si>
  <si>
    <t>00008757908443</t>
  </si>
  <si>
    <t>5062</t>
  </si>
  <si>
    <t>00097743135349</t>
  </si>
  <si>
    <t>5063</t>
  </si>
  <si>
    <t>00001277813906</t>
  </si>
  <si>
    <t>5064</t>
  </si>
  <si>
    <t>00012783459736</t>
  </si>
  <si>
    <t>5065</t>
  </si>
  <si>
    <t>PARANATEX TEXTIL</t>
  </si>
  <si>
    <t>75284224000171</t>
  </si>
  <si>
    <t>5066</t>
  </si>
  <si>
    <t>42040670000181</t>
  </si>
  <si>
    <t>5067</t>
  </si>
  <si>
    <t>00008093583440</t>
  </si>
  <si>
    <t>5068</t>
  </si>
  <si>
    <t>INDUSTRIA TEXTIL CORDTEC LTDA</t>
  </si>
  <si>
    <t>CORDTEC</t>
  </si>
  <si>
    <t>61012776000116</t>
  </si>
  <si>
    <t>5069</t>
  </si>
  <si>
    <t>61486650109606</t>
  </si>
  <si>
    <t>5070</t>
  </si>
  <si>
    <t>00008973494821</t>
  </si>
  <si>
    <t>5071</t>
  </si>
  <si>
    <t>00009148348600</t>
  </si>
  <si>
    <t>5072</t>
  </si>
  <si>
    <t>00000669436712</t>
  </si>
  <si>
    <t>5073</t>
  </si>
  <si>
    <t>00038603844810</t>
  </si>
  <si>
    <t>5074</t>
  </si>
  <si>
    <t>00010548209707</t>
  </si>
  <si>
    <t>5075</t>
  </si>
  <si>
    <t>00040929994884</t>
  </si>
  <si>
    <t>5076</t>
  </si>
  <si>
    <t>00029891661814</t>
  </si>
  <si>
    <t>5077</t>
  </si>
  <si>
    <t>00013210099847</t>
  </si>
  <si>
    <t>5078</t>
  </si>
  <si>
    <t>00011223745694</t>
  </si>
  <si>
    <t>5079</t>
  </si>
  <si>
    <t>00003702221808</t>
  </si>
  <si>
    <t>5080</t>
  </si>
  <si>
    <t>00039833208487</t>
  </si>
  <si>
    <t>5081</t>
  </si>
  <si>
    <t>00031673588824</t>
  </si>
  <si>
    <t>5082</t>
  </si>
  <si>
    <t>00043733611691</t>
  </si>
  <si>
    <t>5083</t>
  </si>
  <si>
    <t>00031457888840</t>
  </si>
  <si>
    <t>5084</t>
  </si>
  <si>
    <t>61486650059900</t>
  </si>
  <si>
    <t>5085</t>
  </si>
  <si>
    <t>00050272519634</t>
  </si>
  <si>
    <t>5086</t>
  </si>
  <si>
    <t>NEWMAK LTDA</t>
  </si>
  <si>
    <t>39972616000160</t>
  </si>
  <si>
    <t>5087</t>
  </si>
  <si>
    <t>35855241000105</t>
  </si>
  <si>
    <t>5088</t>
  </si>
  <si>
    <t>00014981108605</t>
  </si>
  <si>
    <t>5089</t>
  </si>
  <si>
    <t>00074609300320</t>
  </si>
  <si>
    <t>5090</t>
  </si>
  <si>
    <t>00006193885609</t>
  </si>
  <si>
    <t>5091</t>
  </si>
  <si>
    <t>00010012090441</t>
  </si>
  <si>
    <t>5092</t>
  </si>
  <si>
    <t>00098688740178</t>
  </si>
  <si>
    <t>5093</t>
  </si>
  <si>
    <t>00011312118717</t>
  </si>
  <si>
    <t>5094</t>
  </si>
  <si>
    <t>00002555243585</t>
  </si>
  <si>
    <t>5095</t>
  </si>
  <si>
    <t>00002633397182</t>
  </si>
  <si>
    <t>5096</t>
  </si>
  <si>
    <t>00007981472709</t>
  </si>
  <si>
    <t>5097</t>
  </si>
  <si>
    <t>75284224001224</t>
  </si>
  <si>
    <t>5098</t>
  </si>
  <si>
    <t>00015922076779</t>
  </si>
  <si>
    <t>5099</t>
  </si>
  <si>
    <t>00005666814710</t>
  </si>
  <si>
    <t>5100</t>
  </si>
  <si>
    <t>00004141747122</t>
  </si>
  <si>
    <t>5101</t>
  </si>
  <si>
    <t>00074292889015</t>
  </si>
  <si>
    <t>5102</t>
  </si>
  <si>
    <t>00025797650851</t>
  </si>
  <si>
    <t>5103</t>
  </si>
  <si>
    <t>00005577356458</t>
  </si>
  <si>
    <t>5104</t>
  </si>
  <si>
    <t>00014639685742</t>
  </si>
  <si>
    <t>5105</t>
  </si>
  <si>
    <t>01953998000101</t>
  </si>
  <si>
    <t>5106</t>
  </si>
  <si>
    <t>00039851835897</t>
  </si>
  <si>
    <t>5107</t>
  </si>
  <si>
    <t>59428720000103</t>
  </si>
  <si>
    <t>5108</t>
  </si>
  <si>
    <t>00022573313700</t>
  </si>
  <si>
    <t>5109</t>
  </si>
  <si>
    <t>00037786824820</t>
  </si>
  <si>
    <t>5110</t>
  </si>
  <si>
    <t>00033820881859</t>
  </si>
  <si>
    <t>5111</t>
  </si>
  <si>
    <t>00012387134591</t>
  </si>
  <si>
    <t>5112</t>
  </si>
  <si>
    <t>00007200584495</t>
  </si>
  <si>
    <t>5113</t>
  </si>
  <si>
    <t>00027989337819</t>
  </si>
  <si>
    <t>5114</t>
  </si>
  <si>
    <t>00089871090706</t>
  </si>
  <si>
    <t>5115</t>
  </si>
  <si>
    <t>00042390114857</t>
  </si>
  <si>
    <t>5116</t>
  </si>
  <si>
    <t>00001289754071</t>
  </si>
  <si>
    <t>5117</t>
  </si>
  <si>
    <t>00047582269896</t>
  </si>
  <si>
    <t>5118</t>
  </si>
  <si>
    <t>00007780335976</t>
  </si>
  <si>
    <t>5119</t>
  </si>
  <si>
    <t>00029939382820</t>
  </si>
  <si>
    <t>5120</t>
  </si>
  <si>
    <t>00028419464791</t>
  </si>
  <si>
    <t>5121</t>
  </si>
  <si>
    <t>00013370683814</t>
  </si>
  <si>
    <t>5122</t>
  </si>
  <si>
    <t>00338915000292</t>
  </si>
  <si>
    <t>5123</t>
  </si>
  <si>
    <t>00338915000616</t>
  </si>
  <si>
    <t>5124</t>
  </si>
  <si>
    <t>00027833620823</t>
  </si>
  <si>
    <t>5125</t>
  </si>
  <si>
    <t>00003359967950</t>
  </si>
  <si>
    <t>5126</t>
  </si>
  <si>
    <t>00003794592301</t>
  </si>
  <si>
    <t>5127</t>
  </si>
  <si>
    <t>00028447078825</t>
  </si>
  <si>
    <t>5128</t>
  </si>
  <si>
    <t>00076341070268</t>
  </si>
  <si>
    <t>5129</t>
  </si>
  <si>
    <t>00014160451713</t>
  </si>
  <si>
    <t>5130</t>
  </si>
  <si>
    <t>ELETRICARIO.COM.BR IMPORTADORA E COM DE MAQ E EQUI</t>
  </si>
  <si>
    <t>ELETRICARIO.COM.BR I</t>
  </si>
  <si>
    <t>14170489000154</t>
  </si>
  <si>
    <t>5131</t>
  </si>
  <si>
    <t>THORBAT BATERIAS E COMPONENTES LTDA</t>
  </si>
  <si>
    <t>THORBAT BATERIAS E C</t>
  </si>
  <si>
    <t>07846489000247</t>
  </si>
  <si>
    <t>5132</t>
  </si>
  <si>
    <t>03787288000184</t>
  </si>
  <si>
    <t>5133</t>
  </si>
  <si>
    <t>00039022924823</t>
  </si>
  <si>
    <t>5134</t>
  </si>
  <si>
    <t>00007120674420</t>
  </si>
  <si>
    <t>5135</t>
  </si>
  <si>
    <t>00002848665718</t>
  </si>
  <si>
    <t>5136</t>
  </si>
  <si>
    <t>00003699912655</t>
  </si>
  <si>
    <t>5137</t>
  </si>
  <si>
    <t>YARA ABUD PUTINI</t>
  </si>
  <si>
    <t>TESSIFIL</t>
  </si>
  <si>
    <t>05153032000140</t>
  </si>
  <si>
    <t>5138</t>
  </si>
  <si>
    <t>00046526952844</t>
  </si>
  <si>
    <t>5139</t>
  </si>
  <si>
    <t>00007436694448</t>
  </si>
  <si>
    <t>5140</t>
  </si>
  <si>
    <t>00001258738830</t>
  </si>
  <si>
    <t>5141</t>
  </si>
  <si>
    <t>00006799670443</t>
  </si>
  <si>
    <t>5142</t>
  </si>
  <si>
    <t>00000679078142</t>
  </si>
  <si>
    <t>5143</t>
  </si>
  <si>
    <t>00044638205020</t>
  </si>
  <si>
    <t>5144</t>
  </si>
  <si>
    <t>00009898553170</t>
  </si>
  <si>
    <t>5145</t>
  </si>
  <si>
    <t>00008433425790</t>
  </si>
  <si>
    <t>5146</t>
  </si>
  <si>
    <t>CLEYTON SERGIO PIMENTA ALMEIDA</t>
  </si>
  <si>
    <t>MARIDO DE ALUGUEL</t>
  </si>
  <si>
    <t>56069992000168</t>
  </si>
  <si>
    <t>5147</t>
  </si>
  <si>
    <t>00003780539900</t>
  </si>
  <si>
    <t>5148</t>
  </si>
  <si>
    <t>00012597801985</t>
  </si>
  <si>
    <t>5149</t>
  </si>
  <si>
    <t>00027103053804</t>
  </si>
  <si>
    <t>5150</t>
  </si>
  <si>
    <t>00012904068635</t>
  </si>
  <si>
    <t>5151</t>
  </si>
  <si>
    <t>ALF REPRESENTAÇÕES LTDA</t>
  </si>
  <si>
    <t>ALF</t>
  </si>
  <si>
    <t>61469124000105</t>
  </si>
  <si>
    <t>5152</t>
  </si>
  <si>
    <t>ROBERTO OLIVEIRA TEIXEIRA</t>
  </si>
  <si>
    <t>ROBERTO TEIXEIRA</t>
  </si>
  <si>
    <t>19460406000185</t>
  </si>
  <si>
    <t>5153</t>
  </si>
  <si>
    <t>KALLEL VINICIUS LA SALES DA</t>
  </si>
  <si>
    <t>KALLEL VINICIUS LA S</t>
  </si>
  <si>
    <t>00043466614830</t>
  </si>
  <si>
    <t>5154</t>
  </si>
  <si>
    <t>NAJARA DANTAS SILVA</t>
  </si>
  <si>
    <t>00002368065563</t>
  </si>
  <si>
    <t>5155</t>
  </si>
  <si>
    <t>SIMONE EZAKI YAMASHITA</t>
  </si>
  <si>
    <t>SIMONE</t>
  </si>
  <si>
    <t>27615273000105</t>
  </si>
  <si>
    <t>5156</t>
  </si>
  <si>
    <t>ELI FRANCISCO DE LIMA</t>
  </si>
  <si>
    <t>ELI FRANCISCO DE LIM</t>
  </si>
  <si>
    <t>00034650043883</t>
  </si>
  <si>
    <t>5157</t>
  </si>
  <si>
    <t>00013597276636</t>
  </si>
  <si>
    <t>5158</t>
  </si>
  <si>
    <t>00001146325703</t>
  </si>
  <si>
    <t>5159</t>
  </si>
  <si>
    <t>00070875715753</t>
  </si>
  <si>
    <t>5160</t>
  </si>
  <si>
    <t>00008078418469</t>
  </si>
  <si>
    <t>5161</t>
  </si>
  <si>
    <t>00008900279866</t>
  </si>
  <si>
    <t>5162</t>
  </si>
  <si>
    <t>00024711136649</t>
  </si>
  <si>
    <t>5163</t>
  </si>
  <si>
    <t>00027747612800</t>
  </si>
  <si>
    <t>5164</t>
  </si>
  <si>
    <t>00033642142800</t>
  </si>
  <si>
    <t>5165</t>
  </si>
  <si>
    <t>00005549574772</t>
  </si>
  <si>
    <t>5166</t>
  </si>
  <si>
    <t>00008025024660</t>
  </si>
  <si>
    <t>5167</t>
  </si>
  <si>
    <t>31586217000159</t>
  </si>
  <si>
    <t>5168</t>
  </si>
  <si>
    <t>SAMIRA RUSSO BOU ANNI</t>
  </si>
  <si>
    <t>COLOMBO COMERCIO DE</t>
  </si>
  <si>
    <t>21127888000106</t>
  </si>
  <si>
    <t>5169</t>
  </si>
  <si>
    <t>00099359243868</t>
  </si>
  <si>
    <t>5170</t>
  </si>
  <si>
    <t>00009019814605</t>
  </si>
  <si>
    <t>5171</t>
  </si>
  <si>
    <t>SLED COMERCIO DE MATERISIS ELETRICOS LTDA</t>
  </si>
  <si>
    <t>SLED COMERCIO</t>
  </si>
  <si>
    <t>33779899000141</t>
  </si>
  <si>
    <t>5172</t>
  </si>
  <si>
    <t>00040949739820</t>
  </si>
  <si>
    <t>5173</t>
  </si>
  <si>
    <t>00078224128504</t>
  </si>
  <si>
    <t>5174</t>
  </si>
  <si>
    <t>00043234169896</t>
  </si>
  <si>
    <t>5175</t>
  </si>
  <si>
    <t>00033953791591</t>
  </si>
  <si>
    <t>5176</t>
  </si>
  <si>
    <t>60.760.437 LENI CARVALHO DA SILVA</t>
  </si>
  <si>
    <t>OFICINA LENI CARV</t>
  </si>
  <si>
    <t>60760437000155</t>
  </si>
  <si>
    <t>5177</t>
  </si>
  <si>
    <t>00006239789542</t>
  </si>
  <si>
    <t>5178</t>
  </si>
  <si>
    <t>00012327623693</t>
  </si>
  <si>
    <t>5179</t>
  </si>
  <si>
    <t>00019150797808</t>
  </si>
  <si>
    <t>5180</t>
  </si>
  <si>
    <t>00000924913320</t>
  </si>
  <si>
    <t>5181</t>
  </si>
  <si>
    <t>PCO COMERCIO E PRESENTES LTDA</t>
  </si>
  <si>
    <t>PCO STORE</t>
  </si>
  <si>
    <t>27525964000100</t>
  </si>
  <si>
    <t>5182</t>
  </si>
  <si>
    <t>00027360649846</t>
  </si>
  <si>
    <t>5183</t>
  </si>
  <si>
    <t>00011913542700</t>
  </si>
  <si>
    <t>5184</t>
  </si>
  <si>
    <t>00004817440104</t>
  </si>
  <si>
    <t>5185</t>
  </si>
  <si>
    <t>00042784460800</t>
  </si>
  <si>
    <t>5186</t>
  </si>
  <si>
    <t>00007291544831</t>
  </si>
  <si>
    <t>5187</t>
  </si>
  <si>
    <t>00007976287974</t>
  </si>
  <si>
    <t>5188</t>
  </si>
  <si>
    <t>00000420001905</t>
  </si>
  <si>
    <t>5189</t>
  </si>
  <si>
    <t>61486650086983</t>
  </si>
  <si>
    <t>5190</t>
  </si>
  <si>
    <t>61486650120677</t>
  </si>
  <si>
    <t>5191</t>
  </si>
  <si>
    <t>JOSE RODRIGUES DA SILVA</t>
  </si>
  <si>
    <t>JOSE RODRIGUES</t>
  </si>
  <si>
    <t>27959078000194</t>
  </si>
  <si>
    <t>5192</t>
  </si>
  <si>
    <t>00022404592807</t>
  </si>
  <si>
    <t>5193</t>
  </si>
  <si>
    <t>00001205063005</t>
  </si>
  <si>
    <t>5194</t>
  </si>
  <si>
    <t>00001237537169</t>
  </si>
  <si>
    <t>5195</t>
  </si>
  <si>
    <t>00003426954362</t>
  </si>
  <si>
    <t>5196</t>
  </si>
  <si>
    <t>00027929523349</t>
  </si>
  <si>
    <t>5197</t>
  </si>
  <si>
    <t>NZB COMERCIO DE EMBALAGENS LTDA</t>
  </si>
  <si>
    <t>NZB COMERCIO DE EMBA</t>
  </si>
  <si>
    <t>37789234000170</t>
  </si>
  <si>
    <t>5198</t>
  </si>
  <si>
    <t>20547716000110</t>
  </si>
  <si>
    <t>5199</t>
  </si>
  <si>
    <t>00044270017856</t>
  </si>
  <si>
    <t>5200</t>
  </si>
  <si>
    <t>00016328931778</t>
  </si>
  <si>
    <t>5201</t>
  </si>
  <si>
    <t>00010470143860</t>
  </si>
  <si>
    <t>5202</t>
  </si>
  <si>
    <t>00043620311897</t>
  </si>
  <si>
    <t>5203</t>
  </si>
  <si>
    <t>00006685057700</t>
  </si>
  <si>
    <t>5204</t>
  </si>
  <si>
    <t>00022627871153</t>
  </si>
  <si>
    <t>5205</t>
  </si>
  <si>
    <t>NIKKEYPAR COMERCIAL LTDA</t>
  </si>
  <si>
    <t>NIKKEYPAR COMERCIAL</t>
  </si>
  <si>
    <t>01488575000168</t>
  </si>
  <si>
    <t>5206</t>
  </si>
  <si>
    <t>00000008776970</t>
  </si>
  <si>
    <t>5207</t>
  </si>
  <si>
    <t>00044099039854</t>
  </si>
  <si>
    <t>5208</t>
  </si>
  <si>
    <t>00006321678660</t>
  </si>
  <si>
    <t>5209</t>
  </si>
  <si>
    <t>01943121000482</t>
  </si>
  <si>
    <t>5210</t>
  </si>
  <si>
    <t>00014453760833</t>
  </si>
  <si>
    <t>5211</t>
  </si>
  <si>
    <t>00037229558824</t>
  </si>
  <si>
    <t>5212</t>
  </si>
  <si>
    <t>00008601387802</t>
  </si>
  <si>
    <t>5213</t>
  </si>
  <si>
    <t>00004541531984</t>
  </si>
  <si>
    <t>5214</t>
  </si>
  <si>
    <t>00079419364534</t>
  </si>
  <si>
    <t>5215</t>
  </si>
  <si>
    <t>00056549520568</t>
  </si>
  <si>
    <t>5216</t>
  </si>
  <si>
    <t>00024874571808</t>
  </si>
  <si>
    <t>5217</t>
  </si>
  <si>
    <t>00042537290100</t>
  </si>
  <si>
    <t>5218</t>
  </si>
  <si>
    <t>00000394141830</t>
  </si>
  <si>
    <t>5219</t>
  </si>
  <si>
    <t>CARLOS JOSE DA SILVA TAMBOR BOMBONAS</t>
  </si>
  <si>
    <t>TAMBOR BOMBONAS</t>
  </si>
  <si>
    <t>56198212000180</t>
  </si>
  <si>
    <t>5220</t>
  </si>
  <si>
    <t>00009703408427</t>
  </si>
  <si>
    <t>5221</t>
  </si>
  <si>
    <t>00019169941726</t>
  </si>
  <si>
    <t>5222</t>
  </si>
  <si>
    <t>00014344940717</t>
  </si>
  <si>
    <t>5223</t>
  </si>
  <si>
    <t>00016581310883</t>
  </si>
  <si>
    <t>5224</t>
  </si>
  <si>
    <t>00034249878830</t>
  </si>
  <si>
    <t>5225</t>
  </si>
  <si>
    <t>ARMAZEM COMIDA DA FAZENDA LTDA</t>
  </si>
  <si>
    <t>ARMAZEM COMIDA</t>
  </si>
  <si>
    <t>60510926000159</t>
  </si>
  <si>
    <t>5226</t>
  </si>
  <si>
    <t>00038466874801</t>
  </si>
  <si>
    <t>5227</t>
  </si>
  <si>
    <t>00003059310327</t>
  </si>
  <si>
    <t>5228</t>
  </si>
  <si>
    <t>00044169365836</t>
  </si>
  <si>
    <t>5229</t>
  </si>
  <si>
    <t>00015098281920</t>
  </si>
  <si>
    <t>5230</t>
  </si>
  <si>
    <t>00008328693844</t>
  </si>
  <si>
    <t>5231</t>
  </si>
  <si>
    <t>50915961000102</t>
  </si>
  <si>
    <t>5232</t>
  </si>
  <si>
    <t>00004935273461</t>
  </si>
  <si>
    <t>5233</t>
  </si>
  <si>
    <t>00011240956916</t>
  </si>
  <si>
    <t>5234</t>
  </si>
  <si>
    <t>NOVA MUNDIAL SOM LTDA</t>
  </si>
  <si>
    <t>MUNDIAL SOM</t>
  </si>
  <si>
    <t>52995418000180</t>
  </si>
  <si>
    <t>5235</t>
  </si>
  <si>
    <t>JC TRUCKS COMERCIO DE VEICULOS E UTILITARIOS LTDA</t>
  </si>
  <si>
    <t>JC TRUKCS</t>
  </si>
  <si>
    <t>14189345000140</t>
  </si>
  <si>
    <t>5236</t>
  </si>
  <si>
    <t>00013032668816</t>
  </si>
  <si>
    <t>5237</t>
  </si>
  <si>
    <t>00005482230686</t>
  </si>
  <si>
    <t>5238</t>
  </si>
  <si>
    <t>00007124567670</t>
  </si>
  <si>
    <t>5239</t>
  </si>
  <si>
    <t>00086090753548</t>
  </si>
  <si>
    <t>5240</t>
  </si>
  <si>
    <t>00008931889488</t>
  </si>
  <si>
    <t>5241</t>
  </si>
  <si>
    <t>00073172022900</t>
  </si>
  <si>
    <t>5242</t>
  </si>
  <si>
    <t>IPLACAS SINALIZACAO LTDA</t>
  </si>
  <si>
    <t>IPLACAS SINALIZACAO</t>
  </si>
  <si>
    <t>31424454000113</t>
  </si>
  <si>
    <t>5243</t>
  </si>
  <si>
    <t>00041015323898</t>
  </si>
  <si>
    <t>5244</t>
  </si>
  <si>
    <t>00024657183800</t>
  </si>
  <si>
    <t>5245</t>
  </si>
  <si>
    <t>00030563180846</t>
  </si>
  <si>
    <t>5246</t>
  </si>
  <si>
    <t>00003060558809</t>
  </si>
  <si>
    <t>5247</t>
  </si>
  <si>
    <t>00025690441805</t>
  </si>
  <si>
    <t>5248</t>
  </si>
  <si>
    <t>00017439336739</t>
  </si>
  <si>
    <t>5249</t>
  </si>
  <si>
    <t>00085341916034</t>
  </si>
  <si>
    <t>5250</t>
  </si>
  <si>
    <t>00001629375128</t>
  </si>
  <si>
    <t>5251</t>
  </si>
  <si>
    <t>00007833839752</t>
  </si>
  <si>
    <t>5252</t>
  </si>
  <si>
    <t>TEND INFORMATICA E SERVICOS LTDA</t>
  </si>
  <si>
    <t>TENDINFO</t>
  </si>
  <si>
    <t>02291467000163</t>
  </si>
  <si>
    <t>5253</t>
  </si>
  <si>
    <t>MEGA THOR MATERIAIS CONTRA INCENDIO LTDA</t>
  </si>
  <si>
    <t>MEGA THOR MATERIAIS</t>
  </si>
  <si>
    <t>40863901000121</t>
  </si>
  <si>
    <t>5254</t>
  </si>
  <si>
    <t>INTELBRAS S/A INDUSTRIA DE TELECOMUNICACAO ELETRON</t>
  </si>
  <si>
    <t>INTELBRAS</t>
  </si>
  <si>
    <t>82901000001441</t>
  </si>
  <si>
    <t>5255</t>
  </si>
  <si>
    <t>00001776511999</t>
  </si>
  <si>
    <t>5256</t>
  </si>
  <si>
    <t>MARIA ROSA RIBEIRO DOS SANTOS</t>
  </si>
  <si>
    <t>MARIA ROSA RIBEIRO</t>
  </si>
  <si>
    <t>63688727000123</t>
  </si>
  <si>
    <t>5257</t>
  </si>
  <si>
    <t>TINOCO MARCAS E PATENTES LTDA</t>
  </si>
  <si>
    <t>TINOCO MARCAS E PAT.</t>
  </si>
  <si>
    <t>62058742000125</t>
  </si>
  <si>
    <t>5258</t>
  </si>
  <si>
    <t>19433240000370</t>
  </si>
  <si>
    <t>5259</t>
  </si>
  <si>
    <t>00042700525892</t>
  </si>
  <si>
    <t>5260</t>
  </si>
  <si>
    <t>00004220224033</t>
  </si>
  <si>
    <t>5261</t>
  </si>
  <si>
    <t>00083951652500</t>
  </si>
  <si>
    <t>5262</t>
  </si>
  <si>
    <t>00046591848894</t>
  </si>
  <si>
    <t>5263</t>
  </si>
  <si>
    <t>00011311125710</t>
  </si>
  <si>
    <t>5264</t>
  </si>
  <si>
    <t>00017269043779</t>
  </si>
  <si>
    <t>5265</t>
  </si>
  <si>
    <t>00002216217506</t>
  </si>
  <si>
    <t>5266</t>
  </si>
  <si>
    <t>00001724145126</t>
  </si>
  <si>
    <t>5267</t>
  </si>
  <si>
    <t>00002547668114</t>
  </si>
  <si>
    <t>5268</t>
  </si>
  <si>
    <t>00015383763775</t>
  </si>
  <si>
    <t>5269</t>
  </si>
  <si>
    <t>00008840618929</t>
  </si>
  <si>
    <t>5270</t>
  </si>
  <si>
    <t>00034240933862</t>
  </si>
  <si>
    <t>5271</t>
  </si>
  <si>
    <t>00006259003919</t>
  </si>
  <si>
    <t>5272</t>
  </si>
  <si>
    <t>00003972972032</t>
  </si>
  <si>
    <t>5273</t>
  </si>
  <si>
    <t>00008489741905</t>
  </si>
  <si>
    <t>5274</t>
  </si>
  <si>
    <t>ASSENTO IDEAL LTDA</t>
  </si>
  <si>
    <t>61140975000100</t>
  </si>
  <si>
    <t>5275</t>
  </si>
  <si>
    <t>00003617367461</t>
  </si>
  <si>
    <t>5276</t>
  </si>
  <si>
    <t>00042000050506</t>
  </si>
  <si>
    <t>5277</t>
  </si>
  <si>
    <t>00035472098890</t>
  </si>
  <si>
    <t>5278</t>
  </si>
  <si>
    <t>00007796783892</t>
  </si>
  <si>
    <t>5279</t>
  </si>
  <si>
    <t>40571459000160</t>
  </si>
  <si>
    <t>5280</t>
  </si>
  <si>
    <t>00009595253944</t>
  </si>
  <si>
    <t>5281</t>
  </si>
  <si>
    <t>00041846696895</t>
  </si>
  <si>
    <t>5282</t>
  </si>
  <si>
    <t>00001196265003</t>
  </si>
  <si>
    <t>5283</t>
  </si>
  <si>
    <t>39487227000149</t>
  </si>
  <si>
    <t>5284</t>
  </si>
  <si>
    <t>00011940688710</t>
  </si>
  <si>
    <t>5285</t>
  </si>
  <si>
    <t>00041593158874</t>
  </si>
  <si>
    <t>5286</t>
  </si>
  <si>
    <t>00001595096612</t>
  </si>
  <si>
    <t>5287</t>
  </si>
  <si>
    <t>CLAUDINEI GONCALVES</t>
  </si>
  <si>
    <t>00007448971816</t>
  </si>
  <si>
    <t>5288</t>
  </si>
  <si>
    <t>00000069976783</t>
  </si>
  <si>
    <t>5289</t>
  </si>
  <si>
    <t>R&amp;D LTDA</t>
  </si>
  <si>
    <t>36658306000187</t>
  </si>
  <si>
    <t>5290</t>
  </si>
  <si>
    <t>00009580893969</t>
  </si>
  <si>
    <t>5291</t>
  </si>
  <si>
    <t>Maria Uyara De Araujo Girao</t>
  </si>
  <si>
    <t>Maria Uyara De Arauj</t>
  </si>
  <si>
    <t>00093326513372</t>
  </si>
  <si>
    <t>5292</t>
  </si>
  <si>
    <t>CONDOMINIO HANGAR BUSINESS PARK</t>
  </si>
  <si>
    <t>CONDOMINIO HANGAR BU</t>
  </si>
  <si>
    <t>20212217000253</t>
  </si>
  <si>
    <t>5293</t>
  </si>
  <si>
    <t>Job Uilson Silva Do Carmo</t>
  </si>
  <si>
    <t>Job Uilson Silva Do</t>
  </si>
  <si>
    <t>00080511945515</t>
  </si>
  <si>
    <t>5294</t>
  </si>
  <si>
    <t>AMK COMERCIO E MANUT DE EQUIP E PROD DE INFORM E P</t>
  </si>
  <si>
    <t>AMK COMERCIO E MANUT</t>
  </si>
  <si>
    <t>50399510000151</t>
  </si>
  <si>
    <t>5295</t>
  </si>
  <si>
    <t>HOTEL PAULISTA</t>
  </si>
  <si>
    <t>54243666000108</t>
  </si>
  <si>
    <t>5296</t>
  </si>
  <si>
    <t>CONDOMINIO EDIFICIO CAPITOLIUM</t>
  </si>
  <si>
    <t>04459022000175</t>
  </si>
  <si>
    <t>5297</t>
  </si>
  <si>
    <t>TELMA DE PAULA ASSIS</t>
  </si>
  <si>
    <t>00009719476869</t>
  </si>
  <si>
    <t>5298</t>
  </si>
  <si>
    <t>MARLI WOLBER</t>
  </si>
  <si>
    <t>00013563910871</t>
  </si>
  <si>
    <t>5299</t>
  </si>
  <si>
    <t>Maria Luiza Lopes</t>
  </si>
  <si>
    <t>00016419465710</t>
  </si>
  <si>
    <t>5300</t>
  </si>
  <si>
    <t>Priscila Zandonadi</t>
  </si>
  <si>
    <t>00012419040732</t>
  </si>
  <si>
    <t>5301</t>
  </si>
  <si>
    <t>Valeria Temponi</t>
  </si>
  <si>
    <t>00089928148791</t>
  </si>
  <si>
    <t>5302</t>
  </si>
  <si>
    <t>JULIANA DEVÓS SYRIO MARTINEZ</t>
  </si>
  <si>
    <t>JULIANA DEVÓS SYRIO</t>
  </si>
  <si>
    <t>00000237002116</t>
  </si>
  <si>
    <t>5303</t>
  </si>
  <si>
    <t>WAGNER FERREIRA LIMA BARBOSA</t>
  </si>
  <si>
    <t>WAGNER FERREIRA LIMA</t>
  </si>
  <si>
    <t>00002587672783</t>
  </si>
  <si>
    <t>5304</t>
  </si>
  <si>
    <t>JOANA BATISTA SOCIEDADE INDIVIDUAL DE ADVOCACIA</t>
  </si>
  <si>
    <t>JOANA BATISTA SOCIED</t>
  </si>
  <si>
    <t>47768604000146</t>
  </si>
  <si>
    <t>5305</t>
  </si>
  <si>
    <t>Sayuri  Filipak</t>
  </si>
  <si>
    <t>00010494045728</t>
  </si>
  <si>
    <t>5306</t>
  </si>
  <si>
    <t>Camilla Diego</t>
  </si>
  <si>
    <t>00036736022843</t>
  </si>
  <si>
    <t>5307</t>
  </si>
  <si>
    <t>EUROSWAN EMPREENDIMENTOS PATRIMONIAIS LTDA.</t>
  </si>
  <si>
    <t>EUROSWAN EMPREENDIME</t>
  </si>
  <si>
    <t>08113180000120</t>
  </si>
  <si>
    <t>5308</t>
  </si>
  <si>
    <t>HEMERSONN ROGER OLIVEIRA DE FARIAS</t>
  </si>
  <si>
    <t>HEMERSONN ROGER OLIV</t>
  </si>
  <si>
    <t>00006094129490</t>
  </si>
  <si>
    <t>5309</t>
  </si>
  <si>
    <t>Kelly Petronilia Ronconi Domingos</t>
  </si>
  <si>
    <t>Kelly Petronilia Ron</t>
  </si>
  <si>
    <t>00011440616795</t>
  </si>
  <si>
    <t>5310</t>
  </si>
  <si>
    <t>Cleber Cavalheiro</t>
  </si>
  <si>
    <t>00002835301038</t>
  </si>
  <si>
    <t>5311</t>
  </si>
  <si>
    <t>Raphael Vieira</t>
  </si>
  <si>
    <t>00009586647730</t>
  </si>
  <si>
    <t>5312</t>
  </si>
  <si>
    <t>50399510000313</t>
  </si>
  <si>
    <t>5313</t>
  </si>
  <si>
    <t>RAFAELA GOBBO GANDARA</t>
  </si>
  <si>
    <t>RAFAELA GOBBO GANDAR</t>
  </si>
  <si>
    <t>00040793122880</t>
  </si>
  <si>
    <t>5314</t>
  </si>
  <si>
    <t>Gabriela lanna</t>
  </si>
  <si>
    <t>00035687831851</t>
  </si>
  <si>
    <t>5315</t>
  </si>
  <si>
    <t>Isabella Bastos</t>
  </si>
  <si>
    <t>00004606225521</t>
  </si>
  <si>
    <t>5316</t>
  </si>
  <si>
    <t>ALO CARIMBOS COMERCIAL LTDA</t>
  </si>
  <si>
    <t>ALDO CARIMBOS</t>
  </si>
  <si>
    <t>20198527000180</t>
  </si>
  <si>
    <t>5317</t>
  </si>
  <si>
    <t>Fernanda Vetorazzi</t>
  </si>
  <si>
    <t>00030837972817</t>
  </si>
  <si>
    <t>5318</t>
  </si>
  <si>
    <t>ZENI BEZERRA SANTOS</t>
  </si>
  <si>
    <t>00000138075522</t>
  </si>
  <si>
    <t>5319</t>
  </si>
  <si>
    <t>VILLA JAGUAR HOTEL E RESTAURANTE LTDA</t>
  </si>
  <si>
    <t>VILLA JAGUAR</t>
  </si>
  <si>
    <t>32433164000107</t>
  </si>
  <si>
    <t>5320</t>
  </si>
  <si>
    <t>BIANCA MENDONÇA</t>
  </si>
  <si>
    <t>00042183923822</t>
  </si>
  <si>
    <t>5321</t>
  </si>
  <si>
    <t>ALINHAMENTO E BALANCEAMENTO CARLAO LTDA</t>
  </si>
  <si>
    <t>ALINHAMENTO E BALANC</t>
  </si>
  <si>
    <t>10381359000100</t>
  </si>
  <si>
    <t>5322</t>
  </si>
  <si>
    <t>Marcio Aliberti</t>
  </si>
  <si>
    <t>00001644710811</t>
  </si>
  <si>
    <t>5323</t>
  </si>
  <si>
    <t>DEZONNE REPRESENTACOES E SERVICOS LTDA</t>
  </si>
  <si>
    <t>DEZONNE REPRESENTAÇÕ</t>
  </si>
  <si>
    <t>13551607000101</t>
  </si>
  <si>
    <t>5324</t>
  </si>
  <si>
    <t>VIVIANE RIBEIRO</t>
  </si>
  <si>
    <t>00015322958800</t>
  </si>
  <si>
    <t>5325</t>
  </si>
  <si>
    <t>MONICA DOS SANTOS BATISTA</t>
  </si>
  <si>
    <t>MONICA DOS SANTOS BA</t>
  </si>
  <si>
    <t>00005287736665</t>
  </si>
  <si>
    <t>5326</t>
  </si>
  <si>
    <t>HANNAH CECCHETTO MARTIN</t>
  </si>
  <si>
    <t>HANNAH CECCHETTO MAR</t>
  </si>
  <si>
    <t>00040948162830</t>
  </si>
  <si>
    <t>5327</t>
  </si>
  <si>
    <t>F PAULA DOS SANTOS LTDA</t>
  </si>
  <si>
    <t>22770375000173</t>
  </si>
  <si>
    <t>5328</t>
  </si>
  <si>
    <t>RAQUEL MARTINS</t>
  </si>
  <si>
    <t>00036850821830</t>
  </si>
  <si>
    <t>5329</t>
  </si>
  <si>
    <t>ISABELLA MACHADO</t>
  </si>
  <si>
    <t>00012064456708</t>
  </si>
  <si>
    <t>5330</t>
  </si>
  <si>
    <t>HAMILTON MOURA</t>
  </si>
  <si>
    <t>00034672878830</t>
  </si>
  <si>
    <t>5331</t>
  </si>
  <si>
    <t>WARISSON SILVA BATISTA</t>
  </si>
  <si>
    <t>WARISSON SILVA BATIS</t>
  </si>
  <si>
    <t>00012731414669</t>
  </si>
  <si>
    <t>5332</t>
  </si>
  <si>
    <t>Laura Lopes</t>
  </si>
  <si>
    <t>00086288067091</t>
  </si>
  <si>
    <t>5333</t>
  </si>
  <si>
    <t>Gustavo Weiss</t>
  </si>
  <si>
    <t>00000145154076</t>
  </si>
  <si>
    <t>5334</t>
  </si>
  <si>
    <t>Idalina Soares Bueno</t>
  </si>
  <si>
    <t>00038397102868</t>
  </si>
  <si>
    <t>5335</t>
  </si>
  <si>
    <t>Mayara Joyce Nunes de Farias Azevedo</t>
  </si>
  <si>
    <t>Mayara Joyce Nunes d</t>
  </si>
  <si>
    <t>00011693557495</t>
  </si>
  <si>
    <t>5336</t>
  </si>
  <si>
    <t>Manuela de Castro Araujo da Silva</t>
  </si>
  <si>
    <t>Manuela de Castro Ar</t>
  </si>
  <si>
    <t>00019578863748</t>
  </si>
  <si>
    <t>5337</t>
  </si>
  <si>
    <t>COOLTIVE COMERCIO DE PLANTAS LTDA</t>
  </si>
  <si>
    <t>COOLTIVE</t>
  </si>
  <si>
    <t>50819825000100</t>
  </si>
  <si>
    <t>5338</t>
  </si>
  <si>
    <t>MAISON CARMELO INCORPORACOES SPE LTDA</t>
  </si>
  <si>
    <t>SAN REMO</t>
  </si>
  <si>
    <t>42361523000103</t>
  </si>
  <si>
    <t>5339</t>
  </si>
  <si>
    <t>KAROLINE LAZZARI</t>
  </si>
  <si>
    <t>00001223341089</t>
  </si>
  <si>
    <t>5340</t>
  </si>
  <si>
    <t>VIRGINIA BAAMONDE</t>
  </si>
  <si>
    <t>00003573629857</t>
  </si>
  <si>
    <t>5341</t>
  </si>
  <si>
    <t>MONICA BRUNI</t>
  </si>
  <si>
    <t>00021850484813</t>
  </si>
  <si>
    <t>5342</t>
  </si>
  <si>
    <t>DELLA DISTRIBUIDORA LTDA</t>
  </si>
  <si>
    <t>DELLA DISTRIBUIDORA</t>
  </si>
  <si>
    <t>03035107000163</t>
  </si>
  <si>
    <t>5343</t>
  </si>
  <si>
    <t>TECH SHOP.COM.BR COMERCIO E SERVICOS DE INFORMATIC</t>
  </si>
  <si>
    <t>TECH SHOP.COM.BR COM</t>
  </si>
  <si>
    <t>08351293000910</t>
  </si>
  <si>
    <t>5344</t>
  </si>
  <si>
    <t>JIRO COMERCIO E IMPORTACAO DE PRODUTOS DOMESTICOS</t>
  </si>
  <si>
    <t>JIRO COMERCIO E IMPO</t>
  </si>
  <si>
    <t>50146898000189</t>
  </si>
  <si>
    <t>5345</t>
  </si>
  <si>
    <t>PAULO BATISTA</t>
  </si>
  <si>
    <t>00038337903856</t>
  </si>
  <si>
    <t>5346</t>
  </si>
  <si>
    <t>KARINA MARINO</t>
  </si>
  <si>
    <t>00033087521825</t>
  </si>
  <si>
    <t>5347</t>
  </si>
  <si>
    <t>MARIA LICIA DE LIMA FARIAS</t>
  </si>
  <si>
    <t>MARIA LICIA DE LIMA</t>
  </si>
  <si>
    <t>00003654083102</t>
  </si>
  <si>
    <t>5348</t>
  </si>
  <si>
    <t>VERONICA RAUSCHER</t>
  </si>
  <si>
    <t>00039745154881</t>
  </si>
  <si>
    <t>5349</t>
  </si>
  <si>
    <t>Simone De Siqueira Souza Da Silva</t>
  </si>
  <si>
    <t>Simone De Siqueira S</t>
  </si>
  <si>
    <t>00006974156782</t>
  </si>
  <si>
    <t>5350</t>
  </si>
  <si>
    <t>TEREZINHA STODOLNI SALDANHA LTDA</t>
  </si>
  <si>
    <t>POUSADA MARILUZ</t>
  </si>
  <si>
    <t>02333939000101</t>
  </si>
  <si>
    <t>5351</t>
  </si>
  <si>
    <t>LU SOLAR DO NORTE LTDA</t>
  </si>
  <si>
    <t>LU SOLAR NORTE</t>
  </si>
  <si>
    <t>58191547000100</t>
  </si>
  <si>
    <t>5352</t>
  </si>
  <si>
    <t>MARTA CARDOSO</t>
  </si>
  <si>
    <t>00049871048653</t>
  </si>
  <si>
    <t>5353</t>
  </si>
  <si>
    <t>PLOTTER PAPEIS LTDA</t>
  </si>
  <si>
    <t>43114295000130</t>
  </si>
  <si>
    <t>5354</t>
  </si>
  <si>
    <t>ECO BLUE ACQUA PARK EVENTOS LTDA</t>
  </si>
  <si>
    <t>ECOBLUE RESORT AVARE</t>
  </si>
  <si>
    <t>63072824000197</t>
  </si>
  <si>
    <t>5355</t>
  </si>
  <si>
    <t>SANTUARIO NACIONAL DE NOSSA SENHORA DA CONCEICAO A</t>
  </si>
  <si>
    <t>RAINHA HOTEIS - CIDA</t>
  </si>
  <si>
    <t>02825033000287</t>
  </si>
  <si>
    <t>5356</t>
  </si>
  <si>
    <t>DEYVID WYLSON MARINS</t>
  </si>
  <si>
    <t>00009244199629</t>
  </si>
  <si>
    <t>5357</t>
  </si>
  <si>
    <t>Tatiane</t>
  </si>
  <si>
    <t>00002667437063</t>
  </si>
  <si>
    <t>5358</t>
  </si>
  <si>
    <t>Tatiana Alessandra Teixeira Xavier</t>
  </si>
  <si>
    <t>Tatiana Alessandra T</t>
  </si>
  <si>
    <t>00029197963801</t>
  </si>
  <si>
    <t>5359</t>
  </si>
  <si>
    <t>Helder Fernandes</t>
  </si>
  <si>
    <t>00008889636610</t>
  </si>
  <si>
    <t>5360</t>
  </si>
  <si>
    <t>THOMAZ BRAGANÇA RIZZO</t>
  </si>
  <si>
    <t>THOMAZ BRAGANÇA RIZZ</t>
  </si>
  <si>
    <t>00040678010846</t>
  </si>
  <si>
    <t>5361</t>
  </si>
  <si>
    <t>Rodrigo Barbosa</t>
  </si>
  <si>
    <t>00052928799753</t>
  </si>
  <si>
    <t>5362</t>
  </si>
  <si>
    <t>FERNANDA SILVESTRE DE CASTRO</t>
  </si>
  <si>
    <t>FERNANDA SILVESTRE D</t>
  </si>
  <si>
    <t>00032675628808</t>
  </si>
  <si>
    <t>5363</t>
  </si>
  <si>
    <t>Marcos Lima</t>
  </si>
  <si>
    <t>00076648982691</t>
  </si>
  <si>
    <t>5364</t>
  </si>
  <si>
    <t>Mary Barbuda Souto Coelho</t>
  </si>
  <si>
    <t>Mary Barbuda Souto C</t>
  </si>
  <si>
    <t>00021534780653</t>
  </si>
  <si>
    <t>5365</t>
  </si>
  <si>
    <t>Maria Cristina Pacheco</t>
  </si>
  <si>
    <t>Maria Cristina Pache</t>
  </si>
  <si>
    <t>00004281044795</t>
  </si>
  <si>
    <t>5366</t>
  </si>
  <si>
    <t>Vera Pereira Custodio</t>
  </si>
  <si>
    <t>Vera Pereira Custodi</t>
  </si>
  <si>
    <t>00001242488537</t>
  </si>
  <si>
    <t>5367</t>
  </si>
  <si>
    <t>Luciana De Melo Ferreira</t>
  </si>
  <si>
    <t>Luciana De Melo Ferr</t>
  </si>
  <si>
    <t>00001816252700</t>
  </si>
  <si>
    <t>5368</t>
  </si>
  <si>
    <t>A ! BODYTECH PARTICIPACOES S.A</t>
  </si>
  <si>
    <t>BODYTECH LEBLON</t>
  </si>
  <si>
    <t>07737623008256</t>
  </si>
  <si>
    <t>5369</t>
  </si>
  <si>
    <t>FOURSALES TECNOLOGIA &amp; SERVICOS</t>
  </si>
  <si>
    <t>FOURSALES TECNOLOGIA</t>
  </si>
  <si>
    <t>19192090000198</t>
  </si>
  <si>
    <t>5370</t>
  </si>
  <si>
    <t>PATRICIA PAES DE ALMEIDA GULLA</t>
  </si>
  <si>
    <t>PATRICIA PAES</t>
  </si>
  <si>
    <t>00026211168845</t>
  </si>
  <si>
    <t>5371</t>
  </si>
  <si>
    <t>Andressa Roig</t>
  </si>
  <si>
    <t>00033929304821</t>
  </si>
  <si>
    <t>5372</t>
  </si>
  <si>
    <t>SNOWBIRD MASTER FUNDO DE INVESTIMENTO IMOBILIARIO</t>
  </si>
  <si>
    <t>SNOWBIRD MASTER FUND</t>
  </si>
  <si>
    <t>32274197000143</t>
  </si>
  <si>
    <t>5373</t>
  </si>
  <si>
    <t>DANIELLE BUSCHHAUSEN</t>
  </si>
  <si>
    <t>DANI</t>
  </si>
  <si>
    <t>00000492649740</t>
  </si>
  <si>
    <t>5374</t>
  </si>
  <si>
    <t>MARIA FERNANDA CLARO GLORIGIANO</t>
  </si>
  <si>
    <t>MARIA FERNANDA CLARO</t>
  </si>
  <si>
    <t>00034971516883</t>
  </si>
  <si>
    <t>5375</t>
  </si>
  <si>
    <t>MARIA REGINA PADILHA</t>
  </si>
  <si>
    <t>SUZI</t>
  </si>
  <si>
    <t>00003618294859</t>
  </si>
  <si>
    <t>5376</t>
  </si>
  <si>
    <t>Claudia Gandra</t>
  </si>
  <si>
    <t>00014891455837</t>
  </si>
  <si>
    <t>5377</t>
  </si>
  <si>
    <t>MARCOS CARVALHOB GERIBELLO</t>
  </si>
  <si>
    <t>MARCOS CARVALHOB GER</t>
  </si>
  <si>
    <t>00003612856804</t>
  </si>
  <si>
    <t>5378</t>
  </si>
  <si>
    <t>ZIREH IMOVEIS E PARTICIPACOES LTDA</t>
  </si>
  <si>
    <t>ZIREH IMOVEIS</t>
  </si>
  <si>
    <t>47016041000130</t>
  </si>
  <si>
    <t>5379</t>
  </si>
  <si>
    <t>Patricia Da Silva Oliveira</t>
  </si>
  <si>
    <t>Patricia Da Silva Ol</t>
  </si>
  <si>
    <t>00033667262884</t>
  </si>
  <si>
    <t>5380</t>
  </si>
  <si>
    <t>jeniffer maira gomes</t>
  </si>
  <si>
    <t>00014037727625</t>
  </si>
  <si>
    <t>5381</t>
  </si>
  <si>
    <t>Vanessa de Aguiar Pereira Bertao</t>
  </si>
  <si>
    <t>Vanessa de Aguiar Pe</t>
  </si>
  <si>
    <t>00008662081789</t>
  </si>
  <si>
    <t>5382</t>
  </si>
  <si>
    <t>MARCO ANTONIO EXPEDITO DE OLIVEIRA</t>
  </si>
  <si>
    <t>MARCO ANTONIO EXPEDI</t>
  </si>
  <si>
    <t>00009863805637</t>
  </si>
  <si>
    <t>5383</t>
  </si>
  <si>
    <t>Samila Bandeira Salviano Ferreira Deleon</t>
  </si>
  <si>
    <t>Samila Bandeira Salv</t>
  </si>
  <si>
    <t>00005941055102</t>
  </si>
  <si>
    <t>5384</t>
  </si>
  <si>
    <t>LARISSA MASCARENHAS</t>
  </si>
  <si>
    <t>00078381380510</t>
  </si>
  <si>
    <t>5385</t>
  </si>
  <si>
    <t>Daniella De Jesus Zornitta</t>
  </si>
  <si>
    <t>Daniella De Jesus Zo</t>
  </si>
  <si>
    <t>00007277136985</t>
  </si>
  <si>
    <t>5386</t>
  </si>
  <si>
    <t>FLOW CITY SPE 1 CASAS LTDA</t>
  </si>
  <si>
    <t>FLOW CITY SPE 1 CASA</t>
  </si>
  <si>
    <t>54686315000244</t>
  </si>
  <si>
    <t>5387</t>
  </si>
  <si>
    <t>Wesley Alves Dos Santos</t>
  </si>
  <si>
    <t>Wesley Alves Dos San</t>
  </si>
  <si>
    <t>00036722423816</t>
  </si>
  <si>
    <t>5388</t>
  </si>
  <si>
    <t>CAMILLA MARTINS PEREIRA</t>
  </si>
  <si>
    <t>CAMILLA MARTINS PERE</t>
  </si>
  <si>
    <t>00047190984879</t>
  </si>
  <si>
    <t>5389</t>
  </si>
  <si>
    <t>ANA BEATRIZ CARRETERO</t>
  </si>
  <si>
    <t>ANA BEATRIZ CARRETER</t>
  </si>
  <si>
    <t>00036550877806</t>
  </si>
  <si>
    <t>5390</t>
  </si>
  <si>
    <t xml:space="preserve">PEROLA LIGEIRO SILVESTRE DE FARIA
</t>
  </si>
  <si>
    <t>PEROLA LIGEIRO SILVE</t>
  </si>
  <si>
    <t>00011204815704</t>
  </si>
  <si>
    <t>5391</t>
  </si>
  <si>
    <t>PACIFICO OPERACOES HOSPITALARES S.A</t>
  </si>
  <si>
    <t>40177506000942</t>
  </si>
  <si>
    <t>5392</t>
  </si>
  <si>
    <t>MICHELLE VIEIRA</t>
  </si>
  <si>
    <t>00038141533835</t>
  </si>
  <si>
    <t>5393</t>
  </si>
  <si>
    <t>Elicia Maria Verderio Fressatti Ortega</t>
  </si>
  <si>
    <t>Elicia Maria Verderi</t>
  </si>
  <si>
    <t>00005246517950</t>
  </si>
  <si>
    <t>5394</t>
  </si>
  <si>
    <t>COMBINATTO HOME CAMA, MESA E BANHO LTDA</t>
  </si>
  <si>
    <t>DIANNELI</t>
  </si>
  <si>
    <t>31783627000190</t>
  </si>
  <si>
    <t>5395</t>
  </si>
  <si>
    <t>DENISE VIEIRA DA ROCHA</t>
  </si>
  <si>
    <t>DENISE VIEIRA DA ROC</t>
  </si>
  <si>
    <t>00016900360874</t>
  </si>
  <si>
    <t>5396</t>
  </si>
  <si>
    <t>RIQUENA NETO AR CONDICIONADO LTDA</t>
  </si>
  <si>
    <t>RIQUENA NETO AR COND</t>
  </si>
  <si>
    <t>08382929002188</t>
  </si>
  <si>
    <t>5397</t>
  </si>
  <si>
    <t>CS QUALIDADE DE AGUA LTDA</t>
  </si>
  <si>
    <t>CS QUALIDADE DE AGUA</t>
  </si>
  <si>
    <t>54709887000110</t>
  </si>
  <si>
    <t>5398</t>
  </si>
  <si>
    <t>ANA FLAVIA MUNIZ</t>
  </si>
  <si>
    <t>00001415322112</t>
  </si>
  <si>
    <t>5399</t>
  </si>
  <si>
    <t>AM LAZARIN INFORMATICA</t>
  </si>
  <si>
    <t>AM LAZARIN INFORMATI</t>
  </si>
  <si>
    <t>08848512000203</t>
  </si>
  <si>
    <t>5400</t>
  </si>
  <si>
    <t>SUPERCOMM S.A</t>
  </si>
  <si>
    <t>39893680000236</t>
  </si>
  <si>
    <t>5401</t>
  </si>
  <si>
    <t>61.876.749 WAGNER DA SILVA PEREIRA</t>
  </si>
  <si>
    <t>61.876.749 WAGNER</t>
  </si>
  <si>
    <t>61876749000191</t>
  </si>
  <si>
    <t>5402</t>
  </si>
  <si>
    <t>ANDERSON GOMES DE CARVALHO</t>
  </si>
  <si>
    <t>ANDERSON GOMES DE CA</t>
  </si>
  <si>
    <t>00031582956871</t>
  </si>
  <si>
    <t>5403</t>
  </si>
  <si>
    <t>MARILENE DO NASCIMENTO SANTOS</t>
  </si>
  <si>
    <t>MARILENE DO NASCIMEN</t>
  </si>
  <si>
    <t>00042682926835</t>
  </si>
  <si>
    <t>5404</t>
  </si>
  <si>
    <t>KATELINE KETNE DALTOÉ</t>
  </si>
  <si>
    <t>KATELINE KETNE DALTO</t>
  </si>
  <si>
    <t>00012843293723</t>
  </si>
  <si>
    <t>5405</t>
  </si>
  <si>
    <t>Ieda Cristina De Melo Morais</t>
  </si>
  <si>
    <t>Ieda Cristina De Mel</t>
  </si>
  <si>
    <t>00034672575420</t>
  </si>
  <si>
    <t>5406</t>
  </si>
  <si>
    <t>DINALVA SANTOS FREITAS</t>
  </si>
  <si>
    <t>DINALVA SANTOS FREIT</t>
  </si>
  <si>
    <t>00055577913888</t>
  </si>
  <si>
    <t>5407</t>
  </si>
  <si>
    <t>INES PAULO FERREIRA</t>
  </si>
  <si>
    <t>00003618314558</t>
  </si>
  <si>
    <t>5408</t>
  </si>
  <si>
    <t>LUIZ EDUARDO BARBOSA DE SOUZA</t>
  </si>
  <si>
    <t>LUIZ EDUARDO BARBOSA</t>
  </si>
  <si>
    <t>00014598587601</t>
  </si>
  <si>
    <t>5409</t>
  </si>
  <si>
    <t>NOELI ROSA TRINDADE</t>
  </si>
  <si>
    <t>00031152658832</t>
  </si>
  <si>
    <t>5410</t>
  </si>
  <si>
    <t>ROBSON DOS SANTOS CLARISMUNI</t>
  </si>
  <si>
    <t>ROBSON DOS SANTOS CL</t>
  </si>
  <si>
    <t>00045198307882</t>
  </si>
  <si>
    <t>5411</t>
  </si>
  <si>
    <t>VALDIRENE MACEDO DE OLIVEIRA</t>
  </si>
  <si>
    <t>VALDIRENE MACEDO DE</t>
  </si>
  <si>
    <t>00049468077802</t>
  </si>
  <si>
    <t>5412</t>
  </si>
  <si>
    <t>VANESSA DINAH ROCHA</t>
  </si>
  <si>
    <t>00028342034828</t>
  </si>
  <si>
    <t>5413</t>
  </si>
  <si>
    <t>WAGNER RUIZ ROSA</t>
  </si>
  <si>
    <t>00029690868837</t>
  </si>
  <si>
    <t xml:space="preserve">Oficinas </t>
  </si>
  <si>
    <t>FAF</t>
  </si>
  <si>
    <t>LENÇOL DE CIMA 400F DUPLO FESTONÊ 2,60X2,40</t>
  </si>
  <si>
    <t>FRONHA 3 ABAS 400F DUPLO FESTONÊ COR CASTOR 0,50X0,70</t>
  </si>
  <si>
    <t xml:space="preserve">LENÇOL CIMA  400F. C/ LOGO 1,70 X 2,80 </t>
  </si>
  <si>
    <t xml:space="preserve">LENÇOL BAIXO BARRA ESTREITA 180F. 100%ALGO 1,60 X 2,30 </t>
  </si>
  <si>
    <t>FRONHA MODELO ENVELOPE 180F 100%ALG 50 X 70</t>
  </si>
  <si>
    <t>FRONHA MODELO ENVELOPE 180F 100%ALG  VERTICAL        50 X 70</t>
  </si>
  <si>
    <t>ROUPÃO PIQUET MOSAICO S/VIVO E C/ LOGO TAM. GG</t>
  </si>
  <si>
    <t>ROUPÃO PIQUET MOSAICO S/VIVO E C/ LOGO TAM. G</t>
  </si>
  <si>
    <t>ROUPÃO PIQUET MOSAICO S/VIVO E C/ LOGO TAM. M</t>
  </si>
  <si>
    <t>LENÇOL BAIXO BARRA ESTREITA 180F. 100%ALGO               1,80 X 2,80</t>
  </si>
  <si>
    <t>Valor da nf. 2593 - foi abatido no adiantamento de 13,025,00 faltando o restante de 4.032,10 descontar na proxima nota.</t>
  </si>
  <si>
    <t>LENÇOL BARRA ESTREITA 4LADOS C/ EMENDA 230F MISTO 3,06 X 3,17</t>
  </si>
  <si>
    <t>CAPA DUVET 230 MISTO CLASSIC MODELO ENVELOPE 2,96 X 2,55</t>
  </si>
  <si>
    <t>CAPA DUVET 230 MISTO CLASSIC MODELO ENVELOPE 2,00 X 2,55</t>
  </si>
  <si>
    <t>LENÇOL BARRA ESTREITA 4LADOS 230F MISTO 2,10 X 3,17</t>
  </si>
  <si>
    <t xml:space="preserve">LENÇOL CIMA 230F. MISTO 2,10 X 2,60 </t>
  </si>
  <si>
    <t>LENÇOL CIMA 230F. MISTO 3,06 X 2,60</t>
  </si>
  <si>
    <t>LENÇOL BARRA ESTREITA 4LADOS 230F. MISTO 1,10 X 1,60</t>
  </si>
  <si>
    <t>Valor da nf. 2599 - foi abatido o restante de R$ 4.032,10  REFERENTE A nf. 2593.</t>
  </si>
  <si>
    <t>CAPA DUVET 183F. MISTO MOD CLASSIC 2,76 X 2,47</t>
  </si>
  <si>
    <t>FRONHA 2 ABAS CLASSIC 183F. MISTO 50 X 70</t>
  </si>
  <si>
    <t>LENÇOL BARRA ESTREITA 4LADOS 183F MISTO 2,76 X 2,96</t>
  </si>
  <si>
    <t>LENÇOL BAIXO 230F C/ LATERAL C/ LINHA PRETA DE INDENT.3,15 X 3,15</t>
  </si>
  <si>
    <t>LENÇOL BARRA ESTREITA 4LADOS 180F MISTO C/ LOGO 1,75 X 2,70</t>
  </si>
  <si>
    <t>CAPA ROLINHO 200F 100%ALG 40 X 16</t>
  </si>
  <si>
    <t>CAPA DUVET 183F MISTO MODELO ENVELOPE CLASSIC 3,00X3,00</t>
  </si>
  <si>
    <t>CAPA DUVET 183F MISTO MODELO ENVELOPE CLASSIC 2,50X2,90</t>
  </si>
  <si>
    <t xml:space="preserve">LENÇOL CIMA 400 FIOS C/ LOGO E APLICAÇÃO DE BORDO 2,50 X 2,80 </t>
  </si>
  <si>
    <t>CAPA DUVET 230F. MISTO C/ LINHA DE INDENT. PRETA 2,85 X 2,55</t>
  </si>
  <si>
    <t>CAPA DUVET 230F. MISTO C/ LINHA DE INDENTIF.MARROM 2,65 X 2,55</t>
  </si>
  <si>
    <t>LENÇOL CIMA 230F. MISTO LINHA DE INDENTIF.COR PRETA  2,81 X 2,75</t>
  </si>
  <si>
    <t xml:space="preserve">LENÇOL CIMA 230F. MISTO LINHA DE INDENTIF.COR PRATA 2,00 X 2,75 </t>
  </si>
  <si>
    <t>LENÇOL BARRA ESTREITA 4LADOS  230F MISTO C/ LATERAL  3,15 X 3,15</t>
  </si>
  <si>
    <t>LENÇOL BARRA ESTREITA 4LADOS 230F MISTO   2,95 X 3,15</t>
  </si>
  <si>
    <t xml:space="preserve">LENÇOL CIMA 400F. 100%ALG. C/ BORDO 2,50 X 2,80 </t>
  </si>
  <si>
    <t>ENTREGA PARCIAL</t>
  </si>
  <si>
    <t>LENÇOL BARRA ESTREITA 4LADOS 200F. 100%ALG 1,30 X 2,50</t>
  </si>
  <si>
    <t xml:space="preserve">CAPA DUVET 270F. MISTO STRIPE CLASSIC C/ ENVELOPE 2,90 X 2,60 </t>
  </si>
  <si>
    <t>LENÇOL BARRA ESTREITA 4LADOS 230F. MISTO 3,00 X 3,00</t>
  </si>
  <si>
    <t>CAPA DUVET 200F. 100%ALG CLASSIC C/ ENVELOPE 2,90 X 2,45</t>
  </si>
  <si>
    <t xml:space="preserve">SUPER FRONHA 3 ABAS 230F. MISTO CLASSIC 50 X 90 </t>
  </si>
  <si>
    <t>LENÇOL BAIXO 400F S/ LOGO E S/ FESTONÊ 1,70X2,60</t>
  </si>
  <si>
    <t>LENÇOL BARRA ESTREITA 183F MISTO 1,80X2,80</t>
  </si>
  <si>
    <t xml:space="preserve">FRONHA 2ABAS ACAB. CLASSIC 30 X 40 </t>
  </si>
  <si>
    <t>ROUPÃO VELUX BRANCO  MODELO KIMONO</t>
  </si>
  <si>
    <t>LENÇOL BRANCO P/ MACA C/ LOGO 1,70 X 2,50</t>
  </si>
  <si>
    <t>LENÇOL BARRA ESTREITA 4 LADOS 200F 3,15X3,15</t>
  </si>
  <si>
    <t>LENÇOL BARRA ESTREITA 4 LADAS 200F 2,90X3,00</t>
  </si>
  <si>
    <t>LENÇOL BARRA ESTREITA 183F MISTO C/ EMENDA 3,00X3,00</t>
  </si>
  <si>
    <t>FRONHA 4 ABAS FESTONÊ E LOGO COR ALABASTRO 0,50X0,70</t>
  </si>
  <si>
    <t>COLCHA PIQUET MISTO PALLONCINO BRANCO 1,80X2,30</t>
  </si>
  <si>
    <t>ROUPÃO PIQUET FAVORINO C/ VIVO TAM GG</t>
  </si>
  <si>
    <t>ROUPÃO PIQUET FAVORINO C/ VIVO TAM G</t>
  </si>
  <si>
    <t>SAIA DE PIQUET SERRANO C/ MOLDE E TRANSPASSE COR BEGE 1,86X2,06X0,36</t>
  </si>
  <si>
    <t>SAIA DE PIQUET SERRANO C/ MOLDE E TRANSPASSE COR BEGE 1,49X1,95X0,36</t>
  </si>
  <si>
    <t>SAIA DE PIQUET SERRANO C/ MOLDE E TRANSPASSE COR BEGE 0,84X1,90X0,36</t>
  </si>
  <si>
    <t>ROUPÃO FELPA VELUX BRANCO TAM G</t>
  </si>
  <si>
    <t>ROUPÃO FELPA VELUX BRANCO TAM M</t>
  </si>
  <si>
    <t>ROUPÃO FELPA VELUX CINZA C/ GOLA XALE S/ CETIM C/ VIVO TAM GG</t>
  </si>
  <si>
    <t>TODAS AS PEÇAS VOLTOU PARA A OFICINA REFORÇAR A COSTURA</t>
  </si>
  <si>
    <t>ROUPÃO FELPA VELUX CINZA C/ GOLA XALE S/ CETIM C/ VIVO TAM G</t>
  </si>
  <si>
    <t>ROUPÃO FELPA VELUX BRANCO MODELO KIMONO TAM GG</t>
  </si>
  <si>
    <t>ROUPÃO FELPA VELUX BRANCO MODELO KIMONO TAM G</t>
  </si>
  <si>
    <t>ROUPÃO FELPA VELUX BRANCO MODELO KIMONO TAM M</t>
  </si>
  <si>
    <t>CINTOS DE ROUPÃO FELPA VELUX BRANCO</t>
  </si>
  <si>
    <t xml:space="preserve">SUPER FRONHA 2 ABAS 400F FESTONÊ BRANCO </t>
  </si>
  <si>
    <t>100 S. FRONHAS, FOI ENVIADA C/ BARRAS PRONTAS PARA OUTRA OFICINA FINALIZAR</t>
  </si>
  <si>
    <t>BARRINHA DAS S. FRONHAS</t>
  </si>
  <si>
    <t>ROUPÃO PIQUET FAVORINO C/ VIVO TAM EXG</t>
  </si>
  <si>
    <t>ROUPÃO PIQUET FAVORINO C/ VIVO TAM XG</t>
  </si>
  <si>
    <t>ROUPÃO PIQUET FAVORINO C/ VIVO TAM M</t>
  </si>
  <si>
    <t>ROUPÃO PIQUET FAVORINO C/ VIVO TAM P</t>
  </si>
  <si>
    <t>TODOS AS PEÇAS PRECISOU FAZER O REFORÇO NA COSTURA</t>
  </si>
  <si>
    <t>ROUPÃO PIQUET MOSAICO S/ VIVO E C/ LOGO TAM EXGG</t>
  </si>
  <si>
    <t>CAPA ALMOFADA  4 ABAS FESTONÊ OURO 0,30X0,40</t>
  </si>
  <si>
    <t>UMA PEÇA NÃO FOI FINALIZADA POR FALTAR UM ENVELOPE</t>
  </si>
  <si>
    <t>SUPER FRONHA 2 ABAS 400F FESTONÊ BRANCO 0,50X0,90</t>
  </si>
  <si>
    <t xml:space="preserve">SUPER FRONHA 3 ABAS 230F. MISTO CLASSIC 0,50X0,90 </t>
  </si>
  <si>
    <t>2 FRONHAS FUROU O FUNDO, VALOR DESCONTADO R$11,64</t>
  </si>
  <si>
    <t>LENÇOL BAIXO 400F S/ LOGO 1,70X2,60</t>
  </si>
  <si>
    <t>LENÇOL BARRA ESTREITA 4 LADOS 183F 2,50x2,90</t>
  </si>
  <si>
    <t>LENÇOL BARRA ESTREITA 4 LADOS 400F 2,30X2,80</t>
  </si>
  <si>
    <t>LENÇOL BAIXO C/ ELÁSTICO 180F MISTO 1,56X1,98X0,34</t>
  </si>
  <si>
    <t>LENÇOL DE CIMA 180F MISTO 2,60X2,40</t>
  </si>
  <si>
    <t>LENÇOL BAIXO C/ ELÁSTICO 180F MISTO C/ EMENDA 0,88X1,88X0,25</t>
  </si>
  <si>
    <t>LENÇOL DE CIMA 180F MISTO 1,70X2,40</t>
  </si>
  <si>
    <t>FRONHA MOD. ENVELOPE 180F MISTO 0,50X0,70</t>
  </si>
  <si>
    <t>SACOS DE PRODUÇÃO</t>
  </si>
  <si>
    <t>LENÇOL BRANCO P/ MACA C/ LOGO 400F 1,70 X 2,50</t>
  </si>
  <si>
    <t>ROUPÃO PIQUET QUADRAT BRANCO MISTO TAM M</t>
  </si>
  <si>
    <t>UM ROUPÃO A OFICINA RASGOU A FRENTE VALOR DO TECIDO DANIFICADO R$10,27</t>
  </si>
  <si>
    <t>ROUPÃO PIQUET MOSAICO S/ VIVO E C/ LOGO TAM EXG</t>
  </si>
  <si>
    <t xml:space="preserve">BORDADO: K6461 TOALHA BEACH CASTOR 0,86X1,60 </t>
  </si>
  <si>
    <t>BORDADO: K5278a MANTA ESTRELINHA 0,85X1,05</t>
  </si>
  <si>
    <t>ESTOQUE BABY</t>
  </si>
  <si>
    <t>BORDADO: K5280 MANTA JABUTI BEGE 0,85X1,05</t>
  </si>
  <si>
    <t>BORDADO: K4564 ROUPÃO PIQUET SERRANO TAM G</t>
  </si>
  <si>
    <t>BORDADO: K2038 LENÇOL BARRA ESTREITA 1,75X2,70</t>
  </si>
  <si>
    <t>BORDADO: K6767a CAPAS ALMOFADAS 4 ABAS INICIAIS A,B,C.. 30X40</t>
  </si>
  <si>
    <t>SHOW ROOM</t>
  </si>
  <si>
    <t>BORDADO: K3209 TOALHA DE MÃO FELPA CINZA 30X30 AMOSTRA</t>
  </si>
  <si>
    <t>BORDADO: K5313 TOALHA DE BARBEAR 0,45X0,80</t>
  </si>
  <si>
    <t>BORDADO: K4632 ROUPÃO FELPA CINZA GOLA XALE TAM GG</t>
  </si>
  <si>
    <t>BORDADO: K3209 TOALHA DE MÃO FELPA CINZA 30X30</t>
  </si>
  <si>
    <t>BORDADO: K4632 ROUPÃO FELPA CINZA GOLA XALE TAM G</t>
  </si>
  <si>
    <t>BORDADO: K2642E ''MR.''  ROUPÃO FELPA VELUX BRANCA GOLA XALE TAM GG</t>
  </si>
  <si>
    <t>BORDADO: K2642D ''MRS.'' ROUPÃO FELPA VELUX BRANCA GOLA XALE TAM G</t>
  </si>
  <si>
    <t>BORDADO: TIVOLI FRENTE FRONHA 0,50X0,70</t>
  </si>
  <si>
    <t>2 FRONHAS FUROU / TEVE REPOSIÇÃO</t>
  </si>
  <si>
    <t>BORDADO: TIVOLI VIRA LENÇOL 2,70X0,65</t>
  </si>
  <si>
    <t>BORDADO: CAPA DUVET 2,973X2,63</t>
  </si>
  <si>
    <t>BORDADO: K5495 LENÇOL DE CIMA 400F 2,50X2,80</t>
  </si>
  <si>
    <t xml:space="preserve">FOI ABATIDO 4 BORDADOS, QUE FOI DANIFICADO DAS FRONHAS </t>
  </si>
  <si>
    <t>BORDADO: K3670A FRONHA 4 ABAS 400F 0,50X0,70</t>
  </si>
  <si>
    <t>2 FURADAS, 2 C/ BORDADO GROSSO RUIM. DESCONTADO VALOR DO BORDADO e VALOR TECIDO DANIF R$3,44 4 PEÇAS</t>
  </si>
  <si>
    <t>BORDADO: K6769 ( L.M ) KIT FRALDA COR: ÁLAMO - 7260</t>
  </si>
  <si>
    <t>BORDADO: K6769 ( L.M ) KIT FRALDA COR BRANCO</t>
  </si>
  <si>
    <t xml:space="preserve">BORDADO: K6768 ( L.M )TOALHA BABY COR: BRANCO </t>
  </si>
  <si>
    <t xml:space="preserve">BORDADO: K6768 ( L.M )TOALHA BABY COR: ÁLAMO </t>
  </si>
  <si>
    <t>BORDADO: K2395K ROUPÃO SOHO KIMONO CARAMELO TAM G</t>
  </si>
  <si>
    <t>BORDADO: K2395K ROUPÃO SOHO KIMONO CARAMELO TAM GG</t>
  </si>
  <si>
    <t>12 PEÇAS FORAM BORDADAS ERRADA</t>
  </si>
  <si>
    <t>REPOSIÇÃO</t>
  </si>
  <si>
    <t>BORDADO: LENÇOL DE CIMA BABY STAR COR: BEGE 7189</t>
  </si>
  <si>
    <t>BORDADO: LENÇOL DE CIMA BABY STAR COR: ROSA MÍSTICO 7161</t>
  </si>
  <si>
    <t>BORDADO: FRONHA BABY STAR FRENTE E FUNDO COR: BEGE 7189</t>
  </si>
  <si>
    <t>BORDADO: FRONHA BABY STAR FRENTE E FUNDO COR: AZUL ÁGATA 7218</t>
  </si>
  <si>
    <t>BORDADO: FRONHA BABY STAR COR: ROSA MÍSTICO 7161</t>
  </si>
  <si>
    <t>BORDADO: LENÇOL DE CIMA BABY STAR COR: AZUL ÁGATA 7218</t>
  </si>
  <si>
    <t>BORDADO: TIVOLI VIRA LENÇOL 2,90X0,65</t>
  </si>
  <si>
    <t>BORDADO: TIVOLI CAPA DUVET 2,73X2,63</t>
  </si>
  <si>
    <t>UMA VIRA DANIFICADA/ NÃO VAI FAZER REPOSIÇÃO</t>
  </si>
  <si>
    <t>BORDADO: TIVOLI VIRA LENÇOL 2,07X0,65</t>
  </si>
  <si>
    <t>Oficina</t>
  </si>
  <si>
    <t>Planilha5!A1</t>
  </si>
  <si>
    <t>5414</t>
  </si>
  <si>
    <t>DANIELLE LEAL</t>
  </si>
  <si>
    <t>00000787708232</t>
  </si>
  <si>
    <t>5415</t>
  </si>
  <si>
    <t>PATRICIA LUNARDELLI</t>
  </si>
  <si>
    <t>00025407649837</t>
  </si>
  <si>
    <t>5416</t>
  </si>
  <si>
    <t>NICOLA GERMINO</t>
  </si>
  <si>
    <t>EMPORIO DAS BEBIDAS</t>
  </si>
  <si>
    <t>05535857000120</t>
  </si>
  <si>
    <t>5417</t>
  </si>
  <si>
    <t>INTELBRAS S.A. INDÚSTRIA DE TELECOMUNICAÇÃO ELETRO</t>
  </si>
  <si>
    <t>INTELBRAS S.A.</t>
  </si>
  <si>
    <t>82901000000127</t>
  </si>
  <si>
    <t>5418</t>
  </si>
  <si>
    <t>Maria de Fatima da Silva Santos</t>
  </si>
  <si>
    <t>Maria de Fatima da S</t>
  </si>
  <si>
    <t>00093857101504</t>
  </si>
  <si>
    <t>5419</t>
  </si>
  <si>
    <t>RONALDO DE SOUZA SILVA</t>
  </si>
  <si>
    <t>RONALDO DE SOUZA SIL</t>
  </si>
  <si>
    <t>61218369000160</t>
  </si>
  <si>
    <t>5420</t>
  </si>
  <si>
    <t>Camila Santos Reis</t>
  </si>
  <si>
    <t>00043336166896</t>
  </si>
  <si>
    <t>5421</t>
  </si>
  <si>
    <t>HOTEL B &amp; S LTDA</t>
  </si>
  <si>
    <t>19274862000130</t>
  </si>
  <si>
    <t>5422</t>
  </si>
  <si>
    <t>Monica Barboza Serra</t>
  </si>
  <si>
    <t>00031589703847</t>
  </si>
  <si>
    <t>5423</t>
  </si>
  <si>
    <t>Claudia Regina De Oliveira Cavalcante</t>
  </si>
  <si>
    <t>Claudia Regina De Ol</t>
  </si>
  <si>
    <t>00008308872107</t>
  </si>
  <si>
    <t>5424</t>
  </si>
  <si>
    <t>DAMARES DA SILVA DIAS MILHIM</t>
  </si>
  <si>
    <t>DAMARES DA SILVA DIA</t>
  </si>
  <si>
    <t>00036730451807</t>
  </si>
  <si>
    <t>5425</t>
  </si>
  <si>
    <t>BEATRIZ RAUSCHER</t>
  </si>
  <si>
    <t>00006499451827</t>
  </si>
  <si>
    <t>5426</t>
  </si>
  <si>
    <t>CRISTIANE FERNANDA MAIA FERNANDES</t>
  </si>
  <si>
    <t>CRISTIANE FERNANDA M</t>
  </si>
  <si>
    <t>00003732038378</t>
  </si>
  <si>
    <t>5427</t>
  </si>
  <si>
    <t>MARCIA ANDRADE</t>
  </si>
  <si>
    <t>00011903909813</t>
  </si>
  <si>
    <t>5428</t>
  </si>
  <si>
    <t>JULIA MANTOVANI</t>
  </si>
  <si>
    <t>00006819894910</t>
  </si>
  <si>
    <t>5429</t>
  </si>
  <si>
    <t>MONALISA PERES DA SILVA</t>
  </si>
  <si>
    <t>MONALISA PERES DA SI</t>
  </si>
  <si>
    <t>62745007000190</t>
  </si>
  <si>
    <t>5430</t>
  </si>
  <si>
    <t>WANDERSON OLIVEIRA MACHADO</t>
  </si>
  <si>
    <t>WANDERSON OLIVEIRA M</t>
  </si>
  <si>
    <t>00001387129210</t>
  </si>
  <si>
    <t>5431</t>
  </si>
  <si>
    <t>ECOPRINT TECIDOS COMERCIO VAREJISTA LTDA</t>
  </si>
  <si>
    <t>56072348000149</t>
  </si>
  <si>
    <t>5432</t>
  </si>
  <si>
    <t>MATHEUS SOUZA RIBEIRO</t>
  </si>
  <si>
    <t>MATHEUS SOUZA RIBEIR</t>
  </si>
  <si>
    <t>00041807607895</t>
  </si>
  <si>
    <t>5433</t>
  </si>
  <si>
    <t>ANDERSON PEREIRA TUMULO</t>
  </si>
  <si>
    <t>ANDERSON PEREIRA TUM</t>
  </si>
  <si>
    <t>00031880616840</t>
  </si>
  <si>
    <t>5434</t>
  </si>
  <si>
    <t>MARTA DA ROCHA</t>
  </si>
  <si>
    <t>00007322374673</t>
  </si>
  <si>
    <t>Alteração2</t>
  </si>
  <si>
    <t>Descrição Produto</t>
  </si>
  <si>
    <t>92115472176</t>
  </si>
  <si>
    <t>DUVET (CAPA) 230F MISTO C/ FESTONÊ "T" COR PERSA 07064 C/ LINHA DE IDENTIFICAÇÃO COR PRETA 2,85x2,55</t>
  </si>
  <si>
    <t>92115476413</t>
  </si>
  <si>
    <t>DUVET (CAPA) 230F MISTO C/ FESTONÊ "T" COR PERSA 07064 C/ LINHA DE IDENTIFICAÇÃO COR MARROM 2,65x2,55</t>
  </si>
  <si>
    <t>92101472178</t>
  </si>
  <si>
    <t>LENÇOL BAIXO 230F LATERAL +  BARRA ESTREITA  4 LADOS - IDENTIF.   LINHA  PRETA</t>
  </si>
  <si>
    <t>92101042462</t>
  </si>
  <si>
    <t>LENÇOL BARRA ESREITA 4 LADOS 230F MISTO - C/ LINHA DE IDENTIFICAÇÃO COR MARROM 2,95 X 3,15</t>
  </si>
  <si>
    <t>92102156032</t>
  </si>
  <si>
    <t>LENÇOL CIMA  230F - FESTONE  " T  " COR PRESA 07064 - IDENTIFICAÇÃO LINHA  PRETA -  2,81 X 2,75</t>
  </si>
  <si>
    <t>92101119171</t>
  </si>
  <si>
    <t>LENÇOL CIMA FESTONÊ EM T (LINHA MARROM) - 230F MISTO - 2,60 X 2,75</t>
  </si>
  <si>
    <t>92108276037</t>
  </si>
  <si>
    <t>SUPER FRONHA 2 ABAS 5cm - 230F MISTO FESTONÊ T - 0,50 X 0,90</t>
  </si>
  <si>
    <t>92104156036</t>
  </si>
  <si>
    <t>FRONHA 2 ABAS 5cm - 230F MISTO C/ FESTONÊ T - 0,50 X 0,70</t>
  </si>
  <si>
    <t>3161098601</t>
  </si>
  <si>
    <t>JOGO LENÇOL 400F  BABY acab/ BORDADO FENCE BRANCO</t>
  </si>
  <si>
    <t>3161098599</t>
  </si>
  <si>
    <t>JOGO LENÇOL 400F  BABY acab/ BORDADO FENCE CINZA</t>
  </si>
  <si>
    <t>3161098600</t>
  </si>
  <si>
    <t>JOGO LENÇOL 400F  BABY acab/ BORDADO FENCE BEGE</t>
  </si>
  <si>
    <t>3161092379</t>
  </si>
  <si>
    <t>KIT FRALDA 1 OMBRO / 2 BOCA ACAB VIÉS 3cm OFF WHITE C/ CANTOS ARREDONDADOS E VOLTA TODA</t>
  </si>
  <si>
    <t>3161092797</t>
  </si>
  <si>
    <t>3161092799</t>
  </si>
  <si>
    <t>3161092798</t>
  </si>
  <si>
    <t>FRALDÃO - COLEÇÃO ALICE - 0,65 X 1,00</t>
  </si>
  <si>
    <t>3161094474</t>
  </si>
  <si>
    <t>FRALDÃO - COLEÇÃO CAVALINHO - 0,65 X 1,00</t>
  </si>
  <si>
    <t>3161092440</t>
  </si>
  <si>
    <t>FRALDÃO - COLEÇÃO JABUTI - 0,65 X 1,00</t>
  </si>
  <si>
    <t>3161093832</t>
  </si>
  <si>
    <t>FRALDÃO - CORDONÊ AZUL - 0,65 X 1,00</t>
  </si>
  <si>
    <t>3161093745</t>
  </si>
  <si>
    <t>3161093650</t>
  </si>
  <si>
    <t>JOGO DE LENÇOL BERÇO - COLEÇÃO STAR AZUL ÁGATA 7218 - 0,70 X 1,30 X 0,15</t>
  </si>
  <si>
    <t>3161093649</t>
  </si>
  <si>
    <t>JOGO DE LENÇOL BERÇO - COLEÇÃO STAR ROSA MISTICO 07161 - 0,70 X 1,30 X 0,15</t>
  </si>
  <si>
    <t>3161095120</t>
  </si>
  <si>
    <t>JOGO LENÇOL BABY - 400F - BORDADO BRANCO</t>
  </si>
  <si>
    <t>3161094315</t>
  </si>
  <si>
    <t>JOGO LENÇOL BABY - 400F - BORDADO ROSA</t>
  </si>
  <si>
    <t>3161094239</t>
  </si>
  <si>
    <t>JOGO LENÇOL BABY - 400F -  ( LB+FR+LC ) - CORDONÊ BRANCO</t>
  </si>
  <si>
    <t>3161094473</t>
  </si>
  <si>
    <t>KIT FRALDA - 1 OMBRO + 2 BOCA - COLEÇÃO CAVALINHO</t>
  </si>
  <si>
    <t>2101024241</t>
  </si>
  <si>
    <t>LENÇOL DE BAIXO C/ ELÁSTICO - 400F MINI BERÇO - 0,60 X 0,70 X 0,05</t>
  </si>
  <si>
    <t>3161094240</t>
  </si>
  <si>
    <t>LENÇOL BAIXO COM ELÁSTICO BABY - 400F - 0,70 X 1,30 X 0,15</t>
  </si>
  <si>
    <t>2161225902</t>
  </si>
  <si>
    <t>PONCHO FELPA BRANCA ESTAMPADA ALICE - TAM G - 6 ANOS ( 0,62 X 0,69 )</t>
  </si>
  <si>
    <t>2161225901</t>
  </si>
  <si>
    <t>2161225900</t>
  </si>
  <si>
    <t>2161225899</t>
  </si>
  <si>
    <t>PONCHO FELPA BRANCA ESTAMPADA JABUTI - TAM G - 6 ANOS ( 0,62 X 0,69 )</t>
  </si>
  <si>
    <t>2161225898</t>
  </si>
  <si>
    <t>PONCHO FELPA BRANCA ESTAMPADA JABUTI - 4 ANOS ( 0,56 X 0,64 )</t>
  </si>
  <si>
    <t>2161225897</t>
  </si>
  <si>
    <t>PONCHO FELPA BRANCA ESTAMPADA JABUTI - 2 ANOS ( 0,50 X 0,55 )</t>
  </si>
  <si>
    <t>2161225329</t>
  </si>
  <si>
    <t>2161225328</t>
  </si>
  <si>
    <t>PONCHO FELPA BRANCA ESTAMPADA OURIÇO - 4 ANOS ( 0,56 X 0,64 )</t>
  </si>
  <si>
    <t>2161225327</t>
  </si>
  <si>
    <t>3105112442</t>
  </si>
  <si>
    <t>3161092704</t>
  </si>
  <si>
    <t>TOALHA DE BANHO C/ CAPUZ BABY - CORDONÊ AZUL</t>
  </si>
  <si>
    <t>3301072340</t>
  </si>
  <si>
    <t>ROUPÃO INFANTIL C/ CORDONÊ BRANCO</t>
  </si>
  <si>
    <t>3301072339</t>
  </si>
  <si>
    <t>3301072338</t>
  </si>
  <si>
    <t>3301075166</t>
  </si>
  <si>
    <t>ROUPÃO INFANTIL C/ CORDONÊ AZUL</t>
  </si>
  <si>
    <t>3301075165</t>
  </si>
  <si>
    <t>3301075164</t>
  </si>
  <si>
    <t>3301075192</t>
  </si>
  <si>
    <t>ROUPÃO INFANTIL C/ CORDONÊ VERDE</t>
  </si>
  <si>
    <t>3301075191</t>
  </si>
  <si>
    <t>3301075190</t>
  </si>
  <si>
    <t>3301072346</t>
  </si>
  <si>
    <t>ROUPÃO INFANTIL C/ CORDONÊ STONE</t>
  </si>
  <si>
    <t>3301072345</t>
  </si>
  <si>
    <t>3301072344</t>
  </si>
  <si>
    <t>3301072343</t>
  </si>
  <si>
    <t>ROUPÃO INFANTIL C/ CORDONÊ ROSE</t>
  </si>
  <si>
    <t>3301072342</t>
  </si>
  <si>
    <t>3301072341</t>
  </si>
  <si>
    <t>3161095170</t>
  </si>
  <si>
    <t>JOGO DE LENÇOL SOLTEIRO - 400F - CORDONÊ AZUL</t>
  </si>
  <si>
    <t>3161094282</t>
  </si>
  <si>
    <t>JOGO DE LENÇOL SOLTEIRO - 400F - CORDONÊ ROSE</t>
  </si>
  <si>
    <t>3161094249</t>
  </si>
  <si>
    <t>3161094293</t>
  </si>
  <si>
    <t>JOGO LENÇOL SOLTEIRO - 400F - BORDADO BRANCO</t>
  </si>
  <si>
    <t>3161094305</t>
  </si>
  <si>
    <t>JOGO LENÇOL SOLTEIRO - 400F - BORDADO AZUL</t>
  </si>
  <si>
    <t>3161094324</t>
  </si>
  <si>
    <t>JOGO LENÇOL SOLTEIRO - 400F - BORDADO ROSA</t>
  </si>
  <si>
    <t>3301075767</t>
  </si>
  <si>
    <t>JOGO DE LENÇOL SOLTEIRO 2 PEÇAS ( LB + FR ) COLEÇÃO OURIÇO</t>
  </si>
  <si>
    <t>3105012366</t>
  </si>
  <si>
    <t>JOGO DE LENÇOL SOLTEIRO 2 PEÇAS ( LB + FR ) COLEÇÃO JABUTI</t>
  </si>
  <si>
    <t>3105112441</t>
  </si>
  <si>
    <t>TOALHA CAPUZ KIDS  FELPA VELOUR  OFF WHITE  ACAB/ MALHA ESTAMPA JABUTI</t>
  </si>
  <si>
    <t>3105112801</t>
  </si>
  <si>
    <t>TOALHA BANHO BABY C/ CAPUZ FORRADO ESTAMPA - COLEÇÃO ALICE</t>
  </si>
  <si>
    <t>3161095110</t>
  </si>
  <si>
    <t>3161095111</t>
  </si>
  <si>
    <t>3161094256</t>
  </si>
  <si>
    <t>3161094273</t>
  </si>
  <si>
    <t>3161097859</t>
  </si>
  <si>
    <t>JOGO LENÇOL BABY - 400F - CORDONÊ BEGE</t>
  </si>
  <si>
    <t>3161095195</t>
  </si>
  <si>
    <t>3161094269</t>
  </si>
  <si>
    <t>3161097863</t>
  </si>
  <si>
    <t>JOGO LENÇOL SOLTEIRO - 400F - CORDONÊ BEGE</t>
  </si>
  <si>
    <t>3302386139</t>
  </si>
  <si>
    <t>TOALHA ROSTO 600G - BARCELO COM ESTAMPA MOSAICO</t>
  </si>
  <si>
    <t>3302126138</t>
  </si>
  <si>
    <t>TOALHA BANHÃO 600G - BARCELO COM ESTAMPA MOSAICO</t>
  </si>
  <si>
    <t>3302388597</t>
  </si>
  <si>
    <t>TOALHA ROSTO 600G - BARCELO COM ESTAMPA GARDEN</t>
  </si>
  <si>
    <t>3302128598</t>
  </si>
  <si>
    <t>TOALHA BANHÃO 600G - BARCELO COM ESTAMPA GARDEN</t>
  </si>
  <si>
    <t>1102689530</t>
  </si>
  <si>
    <t>TECIDO CETIM 400F 100% ALG - 3.00LARG.(IMPORTADO 80 X 80 - WEIQIAO</t>
  </si>
  <si>
    <t>3161091701</t>
  </si>
  <si>
    <t>3161092579</t>
  </si>
  <si>
    <t>3161099669</t>
  </si>
  <si>
    <t>JOGO LENÇOL SOLTEIRO - 400F - CORDONÊ VERMELHO C/ LOGO - 0,88 X 1,88 X 0,20</t>
  </si>
  <si>
    <t>3105118200</t>
  </si>
  <si>
    <t>2104124292</t>
  </si>
  <si>
    <t>3161091721</t>
  </si>
  <si>
    <t>3161092330</t>
  </si>
  <si>
    <t>2101064296</t>
  </si>
  <si>
    <t>3161094289</t>
  </si>
  <si>
    <t>3161091729</t>
  </si>
  <si>
    <t>3105012380</t>
  </si>
  <si>
    <t>3161094259</t>
  </si>
  <si>
    <t>3161095331</t>
  </si>
  <si>
    <t>KIT FRALDA - 1 OMBRO + 2 BOCA - CORDONÊ BRANCO C/ MONOGRAMA L.M NA COR DO CORDONÊ ( BCO )</t>
  </si>
  <si>
    <t>3161095330</t>
  </si>
  <si>
    <t>KIT FRALDA - 1 OMBRO + 2 BOCA - CORDONÊ VERDE C/ MONOGRAMA L.M.N A COR DO CORDONÊ ( VERDE )</t>
  </si>
  <si>
    <t>3161095172</t>
  </si>
  <si>
    <t>3161093790</t>
  </si>
  <si>
    <t>3105025187</t>
  </si>
  <si>
    <t>3105015333</t>
  </si>
  <si>
    <t>TOALHA DE BANHO BRANCA C/ CAPUZ BABY - CORDONÊ BRANCO C/ MONOGRAMA L.M NA COR DO CORDONÊ ( BCO ) - 0,70 X 0,90</t>
  </si>
  <si>
    <t>3105015332</t>
  </si>
  <si>
    <t>3161092586</t>
  </si>
  <si>
    <t>2101025248</t>
  </si>
  <si>
    <t>2101012973</t>
  </si>
  <si>
    <t>2101012439</t>
  </si>
  <si>
    <t>2101012433</t>
  </si>
  <si>
    <t>2101025118</t>
  </si>
  <si>
    <t>2101022974</t>
  </si>
  <si>
    <t>2101022500</t>
  </si>
  <si>
    <t>2101022498</t>
  </si>
  <si>
    <t>3161094501</t>
  </si>
  <si>
    <t>3161094502</t>
  </si>
  <si>
    <t>3161092128</t>
  </si>
  <si>
    <t>RECHEIO DE ALMOFADA</t>
  </si>
  <si>
    <t>2114072480</t>
  </si>
  <si>
    <t>3161099032</t>
  </si>
  <si>
    <t>CAPA DE ALMOFADA 4 ABAS 3cm - CLASSIC - 0,30 X 0,40</t>
  </si>
  <si>
    <t>2115038580</t>
  </si>
  <si>
    <t>DUVET ( CAPA ) - 400F 100% ALGODÃO - ACABAMENTO VALENCIA EM U - FECHAMENTO COM ZIPER - 2,90 X 2,45</t>
  </si>
  <si>
    <t>3105029446</t>
  </si>
  <si>
    <t>CAPA P/ BANHEIRA SEM VENTOSA E COM FECHAMENTO EM VELCRO FELPA VELUX - 0,20 X 0,33</t>
  </si>
  <si>
    <t>3302032156</t>
  </si>
  <si>
    <t>TOALHA DE BARBEAR PIQUET SOFIS - 0,45 X 0,80 - COM LOGO BORDADO</t>
  </si>
  <si>
    <t>2101069665</t>
  </si>
  <si>
    <t>2101069668</t>
  </si>
  <si>
    <t>PORTA TRAVESSEIRO TODDLER - DUPLA FACE - ( FRENTE: FLORAL AZUL | VERSO: FLORAL AMARELO ) ACAB. CORDONÊ 4/16 - C/ ZIPER</t>
  </si>
  <si>
    <t>2101069674</t>
  </si>
  <si>
    <t>ALMOFADA TODDLER - DUPLA FACE - (FRENTE: FLORAL AZUL | VERSO: FLORAL AMARELO ) - ACAB. BABADO DUPLO - C/ ZIPER + RECHEIO</t>
  </si>
  <si>
    <t>3302112336</t>
  </si>
  <si>
    <t>TOALHA SOHO BANHO CARAMELO - 0,80 X 1,60</t>
  </si>
  <si>
    <t>3302128462</t>
  </si>
  <si>
    <t>TOALHA SOHO ROSTO - FELPA CARAMELO - 0,48 X 0,90</t>
  </si>
  <si>
    <t>3301146517</t>
  </si>
  <si>
    <t>ROUPÃO SOHO CARAMELO TAM. GG - COM LOGO</t>
  </si>
  <si>
    <t>33011146819</t>
  </si>
  <si>
    <t>ROUPÃO SOHO CARAMELO TAM. G - COM LOGO</t>
  </si>
  <si>
    <t>2121011778</t>
  </si>
  <si>
    <t>COLCHA MATELASSADA QUADROS - 180F MISTO C/ COMPLEMENTO NA CABEÇEIRA - 2,50 X 2,45</t>
  </si>
  <si>
    <t>2121028632</t>
  </si>
  <si>
    <t>COLCHA MATELASSADA QUADROS - 180F MISTO C/ COMPLEMENTO NA CABEÇEIRA - 1,80 X 2,40</t>
  </si>
  <si>
    <t>90104011405</t>
  </si>
  <si>
    <t>S. FRONHA 2 ABAS 5cm - 270F MISTO STRIPE LARGE 1cm - CLASSIC ( HORIZONTAL ) - 0,50 X 0,90</t>
  </si>
  <si>
    <t>2112868354</t>
  </si>
  <si>
    <t>CAPA ROLINHO 200F 100% ALGODÃO - FESTONÊ BRANCO - 0,40 X 0,16</t>
  </si>
  <si>
    <t>210518559</t>
  </si>
  <si>
    <t>FRONHA 4 ABAS 5cm - 800F 100%ALG - DUPLO FESTONÊ BRANCO - 0,50 X 0,70</t>
  </si>
  <si>
    <t>2103065342</t>
  </si>
  <si>
    <t>FRONHA 4 ABAS 5cm - ACABAMENTO DUPLO FESTONÊ BRANCO - 400F 100% ALGODÃO - 0,50 X 0,70</t>
  </si>
  <si>
    <t>2111018059</t>
  </si>
  <si>
    <t>CAPA ALMOFADA 4 ABAS ACABAMENTO FESTONÊ OURO 7119 - 200F 100% ALGODÃO COM LOGO - 0,30 X 0,40</t>
  </si>
  <si>
    <t>2101020059</t>
  </si>
  <si>
    <t>LENÇOL BAIXO C/ ELÁSTICO 200F 100% ALGODÃO C/ LATERAL - 2,00 X 2,00 X 0,30</t>
  </si>
  <si>
    <t>2114077345</t>
  </si>
  <si>
    <t>RECHEIO ALMOFADA DE MANTA SILICONIZADA - 183F MISTO - 0,30 X 0,40</t>
  </si>
  <si>
    <t>2101107950</t>
  </si>
  <si>
    <t>LENÇOL BAIXO BARRA ESTREITA 4 LADOS - 400F 100%ALG - 2,70 X 2,90</t>
  </si>
  <si>
    <t>2102867644</t>
  </si>
  <si>
    <t>LENÇOL CIMA - 400F - CLASSIC - 2,70 X 2,45</t>
  </si>
  <si>
    <t>2104107588</t>
  </si>
  <si>
    <t>FRONHA 2 ABAS 5cm - 400F 100%ALG - CLASSIC - 0,50 X 0,70</t>
  </si>
  <si>
    <t>2101063344</t>
  </si>
  <si>
    <t>LENÇOL BAIXO C/ ELÁSTICO - 230F MISTO - 1,40 X 2,00 X 0,30</t>
  </si>
  <si>
    <t>2102023333</t>
  </si>
  <si>
    <t>LENÇOL CIMA - CLASSIC - 230F MISTO - 2,30 X 2,45</t>
  </si>
  <si>
    <t>2104030438</t>
  </si>
  <si>
    <t>2115068545</t>
  </si>
  <si>
    <t>DUVET ( CAPA ) 300F 100% ALG - DUPLO FESTONÊ AZUL JEANS 5016 - 2,90 X 2,60</t>
  </si>
  <si>
    <t>2102408544</t>
  </si>
  <si>
    <t>LENÇOL CIMA - 300F 100% ALG - DUPLO FESTONÊ AZUL JEANS 5016 - 2,90 X  2,60</t>
  </si>
  <si>
    <t>2105168546</t>
  </si>
  <si>
    <t>FRONHA 3 ABAS 5cm - 300F100% ALG - DUPLO FESTONÊ AZUL JEANS 5016 - 0,50 X 0,90</t>
  </si>
  <si>
    <t>92108303842</t>
  </si>
  <si>
    <t>SUPER FRONHA 2 ABAS 5cm - 400F 100% ALGODÃO - ACAB. FESTONÊ COR BRANCO - 0,50 X 0,90</t>
  </si>
  <si>
    <t>2110018059</t>
  </si>
  <si>
    <t>CAPA ALMOFADA 4 ABAS ACABAMENTO FESTONÊ OURO (7119) - 200F 100% ALOGDÃO C/ LOGO - 0,30 X 0,40</t>
  </si>
  <si>
    <t>2115036414</t>
  </si>
  <si>
    <t>CAPA DUVET - 300F STRIP MISTO 2cm VERTICAL - COM ENVELOPE CLASSIC - 2,30 X 2,50</t>
  </si>
  <si>
    <t>2115036415</t>
  </si>
  <si>
    <t>CAPA DUVET - 300F STRIPE MISTO 2cm VERTICAL - COM ENVELOPE CLASSIC - 2,90 X 2,60</t>
  </si>
  <si>
    <t>2111858585</t>
  </si>
  <si>
    <t>CAPA ALMOFADA 4 ABAS 5CM - 300F MSTO STRIPE LARG 2cm - HORIZONTAL - ACAB. FESTONÊ BRANCO - 0,60 X 0,85</t>
  </si>
  <si>
    <t>2102033211</t>
  </si>
  <si>
    <t>CAPA DUVET ( EDRED ) CLASSIC - 200F 100% ALGODÃO C/ ENVELOPE - 2,90 X 2,45</t>
  </si>
  <si>
    <t>2101063146</t>
  </si>
  <si>
    <t>LENÇOL BARRA ESTREITA 4 LADOS - 200F 100% ALGODÃO C/ LATERAL - 3,15 X 3,15</t>
  </si>
  <si>
    <t>2102856822</t>
  </si>
  <si>
    <t>LENÇOL BARRA ESTREITA - 200F 100% ALGODÃO - 2,90 X 3,00</t>
  </si>
  <si>
    <t>2104035087</t>
  </si>
  <si>
    <t>SUPER FRONHA 2 ABAS 5cm - CLASSIC - 200F 100% ALGODÃO - 0,50 X 0,90</t>
  </si>
  <si>
    <t>2104035086</t>
  </si>
  <si>
    <t>FRONHA 3 ABAS 5cm - CLASSIC - 200F 100%ALG - 0,50 X 0,70</t>
  </si>
  <si>
    <t>2203028919</t>
  </si>
  <si>
    <t>TRILHO MESA LINEM MACIO COR 01 REF 69403 - 44%ALG 28%VIS 28%LINHO - 0,50 X 1,50</t>
  </si>
  <si>
    <t>2101058046</t>
  </si>
  <si>
    <t>SUPER FRONHA - 2 ABAS 5cm - 250F MISTO - CLASSIC - 0,50 X 0,90</t>
  </si>
  <si>
    <t>2115019600</t>
  </si>
  <si>
    <t>DUVET ( CAPA ) - 250F MISTO - MODELO ENVELOPE - ACAB. CLASSIC - 2,90 X 2,45</t>
  </si>
  <si>
    <t>2101044086</t>
  </si>
  <si>
    <t>LENÇOL BARRA ESTREITA 4 LADOS - 250F MISTO S/ EMENDA - 2,90 X 2,90</t>
  </si>
  <si>
    <t>2102118569</t>
  </si>
  <si>
    <t>LENÇOL CIMA - 250F MISTO - CLASSIC - 2,90 X 2,45</t>
  </si>
  <si>
    <t>2101051870</t>
  </si>
  <si>
    <t>2101068570</t>
  </si>
  <si>
    <t>FRONHA 3 ABAS 5cm - 270F MISTO STRIPE ESTREITO - 0,5cm - CLASSIC - HORIZONTAL - 0,50 X 0,70</t>
  </si>
  <si>
    <t>2114078575</t>
  </si>
  <si>
    <t>RECHEIO ALMOFADA - 180F MISTO - FIBRA SILICONIZADA - 0,50 X 0,50</t>
  </si>
  <si>
    <t>3301098572</t>
  </si>
  <si>
    <t>3301098571</t>
  </si>
  <si>
    <t>2202018309</t>
  </si>
  <si>
    <t>TOALHA MESA REDONDA ( PRETA ) 100% POLIESTER - 3,00 DIAMETRO</t>
  </si>
  <si>
    <t>2202018310</t>
  </si>
  <si>
    <t>TOALHA MESA RETANGULAR PANAMÁ ( BRANCA ) - 2,30 X 3,40</t>
  </si>
  <si>
    <t>2202018311</t>
  </si>
  <si>
    <t>TOALHA MESA RETANGULAR PANAMÁ ( PRETA ) - 2,30 X 3,40</t>
  </si>
  <si>
    <t>2202017958</t>
  </si>
  <si>
    <t>TOALHA MESA QUADRADA PANAMÁ ( BRANCO ) 100% POLIESTER - 2,40 X 2,40</t>
  </si>
  <si>
    <t>2202017959</t>
  </si>
  <si>
    <t>TOALHA MESA QUADRADA PANAMÁ ( PRETO ) 100% POLIESTER - 2,40 X 2,40</t>
  </si>
  <si>
    <t>2103062485</t>
  </si>
  <si>
    <t>FRONHA 4 ABAS 5cm - COM ACABAMENTO FESTONÊ E LOGO BORDADO COR ALABASTRO 07077 - 0,50 X 0,70</t>
  </si>
  <si>
    <t>2101102488</t>
  </si>
  <si>
    <t>2121017007</t>
  </si>
  <si>
    <t>COLCHA PIQUET MISTO PALLONCINO BRANCO - 1,80 X 2,30</t>
  </si>
  <si>
    <t>2114070122</t>
  </si>
  <si>
    <t>RECHEIO ALMOFADA - 180F MISTO - 0,30 X 0,40</t>
  </si>
  <si>
    <t>2101102487</t>
  </si>
  <si>
    <t>LENÇOL BRANCO P/ MACA - 400F 100%ALG COM LOGO BORDADO COR ALABASTRO 07077 - 1,70 X 2,50</t>
  </si>
  <si>
    <t>2101107032</t>
  </si>
  <si>
    <t>LENÇOL DE CIMA - 400F ALG - COM FESTONÊ E LOGO BORDADO *S COR ALABASTRO 07077 - 2,50 X 2,80</t>
  </si>
  <si>
    <t>3301085795</t>
  </si>
  <si>
    <t>3301084129</t>
  </si>
  <si>
    <t>92115111609</t>
  </si>
  <si>
    <t>CAPA DUVET (EDRED) 400F 100% ALGODÃO - ACAB. CLASSIC - 2,90 X 2,45</t>
  </si>
  <si>
    <t>92101064032</t>
  </si>
  <si>
    <t>LENÇOL BAIXO C/ ELÁSTICO  - 40FF 100% ALGODÃO - 1,93 X 2,03 X 0,25</t>
  </si>
  <si>
    <t>92102388538</t>
  </si>
  <si>
    <t>LENÇOL CIMA - 400F 100% ALGODÃO - ACAB. FESTONÊ COR BRANCO - 2,90 X 2,45</t>
  </si>
  <si>
    <t>92105103272</t>
  </si>
  <si>
    <t>FRONHA 3 ABAS 5cm - 400F 100% ALGODÃO - FESTONÊ COR BRANCO - 0,50 X 0,70</t>
  </si>
  <si>
    <t>2120059696</t>
  </si>
  <si>
    <t>SAIA BRIM - 1,93 X 2,03 X 0,38 - COM MODURA E TRANSPASSE BRANCA</t>
  </si>
  <si>
    <t>2101112653</t>
  </si>
  <si>
    <t>LENÇOL BAIXO C/ ELÁSTICO - 180F MISTO PREMIUM - 1,56 X 1,98 X 0,34</t>
  </si>
  <si>
    <t>2101112654</t>
  </si>
  <si>
    <t>LENÇOL BAIXO C/ ELÁSTICO - 180F MISTO PREMIUM - 0,88 X 1,88 X 0,25</t>
  </si>
  <si>
    <t>2102161785</t>
  </si>
  <si>
    <t>LENÇOL CIMA - 180F MISTO PREMIUM - ACABAMENTO CLASSIC - 2,60 X 2,40</t>
  </si>
  <si>
    <t>2102502655</t>
  </si>
  <si>
    <t>LENÇOL CIMA - CLASSIC - 180F MISTO PREMIUM - 1,70 X 2,40</t>
  </si>
  <si>
    <t>2103850147</t>
  </si>
  <si>
    <t>FRONHA MOD. ENVELOPE - 180F MISTO PREMIUM - 0,50 X 0,70</t>
  </si>
  <si>
    <t>92101041103</t>
  </si>
  <si>
    <t>LENÇOL BARRA ESTREITA 4 LADOS - 230F MSITO - 2,80 X 3,00</t>
  </si>
  <si>
    <t>92108274001</t>
  </si>
  <si>
    <t>SUPER FRONHA 230F MISTO ACAB. DODICI PRETO E BEGE 1 LADO - 0,50 X 0,90</t>
  </si>
  <si>
    <t>92104104000</t>
  </si>
  <si>
    <t>FRONHA 230F MISTO ACAB. DODICI PRETO VOLTA TODA CRUZADA NOS CANTOS - 0,50 X 0,70</t>
  </si>
  <si>
    <t>92101854218</t>
  </si>
  <si>
    <t>LENÇOL DE CIMA - 230F MISTO - ACAB. DODICI PRETO E BEGE - 2,60 X 2,60</t>
  </si>
  <si>
    <t>92101030429</t>
  </si>
  <si>
    <t>LENÇOL BARRA ESTREITA 4 LADOS - 230F MISTO - 2,80 X 2,80</t>
  </si>
  <si>
    <t>92101035362</t>
  </si>
  <si>
    <t>LENÇOL BARRA ESTREITA 4 LADOS - 230F MISTO LISO - 3,00 X 3,00</t>
  </si>
  <si>
    <t>92101024471</t>
  </si>
  <si>
    <t>LENÇOL CIMA - 230F MISTO - ACAB. DODICI PRETO E BEGE - 2,80 X 2,50</t>
  </si>
  <si>
    <t>3101018694</t>
  </si>
  <si>
    <t>PESEIRA DUPLO ACABAMENTO CORDONE TECIDO 186093 BOHEMIAN COR AZUL - 0,60 X 2,70</t>
  </si>
  <si>
    <t>3101019302</t>
  </si>
  <si>
    <t>PESEIRA SIMPLES ACABAMENTO CORDONE TECIDO 186093 BOHEMIAN COR AZUL - 0,60 X 2,70</t>
  </si>
  <si>
    <t>2111268695</t>
  </si>
  <si>
    <t>CAPA ALMOFADA SEM ABA ACABAMENTO CORDONÊ - FECHAMENTO COM ZÍPER TECIDO 186093 BOHEMIAN COR AZUL - 0,30 X 0,40</t>
  </si>
  <si>
    <t>3401046170</t>
  </si>
  <si>
    <t>CAPA ENCOSTO DE ROSTO SOHO TAM. ÚNICO COR CARAMELO</t>
  </si>
  <si>
    <t>2103177961</t>
  </si>
  <si>
    <t>FRONHA P/ TRAVESSEIRO DE OLHOS - 400F 100% ALG BRANCA - TAM U.</t>
  </si>
  <si>
    <t>3301092628</t>
  </si>
  <si>
    <t>ROUPÃO PIQUET FAVORINO COM VIVO 100%ALG TAM EXG</t>
  </si>
  <si>
    <t>3301092598</t>
  </si>
  <si>
    <t>ROUPÃO PIQUET FAVORINO COM VIVO 100%ALG TAM XG</t>
  </si>
  <si>
    <t>3301095930</t>
  </si>
  <si>
    <t>ROUPÃO PIQUET FAVORINO COM VIVO 100%ALG TAM GG</t>
  </si>
  <si>
    <t>3301093025</t>
  </si>
  <si>
    <t>ROUPÃO PIQUET FAVORINO COM VIVO 100%ALG TAM G</t>
  </si>
  <si>
    <t>3301093026</t>
  </si>
  <si>
    <t>ROUPÃO PIQUET FAVORINO COM VIVO 100%ALG TAM M</t>
  </si>
  <si>
    <t>3301095929</t>
  </si>
  <si>
    <t>ROUPÃO PIQUET FAVORINO COM VIVO 100%ALG TAM P</t>
  </si>
  <si>
    <t>92101042492</t>
  </si>
  <si>
    <t>TC - LENÇOL BARRA ESTREITA 4 LADOS - 230F MISTO LISO - 1,80  X 2,90</t>
  </si>
  <si>
    <t>92102162494</t>
  </si>
  <si>
    <t>TC - LENÇOL CIMA - 230F MISTO - ACAB. CLASSIC - 1,70 X 2,45</t>
  </si>
  <si>
    <t>92104032519</t>
  </si>
  <si>
    <t>TC - FRONHA 2 ABAS 5cm -  230F MISTO - CLASSIC - 0,50 X 0,70</t>
  </si>
  <si>
    <t>2112585219</t>
  </si>
  <si>
    <t>CAPA ROLO FELPA CARAMELO - 0,60 X 0,16</t>
  </si>
  <si>
    <t>3404116158</t>
  </si>
  <si>
    <t>CAPA ROLINHO FELPA CARAMELO - 0,40 X 0,16</t>
  </si>
  <si>
    <t>92115859033</t>
  </si>
  <si>
    <t>DUVET (CAPA) 400F 100% ALGODÃO CLASSIC 2,85 X 2,45 LINHA IDENTIFICAÇÃO ROSA</t>
  </si>
  <si>
    <t>92115049028</t>
  </si>
  <si>
    <t>DUVET (CAPA) 400F 100% ALGODÃO CLASSIC 2,10 X 2,25 LINHA IDENTIFICAÇÃO AZUL CLARO</t>
  </si>
  <si>
    <t>92115029024</t>
  </si>
  <si>
    <t>DUVET (CAPA) 400F 100% ALGODÃO CLASSIC 1,80 X 2,25 LINHA IDENTIFICAÇÃO VERDE CLARO</t>
  </si>
  <si>
    <t>92101029029</t>
  </si>
  <si>
    <t>LENÇOL BARRA ESTREITA 400F 100% ALGODÃO 2,75 X 2,85 LINHA IDENTIFICAÇÃO ROSA</t>
  </si>
  <si>
    <t>92102189030</t>
  </si>
  <si>
    <t>LENÇOL CIMA 400F 100% ALGODÃO ACAB FESTONE BRANCO 2,75 X 2,45 LINHA DE IDENTIFICAÇÃO ROSA</t>
  </si>
  <si>
    <t>92101109025</t>
  </si>
  <si>
    <t>LENÇOL BARRA ESTREITA 400F 100% ALGODÃO 2,10 X 2,60 LINHA IDENTIFICAÇÃO AZUL CLARO</t>
  </si>
  <si>
    <t>92102109026</t>
  </si>
  <si>
    <t>LENÇOL CIMA 400F 100% ALGODÃO CLASSIC 2,10 X 2,20
 LINHA IDENTIFICAÇÃO AZUL ESCURO</t>
  </si>
  <si>
    <t>92101029021</t>
  </si>
  <si>
    <t>LENÇOL BARRA ESTREITA 400F 100% ALG 1,80 X 2,60 LINHA IDENTIFICAÇÃO VERDE CLARO</t>
  </si>
  <si>
    <t>92102109022</t>
  </si>
  <si>
    <t>LENÇOL CIMA 400F 100% ALGODÃO CLASSIC 1,80 X 2,20 LINHA IDENTIFICAÇÃO VERDE ESCURO</t>
  </si>
  <si>
    <t>92101029034</t>
  </si>
  <si>
    <t>LENÇOL BAIXO COM ELÁSTICO 0,70 X 1,30 X 0,10 400F 100% ALGODÃO</t>
  </si>
  <si>
    <t>92102029035</t>
  </si>
  <si>
    <t>LENÇOL CIMA 400F 100% ALGODÃO FESTONE TRIGO 7029 1,10 X 1,60</t>
  </si>
  <si>
    <t>92110349032</t>
  </si>
  <si>
    <t>SUPER FRONHA 3 ABAS 5CM 400F 100% ALGODÃO 
ACAB FESTONE BRANCO 0,50 X 0,90 LINHA 
IDENTIFICAÇÃO ROSA</t>
  </si>
  <si>
    <t>92110349027</t>
  </si>
  <si>
    <t>SUPER FRONHA 3 ABAS 5CM 400F 100% ALGODÃO 
CLASSIC 0,50 X 0,90 LINHA IDENTIFICAÇÃO AZUL CLARO</t>
  </si>
  <si>
    <t>92109349023</t>
  </si>
  <si>
    <t>SUPER FRONHA 3 ABAS 5CM 400F 100% ALGODÃO 
CLASSIC 0,50 X 0,90 LINHA IDENTIFICAÇÃO VERDE 
CLARO</t>
  </si>
  <si>
    <t>92107349031</t>
  </si>
  <si>
    <t>FRONHA 3 ABAS 5 CM 400F 100% ALGODÃO FESTONE BRANCO 0,50 X 0,70 LINHA IDENTIFICAÇÃO ROSA</t>
  </si>
  <si>
    <t>92103069294</t>
  </si>
  <si>
    <t>FRONHA BABY 4 ABAS 5CM 400FIOS 100%ALGODÃO - FESTONÊ TRIGO 70259 - 0,30 X 0,40</t>
  </si>
  <si>
    <t>92101048650</t>
  </si>
  <si>
    <t>LENÇOL CIMA ACABAMENTO CLASSIC 230F MISTO 1,30
X 2,50</t>
  </si>
  <si>
    <t>92101048652</t>
  </si>
  <si>
    <t>LENÇOL BARRA ESTREITA 4 LADOS 230F MISTO 1,30 X 2,50</t>
  </si>
  <si>
    <t>2114079037</t>
  </si>
  <si>
    <t>RECHEIO ROLINHO 100% FIBRA SILICONIZADA
IMPERMEAVEL 0,40 X 0,16</t>
  </si>
  <si>
    <t>3402068077</t>
  </si>
  <si>
    <t>TRAVESSEIRO DE OLHOS LINHAÇA 183F MISTO TAM.
UNICO</t>
  </si>
  <si>
    <t>3301144102</t>
  </si>
  <si>
    <t>3301144103</t>
  </si>
  <si>
    <t>3301146958</t>
  </si>
  <si>
    <t>ROUPÃO FELPA CARAMELO P - MODELO KIMONO</t>
  </si>
  <si>
    <t>3302028621</t>
  </si>
  <si>
    <t>TOALHA ROSTO VELUX BRANCA COM LOGO - 0,48 X 0,90</t>
  </si>
  <si>
    <t>3302068622</t>
  </si>
  <si>
    <t>TOALHA LAVABO VELUX BRANCA - COM LOGO - 0,30 X 0,50</t>
  </si>
  <si>
    <t>3302028290</t>
  </si>
  <si>
    <t>TOALHA SOHO CARAMELO - ROSTO - COM LOGO - 0,48 X 0,90</t>
  </si>
  <si>
    <t>3302068889</t>
  </si>
  <si>
    <t>TOALHA SOHO CARAMELO - LAVABO - LOGO BORDADO - 0,30 X 0,50</t>
  </si>
  <si>
    <t>2120038554</t>
  </si>
  <si>
    <t>SAIA DE PIQUET SERRANO COM MOLD E TRANSPASSE ( COR BEGE ) - 1,86 X 2,06 X 0,36</t>
  </si>
  <si>
    <t>2120038553</t>
  </si>
  <si>
    <t>SAIA DE PIQUET SERRANO COM MOLD E TRANPASSE ( COR BEGE ) - 1,49 X 1,95 X 0,36</t>
  </si>
  <si>
    <t>2120038552</t>
  </si>
  <si>
    <t>SAIA DE PIQUET SERRANO COM MOLD E TRANPASSE (COR BEGE ) - 0,84 X 1,90 X 0,36</t>
  </si>
  <si>
    <t>3301072701</t>
  </si>
  <si>
    <t>FRONHA 2 ABAS 5cm - CLASSIC - 183F MISTO - 0,50 X 0,70</t>
  </si>
  <si>
    <t>2115068550</t>
  </si>
  <si>
    <t>DUVET ( CAPA ) - 183F MISTO - MODELO ENVELOPE - ACAB. CLASSIC - 3,00 X 3,00</t>
  </si>
  <si>
    <t>2115068551</t>
  </si>
  <si>
    <t>DUVET ( CAPA ) - 183F MISTO - MODELO ENVELOPE - ACAB. CLASSIC - 2,50 X 2,90</t>
  </si>
  <si>
    <t>2101066054</t>
  </si>
  <si>
    <t>LENÇOL BARRA ESTREITA - 183F MISTO C/ EMENDA - 3,00 X 3,00</t>
  </si>
  <si>
    <t>2101068585</t>
  </si>
  <si>
    <t>LENÇOL BARRA ESTREITA 4 LADOS - 183F MISTO - 2,50 X 2,90</t>
  </si>
  <si>
    <t>2101063053</t>
  </si>
  <si>
    <t>LENÇOL BARRA ESTREITA 4 LADOS - 183F MISTO - 1,80 X 2,80</t>
  </si>
  <si>
    <t>3301076329</t>
  </si>
  <si>
    <t>FRONHA 2 ABAS 5cm - CLASSIC - 183F MISTO - 0,50 X 1,16</t>
  </si>
  <si>
    <t>2101083077</t>
  </si>
  <si>
    <t>SUPER FRONHA 2 ABAS 5cm - CLASSIC - 183F MISTO - 0,50 X 0,90</t>
  </si>
  <si>
    <t>92101853643</t>
  </si>
  <si>
    <t>LENÇOL BARRA ESTREITA 4 LADOS 400F 100% ALGODÃO 2,30 X 2,80</t>
  </si>
  <si>
    <t>92102224401</t>
  </si>
  <si>
    <t>LENÇOL DE CIMA 400F 100% ALGODÃO DUPLO FESTONÊ CASTOR 5631 2,60 X 2,40</t>
  </si>
  <si>
    <t>92105225860</t>
  </si>
  <si>
    <t>FRONHA 3 ABAS 5CM 400F 100% ALGODÃO ACAB. DUPLO FESTONÊ COR CASTOR 5631 0,50 X 0,70</t>
  </si>
  <si>
    <t>3301078559</t>
  </si>
  <si>
    <t>ROUPÃO FELPA VELUX CINZA C/ GOLA XALE SEM CETIM, LOGO BORDADA E VIVO PRETO NA GOLA E NAS MANGAS TAM GG</t>
  </si>
  <si>
    <t>3301076808</t>
  </si>
  <si>
    <t>ROUPÃO FELPA VELUX CINZA C/ GOLA XALE SEM CETIM, LOGO BORDADA E VIVO PRETO NA GOLA E NAS MANGAS TAM G</t>
  </si>
  <si>
    <t>3302018560</t>
  </si>
  <si>
    <t>TOALHA DE MÃO VELUX CINZA  C/ LOGO BORDADO MAKE UP 0,30 X 0,30</t>
  </si>
  <si>
    <t>2201028503</t>
  </si>
  <si>
    <t>GUARDANAPO PANAMÁ 100% POLIÉSTER COR PRETA - BARRA SIMPLES - 0,50 X 0,50</t>
  </si>
  <si>
    <t>2102029652</t>
  </si>
  <si>
    <t>LENÇOL DE CIMA - 200F 100% ALGODÃO - CLASSIC - 1,60 X 2,30</t>
  </si>
  <si>
    <t>3301095750</t>
  </si>
  <si>
    <t>ROUPÃO VELUX BRANCO - XG</t>
  </si>
  <si>
    <t>3161098516</t>
  </si>
  <si>
    <t>FRALDÃO TECIDO MINI QUADRICULADO COR KAKI - ACABAMENTO BARRA DE 8mm NOS 4 LADOS - 1,20 X 2,25</t>
  </si>
  <si>
    <t>2105768965</t>
  </si>
  <si>
    <t>FRONHA 3 ABAS 5cm - 300F BELLAGIO CASTOR - 0,50 X 0,70</t>
  </si>
  <si>
    <t>92115706142</t>
  </si>
  <si>
    <t>CAPA (DUVET) CLASSIC MOD. MÃOZINHA C/ ENVELOPE - 400F 100% ALGODÃO - 3,00 X 2,65</t>
  </si>
  <si>
    <t>92101106140</t>
  </si>
  <si>
    <t>LENÇOL BAIXO BARRA ESTREITA 4 LADOS - 400F 100% ALGODÃO C/ LATERAL - 3,07 X 3,17</t>
  </si>
  <si>
    <t>92102106141</t>
  </si>
  <si>
    <t>LENÇOL CIMA - 400F 100% ALGODÃO - CLASSIC - 3,00 X 2,70</t>
  </si>
  <si>
    <t>98111208582</t>
  </si>
  <si>
    <t>93402028511</t>
  </si>
  <si>
    <t>LENÇOL BARRA ESTREITA 4 LADOS COM EMENDA - 230F MISTO - 3,06 X 3,17</t>
  </si>
  <si>
    <t>92115017839</t>
  </si>
  <si>
    <t>DUVET ( CAPA ) - 230F MISTO - CLASSIC MODELO ENVELOPE - 2,96 X 2,55</t>
  </si>
  <si>
    <t>92115027838</t>
  </si>
  <si>
    <t>DUVET ( CAPA ) - 230F MISTO CLASSIC MODELO ENVELOPE - 2,00 X 2,55</t>
  </si>
  <si>
    <t>93402028510</t>
  </si>
  <si>
    <t>LENÇOL BARRA ESTREITA 4 LADOS - 230F MISTO - 2,10 X 3,17</t>
  </si>
  <si>
    <t>92102038512</t>
  </si>
  <si>
    <t>LENÇOL CIMA - 230F MISTO - CLASSIC - 2,10 X 2,60</t>
  </si>
  <si>
    <t>92102035363</t>
  </si>
  <si>
    <t>LENÇOL CIMA - 230F MISTO - CLASSIC - 3,06 X 2,60</t>
  </si>
  <si>
    <t>92102088509</t>
  </si>
  <si>
    <t>LENÇOL BARRA ESTREITA 4 LADOS - 230F MISTO - 1,10 X 1,60</t>
  </si>
  <si>
    <t>92105030439</t>
  </si>
  <si>
    <t>FRONHA 3 ABAS 5cm - 230F MISTO - CLASSIC - 0,50 X 0,70</t>
  </si>
  <si>
    <t>92105268542</t>
  </si>
  <si>
    <t>SUPER FRONHA 3 ABAS 5cm - 230F MISTO - CLASSIC - 0,50 X 0,90</t>
  </si>
  <si>
    <t>92105268543</t>
  </si>
  <si>
    <t>FRONHA 2 ABAS 5cm ACABAMENTO CLASSIC - 230F MISTO - 0,30 X 0,40</t>
  </si>
  <si>
    <t>3301098696</t>
  </si>
  <si>
    <t>ROUPÃO VELUX BRANCO - GG</t>
  </si>
  <si>
    <t>3301091670</t>
  </si>
  <si>
    <t>ROUPÃO FELPA VELUX BRANCO - G</t>
  </si>
  <si>
    <t>3301098625</t>
  </si>
  <si>
    <t>ROUPÃO FELPA VELUX BRANCO - M</t>
  </si>
  <si>
    <t>3301098939</t>
  </si>
  <si>
    <t>ROUPÃO VELUX BRANCO - P</t>
  </si>
  <si>
    <t>2115032464</t>
  </si>
  <si>
    <t>2101068595</t>
  </si>
  <si>
    <t>JOGO LENÇOL - 200F 100% ALGODÃO - SUPER KING - CLASSIC</t>
  </si>
  <si>
    <t>2101064417</t>
  </si>
  <si>
    <t>JOGO LENÇOL - 300F 100% ALGODÃO - QUEEN - CLASSIC</t>
  </si>
  <si>
    <t>2105060734</t>
  </si>
  <si>
    <t>FRONHA 3 ABAS 5cm - 300F 100% ALG ACAB. CLASSIC - 0,50 X 0,70</t>
  </si>
  <si>
    <t>3105012478</t>
  </si>
  <si>
    <t>LENÇOL BAIXO BARRA ESTREITA 4 LADOS - 400F 100%ALG - 1,80 X 2,80</t>
  </si>
  <si>
    <t>2102388568</t>
  </si>
  <si>
    <t>LENÇOL CIMA - 400F 100% ALGODÃO - ACAB. AJOUR - 2,90 X 2,45</t>
  </si>
  <si>
    <t>2102348255</t>
  </si>
  <si>
    <t>LENÇOL CIMA - 400F 100% ALG AJOUR - 1,80 X 2,40</t>
  </si>
  <si>
    <t>2105341133</t>
  </si>
  <si>
    <t>FRONHA 3 ABAS 5cm - 400F - AJOUR - 0,50 X 0,70</t>
  </si>
  <si>
    <t>3302136951</t>
  </si>
  <si>
    <t>TOALHA FITNESS FELPA BRANCA - 0,30 X 0,90</t>
  </si>
  <si>
    <t>CAPA ALMOFADÃO 4 ABAS COM FESTONÊ CASTOR 5631 TECIDO LINHO ALGODÃO COR HAVANA - 0,60 X 0,60</t>
  </si>
  <si>
    <t>3161095115</t>
  </si>
  <si>
    <t>3161091778</t>
  </si>
  <si>
    <t>92101862252</t>
  </si>
  <si>
    <t>LENÇOL BARRA ESTREITA 4 LADOS 230F MISTO - 2,50 X 2,90</t>
  </si>
  <si>
    <t>92102183931</t>
  </si>
  <si>
    <t>LENÇOL CIMA - 230F MISTO - FESTONÊ MILITAR 07329 - 2,50 X 2,45</t>
  </si>
  <si>
    <t>92101042056</t>
  </si>
  <si>
    <t>LENÇOL BARRA ESTREITA 4 LADOS - 230F MISTO - 1,80 X 2,80</t>
  </si>
  <si>
    <t>92102185287</t>
  </si>
  <si>
    <t>LENÇOL CIMA - 230F MISTO - FESTONÊ MILITAR 07329 - 1,80 X 2,40</t>
  </si>
  <si>
    <t>92105153932</t>
  </si>
  <si>
    <t>FRONHA 3 ABAS 5cm - 230F MISTO - FESTONÊ 07329 MILITAR - 0,50 X 0,70</t>
  </si>
  <si>
    <t>2120052812</t>
  </si>
  <si>
    <t>SAIA BRIM C/ MOLDURA, TRANSPASSE E C/ VELCRO COR BRANCO - 1,60 X 2,00 X 0,33</t>
  </si>
  <si>
    <t>ROUPÃO FELPA VELUX BRANCO MODELO KIMONO</t>
  </si>
  <si>
    <t>LENÇOL BAIXO COM ELÁSTICO - 250F MISTO COM FURO PARA COLOCAR O ROSTO</t>
  </si>
  <si>
    <t>FRONHA 4 ABAS 5cm - 250F MISTO - FESTONÊ RIVIERA 7144 E BORDADO 'MASSAGEM' CENTRALIZADO ACIMA DA ABA INFERIOR - 0,30 X 0,40</t>
  </si>
  <si>
    <t>ROUPÃO PIQUET SERRANO G C/ LOGO</t>
  </si>
  <si>
    <t>3401041976</t>
  </si>
  <si>
    <t>92102156030</t>
  </si>
  <si>
    <t>LENÇOL CIMA - 230F MISTO C/ FESTONÊ " T " COR PERSA 07064 - C/ LINHA DE IDENTIFICAÇÃO COR PRATA - 2,00 X 2,75</t>
  </si>
  <si>
    <t>LENÇOL CMA - 230F 100% ALGODÃO LISO - BELLAGIO BRANCO - 1,60 X 2,50</t>
  </si>
  <si>
    <t>LENÇOL BARRA ESTREITA 4 LADOS - 230F 100% ALGODÃO LISO - 1,60 X 2,50</t>
  </si>
  <si>
    <t>92101040169</t>
  </si>
  <si>
    <t>LENÇOL BARRA ESTREITA 4 LADOS - 230F MISTO LISO - 2,35 X 3,15 - LINHA PRATA</t>
  </si>
  <si>
    <t>92115108563</t>
  </si>
  <si>
    <t>CAPA ( DUVET ) CLASSIC MOD. MÃOZINHA C/ ENVELOPE - 400F 100% ALGODÃO - 2,50 X 2,50</t>
  </si>
  <si>
    <t>CAPA DE DUVET CLASSIC C/ ENVELOPE - 400F 100% ALGODÃO - 2,20 X 2,50</t>
  </si>
  <si>
    <t>92101103020</t>
  </si>
  <si>
    <t>LENÇOL BAIXO BARRA ESTREITA 4 LADOS - 400F 100% ALGODÃO - 2,50 X 2,90</t>
  </si>
  <si>
    <t>92101108564</t>
  </si>
  <si>
    <t>LENÇOL BAIXO BARRA ESTREITA 4 LADOS - 400F 100% ALGODÃO - 2,10 X 2,90</t>
  </si>
  <si>
    <t>92102868562</t>
  </si>
  <si>
    <t>LENÇOL CIMA - 400F 100% ALGODÃO - DUPLO FESTONÊ COR CASTOR - 2,40 X 2,50</t>
  </si>
  <si>
    <t>92102868565</t>
  </si>
  <si>
    <t>LENÇOL CIMA - 400F 100% ALGODÃO - DUPLOS FESTONÊ COR CASTOR - 2,10 X 2,50</t>
  </si>
  <si>
    <t>92105232467</t>
  </si>
  <si>
    <t>SUPER FRONHA 3 ABAS 5cm - 400F 100% - DUPLO FESTONÊ CASTOR 5631 - 0,50 X 0,90</t>
  </si>
  <si>
    <t>2101042483</t>
  </si>
  <si>
    <t>LENÇOL BAIXO C/ ELÁSTICO- 400F 100% ALGODÃO - 1,60 X 2,00 X 0,30</t>
  </si>
  <si>
    <t>2102223251</t>
  </si>
  <si>
    <t>LENÇOL CIMA - 400F 100% ALGODÃO - FESTONÊ COR 5317 - 2,60 X 2,40</t>
  </si>
  <si>
    <t>2104213252</t>
  </si>
  <si>
    <t>FRONHA 2 ABAS 5cm - 400F 100% ALGODÃO FESTONÊ COR 5317 - 0,50 X 0,70</t>
  </si>
  <si>
    <t>2201028649</t>
  </si>
  <si>
    <t>2203015182</t>
  </si>
  <si>
    <t>3301098940</t>
  </si>
  <si>
    <t>ROUPÃO VELUX CINZA - M</t>
  </si>
  <si>
    <t>3301093990</t>
  </si>
  <si>
    <t>ROUPÃO PITTI GOLA XALE TAM. M</t>
  </si>
  <si>
    <t>3301083988</t>
  </si>
  <si>
    <t>3301072218</t>
  </si>
  <si>
    <t>2105030439</t>
  </si>
  <si>
    <t>DUVET ( CAPA ) - 230F MISTO - ACABAMENTO CLASSIC - 2,70 X 2,45</t>
  </si>
  <si>
    <t>2115108588</t>
  </si>
  <si>
    <t>DUVET ( CPA ) - 230F MISTO - CLASSIC - 2,50 X 2,45</t>
  </si>
  <si>
    <t>LENÇOL DE CIMA PARA MACA - 250F MISTO C/ LOGO - 1,60 X 2,50</t>
  </si>
  <si>
    <t>ROUPÃO FELPA VELUX BRANCO - GG - COM LOGO</t>
  </si>
  <si>
    <t>ROUPÃO FELPA VELUX BRANCO - G - COM LOGO</t>
  </si>
  <si>
    <t>ROUPÃO FELPA VELUX BRANCO - M - COM LOGO</t>
  </si>
  <si>
    <t>TOALHA DE BANHO FELPA VELUX BRANCO COM LOGO - 0,80 X 1,60</t>
  </si>
  <si>
    <t>TOALHA DE ROSTO FELPA AVELUDADE BRANCA - 0,48 X 0,90 - COM LOGO</t>
  </si>
  <si>
    <t>TOALHA PISO SIMPLES FELPA VELUX BRANCO COM LOGO - 0,48 X 0,80</t>
  </si>
  <si>
    <t>TOALHA FITNESS FELPA VELUX BRANCO COM LOGO - 0,30 X 1,20</t>
  </si>
  <si>
    <t>3302016028</t>
  </si>
  <si>
    <t>TOALHA DE MÃO FELPA VELUX BRANCO - COM LOGO - 0,30 X 0,30</t>
  </si>
  <si>
    <t>3161092328</t>
  </si>
  <si>
    <t>92115108584</t>
  </si>
  <si>
    <t>CAPA ( DUVET ) CLASSIC MOD. MÃOZINHA C/ ENVELOPE - 400F 100% ALGODÃO - 2,90 X 2,45</t>
  </si>
  <si>
    <t>92101109688</t>
  </si>
  <si>
    <t>LENÇOL BARRA ESTREITA 4 LADOS - 400F 100% ALGODÃO - 2,90 X 2,90</t>
  </si>
  <si>
    <t>92102626395</t>
  </si>
  <si>
    <t>LENÇOL CIMA ACABAMENTO DUPLO FESTONÊ COR CASTOR - 400F 100% ALGODÃO - 2,90 X 2,45</t>
  </si>
  <si>
    <t>3302068885</t>
  </si>
  <si>
    <t>TOALHA MÃO VELUX BRANCA S/ LOGO - 0,30 X 0,30</t>
  </si>
  <si>
    <t>2115068629</t>
  </si>
  <si>
    <t>DUVET ( CAPA ) - 300F MISTO STRIPE LARGE VERTICAL - CAB. FESTONÊ BRANCO 000BC COM EMENDA - 3,10 X 2,50</t>
  </si>
  <si>
    <t>2101018624</t>
  </si>
  <si>
    <t>LENÇOL DE BAIXO COM ELÁSTICO - 300F MISTO STRIPE LARGE -VERTICAL COM EMENDA - 1,95 X 2,05 X 0,55</t>
  </si>
  <si>
    <t>2101038623</t>
  </si>
  <si>
    <t>LENÇOL BAIXO C/ ELÁSTICO - 250F MISTO - 1,60 X 2,00 X 0,45</t>
  </si>
  <si>
    <t>2102508626</t>
  </si>
  <si>
    <t>LENÇOL CIMA - 250F MISTO - ACAB. VALENCIA - 3,35 X 2,75</t>
  </si>
  <si>
    <t>2102088627</t>
  </si>
  <si>
    <t>LENÇOL CIMA - 300F MISTO STRIPE LARGE VERTICAL - ACAB. FESTONÊ BRANCO 00BC - COM EMENDA - 3,35 X 2,75</t>
  </si>
  <si>
    <t>2102268625</t>
  </si>
  <si>
    <t>LENÇOL CIMA - 250F MISTO - ACAB. VITORIANO - 2,80 X 2,60</t>
  </si>
  <si>
    <t>2105058630</t>
  </si>
  <si>
    <t>FRONHA 3 ABAS 5cm - 300F MISTO STRIPE LARGE HORIZONTAL - ACAB. FESTONÊ BRANCO 000BC - 0,50 X 0,70</t>
  </si>
  <si>
    <t>2101058044</t>
  </si>
  <si>
    <t>FRONHA 3 ABAS 5cm - 250F MISTO - VALENCIA - 0,50 X 0,70</t>
  </si>
  <si>
    <t>2105178628</t>
  </si>
  <si>
    <t>FRONHA 3 ABAS 5cm - 250F - VITORIANO - 0,50 X 0,70</t>
  </si>
  <si>
    <t>2121048633</t>
  </si>
  <si>
    <t>COLCHA PIQUET SERRANO COM BARRA 3cm COM EMENDA NA LATERAL - 3,35 X 2,75</t>
  </si>
  <si>
    <t>2121048632</t>
  </si>
  <si>
    <t>COLCHA PIQUET SERRANO COM BARRA 3cm COM EMENDA NA LATERAL - 2,80 X 2,60</t>
  </si>
  <si>
    <t>2115868640</t>
  </si>
  <si>
    <t>CAPA DE DUVET ( EDRED ) MODELO ENVELOPE CLASSIC - 230F MISTO - 2,60 X 2,50</t>
  </si>
  <si>
    <t>2101048638</t>
  </si>
  <si>
    <t>LENÇOL DE BAIXO BARRA ESTREITA - 4 LADOS - 230F MISTO - 2,60 X 2,70</t>
  </si>
  <si>
    <t>2102868639</t>
  </si>
  <si>
    <t>LENÇOL DE CIMA - 230F MISTO - ACAB. CLASSIC - 2,60 X 2,30</t>
  </si>
  <si>
    <t>2101032357</t>
  </si>
  <si>
    <t>SUPER FRONHA 2 ABAS 5cm - 230F MISTO CLASSIC - 0,50 X 0,90</t>
  </si>
  <si>
    <t>92104030438</t>
  </si>
  <si>
    <t>2101068614</t>
  </si>
  <si>
    <t>JOGO DE LENÇOL KING - 300F - BELLAGIO BRANCO</t>
  </si>
  <si>
    <t>2101068615</t>
  </si>
  <si>
    <t>JOGO DE LENÇOL QUEEN - 300F - BALLAGIO BRANCO</t>
  </si>
  <si>
    <t>2121049654</t>
  </si>
  <si>
    <t>COLCHA PIQUET MALAGA - 2,90 X 2,60</t>
  </si>
  <si>
    <t>3301078613</t>
  </si>
  <si>
    <t>JOGO DE LENÇOL KING TECIDO BAMBOO BRANCO - DETALHE DUPLO CORDONÊ BRANCO</t>
  </si>
  <si>
    <t>2115068619</t>
  </si>
  <si>
    <t>CAPA ( DUVET ) MOD. MÃOZINHA C/ ENVELOPE - 400F 100% ALGODÃO - CLASSIC - 2,85 X 2,65</t>
  </si>
  <si>
    <t>103012167</t>
  </si>
  <si>
    <t>CAPA ( DUVET ) - 400F 100% ALGODÃO - COM ENVELOPE CLASSIC - 1,80 X 2,40</t>
  </si>
  <si>
    <t>2101050221</t>
  </si>
  <si>
    <t>LENÇOL DE BAIXO BARRA ESTREITA COM EMENDA - 400F 100%  ALGODÃO - 2,85 X 2,95</t>
  </si>
  <si>
    <t>2102029317</t>
  </si>
  <si>
    <t>LENÇOL DE CIMA - 400F FIOS 100% ALGODÃO - ACAB. CÇASSIC - 2,85 X 2,65</t>
  </si>
  <si>
    <t>2102223812</t>
  </si>
  <si>
    <t>LENÇOL CIMA ACAB. CLASSIC 400F 100% ALGODÃO - 1,80 X 2,40</t>
  </si>
  <si>
    <t>2109341083</t>
  </si>
  <si>
    <t>SUPER FRONHA 3 ABAS 5cm - 400F 100% ALGODÃO - CLASSIC - 0,50 X 0,90</t>
  </si>
  <si>
    <t>2105101079</t>
  </si>
  <si>
    <t>FRONHA 3 ABAS 5cm - 400F 100% ALGODÃO - CLASSIC - 0,50 X 0,70</t>
  </si>
  <si>
    <t>7301093991</t>
  </si>
  <si>
    <t>3301093955</t>
  </si>
  <si>
    <t>ROUPÃO PITTI GOLA XALE - TAM. P</t>
  </si>
  <si>
    <t>2103012167</t>
  </si>
  <si>
    <t>2115289283</t>
  </si>
  <si>
    <t>CAPA DUVET KING - 300F BAMBOO BCO - ACABAMENTO CORDONÊ VOLTA TODA - C/ ZÍPER - 2,90 X 2,50</t>
  </si>
  <si>
    <t>3301079291</t>
  </si>
  <si>
    <t>FRONHA 3 ABAS - 300F BAMBOO BCO C/ DET. CORDONÊ BCO - 0,50 X 0,70</t>
  </si>
  <si>
    <t>2115066258</t>
  </si>
  <si>
    <t>2101069312</t>
  </si>
  <si>
    <t>JOGO DE LENÇOL KING - 400F 100% ALG - ESTAMPA GARDEN - ACABAMENTO CORDONÊ - LINHA HOME</t>
  </si>
  <si>
    <t>2111239536</t>
  </si>
  <si>
    <t>CAPA ALMOFADA 4 ABAS - 300F 100% ALG. ACAB. VITORIANO C/ LOGO - 0,35 X 0,45</t>
  </si>
  <si>
    <t>211078601</t>
  </si>
  <si>
    <t>RECHEIO ALMOFADA 180F MISTO - 0,35 X 0,45</t>
  </si>
  <si>
    <t>2111068602</t>
  </si>
  <si>
    <t>CAPA ALMOFADA 4 ABAS 5cm - 300F 100% ALG. - CLASSIC - 0,35 X 0,45</t>
  </si>
  <si>
    <t>2114078601</t>
  </si>
  <si>
    <t>RECHEIO ALMOFADA - 180F MISTO - 0,35 X 0,45</t>
  </si>
  <si>
    <t>3301078604</t>
  </si>
  <si>
    <t>LENÇOL DE CIMA TECIDO BAMBOO BRANCO CORDONÊ BRANCO - 2,10 X 2,45</t>
  </si>
  <si>
    <t>3301078603</t>
  </si>
  <si>
    <t>LENÇOL DE CIMA TECIDO BAMBOO CINZA - CORDONÊ CINZA - 2,10 X 2,45</t>
  </si>
  <si>
    <t>3301078606</t>
  </si>
  <si>
    <t>FRONHA 2 ABAS - TECIDO BAMBOO BRANCO - CORDONÊ BRANCO - 0,50 X 0,70</t>
  </si>
  <si>
    <t>3301078605</t>
  </si>
  <si>
    <t>FRONHA 2 ABAS - TECIDO BAMBOO CINZA - CORDONÊ CINZA - 0,50 X 0,70</t>
  </si>
  <si>
    <t>2115868645</t>
  </si>
  <si>
    <t>CAPA DUVET (EDRED) CLASSIC - 183F MISTO C/ ENVELOPE - 2,60 X 2,50</t>
  </si>
  <si>
    <t>2115868597</t>
  </si>
  <si>
    <t>CAPA DUVET (EDRED) CLASSIC - 183F MISTO C/ ENVELOPE - 1,80 X 2,45</t>
  </si>
  <si>
    <t>2101032489</t>
  </si>
  <si>
    <t>LENÇOL BARRA ESTREITA 4 LADOS - 183F MISTO - 2,50 X 2,80</t>
  </si>
  <si>
    <t>2201028599</t>
  </si>
  <si>
    <t>GUARDANAPO LINHO MISTO - 80% ALGODÃO E 20% LINHO COR 396 CLASSIC - BARRA 2cm - 0,50 X 0,50</t>
  </si>
  <si>
    <t>2101108562</t>
  </si>
  <si>
    <t>LENÇOL BAIXO BARRA ESTREITA 4 LADOS - 400F - 1,30 X 2,00</t>
  </si>
  <si>
    <t>2101105264</t>
  </si>
  <si>
    <t>LENÇOL BAIXO 400F 100% ALG SEM LOGO E SEM FESTONÊ - 1,70 X 2,60</t>
  </si>
  <si>
    <t>3301084128</t>
  </si>
  <si>
    <t>3301084127</t>
  </si>
  <si>
    <t>3301084164</t>
  </si>
  <si>
    <t>2101105263</t>
  </si>
  <si>
    <t>2101109332</t>
  </si>
  <si>
    <t>2103062494</t>
  </si>
  <si>
    <t>S. FRONHA 4 ABAS 5cm - 400F 100% ALG COM FESTONÊ E LOGO BORDADO COR ALABASTRO 07077 - 0,50 X 0,90</t>
  </si>
  <si>
    <t>2101015261</t>
  </si>
  <si>
    <t>LENÇOL MACA - 183F MISTO COM LOGO BORDADO - COR ALABASTRO 07077 - 1,10 X 2,30</t>
  </si>
  <si>
    <t>2103067944</t>
  </si>
  <si>
    <t>FRONHA ENVELOPE - 183F MISTO E LOGO BORDADO COR ALABASTRO 07077 - 0,50 X 0,70</t>
  </si>
  <si>
    <t>3161092611</t>
  </si>
  <si>
    <t>Codigo Produto</t>
  </si>
  <si>
    <t>Data.Column2</t>
  </si>
  <si>
    <t>SACO DE PRODUÇÃO</t>
  </si>
  <si>
    <t>5435</t>
  </si>
  <si>
    <t>Julia Martins</t>
  </si>
  <si>
    <t>00013328442600</t>
  </si>
  <si>
    <t>5436</t>
  </si>
  <si>
    <t>Natalia nunes</t>
  </si>
  <si>
    <t>00033627354877</t>
  </si>
  <si>
    <t>5437</t>
  </si>
  <si>
    <t>JENIFER MEDINA</t>
  </si>
  <si>
    <t>00030199479879</t>
  </si>
  <si>
    <t>5438</t>
  </si>
  <si>
    <t>MARINA DUBA</t>
  </si>
  <si>
    <t>00012342402708</t>
  </si>
  <si>
    <t>5439</t>
  </si>
  <si>
    <t>ADELIA GOMES</t>
  </si>
  <si>
    <t>00010379127806</t>
  </si>
  <si>
    <t>K2395K</t>
  </si>
  <si>
    <t>UMA FRENTE DANIFICADA, FIO PUXADO K2395K</t>
  </si>
  <si>
    <t>PEÇAS FALTANDO 3 VISTAS PARA FINALIZAR , 1 FRENTE DANIFICADA</t>
  </si>
  <si>
    <t>Nildes</t>
  </si>
  <si>
    <t>7 ROUPÕES NÃO FORAM CORTADOS, FALTA DE TECIDO/ VALOR PAGO SERA DESCONTADO NA PRÓXIMA NOTA</t>
  </si>
  <si>
    <t>TECIDO GALLES CETIM LISTRADO 100% ALG. PALMER CÓD. A3299 / 001D.51 1,55LARG./MATÉRIA PRIMA</t>
  </si>
  <si>
    <t>1101015336</t>
  </si>
  <si>
    <t xml:space="preserve"> TECIDO CETIM PREMIUM T-400 COR 55 GM2 AZUL DIAMANTE LARG 2,80/MATÉRIA PRIMA</t>
  </si>
  <si>
    <t>1102685333</t>
  </si>
  <si>
    <t>TECIDO CETIM PREMIUM T-400 COR 01 GM2 BRANCO LARG 2,80/MATÉRIA PRIMA</t>
  </si>
  <si>
    <t>1102685334</t>
  </si>
  <si>
    <t>2101042056</t>
  </si>
  <si>
    <t>PORTA TRAVESSEIRO XADREZ ( CÓD: 1101019531 ) - ACAB. CORDONÊ VOLTA TODA ( COR: 400F 64 GM2 ) ENVELOPE</t>
  </si>
  <si>
    <t>2101069537</t>
  </si>
  <si>
    <t>JG LENÇOL TODDLER SOLTEIRO -  CORDONÊ ROSA - 400F (COR 04 GM2) -( LB 0,96 X 2,03 X 0,32 / LC 1,80 X 2,45 / FR 0,53 X 0,73 )</t>
  </si>
  <si>
    <t>2101069655</t>
  </si>
  <si>
    <t>JG LENÇOL TODDLER CASAL -  CORDONÊ ROSA - 400F (COR 04 GM2)   -  ( LB 1,38 X 1,88 X 0,32 / LC 2,20 X 2,45 / FR 0,53 X 0,73 )</t>
  </si>
  <si>
    <t>2101069656</t>
  </si>
  <si>
    <t>JG LENÇOL TODDLER SOLTEIRO ESPECIAL -  ACAB CORDONÊ AZUL - 400F (COR 55 GM2) -  ( LB 0,96 X 2,03 X 0,32 / LC 1,80 X 2,45 / FR 0,53 X 0,73 )</t>
  </si>
  <si>
    <t>2101069657</t>
  </si>
  <si>
    <t>DUVET TODDLER SOLTEIRO - DUPLA FACE - ( FRENTE: FLORAL AZUL CÓD: 1101019202 / VERSO: FLORAL AMARELO CÓD: 1101019201)</t>
  </si>
  <si>
    <t>2101069661</t>
  </si>
  <si>
    <t>CAPA DUVET QUEEN - DUPLA FACE - ( FRENTE: XADREZ CÓD: 1101019531 / VERSO: 400F COR 64 GM2 )</t>
  </si>
  <si>
    <t>2101069667</t>
  </si>
  <si>
    <t>JG LENÇOL TODDLER CASAL -  CORDONÊ AZUL - 400F (COR 55 GM2)- ( LB 1,38 X 1,88 X 0,32 / LC 2,20 X 2,45 / FR 0,53 X 0,73 )</t>
  </si>
  <si>
    <t>2101069671</t>
  </si>
  <si>
    <t>ALMOFADA XADREZ ( CÓD: 1101019531 )  -  ACAB. CORDONÊ VOLTA TODA ( COR: 400F 64 GM2) ENVELOPE + RECHEIO</t>
  </si>
  <si>
    <t>2101069672</t>
  </si>
  <si>
    <t>2102102948</t>
  </si>
  <si>
    <t>LENÇOL CIMA - 250F MISTO - FESTONÊ RIVIERA COM BORDADO "MASSAGEM/' CENTRALIZADO NA VIRA - 1,80 X 2,50</t>
  </si>
  <si>
    <t>LENÇOL CIMA BARRA 10cm - 300F 100% ALG ACAB. BELLAGIO BRANCO - 2,90 X 2,60</t>
  </si>
  <si>
    <t>2102408617</t>
  </si>
  <si>
    <t>2104034419</t>
  </si>
  <si>
    <t>2104850183</t>
  </si>
  <si>
    <t>SUPER FRONHA 3 ABAS 5cm - 300F 100% ALGODÃO - BALLAGIO BRANCO - 0,50 X 0,90</t>
  </si>
  <si>
    <t>2109300896</t>
  </si>
  <si>
    <t>DUVET ( CAPA ) - 300F 100% ALGODÃO BELLAGIO BRANCO - ACAB. EM U FECHAMENTO EM ZIPER - 2,90 X 2,60</t>
  </si>
  <si>
    <t>2115026552</t>
  </si>
  <si>
    <t>CAPA ALMOFADA COM 4 ABAS - 300F 100% ALGODÃO - ACAB. BELLAGIO BRANCO - 0,30 X 0,50</t>
  </si>
  <si>
    <t>2115028616</t>
  </si>
  <si>
    <t>JOGO DE LENÇOL - 400F - FESTONÊ ARGENTUM 7292 - QUEEN</t>
  </si>
  <si>
    <t>2118041920</t>
  </si>
  <si>
    <t>LENÇOL DE BAIXO BABY - LISTRADO - VERTICAL - 0,70 X 1,30 X 0,10</t>
  </si>
  <si>
    <t>3161095337</t>
  </si>
  <si>
    <t>ROUPÃO PIQUET MOSAICO S/ VIVO E C/ LOGO TAM. EXG  -  ( MODELAGEM EXCLUSIVA REDE DOR )</t>
  </si>
  <si>
    <t>ROUPÃO PIQUET MOSAICO S/ VIVO E C/ LOGO TAM. EXGG  -  ( MODELAGEM EXCLUSIVA REDE DOR )</t>
  </si>
  <si>
    <t>MARIA FERNANDA DONATO GONÇALVES</t>
  </si>
  <si>
    <t>MARIA FERNANDA DONAT</t>
  </si>
  <si>
    <t>5440</t>
  </si>
  <si>
    <t>FABIANA FEITOSA MATOS SILVA</t>
  </si>
  <si>
    <t>FABIANA FEITOSA MATO</t>
  </si>
  <si>
    <t>00080795706391</t>
  </si>
  <si>
    <t>5441</t>
  </si>
  <si>
    <t>Antonio  Camargo</t>
  </si>
  <si>
    <t>00050929938801</t>
  </si>
  <si>
    <t>5442</t>
  </si>
  <si>
    <t>EMANUELA MAZZILLO</t>
  </si>
  <si>
    <t>00003104000077</t>
  </si>
  <si>
    <t>5443</t>
  </si>
  <si>
    <t>PATRICIA BALESTRERI</t>
  </si>
  <si>
    <t>00005876173908</t>
  </si>
  <si>
    <t>5444</t>
  </si>
  <si>
    <t>CAMILA BARBARA DE VASCONCELOS COSTA</t>
  </si>
  <si>
    <t>CAMILA BARBARA DE VA</t>
  </si>
  <si>
    <t>19495527000162</t>
  </si>
  <si>
    <t>5445</t>
  </si>
  <si>
    <t>MARECHAL INFORMATICA LTDA</t>
  </si>
  <si>
    <t>MARECHAL INFORMATICA</t>
  </si>
  <si>
    <t>63567958000189</t>
  </si>
  <si>
    <t>5446</t>
  </si>
  <si>
    <t>MARINA RACHELE</t>
  </si>
  <si>
    <t>00002412432031</t>
  </si>
  <si>
    <t>5447</t>
  </si>
  <si>
    <t>CONDOMINIO GRAMADO BUONA VITTA RESORT SPA</t>
  </si>
  <si>
    <t>BUONA VITTA SPA</t>
  </si>
  <si>
    <t>42383685000142</t>
  </si>
  <si>
    <t>5448</t>
  </si>
  <si>
    <t>MARIAH DE SOUZA ARANTES</t>
  </si>
  <si>
    <t>MARIAH DE SOUZA ARAN</t>
  </si>
  <si>
    <t>00003245046162</t>
  </si>
  <si>
    <t>5449</t>
  </si>
  <si>
    <t>ASSOCIACAO PROCONSTRUCAO DO EDIFICIO PLAZA BELMAR</t>
  </si>
  <si>
    <t>EDIFICIO PLAZA BELMA</t>
  </si>
  <si>
    <t>28779024000100</t>
  </si>
  <si>
    <t>5450</t>
  </si>
  <si>
    <t>VANESSA PARANAIBA GERVASIO REZENDE</t>
  </si>
  <si>
    <t>VANESSA PARANAIBA GE</t>
  </si>
  <si>
    <t>00011255108622</t>
  </si>
  <si>
    <t>5451</t>
  </si>
  <si>
    <t>GABRIELA LIMA TEIXEIRA DIAS</t>
  </si>
  <si>
    <t>GABRIELA LIMA TEIXEI</t>
  </si>
  <si>
    <t>00007622591670</t>
  </si>
  <si>
    <t>5452</t>
  </si>
  <si>
    <t>VINICIUS GABRIEL SILVA COSTA</t>
  </si>
  <si>
    <t>VINICIUS GABRIEL SIL</t>
  </si>
  <si>
    <t>00048122005802</t>
  </si>
  <si>
    <t>5453</t>
  </si>
  <si>
    <t>K. Denipotti</t>
  </si>
  <si>
    <t>00032685618880</t>
  </si>
  <si>
    <t>5454</t>
  </si>
  <si>
    <t>FERREIRA &amp; SEGANTINI CENTRO DE CIRURGIA PLASTICA E</t>
  </si>
  <si>
    <t>FERREIRA SEGANTINI C</t>
  </si>
  <si>
    <t>55887677000185</t>
  </si>
  <si>
    <t>5455</t>
  </si>
  <si>
    <t>CUSTODIO E BISSETTI ADVOGADOS ASSOCIADOS</t>
  </si>
  <si>
    <t>CUSTODIO E BISSETTI</t>
  </si>
  <si>
    <t>03872797000105</t>
  </si>
  <si>
    <t>LENÇOL BARRA ESTREITA BRANCO 400F 100%ALGODÃO  1,80 X 2,80</t>
  </si>
  <si>
    <t>PROTETOR DE TROCADOR - 400F - 0,80 X 0,70 X 0,05</t>
  </si>
  <si>
    <t>2101028498</t>
  </si>
  <si>
    <t>JOGO DE LENÇOL - 400F 100% ALG KING - FESTONÊ SÉPIA 07043</t>
  </si>
  <si>
    <t>2101076924</t>
  </si>
  <si>
    <t>SUPER FRONHA 4 ABAS 5cm - 400F 100% ALG - FESTONÊ SÉPIA 07043 - 0,50 X 0,90</t>
  </si>
  <si>
    <t>2106229722</t>
  </si>
  <si>
    <t>DUVET (CAPA) KING - 400F 100% ALGODÃO - CLASSIC - 2,60 X 2,40</t>
  </si>
  <si>
    <t>2115479723</t>
  </si>
  <si>
    <t>TOALHA DE BANHO BABY COM VIÉS E CAPUZ TECIDO GALLES LISTRADO</t>
  </si>
  <si>
    <t>3161099734</t>
  </si>
  <si>
    <t>TOALHA DE BANHO BABY COM VIÉS E CAPUZ TECIDO FLORAL AMARELO</t>
  </si>
  <si>
    <t>3161099735</t>
  </si>
  <si>
    <t>TOALHA DE BANHO BABY COM VIÉS E CAPUZ TECIDO FLORAL AZUL</t>
  </si>
  <si>
    <t>3161099736</t>
  </si>
  <si>
    <t>3161099737</t>
  </si>
  <si>
    <t>LENÇOL DE BAIXO COM ELÁSTICO BABY - TECIDO LIBERTY FLORAL AZUL</t>
  </si>
  <si>
    <t>3161099738</t>
  </si>
  <si>
    <t>NANINHA C/ ORELHINHA - DUPLA FACE ( FRENTE: LISTRADO  |  VERSO: FRALDA )</t>
  </si>
  <si>
    <t>3901019739</t>
  </si>
  <si>
    <t>NANINHA C/ ORELHINHA - DUPLA FACE ( FRENTE: FLORAL AMARELO  |  VERSO: FELPA )</t>
  </si>
  <si>
    <t>3901019740</t>
  </si>
  <si>
    <t>NANINHA C/ ORELHINHA - DUPLA FACE ( FRENTE: FLORAL AZUL  |  VERSO: PLUSH )</t>
  </si>
  <si>
    <t>3901019741</t>
  </si>
  <si>
    <t xml:space="preserve">1- peça piloto faz parte da  produção.Precisa descontar 56 cintos que não foram feitos. O valor de 2,00 cada </t>
  </si>
  <si>
    <t>FOI ABATIDO NESSA NOTA O VALOR DE 112,00REAIS  REFERENTE OS CINTOS. NF.21</t>
  </si>
  <si>
    <t>LENÇOL BARRA ESTREITA BRANCO 400F 100%ALGODÃO  - COM LOGO BORDADO *S  COR ALABASTRO 07077 - 1,80 X 2,80</t>
  </si>
  <si>
    <t>K5131C</t>
  </si>
  <si>
    <t>AS PEÇAS FORAM BORDADAS C/ O LOGO ERRADO, ERA PARA COLOCAR O LOGO K5131B</t>
  </si>
  <si>
    <t>1 PEÇA BORDADO DANIFICADO</t>
  </si>
  <si>
    <t>K6792</t>
  </si>
  <si>
    <t>K6791 , PEÇA PRONTA</t>
  </si>
  <si>
    <t>K6793</t>
  </si>
  <si>
    <t>K6795</t>
  </si>
  <si>
    <t>K6794</t>
  </si>
  <si>
    <t>K6095</t>
  </si>
  <si>
    <t>TOALHA PARA MACA CARAMELO C/ LOGO 1,40X2,00</t>
  </si>
  <si>
    <t>FRONHA BABY STAR FUNDO COR 7161 - ROSA MISTICO</t>
  </si>
  <si>
    <t>K5278 / REPOSIÇÃO DEFEITO NO TECIDO</t>
  </si>
  <si>
    <t>2 FURADAS, 2 C/ BORDADO GROSSO RUIM. DESCONTADO VALOR DO BORDADO VALOR TECIDO DANIF R$3,44 4 PEÇAS K3670A</t>
  </si>
  <si>
    <t>K5495</t>
  </si>
  <si>
    <t>3302367897P</t>
  </si>
  <si>
    <t>TOALHA BEACH BRANCO/CASTOR 0,80X1,60 COM LOGO</t>
  </si>
  <si>
    <t>K6789</t>
  </si>
  <si>
    <t>K6754A (MASSAGEM)</t>
  </si>
  <si>
    <t>K6754A (MASSAGEM) BOLSO ESQUERDO G</t>
  </si>
  <si>
    <t>K6753A (SPA) BOLSO ESQUERDO G</t>
  </si>
  <si>
    <t>TOALHA BANHO 1,00X1,80 AZUL ESCURO C/ LOGO</t>
  </si>
  <si>
    <t>K6752 (PISCINA)</t>
  </si>
  <si>
    <t>3302308615P</t>
  </si>
  <si>
    <t>K6753 (SPA)</t>
  </si>
  <si>
    <t>3302308574P</t>
  </si>
  <si>
    <t>K6754 (MASSAGEM)</t>
  </si>
  <si>
    <t>K6755 (CABELEIREIRO)</t>
  </si>
  <si>
    <t>3302308620P</t>
  </si>
  <si>
    <t>2101068616P</t>
  </si>
  <si>
    <t>2101068575P</t>
  </si>
  <si>
    <t>2101068619P</t>
  </si>
  <si>
    <t>3302067992P</t>
  </si>
  <si>
    <t>TOALHA DE BANHO JADE COR BRANCA C/ LOGO (SPA)</t>
  </si>
  <si>
    <t>TOALHA DE BANHO JADE COR BRANCA C/ LOGO (MASSAGEM)</t>
  </si>
  <si>
    <t>TOALHA DE BANHO JADE COR BRANCA C/ LOGO (CABELEIREIRO)</t>
  </si>
  <si>
    <t>TOALHA DE ROSTO JADE 0,48X0,90 C/ LOGO (SPA)</t>
  </si>
  <si>
    <t>TOALHA DE ROSTO JADE 0,48X0,91 C/ LOGO (MASSAGEM)</t>
  </si>
  <si>
    <t>TOALHA DE ROSTO JADE 0,48X0,92 C/ LOGO (CABELEIREIRO)</t>
  </si>
  <si>
    <t>TOALHA DE PISO DONATO 0,50X0,90 C/ LOGO (CALEIREIRO)</t>
  </si>
  <si>
    <t>TOALHA DE PISO DONATO 0,50X0,90 C/ LOGO (MASSAGEM)</t>
  </si>
  <si>
    <t>TOALHA DE PISO DONATO 0,50X0,90 C/ LOGO (SPA)</t>
  </si>
  <si>
    <t>3104068567P</t>
  </si>
  <si>
    <t>MANTA TOTALE MARFIM 1,80X2,20 C/ LOGO (MASSAGEM)</t>
  </si>
  <si>
    <t>-</t>
  </si>
  <si>
    <t>LENÇOL BARRA ESTREITA BRANCO 400F 100% ALGODÃO - LOGO BORDADO COR ALABASTRO 07077 - 1,80 X 2,80</t>
  </si>
  <si>
    <t>K6753A (SPA) BOLSO ESQUERDO M</t>
  </si>
  <si>
    <t>K6754A (MASSAGEM) BOLSO ESQUERDO M</t>
  </si>
  <si>
    <t>FAIXA PARA TOALHA CAVALINHO</t>
  </si>
  <si>
    <t xml:space="preserve">K6066S </t>
  </si>
  <si>
    <t>K6825</t>
  </si>
  <si>
    <t>K3670A</t>
  </si>
  <si>
    <t>UMA VIRA RASGADA</t>
  </si>
  <si>
    <t>CAPA ALMOFADA 4 ABAS - 300F 100% ALG. ACAB. VITORIANO C/ LOGO - 0,30 X 0,50</t>
  </si>
  <si>
    <t>K6006A</t>
  </si>
  <si>
    <t>K6826</t>
  </si>
  <si>
    <t>VIRA LENÇOL DE CIMA 1,66 X 0,30</t>
  </si>
  <si>
    <t>FRONHA SEM ABA C/ ACABAMENTO ENT. 2 LADOS  BARRA 2CM 0,54 X 0,64</t>
  </si>
  <si>
    <t>K6827 BORDADOS ERRADOS, USARAM A K6826</t>
  </si>
  <si>
    <t>LENÇOL DE BAIXO COM ELÁSTICO 0,88 X 1,88 X 0,20</t>
  </si>
  <si>
    <t>BORDARAM UM PEÇA NO LOCAL ERRADO</t>
  </si>
  <si>
    <t>k3670A</t>
  </si>
  <si>
    <t>LENÇOL DE CIMA BRANCO 400F 100% ALGODÃO COM FESTONÊ E LOGO BORDADO COR ALABASTRO 07077 1,80 X 2,80</t>
  </si>
  <si>
    <t>LENÇOL BARRA ESTREITA 4 LADOS - 230F MISTO - 2,80 X 3,00</t>
  </si>
  <si>
    <t>KIT PIJAMA TAM. G (BLUSA PIJAMA CASEAR E PREGAR BOTÕES)</t>
  </si>
  <si>
    <t>KIT PIJAMA TAM. P (BLUSA PIJAMA CASEAR E PREGAR BOTÕES)</t>
  </si>
  <si>
    <t>KIT PJAMA TAM.  P (BLUSA PIJAMA CASEAR E PREGAR BOTÕES)</t>
  </si>
  <si>
    <t>BLUSA PIJAMA AMAOSTRA (CASEAR E PREGAR BOTÕES FORRADOS)</t>
  </si>
  <si>
    <t>.</t>
  </si>
  <si>
    <t>AGUARDANDO A NF.</t>
  </si>
  <si>
    <t xml:space="preserve">LENÇOL BARRA ESTREITA BRANCO -400F S/ FESTONE E SEM LOGO BORDADO - 1,80 X 2,80 </t>
  </si>
  <si>
    <t>LENÇOL DE BAIXO - 300F 100% ALG - 2,30 X 2,90 - COM LINHA DE IDENTIFICAÇÃO VERMELHA</t>
  </si>
  <si>
    <t>2101015260</t>
  </si>
  <si>
    <t>ROUPÃO FELPA VELUX CINZA MODELO KIMONO COM LOGO BORDADO (NOME: SOMMOS SPA) COR: PRETO  -  TAM EXG</t>
  </si>
  <si>
    <t>2101069726</t>
  </si>
  <si>
    <t>LENÇOL DE CIMA BRANCO - 400F 100% ALGODÃO - COM FESTONÊ E LOGO BORDADO COR ALABASTRO 07077 - 1,80 X 2,80</t>
  </si>
  <si>
    <t>2101107948</t>
  </si>
  <si>
    <t>CAPA ALMOFADA - 200F 100% ALG - ACAB. ROLOTÊ CINZA C/ LOGO - 0,30 X 0,50</t>
  </si>
  <si>
    <t>2111239744</t>
  </si>
  <si>
    <t>RECHEIO ALMOFADA - 183F MISTO - 0,30 X 0,40</t>
  </si>
  <si>
    <t>2114072775</t>
  </si>
  <si>
    <t>DUVET ( CAPA C/ ZIPER ) - 400F KING ESTAMPA GARDEN - 2,90 X 2,70</t>
  </si>
  <si>
    <t>CINTO ROUPÃO PIQUET MOSAICO - TAM. ÚNICO</t>
  </si>
  <si>
    <t>2121019725</t>
  </si>
  <si>
    <t>GUARDANAPO COM BARRA DE 2cm LINHO ANKARA 55% LINHO E 45% ALGODÃO COR 20 HAVANA AJOUR - 0,50 X 0,50</t>
  </si>
  <si>
    <t>2201029560</t>
  </si>
  <si>
    <t>2201029561</t>
  </si>
  <si>
    <t>RECHEIO DE ROLINHO MANTA SILICONIZADA - 183F MISTO - 0,40 X 0,16</t>
  </si>
  <si>
    <t>3109062776</t>
  </si>
  <si>
    <t>3161094277</t>
  </si>
  <si>
    <t>TOALHA DE MÃO FELPA VELUX BRANCA - 0,25 X 0,25 CLASSIC</t>
  </si>
  <si>
    <t>3302012426</t>
  </si>
  <si>
    <t>92101044086</t>
  </si>
  <si>
    <t>LENÇOL BARRA ESTREITA 4 LADOS - 300F 100% ALGODÃO - 2,70 X 2,90 - COM LINHA DE IDENTIFICAÇÃO AZUL</t>
  </si>
  <si>
    <t>92101066000</t>
  </si>
  <si>
    <t>FRONHA 4 ABAS 5cm - 250F MISTO - ACAB. BOUQUET - 0,50 X 0,70</t>
  </si>
  <si>
    <t>92105029730</t>
  </si>
  <si>
    <t>SUPER FRONHA 4 ABAS 5cm - CLASSIC - 300F 100% ALGODÃO - 0,50 X 0,90</t>
  </si>
  <si>
    <t>92110300739</t>
  </si>
  <si>
    <t>CAPA ALMOFADA 4 ABAS - 250F MISTO - ACAB, BOUQUET - 0,30 X 0,40</t>
  </si>
  <si>
    <t>92111239728</t>
  </si>
  <si>
    <t>92112029729</t>
  </si>
  <si>
    <t>LENÇOL DE CIMA - 250F MISTO - ACAB. BOUQUET - 2,90 X 2,60</t>
  </si>
  <si>
    <t>5456</t>
  </si>
  <si>
    <t>ISRAEL DE ALMEIDA PELLEGRIN</t>
  </si>
  <si>
    <t>ISRAEL DE ALMEIDA PE</t>
  </si>
  <si>
    <t>00001718759908</t>
  </si>
  <si>
    <t>5457</t>
  </si>
  <si>
    <t>ANALU TRICOT BEBE LTDA</t>
  </si>
  <si>
    <t>ANALU TRICOT BEBE</t>
  </si>
  <si>
    <t>64778019000146</t>
  </si>
  <si>
    <t>5458</t>
  </si>
  <si>
    <t>58.380.505  JOSETE GAMA FERNANDES</t>
  </si>
  <si>
    <t>JOSETE GAMA FERNANDE</t>
  </si>
  <si>
    <t>58380505000109</t>
  </si>
  <si>
    <t>5459</t>
  </si>
  <si>
    <t>SUYTS LTDA</t>
  </si>
  <si>
    <t>55417522000185</t>
  </si>
  <si>
    <t>5460</t>
  </si>
  <si>
    <t>UBER DO BRASIL TECNOLOGIA LTDA</t>
  </si>
  <si>
    <t>UBER DO BRASIL TECNO</t>
  </si>
  <si>
    <t>17895646000187</t>
  </si>
  <si>
    <t>ALGUMAS PEÇAS C/ DEFEITO</t>
  </si>
  <si>
    <t>VOLTOU 26 PEÇAS P- CONSERTO, ENRUGADA A COSTURA</t>
  </si>
  <si>
    <t>K5244</t>
  </si>
  <si>
    <t>NÃO FOI BEM REVISADO</t>
  </si>
  <si>
    <t xml:space="preserve">K6840 ( R ) , K6839 ( M ) </t>
  </si>
  <si>
    <t>REPOSIÇÃO, K5495</t>
  </si>
  <si>
    <t>JÁ FOI PAGO</t>
  </si>
  <si>
    <t>K6752 (PISCINA) REPOSIÇÃO, TOALHA FOI PARA CLIENTE S/ BORDAR</t>
  </si>
  <si>
    <t>ALGUMAS PEÇAS C/ PROBLEMA NO VIES</t>
  </si>
  <si>
    <t>K3670A, 1 PEÇA NÃO FOI BORDADA, ESTAVA C/ UMA MANCHA NO TECIDO</t>
  </si>
  <si>
    <t>Bordado  na Keyborder atrasou para entregar</t>
  </si>
  <si>
    <t>17057 / 17065</t>
  </si>
  <si>
    <t>K5495, TAM EXG</t>
  </si>
  <si>
    <t>K5495 TAM GG</t>
  </si>
  <si>
    <t>K5495 TAM G</t>
  </si>
  <si>
    <t>k5495 , 4 PEÇAS FURADAS, NÃO FOI COBRADO O BORDADO</t>
  </si>
  <si>
    <t>K3670A, 1 PEÇA É REPOSIÇÃO</t>
  </si>
  <si>
    <t>TAMANHO GG</t>
  </si>
  <si>
    <t>K5495, UM LENÇOL FURADO</t>
  </si>
  <si>
    <t>2101065692</t>
  </si>
  <si>
    <t>LENÇOL BARRA ESTREITA 4 LADOS CLASSIC 300F 100% ALGODÃO 2,90 X 2,90</t>
  </si>
  <si>
    <t>2101068805</t>
  </si>
  <si>
    <t>LENÇOL BRANCO - 400F SEM FESTONÊ E SEM LOGO BORDADO - 1,80 X 2,80</t>
  </si>
  <si>
    <t>2102057307</t>
  </si>
  <si>
    <t>LENÇOL CIMA CLASSIC 300F 100% ALGODÃO 2,90 X 2,45</t>
  </si>
  <si>
    <t>2102065599</t>
  </si>
  <si>
    <t>LENÇOL CIMA - 400F 100% ALGODÃO - FESTONÊ BRANCO - 2,50 X 2,45</t>
  </si>
  <si>
    <t>2102222749</t>
  </si>
  <si>
    <t>FRONHA ENVELOPE - 180F 100% ALGODÃO - COM LOGO BORDADO COR ALABASTRO 07077 - 0,50 X 0,70</t>
  </si>
  <si>
    <t>2103067072</t>
  </si>
  <si>
    <t>FRONHA 2 ABAS 5cm - 400F 100% ALGODÃO - FESTONÊ BRANCO - 0,50 X 0,70</t>
  </si>
  <si>
    <t>2104142469</t>
  </si>
  <si>
    <t>2105028791</t>
  </si>
  <si>
    <t>SUPER FRONHA 3 ABAS 5CM 300 FIOS 100% ALG CLASSIC 50 X 90</t>
  </si>
  <si>
    <t>2106229468</t>
  </si>
  <si>
    <t>CAPA ROLÃO 2 ABAS - 180F MISTO - CLASSIC - 0,90 X 0,25</t>
  </si>
  <si>
    <t>2113017994</t>
  </si>
  <si>
    <t>DUVET (CAPA) MODE ENVELOPE 300F 100% ALGODÃO ACAB CLASSIC 1,80 X 2,40</t>
  </si>
  <si>
    <t>2115188810</t>
  </si>
  <si>
    <t>CAPA (DUVET) CLASSIC MOD. MÃOZINHA C/ ENVELOPE 300F 100% ALGODÃO 2,90 X 2,45</t>
  </si>
  <si>
    <t>2115709705</t>
  </si>
  <si>
    <t>2201029037</t>
  </si>
  <si>
    <t>GUARDANAPO CLASSIC - BARRA 2cm - 80% ALGODÃO E 20% LINHO COR VERDE MINERAL 289 - 0,50 X 0,50</t>
  </si>
  <si>
    <t>2201029038</t>
  </si>
  <si>
    <t>ZLH780 LENÇOL BERÇO ZISSOU COM ELÁSTICO FLORA
ROSA 0,70 X 1,30 X 0,10</t>
  </si>
  <si>
    <t>CAPA ALMOFADA CINZA - 300F BAMBOO 100% ALG - 0,40 X 0,60 ( MESMO MODELO GARDEN SEM ABS E COM ZÍPER )</t>
  </si>
  <si>
    <t>3301079772</t>
  </si>
  <si>
    <t>ROUPÃO PITTI GOLA XALE TAM G</t>
  </si>
  <si>
    <t>3301093991</t>
  </si>
  <si>
    <t>EMBALAGEM EDREDOM ZISSOU SOLTEIRO</t>
  </si>
  <si>
    <t>4407129611</t>
  </si>
  <si>
    <t>EMBALAGEM EDREDON ZISSOU CASAL</t>
  </si>
  <si>
    <t>4407129612</t>
  </si>
  <si>
    <t>ZLH747 JG LENÇOL ZISSOU ACAB CORDONÊ 400F 100%
ALG BRANCO QUEEN LB 1,58 X 1,98 X 0,32 / LC 2,50 X2,45 / FR 0,53 X 0,73</t>
  </si>
  <si>
    <t>92101069533</t>
  </si>
  <si>
    <t>ZLH749 JG LENÇOL ZISSOU ACAB CORDONÊ 400F 100%
ALG ROSÉ QUEEN LB 1,58 X 1,98 X 0,32 / LC 2,50 X 2,45 /
FR 0,53 X 0,73</t>
  </si>
  <si>
    <t>92101069534</t>
  </si>
  <si>
    <t>ZLH748 JG LENÇOL ZISSOU ACAB CORDONÊ 400F 100%
ALG AREIA QUEEN LB 1,58 X 1,98 X 0,32 / LC 2,50 X 2,45 /
FR 0,53 X 0,73</t>
  </si>
  <si>
    <t>92101069535</t>
  </si>
  <si>
    <t>ZLH769 PAR DE FRONHA ZISSOU XADREZ ACAB. CORDONÊ COR AREIA VOLTA TODA MOD ENVELOPE 0,53 X 0,73</t>
  </si>
  <si>
    <t>92101069537</t>
  </si>
  <si>
    <t>ZLH759 JG LENÇOL ZISSOU ACAB CORDONÊ LISTRAS400F 100% ALG BRANCO SOLTEIRO LB 0,96 X 2,03 X 0,32/ LC 1,90 X 2,40 / FR 0,53 X 0,73</t>
  </si>
  <si>
    <t>92101069580</t>
  </si>
  <si>
    <t>ZLH762 JG LENÇOL ZISSOU ACAB CORDONÊ LISTRAS
400F 100% ALG BRANCO CASAL LB 1,38 X 1,88 X 0,32 / LC2,30 X 2,35 / FR 0,53 X 0,73</t>
  </si>
  <si>
    <t>92101069581</t>
  </si>
  <si>
    <t>ZLH772 CAPA DUVET ZISSOU DUO LISTRAS ( FRENTE: LISTRAS / VERSO: 400F% 100% ALG AZUL ) ACAB. CORDONÊ AZUL SOLTEIRO C/ ZÍPER 1,80 X 2,45</t>
  </si>
  <si>
    <t>92101069582</t>
  </si>
  <si>
    <t>ZLH773 CAPA DUVET ZISSOU DUO LISTRAS ( FRENTE: LISTRAS / VERSO: 400F 100% ALG AZUL ACAB. CORDONE AZUL CASAL C/ ZÍPER 2,20 X 2,45</t>
  </si>
  <si>
    <t>92101069583</t>
  </si>
  <si>
    <t>92101069584</t>
  </si>
  <si>
    <t>92101069585</t>
  </si>
  <si>
    <t>ZLH767 CAPA DUVET ZISSOU XADREZ DUO (FRENTE:
XADREZ / VERSO: 400F 100% ALG AREIA) KING BR/KING
ACAB. CORDONÊ VOLTA TODA COR AREIA C/ ZÍPER 2,90
X 2,45</t>
  </si>
  <si>
    <t>92101069586</t>
  </si>
  <si>
    <t>ZLH744 JG LENÇOL ZISSOU ACAB CORDONÊ 400F 100%
ALG BRANCO CASAL LB 1,38 X 1,88 X 0,32 / LC 2,30 X 2,35
/ FR 0,53 X 0,73</t>
  </si>
  <si>
    <t>92101069590</t>
  </si>
  <si>
    <t>ZLH745 JG LENÇOL ZISSOU ACAB CORDONÊ 400F 100%
ALG AREIA CASAL LB 1,38 X 1,88 X 0,32 / LC 2,30 X 2,35 /
FR 0,53 X 0,73</t>
  </si>
  <si>
    <t>92101069591</t>
  </si>
  <si>
    <t>ZLH746 JG LENÇOL ZISSOU ACAB CORDONÊ 400F 100%
ALG ROSÉ LB 1,38 X 1,88 X 0,32 / LC 2,30 X 2,35 / FR 0,53
X 0,73</t>
  </si>
  <si>
    <t>92101069592</t>
  </si>
  <si>
    <t>ZLH750 JG LENÇOL ZISSOU ACAB CORDONÊ 400F 100% ALG BRANCO KING LB 1,93 X 2,03 X 0,32 LC 2,75 X 2,45 FR 0,53 X 0,73</t>
  </si>
  <si>
    <t>92101069593</t>
  </si>
  <si>
    <t>ZLH751 JG LENÇOL ZISSOU ACAB CORDONÊ 400F 100% ALG AREIA KING LB 1,93 X 2,03 X 0,32 LC 2,75 X 2,45 FR0,53 X 0,73</t>
  </si>
  <si>
    <t>92101069594</t>
  </si>
  <si>
    <t>ZLH752 JG LENÇOL ZISSOU ACAB CORDONÊ 400F 100% ALG ROSÉ KING LB 1,93 X 2,03 X 0,32 LC 2,75 X 2,45 FR0,53 X 0,73</t>
  </si>
  <si>
    <t>92101069595</t>
  </si>
  <si>
    <t>ZLH761 JG LENÇOL ZISSOU ACAB CORDONÊ FLORA
ROSA 400F 100% ALG ROSA SOLTEIRO LB 0,96 X 2,03 X0,32 / LC 1,90 X 2,40 / FR 0,53 X 0,73</t>
  </si>
  <si>
    <t>92101069655</t>
  </si>
  <si>
    <t>ZLH764 JG LENÇOL ZISSOU ACAB CORDONÊ FLORA
ROSA 400F 100% ALG ROSA CASAL LB 1,38 X 1,88 X 0,32
/ LC 2,30 X 2,35 / FR 0,53 X 0,73</t>
  </si>
  <si>
    <t>92101069656</t>
  </si>
  <si>
    <t>ZLH760 JG LENÇOL ZISSOU ACAB CORDONÊ FLORA AZUL - 400F 100% ALG AZUL SOLTEIRO LB 0,96 X 2,03 X0,32 / LC 1,90 X 2,40 / FR 0,53 X 0,73</t>
  </si>
  <si>
    <t>92101069657</t>
  </si>
  <si>
    <t>ZLH763 JG LENÇOL ZISSOU ACAB CORDONÊ FLORAL AZUL - 400F 100% ALG AZUL CASAL LB 1,38 X 1,88 X 0,32 / LC 2,30 X 2,35 / FR 0,53 X 0,73</t>
  </si>
  <si>
    <t>92101069659</t>
  </si>
  <si>
    <t>ZLH770 CAPA DUVET ZISSOU DUO FLORA ( FRENTE: FLORAL AZUL / VERSO: FLORAL ROSA) ACAB. CORDONÊ FLORAL AZUL C/ ZIPER - 1,80 X 2,45</t>
  </si>
  <si>
    <t>92101069661</t>
  </si>
  <si>
    <t>ZLH771 CAPA DUVET ZISSOU DUO FLORA ( FRENTE: FLORAL AZUL / VERSO: FLORAL ROSA) ACAB. CORDONÊ FLORAL AZUL CASAL C/ ZÍPER 2,20 X 2,45</t>
  </si>
  <si>
    <t>92101069665</t>
  </si>
  <si>
    <t>ZLH765 CAPA DUVET ZISSOU DUO XADREZ ( FRENTE:
XADREZ / VERSO: 400F 100% ALG AREIA) CASAL/QUEEN
ACAB CORDONÊ VOLTA TODA COR AREIA C/ ZÍPER 2,60
X 2,45</t>
  </si>
  <si>
    <t>92101069667</t>
  </si>
  <si>
    <t>ZLH774 PAR DE FRONHA ZISSOU DUO FLORA ( FRENTE: FLORAL AZUL / VERSO: FLORAL ROSA) ACAB. CORDONÊ VOLTA TODA MOD ENVELOPE 0,53 X 0,73</t>
  </si>
  <si>
    <t>92101069668</t>
  </si>
  <si>
    <t>ZLH776 ALMOFADA ZISSOU XADREZ ACAB. CORDONÊ
COR AREIA MOD. ENVELOPE + RECHEIO 0,30 X 0,50</t>
  </si>
  <si>
    <t>92101069672</t>
  </si>
  <si>
    <t>ZLH777 ALMOFADA ZISSOU DUO FLORA ( FRENTE: FLORAL AZUL / VERSO: FLORAL ROSA) ACAB. BABADO DUPLO   C/ ZÍPER + RECHEIO 0,50 X 0,50</t>
  </si>
  <si>
    <t>92101069674</t>
  </si>
  <si>
    <t>ZLH779 LENÇOL BERÇO ZISSOU COM ELÁSTICO
LISTRAS 0,70 X 1,30 X 0,10</t>
  </si>
  <si>
    <t>93161095337</t>
  </si>
  <si>
    <t>ZLH782 TOALHA ZISSOU BABY LISTRAS COM CAPUZ E
VIÉS 0,70 X 0,90</t>
  </si>
  <si>
    <t>93161099734</t>
  </si>
  <si>
    <t>ZLH783 TOALHA ZISSOU BABY FLORA ROSA COM
CAPUZ E VIÉS 0,70 X 0,90</t>
  </si>
  <si>
    <t>93161099735</t>
  </si>
  <si>
    <t>ZLH784 TOALHA ZISSOU BABY FLORA AZUL COM CAPUZ
E VIÉS 0,70 X 0,90</t>
  </si>
  <si>
    <t>93161099736</t>
  </si>
  <si>
    <t>ZLH781 LENÇOL BERÇO ZISSOU COM ELÁSTICO FLORA
AZUL 0,70 X 1,30 X 0,10</t>
  </si>
  <si>
    <t>93161099738</t>
  </si>
  <si>
    <t>FRONHA 3 ABAS 5CM 230F MISTO CLASSIC 0,50 X 0,70</t>
  </si>
  <si>
    <t>DUAS  FRONHAS FALTANDO OS FUNDOS.</t>
  </si>
  <si>
    <t>10 PEÇAS VOLTOU PARA OFICINA CONSERTAR AS PEÇAS, RETORNO 09/04</t>
  </si>
  <si>
    <t>PEÇAS C/ DEFEITO, CONSERTOU NO ATELIE</t>
  </si>
  <si>
    <t xml:space="preserve">FRONHA 4 ABAS 5CM COM ACABAMENTO FESTONE E LOGO BORDADO COR ALABASTRO 07077 50 X 70 </t>
  </si>
  <si>
    <t>17100 / 17101</t>
  </si>
  <si>
    <t>16/04/2026 - 17/04/2026</t>
  </si>
  <si>
    <t>ABA C/ 5,5 CM, CONSERTOU NO ATELIE, COSTURA DO QUADRO ENRUGADA</t>
  </si>
  <si>
    <t>K5496</t>
  </si>
  <si>
    <t>TAMANHO G, 38 PEÇAS C/ DEFEITO, VOLTOU PARA OFICINA CONSERTAR</t>
  </si>
  <si>
    <t>17103 / 17104</t>
  </si>
  <si>
    <t>LENÇOL DE CIMA - 400F 100% BCO - 1,90 X 2,30 - ACABAMENTO CORDONÊ BRANCO E VIRA BORDADA</t>
  </si>
  <si>
    <t>FRONHA ENVELOPE 3 ABAS - 400F 100% ALG BCO - BORDADO ANDORINHA - 0,50 X 0,70</t>
  </si>
  <si>
    <t>K4646B</t>
  </si>
  <si>
    <t>10 A 12 ANOS</t>
  </si>
  <si>
    <t>6 A 8 ANOS</t>
  </si>
  <si>
    <t>2 A 4 ANOS</t>
  </si>
  <si>
    <t>LENÇOL DE CIMA BABY 400F CORDONÊ BRANCO 1,10 X 1,60</t>
  </si>
  <si>
    <t>LENÇOL DE ELÁSTICO 0,70 X 1,30</t>
  </si>
  <si>
    <t>LENÇOL DE CIMA BABY 400F CORDONÊ AZUL (TECIDO CONFORT)  1,10 X 1,60</t>
  </si>
  <si>
    <t>FRONHA SEM ABA C/ ACABAMENTO CORDONÊ ENT. 2 LADOS BRANCO 0,30 X 0,40</t>
  </si>
  <si>
    <t>FRONHA SEM ABA C/ ACABAMENTO CORDONÊ ENT. 2 LADOS AZUL (TECIDO CONFORT) 0,30 X 0,40</t>
  </si>
  <si>
    <t>LENÇOL DE CIMA BABY 400F CORDONÊ VERDE  1,10 X 1,60</t>
  </si>
  <si>
    <t>FRONHA SEM ABA C/ ACABAMENTO CORDONÊ ENT. 2 LADOS STONE 0,30 X 0,40</t>
  </si>
  <si>
    <t>LENÇOL DE CIMA BABY 400F CORDONÊ STONE  1,10 X 1,60</t>
  </si>
  <si>
    <t>FRONHA SEM ABA C/ ACABAMENTO CORDONÊ ENT. 2 LADOS VERDE 0,30 X 0,40</t>
  </si>
  <si>
    <t>LENÇOL DE CIMA BABY 400F CORDONÊ ROSE  1,10 X 1,60</t>
  </si>
  <si>
    <t>FRONHA SEM ABA C/ ACABAMENTO CORDONÊ ENT. 2 LADOS ROSE 0,30 X 0,40</t>
  </si>
  <si>
    <t>LENÇOL DE CIMA BABY 400F CORDONÊ BEGE  1,10 X 1,60</t>
  </si>
  <si>
    <t>FRONHA SEM ABA C/ ACABAMENTO CORDONÊ ENT. 2 LADOS BEGE 0,30 X 0,40</t>
  </si>
  <si>
    <t>LENÇOL DE CIMA SOLTEIRO 400F CORDONÊ BRANCO  1,60 X 2,20</t>
  </si>
  <si>
    <t>LENÇOL DE ELÁSTICO 0,88 X 1,88 X 0,20</t>
  </si>
  <si>
    <t>FRONHA SEM ABA C/ ACABAMENTO CORDONÊ ENT. 2 LADOS BRANCO 0,50 X 0,70</t>
  </si>
  <si>
    <t>LENÇOL DE CIMA SOLTEIRO 400F CORDONÊ AZUL (TECIDO CONFORT)  1,60 X 2,20</t>
  </si>
  <si>
    <t>FRONHA SEM ABA C/ ACABAMENTO CORDONÊ ENT. 2 LADOS AZUL (TECDIO CONFORT) 0,50 X 0,70</t>
  </si>
  <si>
    <t>LENÇOL DE CIMA SOLTEIRO 400F CORDONÊ VERDE  1,60 X 2,20</t>
  </si>
  <si>
    <t>FRONHA SEM ABA C/ ACABAMENTO CORDONÊ ENT. 2 LADOS VERDE 0,50 X 0,70</t>
  </si>
  <si>
    <t>LENÇOL DE CIMA SOLTEIRO 400F CORDONÊ STONE  1,60 X 2,20</t>
  </si>
  <si>
    <t>FRONHA SEM ABA C/ ACABAMENTO CORDONÊ ENT. 2 LADOS STONE 0,50 X 0,70</t>
  </si>
  <si>
    <t>LENÇOL DE CIMA SOLTEIRO 400F CORDONÊ ROSE  1,60 X 2,20</t>
  </si>
  <si>
    <t>FRONHA SEM ABA C/ ACABAMENTO CORDONÊ ENT. 2 LADOS ROSE 0,50 X 0,70</t>
  </si>
  <si>
    <t>LENÇOL DE CIMA SOLTEIRO 400F CORDONÊ BEGE  1,60 X 2,20</t>
  </si>
  <si>
    <t>FRONHA SEM ABA C/ ACABAMENTO CORDONÊ ENT. 2 LADOS BEGE 0,50 X 0,70</t>
  </si>
  <si>
    <t>Kato Silk</t>
  </si>
  <si>
    <t>Lençol Avulso</t>
  </si>
  <si>
    <t>2101012393</t>
  </si>
  <si>
    <t>Lençol de baixo avulso</t>
  </si>
  <si>
    <t>2101012401</t>
  </si>
  <si>
    <t>2101012407</t>
  </si>
  <si>
    <t>2101012447</t>
  </si>
  <si>
    <t>Rolo lateral avulso</t>
  </si>
  <si>
    <t>2101012452</t>
  </si>
  <si>
    <t>2101012454</t>
  </si>
  <si>
    <t>2101012979</t>
  </si>
  <si>
    <t>2101014250</t>
  </si>
  <si>
    <t>ROLO AVULSO - COLEÇÃO FOLHAS + RECHEIO</t>
  </si>
  <si>
    <t>2101019656</t>
  </si>
  <si>
    <t>ROLO AVULSO - 400F 100% ALG. ACAB. CORDONÊ BEGE + RECHEIO</t>
  </si>
  <si>
    <t>2101019658</t>
  </si>
  <si>
    <t>Lençol de Baixo com elástico Mini Berço</t>
  </si>
  <si>
    <t>2101022497</t>
  </si>
  <si>
    <t>2101022499</t>
  </si>
  <si>
    <t>2101022975</t>
  </si>
  <si>
    <t>2101024288</t>
  </si>
  <si>
    <t>Lençol de Baixo com elástico Berço</t>
  </si>
  <si>
    <t>LENÇOL BAIXO COM ELÁSTICO 250F MISTO 0,88 X 1,88 X0,15</t>
  </si>
  <si>
    <t>2101029613</t>
  </si>
  <si>
    <t>Fronha Avulsa</t>
  </si>
  <si>
    <t>2101042368</t>
  </si>
  <si>
    <t>2101042369</t>
  </si>
  <si>
    <t>2101042975</t>
  </si>
  <si>
    <t>2101042976</t>
  </si>
  <si>
    <t>LENÇOL DE CIMA 270 FIOS MISTO STRIPE ESTREITOVERTICAL CLASSIC 2,50X 2,45</t>
  </si>
  <si>
    <t>2101049617</t>
  </si>
  <si>
    <t>LENÇOL DE BAIXO C/ ELASTICO 270 FIOS MISTO STRIPE
ESTREITO VERTICAL 1,60 X 2,00 X 0,30</t>
  </si>
  <si>
    <t>2101049619</t>
  </si>
  <si>
    <t>LENÇOL BAIXO C/ ELÁSTICO - 200F 100% ALGODÃO - 1,93 X 2,03 X 0,20</t>
  </si>
  <si>
    <t>2101049753</t>
  </si>
  <si>
    <t>LENÇOL CIMA ACABAMENTO CLASSIC 250 FIOS MISTO1,40 X 2,10</t>
  </si>
  <si>
    <t>2101059620</t>
  </si>
  <si>
    <t>Capa Duvet</t>
  </si>
  <si>
    <t>2101064252</t>
  </si>
  <si>
    <t>2101064272</t>
  </si>
  <si>
    <t>2101064285</t>
  </si>
  <si>
    <t>2101064286</t>
  </si>
  <si>
    <t>2101064314</t>
  </si>
  <si>
    <t>2101065171</t>
  </si>
  <si>
    <t>2101065196</t>
  </si>
  <si>
    <t>FRONHA 2 ABAS 5CM 270F MISTO STRIPE ESTREITO 0,5
CM CLASSIC (HORIZONTAL) 0,50 X 0,70</t>
  </si>
  <si>
    <t>2101068416</t>
  </si>
  <si>
    <t>LENÇOL BARRA ESTREITA - 300F MISTO LISO - 1,60 X 2,50</t>
  </si>
  <si>
    <t>2101069635</t>
  </si>
  <si>
    <t>JOGO DE LENÇOL DODICCI - 400F - COR 07124 MUSGUINHO - CASAL</t>
  </si>
  <si>
    <t>2101069709</t>
  </si>
  <si>
    <t>JOGO DE LENÇOL DODICCI - 400F - COR 07124 MUSGUINHO - QUEEN</t>
  </si>
  <si>
    <t>2101069710</t>
  </si>
  <si>
    <t>JOGO DE LENÇOL DODICCI - 400F COR 07124 MUSGUINHO - KING</t>
  </si>
  <si>
    <t>2101069711</t>
  </si>
  <si>
    <t>JOGO DE LENÇOL DODICCI - 400F - COR 07016 LOTUS - CASAL</t>
  </si>
  <si>
    <t>2101069712</t>
  </si>
  <si>
    <t>JOGO DE LENÇOL DODICCI - 400F - COR 07016 LOTUS - QUEEN</t>
  </si>
  <si>
    <t>2101069713</t>
  </si>
  <si>
    <t>JOGO DE LENÇOL DODICCI - 400F COR 07016 LOTUS - KING</t>
  </si>
  <si>
    <t>2101069714</t>
  </si>
  <si>
    <t>JOGO DE LENÇOL DODICCI - 400F - COR 07191 AREIA CAVA - CASAL</t>
  </si>
  <si>
    <t>2101069715</t>
  </si>
  <si>
    <t>JOGO DE LENÇOL DODICCI - 400F - COR 07191 AREIA CAVA - QUEEN</t>
  </si>
  <si>
    <t>2101069716</t>
  </si>
  <si>
    <t>JOGO DE LENÇOL DODICCI - 400F COR 07191 AREIA CAVA - KING</t>
  </si>
  <si>
    <t>2101069717</t>
  </si>
  <si>
    <t>JOGO DE LENÇOL 400F - QUEEN - CAQUI</t>
  </si>
  <si>
    <t>2101069718</t>
  </si>
  <si>
    <t>JOGO DE LENÇOL NEW MILLE CAQUI - 400F</t>
  </si>
  <si>
    <t>2101069719</t>
  </si>
  <si>
    <t>JOGO DE LENÇOL 400F - QUEEN - MOZART CINZA</t>
  </si>
  <si>
    <t>2101069720</t>
  </si>
  <si>
    <t>JOGO DE LENÇOL NEW MILLE MOZART CINZA - 400F</t>
  </si>
  <si>
    <t>2101069721</t>
  </si>
  <si>
    <t>LENÇOL BAIXO C/ ELÁSTICO - 200F 100% ALG - 1,58 X 1,98 X 0,20</t>
  </si>
  <si>
    <t>2101069744</t>
  </si>
  <si>
    <t>LENÇOL DE CIMA BRANCO - 400F 100% ALG - COM FESTONÊ E LOGO S* BORDADO COR ALABASTRO 07077 - 1,80 X 2,80</t>
  </si>
  <si>
    <t>LENÇOL BRANCO - 180F 100% - ALGODÃO COM LOGO BORDADO COR ALABASTRO 07077 - 1,80 X 2,80</t>
  </si>
  <si>
    <t>2101107946</t>
  </si>
  <si>
    <t>LENÇOL CIMA 300F 100% ALG BELAGIO CASTOR - 2,90 X 2,60</t>
  </si>
  <si>
    <t>2102029565</t>
  </si>
  <si>
    <t>LENÇOL CIMA - 200F 100% ALG CLASSIC - 2,30 X 2,35</t>
  </si>
  <si>
    <t>2102029772</t>
  </si>
  <si>
    <t>LENÇOL DE CIMA - 200F 100% ALG. - CLASSIC - 2,60 X 2,40</t>
  </si>
  <si>
    <t>2102039754</t>
  </si>
  <si>
    <t>LENÇOL BAIXO COM ELÁSTICO 300F 100% ALGODÃO 1,98 X 2,03 X 0,40</t>
  </si>
  <si>
    <t>2102059758</t>
  </si>
  <si>
    <t>CAPA (DUVET) CLASSIC MOD. MÃOZINHA C/ ENVELOPE - 200F 100% ALGODÃO - 2,30 X 2,35</t>
  </si>
  <si>
    <t>2102309746</t>
  </si>
  <si>
    <t>FRONHA 2 ABAS 5cm - CLASSIC - 200F 100% ALGODÃO - 0,50 X 0,70</t>
  </si>
  <si>
    <t>2104020250</t>
  </si>
  <si>
    <t>2104050678</t>
  </si>
  <si>
    <t>2104122318</t>
  </si>
  <si>
    <t>2104122399</t>
  </si>
  <si>
    <t>Fronha Avulsa envelope c/ 2 abas</t>
  </si>
  <si>
    <t>2104124247</t>
  </si>
  <si>
    <t>2104124251</t>
  </si>
  <si>
    <t>2104124263</t>
  </si>
  <si>
    <t>2104124280</t>
  </si>
  <si>
    <t>2104124304</t>
  </si>
  <si>
    <t>2104124322</t>
  </si>
  <si>
    <t>2104125261</t>
  </si>
  <si>
    <t>FRONHA 2 ABAS 5CM 250F MISTO CLASSIC 0,50 X 0,70</t>
  </si>
  <si>
    <t>2104476208</t>
  </si>
  <si>
    <t>FRONHA 3 ABAS 5CM 300F BELLAGIO CASTOR 0,50 X 0,70</t>
  </si>
  <si>
    <t>2105146436</t>
  </si>
  <si>
    <t>SUPER FRONHA 3 ABAS 5CM 300F BELLAGIO CASTOR - 0,50 X 0,90</t>
  </si>
  <si>
    <t>2110266433</t>
  </si>
  <si>
    <t>RECHEIO ALMOFADA 183F MISTO 0,50 X 0,50</t>
  </si>
  <si>
    <t>2114079648</t>
  </si>
  <si>
    <t>2115012309</t>
  </si>
  <si>
    <t>2115012372</t>
  </si>
  <si>
    <t>Capa Duvet Berço</t>
  </si>
  <si>
    <t>2115012833</t>
  </si>
  <si>
    <t>2115012980</t>
  </si>
  <si>
    <t>Capa de duvet  Berço</t>
  </si>
  <si>
    <t>2115015214</t>
  </si>
  <si>
    <t>2115015224</t>
  </si>
  <si>
    <t>2115015228</t>
  </si>
  <si>
    <t>2115015235</t>
  </si>
  <si>
    <t>2115015238</t>
  </si>
  <si>
    <t>2115015253</t>
  </si>
  <si>
    <t>2115015948</t>
  </si>
  <si>
    <t>CAPA DUVET CASAL - COLEÇÃO OURIÇO - 2,00 X 2,20</t>
  </si>
  <si>
    <t>2115019657</t>
  </si>
  <si>
    <t>DUVET (CAPA) 300F BELLAGIO CASTOR ACAB EM U 2,90
X 2,60</t>
  </si>
  <si>
    <t>2115026551</t>
  </si>
  <si>
    <t>2115052438</t>
  </si>
  <si>
    <t>CAPA DUVET CLASSIC 270F MISTO STRIPE ESTREITO
VERTICAL C/ ENVELOPE 2,50 X 2,45</t>
  </si>
  <si>
    <t>2115059618</t>
  </si>
  <si>
    <t>CAPA (DUVET) CLASSIC - MOD. MÃOZINHA C/ ENVELOPE - 200F 100% ALGODÃO - 2,60 X 2,40</t>
  </si>
  <si>
    <t>2115709755</t>
  </si>
  <si>
    <t>CAPA DUVET CLASSIC C/ ENVELOPE400 FIOS 100%ALGODÃO 1,80 X 2,40</t>
  </si>
  <si>
    <t>2115762167</t>
  </si>
  <si>
    <t>Recheio - 180 fios misto 200 gramas</t>
  </si>
  <si>
    <t>2117022312</t>
  </si>
  <si>
    <t>SAIA PIQUET MOSAICO COM MOLDURA E TRANSPASSE COM VELCRO COR BRANCA 1,10 X 2,00 X 0,23</t>
  </si>
  <si>
    <t>2120029634</t>
  </si>
  <si>
    <t>COLCHA PIQUET PALLONCINO - 2,60 X 2,40</t>
  </si>
  <si>
    <t>2121049747</t>
  </si>
  <si>
    <t>COLCHA PIQUET PALLONCINO - 2,30 X 2,35</t>
  </si>
  <si>
    <t>2121049750</t>
  </si>
  <si>
    <t>PONCHO FELPA BRANCA ESTAMPADA JABUTI - 10 ANOS</t>
  </si>
  <si>
    <t>2161229639</t>
  </si>
  <si>
    <t>GUARDANAPO CLASSIC BARRA 2CM 80% ALGODÃO E 20% LINHO  , COR CRU 396 0,50 X 0,50</t>
  </si>
  <si>
    <t>GUARDANAPO CLASSIC COTTON LINEM  80%ALGDÃO E 20% LINHO , COR 258 CARAMELO 0,50 X 0,50</t>
  </si>
  <si>
    <t>2302522574</t>
  </si>
  <si>
    <t>ALMOFADA TRICOT JABUTI</t>
  </si>
  <si>
    <t>3101052439</t>
  </si>
  <si>
    <t>ALMOFADA TRICOT ARVORE BOLA - AMARELO</t>
  </si>
  <si>
    <t>3101052440</t>
  </si>
  <si>
    <t>ALMOFADA TRICOT ARVORE GOMO - TERRA</t>
  </si>
  <si>
    <t>3101052441</t>
  </si>
  <si>
    <t>ALMOFADA TRICOT ARVORE PINHEIRO - VERDE</t>
  </si>
  <si>
    <t>3101052442</t>
  </si>
  <si>
    <t>ALMOFADA TRICOT STAR LETRAS A/Z</t>
  </si>
  <si>
    <t>3101052449</t>
  </si>
  <si>
    <t>MANTA OVINA BABY BRIM + SHERPA</t>
  </si>
  <si>
    <t>3101052983</t>
  </si>
  <si>
    <t>Jogo Lençol estampado (lençol de baixo + fronha 30 x 40)</t>
  </si>
  <si>
    <t>3105012362</t>
  </si>
  <si>
    <t>3105012363</t>
  </si>
  <si>
    <t>3105012364</t>
  </si>
  <si>
    <t>KIT 3 CESTAS ORGANIZADORA OURIÇO</t>
  </si>
  <si>
    <t>KIT 3 CESTAS ORGANIZADORA FOLHAS</t>
  </si>
  <si>
    <t>3105012381</t>
  </si>
  <si>
    <t>KIT 3 CESTAS ORGANIZADORA JABUTI</t>
  </si>
  <si>
    <t>3105012385</t>
  </si>
  <si>
    <t>Jogo de lençol</t>
  </si>
  <si>
    <t>3105012408</t>
  </si>
  <si>
    <t>KIT 3 CESTAS ORGANIZADORA BORDADO STAR CINZA</t>
  </si>
  <si>
    <t>3105012423</t>
  </si>
  <si>
    <t>KIT 3 CESTAS ORGANIZADORA ALICE</t>
  </si>
  <si>
    <t>3105012862</t>
  </si>
  <si>
    <t>Jogo de lençol (1FR + 1LB)</t>
  </si>
  <si>
    <t>3105012978</t>
  </si>
  <si>
    <t>3105015106</t>
  </si>
  <si>
    <t>KIT 3 CESTAS ORGANIZADORA BASSET</t>
  </si>
  <si>
    <t>3105015108</t>
  </si>
  <si>
    <t>Toalha banho branco com capuz baby</t>
  </si>
  <si>
    <t>3105015113</t>
  </si>
  <si>
    <t>3105015220</t>
  </si>
  <si>
    <t>KIT 3 CESTAS ORGANIZADORA BORDADO STAR BEGE</t>
  </si>
  <si>
    <t>3105015250</t>
  </si>
  <si>
    <t>KIT 3 CESTAS ORGANIZADORA BORDADO STAR AZUL</t>
  </si>
  <si>
    <t>3105015251</t>
  </si>
  <si>
    <t>KIT 3 CESTAS ORGANIZADORA BORDADO STAR ROSA</t>
  </si>
  <si>
    <t>3105015252</t>
  </si>
  <si>
    <t>TOALHA DE BANHO BRANCA C/ CAPUZ BABY - CORDONÊ VERDE C/ MONOGRAMA NA COR DO CORDONÊ ( VERDE ) - 0,70 X 0,90</t>
  </si>
  <si>
    <t>3105015829</t>
  </si>
  <si>
    <t>KIT 3 CESTAS ORGANIZADORA CAVALINHO</t>
  </si>
  <si>
    <t>3105015962</t>
  </si>
  <si>
    <t>TOALHA DE BANHO BRANCA C/ CAPUZ BABY - CORDONÊ C/ MONOGRAMA COR DO CORDONÊ ( ROSÊ ) - 0,70 X 0,90</t>
  </si>
  <si>
    <t>3105019629</t>
  </si>
  <si>
    <t>JOGO DE LENÇOL FOLHAS SUEDINE 100% ALG - LB 1,10 X 1,88 X 0,30 - FR 0,50 X 0,70</t>
  </si>
  <si>
    <t>3105019641</t>
  </si>
  <si>
    <t>JOGO DE LENÇOL OURIÇO SUEDINE 100% ALG - LB 1,10 X 1,88 X 0,30 - FR 0,50 X 0,70</t>
  </si>
  <si>
    <t>3105019642</t>
  </si>
  <si>
    <t>Capa Duvet Baby</t>
  </si>
  <si>
    <t>3105024243</t>
  </si>
  <si>
    <t>3105025162</t>
  </si>
  <si>
    <t>Hora do Banho</t>
  </si>
  <si>
    <t>3105112411</t>
  </si>
  <si>
    <t>Toalha Prática com Capuz Jabuti</t>
  </si>
  <si>
    <t>3105112415</t>
  </si>
  <si>
    <t>* Matelassado Quadros</t>
  </si>
  <si>
    <t>3105112416</t>
  </si>
  <si>
    <t>3105112434</t>
  </si>
  <si>
    <t>Toalha banho branco com capuz kids</t>
  </si>
  <si>
    <t>3105112435</t>
  </si>
  <si>
    <t>Toalha branca c/ capuz estampado baby</t>
  </si>
  <si>
    <t>3105112437</t>
  </si>
  <si>
    <t>Toalha branca c/ capuz estampado kids</t>
  </si>
  <si>
    <t>3105112438</t>
  </si>
  <si>
    <t>Toalha banho branco com capuz estampado kids</t>
  </si>
  <si>
    <t>3105112802</t>
  </si>
  <si>
    <t>Toalha Prática com Capuz Alice</t>
  </si>
  <si>
    <t>3105112835</t>
  </si>
  <si>
    <t>Pai você é o Cara</t>
  </si>
  <si>
    <t>3105112837</t>
  </si>
  <si>
    <t>Super Mãe</t>
  </si>
  <si>
    <t>3105112839</t>
  </si>
  <si>
    <t>Eu (coração) minha Mãe</t>
  </si>
  <si>
    <t>3105112866</t>
  </si>
  <si>
    <t>Eu (coração) meu Papai</t>
  </si>
  <si>
    <t>3105112868</t>
  </si>
  <si>
    <t>Super Pai</t>
  </si>
  <si>
    <t>3105112870</t>
  </si>
  <si>
    <t>3105114351</t>
  </si>
  <si>
    <t>3105115960</t>
  </si>
  <si>
    <t>3105115961</t>
  </si>
  <si>
    <t>Fraldão</t>
  </si>
  <si>
    <t>Kit 03 Babador (2 - piquet / 1 - todo malha)</t>
  </si>
  <si>
    <t>3161091702</t>
  </si>
  <si>
    <t>Kit Fraldas (1 Ombro com porta chupeta - 2 boca)</t>
  </si>
  <si>
    <t>3161091713</t>
  </si>
  <si>
    <t>3161091714</t>
  </si>
  <si>
    <t>3161091715</t>
  </si>
  <si>
    <t>3161091716</t>
  </si>
  <si>
    <t>3161091717</t>
  </si>
  <si>
    <t>3161091718</t>
  </si>
  <si>
    <t>Kit 03 Babador (2 - piquet / 1 -todo malha)</t>
  </si>
  <si>
    <t>3161091719</t>
  </si>
  <si>
    <t>3161091720</t>
  </si>
  <si>
    <t>Kit Protetor Berço(02 Laterais + 01 Cabeceira + 01 Rolo</t>
  </si>
  <si>
    <t>3161091730</t>
  </si>
  <si>
    <t>3161091731</t>
  </si>
  <si>
    <t>3161091732</t>
  </si>
  <si>
    <t>3161091740</t>
  </si>
  <si>
    <t>3161091741</t>
  </si>
  <si>
    <t>3161091742</t>
  </si>
  <si>
    <t>3161091743</t>
  </si>
  <si>
    <t>3161091744</t>
  </si>
  <si>
    <t>3161091745</t>
  </si>
  <si>
    <t>3161091746</t>
  </si>
  <si>
    <t>3161091747</t>
  </si>
  <si>
    <t>3161091748</t>
  </si>
  <si>
    <t>3161091755</t>
  </si>
  <si>
    <t>3161091756</t>
  </si>
  <si>
    <t>3161091757</t>
  </si>
  <si>
    <t>3161091763</t>
  </si>
  <si>
    <t>3161091764</t>
  </si>
  <si>
    <t>3161091774</t>
  </si>
  <si>
    <t>3161091777</t>
  </si>
  <si>
    <t>Manta cueiro estampada (viés estampado em toda a volta)</t>
  </si>
  <si>
    <t>3161092153</t>
  </si>
  <si>
    <t>Kit Protetor Berço(2 Placas Laterais + 01 Cabeceira + 01 Rolo)</t>
  </si>
  <si>
    <t>3161092302</t>
  </si>
  <si>
    <t>3161092303</t>
  </si>
  <si>
    <t>Jogo de lençol (1FR + 1LB + 1LC)</t>
  </si>
  <si>
    <t>3161092305</t>
  </si>
  <si>
    <t>3161092313</t>
  </si>
  <si>
    <t>3161092314</t>
  </si>
  <si>
    <t>3161092320</t>
  </si>
  <si>
    <t>3161092321</t>
  </si>
  <si>
    <t>3161092322</t>
  </si>
  <si>
    <t>3161092324</t>
  </si>
  <si>
    <t>3161092326</t>
  </si>
  <si>
    <t>3161092329</t>
  </si>
  <si>
    <t>3161092332</t>
  </si>
  <si>
    <t>3161092333</t>
  </si>
  <si>
    <t>3161092334</t>
  </si>
  <si>
    <t>3161092335</t>
  </si>
  <si>
    <t>Kit Protetor Berço (04 Rolos 02 Laterais + 01 Cabeceira + 01 Pé)</t>
  </si>
  <si>
    <t>3161092361</t>
  </si>
  <si>
    <t>Kit 03 Babador ( 1- estampado/liso 1-Liso/ 1-liso com viés estampado)</t>
  </si>
  <si>
    <t>3161092374</t>
  </si>
  <si>
    <t>3161092387</t>
  </si>
  <si>
    <t>3161092549</t>
  </si>
  <si>
    <t>3161092552</t>
  </si>
  <si>
    <t>3161092559</t>
  </si>
  <si>
    <t>3161092565</t>
  </si>
  <si>
    <t>3161092566</t>
  </si>
  <si>
    <t>3161092567</t>
  </si>
  <si>
    <t>3161092568</t>
  </si>
  <si>
    <t>3161092569</t>
  </si>
  <si>
    <t>3161092571</t>
  </si>
  <si>
    <t>3161092572</t>
  </si>
  <si>
    <t>Roupão malha estampado c/ capuz forro liso</t>
  </si>
  <si>
    <t>3161092573</t>
  </si>
  <si>
    <t>3161092574</t>
  </si>
  <si>
    <t>3161092576</t>
  </si>
  <si>
    <t>3161092580</t>
  </si>
  <si>
    <t>3161092582</t>
  </si>
  <si>
    <t>3161092583</t>
  </si>
  <si>
    <t>3161092584</t>
  </si>
  <si>
    <t>3161092585</t>
  </si>
  <si>
    <t>3161092591</t>
  </si>
  <si>
    <t>3161092600</t>
  </si>
  <si>
    <t>3161092603</t>
  </si>
  <si>
    <t>3161092612</t>
  </si>
  <si>
    <t>3161092613</t>
  </si>
  <si>
    <t>Roupão felpa caramelo com orelha urso com Capuz</t>
  </si>
  <si>
    <t>3161092623</t>
  </si>
  <si>
    <t>3161092624</t>
  </si>
  <si>
    <t>3161092625</t>
  </si>
  <si>
    <t>3161092716</t>
  </si>
  <si>
    <t>3161092717</t>
  </si>
  <si>
    <t>3161092793</t>
  </si>
  <si>
    <t>3161092795</t>
  </si>
  <si>
    <t>3161092796</t>
  </si>
  <si>
    <t>3161092969</t>
  </si>
  <si>
    <t>3161092994</t>
  </si>
  <si>
    <t>3161092995</t>
  </si>
  <si>
    <t>3161093559</t>
  </si>
  <si>
    <t>3161093651</t>
  </si>
  <si>
    <t>Protetor de berço 1 rolo grande e 2 almofadas basset</t>
  </si>
  <si>
    <t>3161093759</t>
  </si>
  <si>
    <t>3161093791</t>
  </si>
  <si>
    <t>3161093829</t>
  </si>
  <si>
    <t>3161093830</t>
  </si>
  <si>
    <t>3161093831</t>
  </si>
  <si>
    <t>Jogo de lençol estamp sendo LB + Fr. Bordado</t>
  </si>
  <si>
    <t>3161094210</t>
  </si>
  <si>
    <t>3161094211</t>
  </si>
  <si>
    <t>3161094242</t>
  </si>
  <si>
    <t>Jogo lençol (1Fr + 1LB + 1LC)</t>
  </si>
  <si>
    <t>3161094260</t>
  </si>
  <si>
    <t>3161094276</t>
  </si>
  <si>
    <t>3161094287</t>
  </si>
  <si>
    <t>3161094288</t>
  </si>
  <si>
    <t>3161094297</t>
  </si>
  <si>
    <t>3161094300</t>
  </si>
  <si>
    <t>3161094301</t>
  </si>
  <si>
    <t>3161094318</t>
  </si>
  <si>
    <t>3161094319</t>
  </si>
  <si>
    <t>3161094326</t>
  </si>
  <si>
    <t>3161094467</t>
  </si>
  <si>
    <t>3161094468</t>
  </si>
  <si>
    <t>3161094469</t>
  </si>
  <si>
    <t>3161094470</t>
  </si>
  <si>
    <t>3161094471</t>
  </si>
  <si>
    <t>3161094472</t>
  </si>
  <si>
    <t>Ninho em piquet c/ festone Rosê</t>
  </si>
  <si>
    <t>3161094492</t>
  </si>
  <si>
    <t>Ninho em piquet c/ festone Azul</t>
  </si>
  <si>
    <t>3161094494</t>
  </si>
  <si>
    <t>3161094495</t>
  </si>
  <si>
    <t>3161094496</t>
  </si>
  <si>
    <t>Ninho em piquet c/ festone Cinza</t>
  </si>
  <si>
    <t>3161094497</t>
  </si>
  <si>
    <t>Ninho em piquet c/ festone Bco</t>
  </si>
  <si>
    <t>3161094498</t>
  </si>
  <si>
    <t>3161094499</t>
  </si>
  <si>
    <t>Babador colete em malha cavalinho</t>
  </si>
  <si>
    <t>3161094500</t>
  </si>
  <si>
    <t>Manta Cueiro Cavalinho</t>
  </si>
  <si>
    <t>Toalha branca com capuz kids -bordado cavalinho</t>
  </si>
  <si>
    <t>Kit protetor de berço placas</t>
  </si>
  <si>
    <t>3161095105</t>
  </si>
  <si>
    <t>Capa de duvet bordado</t>
  </si>
  <si>
    <t>3161095109</t>
  </si>
  <si>
    <t>Manta Cueiro suedine com bordado Branco</t>
  </si>
  <si>
    <t>3161095114</t>
  </si>
  <si>
    <t>Manta Cueiro suedine com bordado  rosa</t>
  </si>
  <si>
    <t>Babador colete Alice</t>
  </si>
  <si>
    <t>3161095116</t>
  </si>
  <si>
    <t>Babador colete Ouriço</t>
  </si>
  <si>
    <t>3161095117</t>
  </si>
  <si>
    <t>3161095160</t>
  </si>
  <si>
    <t>3161095161</t>
  </si>
  <si>
    <t>3161095163</t>
  </si>
  <si>
    <t>3161095164</t>
  </si>
  <si>
    <t>3161095188</t>
  </si>
  <si>
    <t>3161095208</t>
  </si>
  <si>
    <t>3161095211</t>
  </si>
  <si>
    <t>3161095212</t>
  </si>
  <si>
    <t>3161095215</t>
  </si>
  <si>
    <t>3161095216</t>
  </si>
  <si>
    <t>3161095217</t>
  </si>
  <si>
    <t>3161095223</t>
  </si>
  <si>
    <t>3161095225</t>
  </si>
  <si>
    <t>3161095226</t>
  </si>
  <si>
    <t>3161095227</t>
  </si>
  <si>
    <t>3161095234</t>
  </si>
  <si>
    <t>3161095236</t>
  </si>
  <si>
    <t>3161095237</t>
  </si>
  <si>
    <t>3161095239</t>
  </si>
  <si>
    <t>3161095240</t>
  </si>
  <si>
    <t>3161095241</t>
  </si>
  <si>
    <t>3161095242</t>
  </si>
  <si>
    <t>3161095248</t>
  </si>
  <si>
    <t>3161095249</t>
  </si>
  <si>
    <t>Babador colete em piquet</t>
  </si>
  <si>
    <t>3161095272</t>
  </si>
  <si>
    <t>3161095273</t>
  </si>
  <si>
    <t>3161095274</t>
  </si>
  <si>
    <t>3161095372</t>
  </si>
  <si>
    <t>Manta Cueiro suedine com bordado  azul</t>
  </si>
  <si>
    <t>3161095839</t>
  </si>
  <si>
    <t>3161095947</t>
  </si>
  <si>
    <t>3161095968</t>
  </si>
  <si>
    <t>FRALDÃO - CORDONÊ VERDE C/ MONOGRAMA - 0,65 X 1,00</t>
  </si>
  <si>
    <t>3161099622</t>
  </si>
  <si>
    <t>JOGO LENÇOL - 400F 100% ALG BCO - BORDADO ANDORINHA - LB C/ ELÁSTICO 1,10 X 1,88 X 0,30 - LC 1,90 X 2,30 - FR 0,50 X 0,70</t>
  </si>
  <si>
    <t>3161099636</t>
  </si>
  <si>
    <t>3161099637</t>
  </si>
  <si>
    <t>JOGO DE LENÇOL CASAL - COLEÇÃO FOLHAS/OURIÇO</t>
  </si>
  <si>
    <t>3161099655</t>
  </si>
  <si>
    <t>JOGO LENÇOL CASAL - 400F 100% ALG. ACABAMENT CORDONÊ BEGE</t>
  </si>
  <si>
    <t>3161099659</t>
  </si>
  <si>
    <t>3161099974</t>
  </si>
  <si>
    <t>JOGO AMERICANO ACQUABLOK PRETO COM ACAB
FESTONÊ PRETO COR 000PT BARRA 2CM 0,35 X 0,50</t>
  </si>
  <si>
    <t>3201019615</t>
  </si>
  <si>
    <t>ALMOFADA TRICOT COGUMELO VERMELHO</t>
  </si>
  <si>
    <t>3301072154</t>
  </si>
  <si>
    <t>MANTA TRICOT LAVANDA BRANCO</t>
  </si>
  <si>
    <t>3301072173</t>
  </si>
  <si>
    <t>MANTA TRICOT LAVANDA M FRONTAL</t>
  </si>
  <si>
    <t>3301072174</t>
  </si>
  <si>
    <t>MANTA TRICOT LAVANDA TERRACOTA</t>
  </si>
  <si>
    <t>3301072175</t>
  </si>
  <si>
    <t>MANTA TRICOT LAVANDA NINIVE</t>
  </si>
  <si>
    <t>3301072176</t>
  </si>
  <si>
    <t>MANTA TRICOT BOTANICO NINIVE</t>
  </si>
  <si>
    <t>3301072177</t>
  </si>
  <si>
    <t>MANTA TRICOT BOTANIC TERRACOTA</t>
  </si>
  <si>
    <t>3301072178</t>
  </si>
  <si>
    <t>MANTA TRICOT BOTANIC M FRONTAL</t>
  </si>
  <si>
    <t>3301072179</t>
  </si>
  <si>
    <t>MANTA TRICOT BAMBOO BRANCO</t>
  </si>
  <si>
    <t>3301072181</t>
  </si>
  <si>
    <t>MANTA TRICOT BAMBOO M FRONTAL</t>
  </si>
  <si>
    <t>3301072182</t>
  </si>
  <si>
    <t>MANTA TRICOT BAMBOO TERRACOTA</t>
  </si>
  <si>
    <t>3301072183</t>
  </si>
  <si>
    <t>MANTA TRICOT BAMBOO NINIVE</t>
  </si>
  <si>
    <t>3301072184</t>
  </si>
  <si>
    <t>CAPA ALMOFADA TRICOT LAVANDA BRANCA</t>
  </si>
  <si>
    <t>3301072185</t>
  </si>
  <si>
    <t>CAPA ALMOFADA TRICOT BOTANIC BRANCA</t>
  </si>
  <si>
    <t>3301072186</t>
  </si>
  <si>
    <t>CAPA ALMOFADA TRICOT BAMBOO BRANCA</t>
  </si>
  <si>
    <t>3301072187</t>
  </si>
  <si>
    <t>CAPA ALMOFADA TRICOT LAVANDA M FRONTAL</t>
  </si>
  <si>
    <t>3301072188</t>
  </si>
  <si>
    <t>CAPA ALMOFADA TRICOT BOTANIC M FRONTAL</t>
  </si>
  <si>
    <t>3301072189</t>
  </si>
  <si>
    <t>CAPA ALMOFADA TRICOT BAMBOO M FRONTAL</t>
  </si>
  <si>
    <t>3301072190</t>
  </si>
  <si>
    <t>CAPA ALMOFADA TRICOT LAVANDA TERRACOTA</t>
  </si>
  <si>
    <t>3301072191</t>
  </si>
  <si>
    <t>CAPA ALMOFADA TRICOT BOTANIC TERRACOTA</t>
  </si>
  <si>
    <t>3301072192</t>
  </si>
  <si>
    <t>CAPA ALMOFADA TRICOT BAMBOO TERRACOTA</t>
  </si>
  <si>
    <t>3301072193</t>
  </si>
  <si>
    <t>CAPA ALMOFADA TRICOT LAVANDA NINIVE</t>
  </si>
  <si>
    <t>3301072194</t>
  </si>
  <si>
    <t>CAPA ALMOFADA TRICOT BOTANIC NINIVE</t>
  </si>
  <si>
    <t>3301072195</t>
  </si>
  <si>
    <t>CAPA ALMOFADA TRICOT BAMBOO NINIVE</t>
  </si>
  <si>
    <t>3301072196</t>
  </si>
  <si>
    <t>3301072210</t>
  </si>
  <si>
    <t>FRONHA MODELO ENVELOPE 183F MISTO</t>
  </si>
  <si>
    <t>Roupão branco com Capuz</t>
  </si>
  <si>
    <t>3301072347</t>
  </si>
  <si>
    <t>3301072348</t>
  </si>
  <si>
    <t>3301072349</t>
  </si>
  <si>
    <t>3301072350</t>
  </si>
  <si>
    <t>3301072351</t>
  </si>
  <si>
    <t>3301072352</t>
  </si>
  <si>
    <t>3301072353</t>
  </si>
  <si>
    <t>3301072354</t>
  </si>
  <si>
    <t>3301072355</t>
  </si>
  <si>
    <t>Roupão branco bordado com Capuz</t>
  </si>
  <si>
    <t>3301072356</t>
  </si>
  <si>
    <t>3301072357</t>
  </si>
  <si>
    <t>3301072358</t>
  </si>
  <si>
    <t>ALMOFADA TRICOT OURIÇO TERRA</t>
  </si>
  <si>
    <t>3301072426</t>
  </si>
  <si>
    <t>Roupão felpa + estampa nas mangas, punhos e capuz</t>
  </si>
  <si>
    <t>3301072443</t>
  </si>
  <si>
    <t>3301072444</t>
  </si>
  <si>
    <t>3301072445</t>
  </si>
  <si>
    <t>ALMOFADA TRICOT OURIÇO VERDE</t>
  </si>
  <si>
    <t>3301072780</t>
  </si>
  <si>
    <t>ALMOFADA TRICOT OURIÇO MARROM</t>
  </si>
  <si>
    <t>3301072781</t>
  </si>
  <si>
    <t>3301072803</t>
  </si>
  <si>
    <t>3301072804</t>
  </si>
  <si>
    <t>3301072805</t>
  </si>
  <si>
    <t>ALMOFADA TRICOT COGUMELO AZUL ROSÉ</t>
  </si>
  <si>
    <t>3301072957</t>
  </si>
  <si>
    <t>ALMOFADA TRICOT COELHO ORELHÃO</t>
  </si>
  <si>
    <t>3301072985</t>
  </si>
  <si>
    <t>ALMOFADA TRICOT BONECA ALICE</t>
  </si>
  <si>
    <t>3301072986</t>
  </si>
  <si>
    <t>3301075218</t>
  </si>
  <si>
    <t>3301075219</t>
  </si>
  <si>
    <t>3301075220</t>
  </si>
  <si>
    <t>3301075229</t>
  </si>
  <si>
    <t>3301075230</t>
  </si>
  <si>
    <t>3301075231</t>
  </si>
  <si>
    <t>3301075243</t>
  </si>
  <si>
    <t>3301075244</t>
  </si>
  <si>
    <t>3301075245</t>
  </si>
  <si>
    <t>ALMOFADA TRICOT ESTRELA</t>
  </si>
  <si>
    <t>3301075269</t>
  </si>
  <si>
    <t>ALMOFADA TRICOT CAVALINHO</t>
  </si>
  <si>
    <t>3301075270</t>
  </si>
  <si>
    <t>3301075765</t>
  </si>
  <si>
    <t>JOGO DE LENÇO KING TECIDO BAMBOO BCO DET . ACAB/ CORDONÊ BEGE  LC 2,90 X 2,60 - LB C/ ELÁSTICO 1,93 X 2,03 X 0,40</t>
  </si>
  <si>
    <t>3301079606</t>
  </si>
  <si>
    <t>ROUPÃO FELPA VELUX BRANCA COM GOLA XALE BCO
G COM LOGO</t>
  </si>
  <si>
    <t>ROUPÃO FELPA VELUX BRANCA COM GOLA XALE BCO
GG COM LOGO</t>
  </si>
  <si>
    <t>3301099651</t>
  </si>
  <si>
    <t>3302502359</t>
  </si>
  <si>
    <t>ENCOSTO DE ROSTO LYCRA BRANCA - TAM. ÚNICO</t>
  </si>
  <si>
    <t>3401041645</t>
  </si>
  <si>
    <t>9210106966</t>
  </si>
  <si>
    <t>DUVET (CAPA) 250F MI CLASSIC 2,30 X 2,45</t>
  </si>
  <si>
    <t>92101041677</t>
  </si>
  <si>
    <t>LENÇOL BARRA ESTREITA 4 LADOS 250F MISTO 3,00 X 3,00</t>
  </si>
  <si>
    <t>92101049640</t>
  </si>
  <si>
    <t>FRONHA 3 ABAS 5CM CLASSIC 250F MISTO 0,50 X 0,70</t>
  </si>
  <si>
    <t>92101051870</t>
  </si>
  <si>
    <t>S. FRONHA 2 ABAS 5CM 250F MISTO CLASSIC 0,50 X 0,90</t>
  </si>
  <si>
    <t>92101058046</t>
  </si>
  <si>
    <t>FRONHA 3 ABAS 5CM 270F MISTO STRIPE ESTREITO 0,5
CM CLASSIC (HORIZONTAL) 0,50 X 0,70</t>
  </si>
  <si>
    <t>92101068570</t>
  </si>
  <si>
    <t>ZLH778 ALMOFADA ZISSOU LISTRAS ACAB. CORDONE AZUL C/ ZIPER + RECHEIO 0,50 X 0,50</t>
  </si>
  <si>
    <t>ZLH755 JG LENÇOL ZISSOU BORDADO LINEA AREIA
400F 100% ALG BRANCO QUEEN LB 1,58 X 1,98 X 0,32 /
LC 2,50 X 2,45 / FR 0,53 X 0,73</t>
  </si>
  <si>
    <t>92101069596</t>
  </si>
  <si>
    <t>ZLH756 JG LENÇOL ZISSOU BORDADO LINEA CINZA
400F 100% ALG BRANCO QUEEN LB 1,58 X 1,98 X 0,32 /
LC 2,50 X 2,45 / FR 0,53 X 0,73</t>
  </si>
  <si>
    <t>92101069597</t>
  </si>
  <si>
    <t>ZLH753 JG LENÇOL ZISSOU BORDADO LINEA AREIA 
400F 100% ALG BRANCO CASAL LB 1,38 X 1,88 X 0,32 / LC2,30 X 2,35 / FR 0,53 X 0,73</t>
  </si>
  <si>
    <t>92101069598</t>
  </si>
  <si>
    <t>ZLH754 JG LENÇOL ZISSOU BORDADO LINEA ROSÉ 400F100% ALG BRANCO CASAL LB 1,38 X 1,88 X 0,32 / LC 2,30X 2,35 / FR 0,53 X 0,73</t>
  </si>
  <si>
    <t>92101069599</t>
  </si>
  <si>
    <t>ZLH757 JG LENÇOL ZISSOU BORDADO LINEA AREIA
400F 100% ALG BRANCO KING LB 1,93 X 2,03 X 0,32 / LC2,75 X 2,45 / FR 0,53 X 0,73</t>
  </si>
  <si>
    <t>92101069600</t>
  </si>
  <si>
    <t>ZLH758 JG LENÇOL ZISSOU BORDADO LINEA CINZA 400F 100% ALG BRANCO KING LB 1,93 X 2,03 X 0,32 / LC 2,75 X 2,45 / FR 0,53 X 0,73</t>
  </si>
  <si>
    <t>92101069601</t>
  </si>
  <si>
    <t>LENÇOL BAIXO BARRA ESTREITA 4 LADOS 250F MISTO 2,30 X 2,90</t>
  </si>
  <si>
    <t>92101115802</t>
  </si>
  <si>
    <t>LENÇOL CIMA300F 100% ALGIODÃO ACAB. CLASSIC BARRAO 10CM 2,10 X 3,00</t>
  </si>
  <si>
    <t>92102065087</t>
  </si>
  <si>
    <t>LENÇOL CIMA 300F 100% ALGODÃO ACAB. CLASSIC BARRAO 10CM 3,00 X 3,00</t>
  </si>
  <si>
    <t>92102169628</t>
  </si>
  <si>
    <t>LENÇOL CIMA 250F MISTO CLASSIC 2,95 X 2,50</t>
  </si>
  <si>
    <t>92102169641</t>
  </si>
  <si>
    <t>CAPA ALMOFADA 4 ABAS 230F MISTO C/ ACAB. DODICI PRETO E BEGE CRU ZADO TODA VOLTA 0,30 X 0,40</t>
  </si>
  <si>
    <t>92104105945</t>
  </si>
  <si>
    <t>92104476208</t>
  </si>
  <si>
    <t>FRONHA 2 ABAS 5CM 300F 100% ALG FESTONE BRANCO 0,50 X 0,70</t>
  </si>
  <si>
    <t>92104868377</t>
  </si>
  <si>
    <t>SUPER FRONHA 2 ABAS 5CM 300F 100% ALGODÃO FESTONE BRANCO 0,50 X 0,90</t>
  </si>
  <si>
    <t>92108305292</t>
  </si>
  <si>
    <t>SUPER FRONHA MODELO ENVELOPE 250F MISTO
CLASSIC 0,50 X 0,90</t>
  </si>
  <si>
    <t>92108305867</t>
  </si>
  <si>
    <t>DUVET (CAPA) 250F MISTO CLASSIC 2,90 X 2,50</t>
  </si>
  <si>
    <t>92115022043</t>
  </si>
  <si>
    <t>DUVET (CAPA)250F MISTO CLASSIC 2,70 X 2,45</t>
  </si>
  <si>
    <t>92115476972</t>
  </si>
  <si>
    <t>93110019727</t>
  </si>
  <si>
    <t>93161099737</t>
  </si>
  <si>
    <t>WISH FOZ DO IGUAÇU</t>
  </si>
  <si>
    <t>FRANCISCO ANTONIO DE FREITAS</t>
  </si>
  <si>
    <t>FRANCISCO ANTONIO DE</t>
  </si>
  <si>
    <t>CASA COTÉ 8 MARKETING LTDA</t>
  </si>
  <si>
    <t>CASA COTÉ 8</t>
  </si>
  <si>
    <t>5461</t>
  </si>
  <si>
    <t>ELIANE STELZNER</t>
  </si>
  <si>
    <t>00078052467934</t>
  </si>
  <si>
    <t>5462</t>
  </si>
  <si>
    <t>EDSON ALMEIDA BARROS</t>
  </si>
  <si>
    <t>13519874000100</t>
  </si>
  <si>
    <t>5463</t>
  </si>
  <si>
    <t>Fernanda Palermo Licen</t>
  </si>
  <si>
    <t>Fernanda Palermo Lic</t>
  </si>
  <si>
    <t>00046265054813</t>
  </si>
  <si>
    <t>5464</t>
  </si>
  <si>
    <t>EDUARDO GIALLUCA JACOBS</t>
  </si>
  <si>
    <t>EDUARDO GIALLUCA JAC</t>
  </si>
  <si>
    <t>00022817145860</t>
  </si>
  <si>
    <t>5465</t>
  </si>
  <si>
    <t>Cica Solano</t>
  </si>
  <si>
    <t>00025030782818</t>
  </si>
  <si>
    <t>5466</t>
  </si>
  <si>
    <t>GABRIELA BOFF</t>
  </si>
  <si>
    <t>00025634551897</t>
  </si>
  <si>
    <t>5467</t>
  </si>
  <si>
    <t>BEATRIZ HERING</t>
  </si>
  <si>
    <t>00036151620801</t>
  </si>
  <si>
    <t>5468</t>
  </si>
  <si>
    <t>LEDA MARIA BRANDI NARDELLI NARDELLI</t>
  </si>
  <si>
    <t>LEDA MARIA BRANDI NA</t>
  </si>
  <si>
    <t>00049486314691</t>
  </si>
  <si>
    <t>5469</t>
  </si>
  <si>
    <t>Maria Helena Oliveira Ribeiro Rangel</t>
  </si>
  <si>
    <t>Maria Helena Oliveir</t>
  </si>
  <si>
    <t>00072500638715</t>
  </si>
  <si>
    <t>5470</t>
  </si>
  <si>
    <t>Ana Laura</t>
  </si>
  <si>
    <t>00010848130766</t>
  </si>
  <si>
    <t>5471</t>
  </si>
  <si>
    <t>Julia Saidy Lins</t>
  </si>
  <si>
    <t>00014206100748</t>
  </si>
  <si>
    <t>5472</t>
  </si>
  <si>
    <t>Roberta Perlingeiro</t>
  </si>
  <si>
    <t>00009957153781</t>
  </si>
  <si>
    <t>5473</t>
  </si>
  <si>
    <t>ALFREDO CARLOS BERTELLI SOARES</t>
  </si>
  <si>
    <t>ALFREDO CARLOS BERTE</t>
  </si>
  <si>
    <t>00011904375707</t>
  </si>
  <si>
    <t>5474</t>
  </si>
  <si>
    <t>ASTRO DISTRIBUIDORA LTDA</t>
  </si>
  <si>
    <t>ASTRO DISTRIBUIDORA</t>
  </si>
  <si>
    <t>18597685000160</t>
  </si>
  <si>
    <t>5475</t>
  </si>
  <si>
    <t>SORAYA SOLLITO</t>
  </si>
  <si>
    <t>00013040602845</t>
  </si>
  <si>
    <t>5476</t>
  </si>
  <si>
    <t>ISABEL CARVALHO</t>
  </si>
  <si>
    <t>00032844636829</t>
  </si>
  <si>
    <t>5477</t>
  </si>
  <si>
    <t>VIEIRA COMERCIAL ONLINE LTDA</t>
  </si>
  <si>
    <t>COMERCIAL M TEIXEIRA</t>
  </si>
  <si>
    <t>45692710000168</t>
  </si>
  <si>
    <t>5478</t>
  </si>
  <si>
    <t>COTEL LTDA</t>
  </si>
  <si>
    <t>60530474000177</t>
  </si>
  <si>
    <t>5479</t>
  </si>
  <si>
    <t>RENATO DE CARVALHO NEVES</t>
  </si>
  <si>
    <t>RENATO DE CARVALHO N</t>
  </si>
  <si>
    <t>00013842458800</t>
  </si>
  <si>
    <t>5480</t>
  </si>
  <si>
    <t>MARIA CECILIA SOLANO PEREIRA</t>
  </si>
  <si>
    <t>MARIA CECILIA SOLANO</t>
  </si>
  <si>
    <t>27354301000170</t>
  </si>
  <si>
    <t>5481</t>
  </si>
  <si>
    <t>Priscila Ferreira De Souza</t>
  </si>
  <si>
    <t>Priscila Ferreira De</t>
  </si>
  <si>
    <t>00011068243694</t>
  </si>
  <si>
    <t>5482</t>
  </si>
  <si>
    <t>TAIANA LIMA</t>
  </si>
  <si>
    <t>00001247501175</t>
  </si>
  <si>
    <t>5483</t>
  </si>
  <si>
    <t>ANDERSON SANTOS SILVA</t>
  </si>
  <si>
    <t>ANDERSON SANTOS SILV</t>
  </si>
  <si>
    <t>00050279253877</t>
  </si>
  <si>
    <t>5484</t>
  </si>
  <si>
    <t>65612598000115</t>
  </si>
  <si>
    <t>5485</t>
  </si>
  <si>
    <t>E.SUITES LAGOA SANTA</t>
  </si>
  <si>
    <t>11796602001438</t>
  </si>
  <si>
    <t>5486</t>
  </si>
  <si>
    <t>TIZ COMUNICACAO DIGITAL LTDA</t>
  </si>
  <si>
    <t>TIZ COMUNICACAO DIGI</t>
  </si>
  <si>
    <t>47856699000150</t>
  </si>
  <si>
    <t>5487</t>
  </si>
  <si>
    <t>Paola Machado</t>
  </si>
  <si>
    <t>00003465193903</t>
  </si>
  <si>
    <t>5488</t>
  </si>
  <si>
    <t>Daniela Vercosa de Aguiar E Souza</t>
  </si>
  <si>
    <t>Daniela Vercosa de A</t>
  </si>
  <si>
    <t>00006869363455</t>
  </si>
  <si>
    <t>5489</t>
  </si>
  <si>
    <t>MARISA MAGNO</t>
  </si>
  <si>
    <t>00027749832823</t>
  </si>
  <si>
    <t>5490</t>
  </si>
  <si>
    <t>Sarah Carioca</t>
  </si>
  <si>
    <t>00013489113799</t>
  </si>
  <si>
    <t>5491</t>
  </si>
  <si>
    <t>Vera Bresser Pereira</t>
  </si>
  <si>
    <t>00000656254807</t>
  </si>
  <si>
    <t>5492</t>
  </si>
  <si>
    <t>JARMAQ SUPRIMENTO TEXTIL LTDA</t>
  </si>
  <si>
    <t>JARMAQ</t>
  </si>
  <si>
    <t>00399802000116</t>
  </si>
  <si>
    <t>5493</t>
  </si>
  <si>
    <t>CRISTIANE EUGÊNIA VIGO</t>
  </si>
  <si>
    <t>CRISTIANE EUGÊNIA VI</t>
  </si>
  <si>
    <t>00036223414838</t>
  </si>
  <si>
    <t>5494</t>
  </si>
  <si>
    <t>PAN&amp;SCOTT VARIEDADES LTDA</t>
  </si>
  <si>
    <t>PAN&amp;SCOTT VARIEDADES</t>
  </si>
  <si>
    <t>50441896000112</t>
  </si>
  <si>
    <t>5495</t>
  </si>
  <si>
    <t>NATALIA SANCHES</t>
  </si>
  <si>
    <t>00034382750822</t>
  </si>
  <si>
    <t>5496</t>
  </si>
  <si>
    <t>CARLOS EDUARDO RODRIGUES DA SILVA</t>
  </si>
  <si>
    <t>CARLOS EDUARDO RODRI</t>
  </si>
  <si>
    <t>00010748116826</t>
  </si>
  <si>
    <t>5497</t>
  </si>
  <si>
    <t>ELIONAI DE SOUZA SILVA</t>
  </si>
  <si>
    <t>ELIONAI DE SOUZA SIL</t>
  </si>
  <si>
    <t>00045739928800</t>
  </si>
  <si>
    <t>5498</t>
  </si>
  <si>
    <t>AFFARE GESTAO DE NEGOCIOS LTDA</t>
  </si>
  <si>
    <t>RADISSON RED IBIRAPU</t>
  </si>
  <si>
    <t>55008604000176</t>
  </si>
  <si>
    <t>5499</t>
  </si>
  <si>
    <t>CAROLINA CASTRO</t>
  </si>
  <si>
    <t>00022623572852</t>
  </si>
  <si>
    <t>5500</t>
  </si>
  <si>
    <t>ISRA IBRAHIM ABOU ABBAS</t>
  </si>
  <si>
    <t>ISRA IBRAHIM ABOU AB</t>
  </si>
  <si>
    <t>00044204014860</t>
  </si>
  <si>
    <t xml:space="preserve">Insira o Numero NF Oficina </t>
  </si>
  <si>
    <t>BLUSA  PIJAMA NINA MATERNA ESTAMPA XADREZ AZUL COM  CORDONE BRANCO</t>
  </si>
  <si>
    <t>BLUSA  PIJAMA NINA MATERNA ESTAMPA XADREZ ROSA COM  CORDONE BRANCO</t>
  </si>
  <si>
    <t>BLUSA  PIJAMA NINA MATERNA ESTAMPA FLORAL COM  CORDONE BRANCO</t>
  </si>
  <si>
    <t>BLUSA  PIJAMA NINA MATERNA ESTAMPA URSO COM CORDONE BRANCO</t>
  </si>
  <si>
    <t>BLUSA  PIJAMA NINA MATERNA C/ DETALHES EM CORDONE AZUL</t>
  </si>
  <si>
    <t>BLUSA  PIJAMA NINA MATERNA C/ DETALHES EM CORDONE ROSA</t>
  </si>
  <si>
    <t>FIO A FIO</t>
  </si>
  <si>
    <t xml:space="preserve">17110 / 17111 </t>
  </si>
  <si>
    <t>23/04/2026 - 24/04/2026</t>
  </si>
  <si>
    <t>TOALHA DE BANHO BRANCA C/ CAPUZ BABY - CORDONÊ ROSÊ C/ MONOGRAMA " M " NA COR DEVANEIO 7249 - 0,70 X 0,90</t>
  </si>
  <si>
    <t>K6856A</t>
  </si>
  <si>
    <t xml:space="preserve">K6856 </t>
  </si>
  <si>
    <t>20/04/2026 - 22/04/2026</t>
  </si>
  <si>
    <t>17112 / 17133</t>
  </si>
  <si>
    <t>24/04/2026 - 27/04/2026</t>
  </si>
  <si>
    <t>K6856M</t>
  </si>
  <si>
    <t>27/042026</t>
  </si>
  <si>
    <t>K3670A / 2 PEÇAS C/ DEFEITO NO TECIDO</t>
  </si>
  <si>
    <t>K3670A, 2 PEÇAS FURADAS, NÃO FOI COBRADO O BORDADO</t>
  </si>
  <si>
    <t>3302389732P</t>
  </si>
  <si>
    <t>3302129731P</t>
  </si>
  <si>
    <t xml:space="preserve">TOALHA ROSTO 600G - 0,50 X 0,77 BARCELOS - COM BORDADO BOUQUET </t>
  </si>
  <si>
    <t xml:space="preserve">TOALHA BANHÃO 600 G - 0,77 X 1,60 BARCELOS COM BORDADO BOUQUET </t>
  </si>
  <si>
    <t>K4647A - 3 REPETIÇÕES, O ESPAÇAMENTO ENTRE AS REPETIÇÕES FICOU BEM SEPARADO</t>
  </si>
  <si>
    <t>FRONHA 2 ABAS 5CM 230F MISTO CLASSIC 0,30 X 0,40 S/ LOGO</t>
  </si>
  <si>
    <t>2101049763</t>
  </si>
  <si>
    <t>LENÇOL BARRA ESTREITA 4 LADOS 230F MISTO 2,50 X  2,90</t>
  </si>
  <si>
    <t>2101862252</t>
  </si>
  <si>
    <t>LENÇOL CIMA 230F MISTO FESTONÊ AREIA 7190 TAMANHO 2,50 X 2,45</t>
  </si>
  <si>
    <t>2102229759</t>
  </si>
  <si>
    <t>FRONHA 2 ABAS 5CM 230F MISTO FESTONÊ COR AREIA  7190 0,50 X 0,70</t>
  </si>
  <si>
    <t>2104869760</t>
  </si>
  <si>
    <t>2111269708</t>
  </si>
  <si>
    <t>CAPA ALMOFADA SEM ABA ACABAMENTO CORDONE  FECHAMENTO COM ZÍPER</t>
  </si>
  <si>
    <t>2111269756</t>
  </si>
  <si>
    <t>FRONHA AVULSA CORDONÊ ESTAMPA GARDEN - 0,50 X 0,70</t>
  </si>
  <si>
    <t>2115066424</t>
  </si>
  <si>
    <t>PESEIRA DUPLA ACABAMENTO CORDONÊ TECIDO 186093 BOHEMIAN COR AZUL - 0,60 X 1,70</t>
  </si>
  <si>
    <t>3101019828</t>
  </si>
  <si>
    <t>SAIA BRIM BRANCA COM MOLDURA E TRANSPASSE 1,60 X 2,00 X 0,43</t>
  </si>
  <si>
    <t>3105019764</t>
  </si>
  <si>
    <t>92109289836</t>
  </si>
  <si>
    <t>DUVET (CAPA) 230F MISTO FESTONE COR 7221 SEMENTE MOD ENV. 2,90 X 2,45</t>
  </si>
  <si>
    <t>92115019755</t>
  </si>
  <si>
    <t>5501</t>
  </si>
  <si>
    <t>Marilia Bastos Vieira</t>
  </si>
  <si>
    <t>Marilia Bastos Vieir</t>
  </si>
  <si>
    <t>00001942899157</t>
  </si>
  <si>
    <t>5502</t>
  </si>
  <si>
    <t>LOPATA HOTEL LTDA</t>
  </si>
  <si>
    <t>BELLA VITA HOTEL</t>
  </si>
  <si>
    <t>65151010000173</t>
  </si>
  <si>
    <t>5503</t>
  </si>
  <si>
    <t>ILMA APARECIDA PAULO FERREIRA</t>
  </si>
  <si>
    <t>ILMA APARECIDA PAULO</t>
  </si>
  <si>
    <t>00005754472579</t>
  </si>
  <si>
    <t>5504</t>
  </si>
  <si>
    <t>ALFA SAO PAULO COMERCIO DE AVIAMENTOS LTDA</t>
  </si>
  <si>
    <t>ALFA AVIAMENTOS SÃO</t>
  </si>
  <si>
    <t>36434628000142</t>
  </si>
  <si>
    <t>5505</t>
  </si>
  <si>
    <t>F T CAMARGO SERVICOS MEDICOS LTDA</t>
  </si>
  <si>
    <t>DYNAPLAN</t>
  </si>
  <si>
    <t>22123741000100</t>
  </si>
  <si>
    <t>5506</t>
  </si>
  <si>
    <t>CH 9 IMOVEIS LTDA.</t>
  </si>
  <si>
    <t>42119066000145</t>
  </si>
  <si>
    <t>5507</t>
  </si>
  <si>
    <t>DYNAPLAN GERENCIAMENTO DE PROJETOS LTDA</t>
  </si>
  <si>
    <t>DYNAPLAN GERENCIAMEN</t>
  </si>
  <si>
    <t>49538750000100</t>
  </si>
  <si>
    <t>5508</t>
  </si>
  <si>
    <t>FERRARI MARINHO MEDICOS ASSOCIADOS LTDA.</t>
  </si>
  <si>
    <t>22385703000118</t>
  </si>
  <si>
    <t>5509</t>
  </si>
  <si>
    <t>Flavia</t>
  </si>
  <si>
    <t>00083593985772</t>
  </si>
  <si>
    <t>5510</t>
  </si>
  <si>
    <t>CORPORATE LOGISTICS DO BRASIL LTDA</t>
  </si>
  <si>
    <t>CORPORATE LOGISTICS</t>
  </si>
  <si>
    <t>22725304000159</t>
  </si>
  <si>
    <t>5511</t>
  </si>
  <si>
    <t>GILSON PEREIRA SAMPAIO</t>
  </si>
  <si>
    <t>GILSON PEREIRA SAMPA</t>
  </si>
  <si>
    <t>40085925000105</t>
  </si>
  <si>
    <t>5512</t>
  </si>
  <si>
    <t>GIOVANNA AMORIM</t>
  </si>
  <si>
    <t>00042667438825</t>
  </si>
  <si>
    <t>5513</t>
  </si>
  <si>
    <t>44.466.741 IACY AMORIM MARQUES FERREIRA</t>
  </si>
  <si>
    <t>44466741000138</t>
  </si>
  <si>
    <t>5514</t>
  </si>
  <si>
    <t>CESAR AUGUSTO ANTUNES SILVA</t>
  </si>
  <si>
    <t>CESAR AUGUSTO</t>
  </si>
  <si>
    <t>00008451622844</t>
  </si>
  <si>
    <t>5515</t>
  </si>
  <si>
    <t>ARCE COMERCIO DE URNAS E ARTIGOS FUNERARIOS LTDA</t>
  </si>
  <si>
    <t>FUNERARIA ARCE</t>
  </si>
  <si>
    <t>28729676000130</t>
  </si>
  <si>
    <t>5516</t>
  </si>
  <si>
    <t>ANDREA PIO DE ABREU</t>
  </si>
  <si>
    <t>00007399216738</t>
  </si>
  <si>
    <t>5517</t>
  </si>
  <si>
    <t>Cedriny Moreira</t>
  </si>
  <si>
    <t>00008156857186</t>
  </si>
  <si>
    <t>5518</t>
  </si>
  <si>
    <t>LUCAS MINATELLI REZENDE</t>
  </si>
  <si>
    <t>LUCAS MINATELLI REZE</t>
  </si>
  <si>
    <t>00010001509683</t>
  </si>
  <si>
    <t>5519</t>
  </si>
  <si>
    <t>ANA CELIA FALCÃO</t>
  </si>
  <si>
    <t>00042966370459</t>
  </si>
  <si>
    <t>5520</t>
  </si>
  <si>
    <t>43283811006000</t>
  </si>
  <si>
    <t>DESISTIU DE CONCLUIDO A PRODUÇÃO, FEZ SOMENTE 3 PEÇAS</t>
  </si>
  <si>
    <r>
      <t xml:space="preserve">ATRASOU A PRODUÇÃO, PQ TEVE QUE CONSERTAR 38 PEÇAS DA ÚLTIMA PRODUÇÃO, PONTO ESTORADO/ </t>
    </r>
    <r>
      <rPr>
        <b/>
        <sz val="11"/>
        <color theme="1"/>
        <rFont val="Aptos Narrow"/>
        <family val="2"/>
        <scheme val="minor"/>
      </rPr>
      <t>2 PEÇAS DESSA PRODUÇÃO VEIO COM DUAS TYVEC NA MESMA PEÇA</t>
    </r>
  </si>
  <si>
    <t>22908 - 22909 - 23005</t>
  </si>
  <si>
    <t>RECHEIO DE ALMOFADA - 180F MISTO - 0,30 X 0,50</t>
  </si>
  <si>
    <t>2106859829</t>
  </si>
  <si>
    <t>CAPA ALMOFADA 4 ABAS 5cm - 300F 100% ALG. ACAB. CLASSIC - C/ ZIPER - 0,30 X 0,40</t>
  </si>
  <si>
    <t>2111238793</t>
  </si>
  <si>
    <t>LENÇOL BARRA ESTREITA 4 LADOS 300F 100%
ALGODÃO 2,50 X 2,90</t>
  </si>
  <si>
    <t>92101025515</t>
  </si>
  <si>
    <t>LENÇOL BARRA ESTREITA 300F 100% ALG 2,80 X 2,90</t>
  </si>
  <si>
    <t>92101042469</t>
  </si>
  <si>
    <t>LENÇOL BAIXO BARRA ESTREITA 300F 100% ALG 2,00 X 2,90</t>
  </si>
  <si>
    <t>92101048603</t>
  </si>
  <si>
    <t>LENÇOL BAIXO BARRA ESTREITA 300F 100% ALG 2,70 X 2,50</t>
  </si>
  <si>
    <t>92101048606</t>
  </si>
  <si>
    <t>CAPA (DUVET) 300F MISTO STRIPE LARGE VERTICAL CLASSIC 2,50 X 2,60</t>
  </si>
  <si>
    <t>92101068610</t>
  </si>
  <si>
    <t>LENÇOL BAIXO BARRA ESTREITA 4 LADOS 300F 100%
ALGODÃO 1,90 X 2,90</t>
  </si>
  <si>
    <t>92101106303</t>
  </si>
  <si>
    <t>LENÇOL CIMA 300F 100% ALGODÃO CLASSIC 1,80 X 2,50</t>
  </si>
  <si>
    <t>92102028607</t>
  </si>
  <si>
    <t>LENÇOL CIMA 300F 100% ALGODÃO CLASSIC 2,40 X 2,50</t>
  </si>
  <si>
    <t>92102068609</t>
  </si>
  <si>
    <t>LENÇOL CIMA ACAB CLASSIC 300F 100% ALGODAO 1,90
X 2,50</t>
  </si>
  <si>
    <t>92102628604</t>
  </si>
  <si>
    <t>FRONHA 2 ABAS 10CM 300F 100% ALG CLASSIC 0,50 X 0,70</t>
  </si>
  <si>
    <t>92104065539</t>
  </si>
  <si>
    <t>DUVET (CAPA) 300F MISTO ST LAR VERTICAL CLASSIC 2,70 X 2,60</t>
  </si>
  <si>
    <t>92115068916</t>
  </si>
  <si>
    <t>CAPA DE DUVET (EDRED) CLASSIC STRIPE LARGE VERTICAL 300F MISTO 1,90 X 2,60</t>
  </si>
  <si>
    <t>92115158605</t>
  </si>
  <si>
    <t>DUVET (CAPA) 300F MISTO STRIPE LARGE VERTICAL CLASSIC C/ ENVELOPE 1,80 X 2,50</t>
  </si>
  <si>
    <t>92115188608</t>
  </si>
  <si>
    <t>5521</t>
  </si>
  <si>
    <t>GUILHERME BICALHO ANDRADE</t>
  </si>
  <si>
    <t>GUILHERME BICALHO AN</t>
  </si>
  <si>
    <t>00010491398603</t>
  </si>
  <si>
    <t>5522</t>
  </si>
  <si>
    <t>EDNEY SILVEIRA SOCIEDADE ADVOCACIA</t>
  </si>
  <si>
    <t>EDNEY SILVEIRA SOCIE</t>
  </si>
  <si>
    <t>45135129000145</t>
  </si>
  <si>
    <t>5523</t>
  </si>
  <si>
    <t>Residencial</t>
  </si>
  <si>
    <t>00022580098801</t>
  </si>
  <si>
    <t>5524</t>
  </si>
  <si>
    <t>Arthur Schulze Bittar</t>
  </si>
  <si>
    <t>Arthur Schulze Bitta</t>
  </si>
  <si>
    <t>00013485314790</t>
  </si>
  <si>
    <t>5525</t>
  </si>
  <si>
    <t>APOLO SHOP E-COMMERCE LTDA</t>
  </si>
  <si>
    <t>APOLO SHOP</t>
  </si>
  <si>
    <t>37924067000122</t>
  </si>
  <si>
    <t>5526</t>
  </si>
  <si>
    <t>T F DE OLIVEIRA ARMARINHOS NACIONAIS E IMPORTADOS</t>
  </si>
  <si>
    <t>MAGAZINES TF</t>
  </si>
  <si>
    <t>46309140000147</t>
  </si>
  <si>
    <t>5527</t>
  </si>
  <si>
    <t>RAFAEL JOHNNY DA COSTA AUGUSTO</t>
  </si>
  <si>
    <t>JOHNNY 2.0</t>
  </si>
  <si>
    <t>47419321000199</t>
  </si>
  <si>
    <t>5528</t>
  </si>
  <si>
    <t>KMF STORES LTDA</t>
  </si>
  <si>
    <t>KMF STORES</t>
  </si>
  <si>
    <t>49651217000150</t>
  </si>
  <si>
    <t>5529</t>
  </si>
  <si>
    <t>SCHUSTER LIVRARIA E PAPELARIA LTDA</t>
  </si>
  <si>
    <t>SCHUSTER LIVRARIA E</t>
  </si>
  <si>
    <t>97350706000115</t>
  </si>
  <si>
    <t>5530</t>
  </si>
  <si>
    <t>ALX COMERCIO DE PAPELARIA LTDA</t>
  </si>
  <si>
    <t>ALX COMERCIO DE PAPE</t>
  </si>
  <si>
    <t>14934765000103</t>
  </si>
  <si>
    <t>5531</t>
  </si>
  <si>
    <t>GUILHERME RODRIGUES</t>
  </si>
  <si>
    <t>00045196095691</t>
  </si>
  <si>
    <t>5532</t>
  </si>
  <si>
    <t>LAÍS DE OLIVEIRA SILVA</t>
  </si>
  <si>
    <t>LAÍS DE OLIVEIRA SIL</t>
  </si>
  <si>
    <t>00002508865109</t>
  </si>
  <si>
    <t>5533</t>
  </si>
  <si>
    <t>ANNA CECILIA GROSSI</t>
  </si>
  <si>
    <t>00015982461601</t>
  </si>
  <si>
    <t>NINA MATERNA ESTOQUE</t>
  </si>
  <si>
    <t>3913018209NM</t>
  </si>
  <si>
    <t xml:space="preserve"> NINA MATERNA ESTOQUE</t>
  </si>
  <si>
    <t>BLUSA DE PIJAMA NINA MATERNA TAM. G</t>
  </si>
  <si>
    <t>Duvidas ao fazer as capa rolinho</t>
  </si>
  <si>
    <t>TOALHA BEACH BRANCO/ CASTOR COM LOGO 0,80 X 1,60</t>
  </si>
  <si>
    <t>K5904A</t>
  </si>
  <si>
    <t>BOLSO PARA PIJAMA BRANCO C/ DT CORDONÊ SUEDINE AZUL TAM P COM LOGO "F"</t>
  </si>
  <si>
    <t>BOLSO PARA MACACÃO RN SUEDINE BRANCO C/ DT CORDONÊ SUEDINE AZUL COM LOGO "F"</t>
  </si>
  <si>
    <t>K6856G</t>
  </si>
  <si>
    <t>K6856F</t>
  </si>
  <si>
    <t>BOLSO PARA PIJAMA XADREZ AZUL E VERDE C/ DT CORDONÊ SUEDINE BRANCO TAM P COM LOGO "O"</t>
  </si>
  <si>
    <t>BOLSO PARA MACACÃO RN SUEDINE XADREZ AZUL E VERDE C/ DT CORDONÊ SUEDINE BRANCO COM LOGO "N"</t>
  </si>
  <si>
    <t>K6861N</t>
  </si>
  <si>
    <t>K6861O</t>
  </si>
  <si>
    <t>FRONHA 2 ABAS - 300F MISTO STRIPE LARGE - HORIZONTAL - CLASSIC - 0,50 X 0,70</t>
  </si>
  <si>
    <t>2101065884</t>
  </si>
  <si>
    <t>2101069843</t>
  </si>
  <si>
    <t>TRAVESSEIRO BABY - 183F FIOS 100% - FIBRA - 0,30 X 0,40</t>
  </si>
  <si>
    <t>3109075195</t>
  </si>
  <si>
    <t>LENÇOL BAIXO BARRA ESTREITA 300F MISTO 2,50 X 2,90</t>
  </si>
  <si>
    <t>92101029863</t>
  </si>
  <si>
    <t>LENÇOL BAIXO BARRA ESTREITA 300F MISTO 2,85 X 2,95</t>
  </si>
  <si>
    <t>92101029865</t>
  </si>
  <si>
    <t>CAPA DUVET 250F MODELO ENVELOPE MISTO CLASSIC 1,80 X 2,30</t>
  </si>
  <si>
    <t>92101069862</t>
  </si>
  <si>
    <t>LENÇOL CIMA 300F MISTO FESTONE BRANCO 2,85 X 2,45</t>
  </si>
  <si>
    <t>92102769859</t>
  </si>
  <si>
    <t>CAPA ROLINHO - 250F MISTO ACAB. BOUQUET NOS 2 LADOS SOBREPOSTO - 0,40 X 0,16</t>
  </si>
  <si>
    <t>LENÇOL DE CIMA 300F MISTO FESTONE BRANCO 2,50 X 2,45</t>
  </si>
  <si>
    <t>93103079861</t>
  </si>
  <si>
    <t>FRONHA 3 ABAS 5CM 300F MISTO FESTONE BRANCO 50 X 70</t>
  </si>
  <si>
    <t>93111019860</t>
  </si>
  <si>
    <t>SUPER FRONHA 3 ABAS 5CM 300F MISTO FESTONE
BRANCO 50 X 90</t>
  </si>
  <si>
    <t>93111019868</t>
  </si>
  <si>
    <t>5534</t>
  </si>
  <si>
    <t>Alex Soares Barbosa</t>
  </si>
  <si>
    <t>00027000870893</t>
  </si>
  <si>
    <t>5535</t>
  </si>
  <si>
    <t>VALDISSON FRANKLIN SANTOS DE SALES</t>
  </si>
  <si>
    <t>VALDISSON FRANKLIN S</t>
  </si>
  <si>
    <t>00034248220865</t>
  </si>
  <si>
    <t>5536</t>
  </si>
  <si>
    <t>MARIA INÊS DRUMMOND</t>
  </si>
  <si>
    <t>00057466530630</t>
  </si>
  <si>
    <t>5537</t>
  </si>
  <si>
    <t>LÍGIA MANZANO ROSENBERG</t>
  </si>
  <si>
    <t>LÍGIA MANZANO ROSENB</t>
  </si>
  <si>
    <t>00039049475833</t>
  </si>
  <si>
    <t>5538</t>
  </si>
  <si>
    <t>HUGO LEONARDO SANTANA DO VALLE</t>
  </si>
  <si>
    <t>HUGO LEONARDO SANTAN</t>
  </si>
  <si>
    <t>61310112000133</t>
  </si>
  <si>
    <t>5539</t>
  </si>
  <si>
    <t>BRESA ENGENHARIA LTDA</t>
  </si>
  <si>
    <t>BRESA ENGENHARIA LTD</t>
  </si>
  <si>
    <t>52859862000178</t>
  </si>
  <si>
    <t>5540</t>
  </si>
  <si>
    <t>FAVORITA IMPORTACAO E DISTRIBUICAO DE UTILIDADE DO</t>
  </si>
  <si>
    <t>FAVORITA IMPORTACAO</t>
  </si>
  <si>
    <t>36740327000147</t>
  </si>
  <si>
    <t>5541</t>
  </si>
  <si>
    <t>CAIO RODRIGUES DE CARVALHO COSTA LEITE</t>
  </si>
  <si>
    <t>CAIO RODRIGUES DE CA</t>
  </si>
  <si>
    <t>00011338927604</t>
  </si>
  <si>
    <t>5542</t>
  </si>
  <si>
    <t>NETUANAH OPERADORA DE HOTEIS, EVENTOS E LOCACAO LT</t>
  </si>
  <si>
    <t>NETUANAH OPERADORA D</t>
  </si>
  <si>
    <t>07503465000104</t>
  </si>
  <si>
    <t>5543</t>
  </si>
  <si>
    <t>PORTO BRASIL CERAMICA LTDA</t>
  </si>
  <si>
    <t>PORTO BRASIL CERAMIC</t>
  </si>
  <si>
    <t>08520654000158</t>
  </si>
  <si>
    <t>5544</t>
  </si>
  <si>
    <t>Nayane Cantallops</t>
  </si>
  <si>
    <t>00004750203165</t>
  </si>
  <si>
    <t>5545</t>
  </si>
  <si>
    <t>MURILO OLIVEIRA</t>
  </si>
  <si>
    <t>00037070081855</t>
  </si>
  <si>
    <t>5546</t>
  </si>
  <si>
    <t>MRC CAMBURI INFORMATICA LTDA</t>
  </si>
  <si>
    <t>MRC</t>
  </si>
  <si>
    <t>41188838000138</t>
  </si>
  <si>
    <t>5547</t>
  </si>
  <si>
    <t>CLAYVE LEONARDO MARQUES SOARES</t>
  </si>
  <si>
    <t>CLAYVE LEONARDO MARQ</t>
  </si>
  <si>
    <t>00040145550893</t>
  </si>
  <si>
    <t>5548</t>
  </si>
  <si>
    <t>THIAGO PEREIRA DE ANDRADE</t>
  </si>
  <si>
    <t>THIAGO PEREIRA DE AN</t>
  </si>
  <si>
    <t>00037384370884</t>
  </si>
  <si>
    <t>5549</t>
  </si>
  <si>
    <t>ROZZANNE PATTRIZZIA JATAHY ALVES</t>
  </si>
  <si>
    <t>ROZZANNE PATTRIZZIA</t>
  </si>
  <si>
    <t>00056446594534</t>
  </si>
  <si>
    <t>5550</t>
  </si>
  <si>
    <t>BRUNA COVELO PINTO</t>
  </si>
  <si>
    <t>00031501580876</t>
  </si>
  <si>
    <t>5551</t>
  </si>
  <si>
    <t>MONICA LIMA</t>
  </si>
  <si>
    <t>00001006512080</t>
  </si>
  <si>
    <t>8 PEÇAS C/ DEFEITO NA VISTA, COSTURA ENRUGADA</t>
  </si>
  <si>
    <t>K6856P "P"</t>
  </si>
  <si>
    <t>K6856J "J"</t>
  </si>
  <si>
    <t>K6880OM</t>
  </si>
  <si>
    <t>MONICA</t>
  </si>
  <si>
    <t>ROUPÃO QUIMONO FELPA FAVO TAMANHO M COM LOGO " OM "</t>
  </si>
  <si>
    <t>ROUPÃO PIQUET QUADRAT MISTO C/ LOGO BORDADO TAMANHO G</t>
  </si>
  <si>
    <t>K6511</t>
  </si>
  <si>
    <t>1 VIRA FURADA</t>
  </si>
  <si>
    <t>DEFEITO NO BORDADO</t>
  </si>
  <si>
    <t>k961</t>
  </si>
  <si>
    <t>LENÇOL BARRA ESTREITA 4 LADOS 250F MISTO COM LATERAL 2,70 X 2,90</t>
  </si>
  <si>
    <t>2101029894</t>
  </si>
  <si>
    <t>FRONHA 3 ABAS 5CM 250F MISTO FESTONE BRANCO 0,50 X 0,70</t>
  </si>
  <si>
    <t>2101051871</t>
  </si>
  <si>
    <t>JOGO LENÇOL QUEEN - 400F - BELLAGIO BRANCO - LB C/ ELÁSTICO 1,58 X 1,98 X 0,30 - LC 2,50 X 2,45 - FR 0,50 X 0,70</t>
  </si>
  <si>
    <t>2101067799</t>
  </si>
  <si>
    <t>CAPA DE ALMOFADA - 400F 100% ALG ESTAMPA MOSAICO - ACABAMENTO CORDONÊ - C/ ZIPER - LINHA HOME - 0,30 X 0,40</t>
  </si>
  <si>
    <t>2101069327</t>
  </si>
  <si>
    <t>2101851773</t>
  </si>
  <si>
    <t>LENÇOL CIMA 250F MISTO FESTONE BRANCO 2,70 X 2,45</t>
  </si>
  <si>
    <t>2102049892</t>
  </si>
  <si>
    <t>LENÇOL CIMA 250F MISTO FESTONE BRANCO 2,50 X 2,45</t>
  </si>
  <si>
    <t>2102049893</t>
  </si>
  <si>
    <t>CAPA (DUVET) - 230F MISTO - CLASSIC - MOD. MÃOZINHA C/ ENVELOPE - 2,90 X 2,45</t>
  </si>
  <si>
    <t>2102049924</t>
  </si>
  <si>
    <t>RECHEIO ALMOFADA - 180F MISTO - 0,35 X 0,50</t>
  </si>
  <si>
    <t>2114079899</t>
  </si>
  <si>
    <t>FRONHA AVULSA 4 ABAS - 400F - ESTAMPA MOSAICO - 0,50 X 0,70</t>
  </si>
  <si>
    <t>2115069326</t>
  </si>
  <si>
    <t>TOALHA BANHO TEEN FELPA VELUX BRANCA - 0,70 X 1,40</t>
  </si>
  <si>
    <t>2302529866</t>
  </si>
  <si>
    <t>TOALHA ROSTO TEEN FELPA VELUX BRANCA - 0,50 X 0,70</t>
  </si>
  <si>
    <t>2302529867</t>
  </si>
  <si>
    <t>TOALHA FITNESS AVELUDADE C/ LOGO - 0,30 X 1,20</t>
  </si>
  <si>
    <t>3103071629</t>
  </si>
  <si>
    <t>AVENTAL P/ BANHO TAM. M - BORDADO HORA DO BANHO ROSA</t>
  </si>
  <si>
    <t>3105119852</t>
  </si>
  <si>
    <t>AVENTAL P/ BANHO TAM. M - BORDADO HORA DO BANHO AZUL</t>
  </si>
  <si>
    <t>3105119853</t>
  </si>
  <si>
    <t>PROTETOR DE TROCADOR IMPERMEÁVEL - 150F - 0,80 X 0,70 X 0,05</t>
  </si>
  <si>
    <t>3106018000</t>
  </si>
  <si>
    <t>JOGO LENÇOL BABY BERÇO - 300F - BORDADO JABUTI</t>
  </si>
  <si>
    <t>3161099849</t>
  </si>
  <si>
    <t>JOGO LENÇOL BABY BERÇO - 300F - BORDADO BOLINHA</t>
  </si>
  <si>
    <t>3161099850</t>
  </si>
  <si>
    <t>3161099851</t>
  </si>
  <si>
    <t>3161099904</t>
  </si>
  <si>
    <t>JOGO LENÇOL BABY 400F - BORDADO AZUL C/ LOGO</t>
  </si>
  <si>
    <t>3161099905</t>
  </si>
  <si>
    <t>TOALHA BANHO - 600G BARCELOS C/ BORDADO BRANCO - 0,77 X 1,60</t>
  </si>
  <si>
    <t>3302129856</t>
  </si>
  <si>
    <t>TOALHA BANHO - 600G BARCELOS C/ BORDADO AZUL - 0,77 X 1,60</t>
  </si>
  <si>
    <t>3302129857</t>
  </si>
  <si>
    <t>TOALHA BANHO - 600G BARCELOS - C/ BORDADO ROSA - 0,77 X 1,60</t>
  </si>
  <si>
    <t>3302129858</t>
  </si>
  <si>
    <t>TOALHA VELUX BRANCO LAVABO COM LOGO - 0,30 X 0,50</t>
  </si>
  <si>
    <t>3302302215</t>
  </si>
  <si>
    <t>TOALHA ROSTO - 600G BARCELOS C/ BORDADO BRANCO - 0,50 X 0,77</t>
  </si>
  <si>
    <t>3302389854</t>
  </si>
  <si>
    <t>TOALHA ROSTO - 600G BARCELOS C/ BORDADO AZUL - 0,50 X 0,77</t>
  </si>
  <si>
    <t>3302389855</t>
  </si>
  <si>
    <t>TOALHA ROSTO - 600G BARCELOS C/ BORDADO ROSA - 0,50 X 0,77</t>
  </si>
  <si>
    <t>3302389856</t>
  </si>
  <si>
    <t>LENÇOL DE CIMA - 230F MISTO - ACAB. DODICI PRETO E BEGE - 2,70 X 2,50</t>
  </si>
  <si>
    <t>92101854217</t>
  </si>
  <si>
    <t>LENÇOL CIMA 300F MISTO FESTONE BRANCO 2,75 X 2,45</t>
  </si>
  <si>
    <t>92102189901</t>
  </si>
  <si>
    <t>SUPER FRONHA 3 ABAS 5CM 300F MISTO FESTONE BRANCO 0,50 X 0,90</t>
  </si>
  <si>
    <t>92110309903</t>
  </si>
  <si>
    <t>CAPA (DUVET) MOD. MÃOZINHA C/ ENVELOPE 300F MISTO CLASSIC 2,85 X 2,45</t>
  </si>
  <si>
    <t>92115069902</t>
  </si>
  <si>
    <t>CAPA (DUVET) MOD. MÃOZINHA C/ ENVELOPE 300F MISTO CLASSIC 3,00 X 2,80</t>
  </si>
  <si>
    <t>92115069906</t>
  </si>
  <si>
    <t>LENÇOL BARRA ESTREITA 300F MISTO 2,85 X 2,90</t>
  </si>
  <si>
    <t>93101029897</t>
  </si>
  <si>
    <t>5552</t>
  </si>
  <si>
    <t>JÉSSICA OLIVEIRA BUENO</t>
  </si>
  <si>
    <t>JÉSSICA OLIVEIRA BUE</t>
  </si>
  <si>
    <t>00000955927927</t>
  </si>
  <si>
    <t>5553</t>
  </si>
  <si>
    <t>VANESSA BUENO</t>
  </si>
  <si>
    <t>00000955929970</t>
  </si>
  <si>
    <t>5554</t>
  </si>
  <si>
    <t>CHAVEIRO SAO JUDAS TADEU</t>
  </si>
  <si>
    <t>CHAVEIRO SAO JUDAS T</t>
  </si>
  <si>
    <t>00003294899840</t>
  </si>
  <si>
    <t>5555</t>
  </si>
  <si>
    <t xml:space="preserve">CAROLINA CASSIOLATTO
</t>
  </si>
  <si>
    <t>CAROLINA CASSIOLATTO</t>
  </si>
  <si>
    <t>00043950538828</t>
  </si>
  <si>
    <t>5556</t>
  </si>
  <si>
    <t>Karine Cristina Ribeiro Cota</t>
  </si>
  <si>
    <t>Karine Cristina Ribe</t>
  </si>
  <si>
    <t>00008149172670</t>
  </si>
  <si>
    <t>5557</t>
  </si>
  <si>
    <t>43283811017397</t>
  </si>
  <si>
    <t>5558</t>
  </si>
  <si>
    <t>CASSIA MARY SOUZA PRAZERES</t>
  </si>
  <si>
    <t>CASSIA MARY SOUZA PR</t>
  </si>
  <si>
    <t>00033284890530</t>
  </si>
  <si>
    <t>5559</t>
  </si>
  <si>
    <t>CLAUDINÉIA SILIANE MORAES</t>
  </si>
  <si>
    <t>CLAUDINÉIA SILIANE M</t>
  </si>
  <si>
    <t>00008192195929</t>
  </si>
  <si>
    <t>5560</t>
  </si>
  <si>
    <t>ERICA RODRIGUES DE DEUS</t>
  </si>
  <si>
    <t>ERICA RODRIGUES DE D</t>
  </si>
  <si>
    <t>00033766989880</t>
  </si>
  <si>
    <t>5561</t>
  </si>
  <si>
    <t>TRIBUNAL REGIONAL DO TRABALHO</t>
  </si>
  <si>
    <t>TRIBUNAL REGIONAL DO</t>
  </si>
  <si>
    <t>03241738000139</t>
  </si>
  <si>
    <t>5562</t>
  </si>
  <si>
    <t>43283811012832</t>
  </si>
  <si>
    <t>5563</t>
  </si>
  <si>
    <t>GERST EMBALAGENS FLEXIVEIS LTDA</t>
  </si>
  <si>
    <t>GERST EMBALAGENS</t>
  </si>
  <si>
    <t>42021228000108</t>
  </si>
  <si>
    <t>5564</t>
  </si>
  <si>
    <t>GABRIELA CARDOSO DE OLIVEIRA</t>
  </si>
  <si>
    <t>GABRIELA CARDOSO DE</t>
  </si>
  <si>
    <t>00002207654133</t>
  </si>
  <si>
    <t>5565</t>
  </si>
  <si>
    <t>CASAPE BOUTIQUE DE IMÓVEIS</t>
  </si>
  <si>
    <t>CASAPE</t>
  </si>
  <si>
    <t>52920595000105</t>
  </si>
  <si>
    <t>5566</t>
  </si>
  <si>
    <t>Aline Gabriela Ganassali Giannasi</t>
  </si>
  <si>
    <t>Aline Gabriela Ganas</t>
  </si>
  <si>
    <t>00032180584814</t>
  </si>
  <si>
    <t>5567</t>
  </si>
  <si>
    <t>MDC COMERCIO DE PARAFUSOS E FERRAGENS LTDA</t>
  </si>
  <si>
    <t>MDC PARAFUSOS E FERR</t>
  </si>
  <si>
    <t>20716656000112</t>
  </si>
  <si>
    <t>5568</t>
  </si>
  <si>
    <t>VISIO COMERCIO E IMPORTACAO LTDA</t>
  </si>
  <si>
    <t>VISIO IMPORT</t>
  </si>
  <si>
    <t>08964420000108</t>
  </si>
  <si>
    <t>CAPA ALMOFADA SEM ABA ACABAMENTO CORDONE C/ ZIPER TECIDO BOHEMIAN COR CINZA 0,30X0,50 C/ LOGO</t>
  </si>
  <si>
    <t>FRONHA 4 ABAS 5cm - 400F 100% - COM ACABAMENTO FESTONÊ E LOGO BORDADO COR ALABASTRO 07077 - 0,50 X 0,70</t>
  </si>
  <si>
    <t>K6863</t>
  </si>
  <si>
    <t>FRONHA 4 ABAS 5cm - 400F 100% - COM ACABAMENTO FESTONÊ E LOGO BORDADO COR ALABASTRO 07077 - 0,50 X 0,71</t>
  </si>
  <si>
    <t>SUPER FRONHA MODELO ENVELOPE 250F MISTO CLASSIC 0,50X0,90</t>
  </si>
  <si>
    <t>FRONHA 3 ABAS 5CM CLASSIC 250F MISTO 0,50X0,70</t>
  </si>
  <si>
    <t>FRONHA 3 ABAS 5CM 270F MISTO STRIPE ESTREITO 0,5 CM CLASSIC (HORIZINTAL) 0,50X0,70</t>
  </si>
  <si>
    <t>FRONHA ENVELOPE - 180F 100% ALGODÃO - COM LOGO BORDADO COR ALABASTRO 07077 - 0,50 X 0,71</t>
  </si>
  <si>
    <t>LENÇOL BRANCO 180F 100% ALGODÃO C/ LOGO BORDADO COR ALABASTRO 07077 - 1,80X2,80</t>
  </si>
  <si>
    <t>FRONHAS</t>
  </si>
  <si>
    <t>2101039910</t>
  </si>
  <si>
    <t>TOALHA ROSTO - FELPA CARAMELO - COM LOGO - 0,48 X 0,70</t>
  </si>
  <si>
    <t>3302047964</t>
  </si>
  <si>
    <t>TOALHA MÃO FELPA CARAMELO - SEM LOGO - 0,30 X 0,30</t>
  </si>
  <si>
    <t>3759313469</t>
  </si>
  <si>
    <t>FRONHA MODELO ENVELOPE - 230F MISTO - 0,50 X 0,70</t>
  </si>
  <si>
    <t>92103030437</t>
  </si>
  <si>
    <t>DUVET (CAPA) - 300F MISTO STRIPE LARGE 1cm - VERTICAL - CLASSIC C/ ENVELOPE - 2,90 X 2,60</t>
  </si>
  <si>
    <t>92115029937</t>
  </si>
  <si>
    <t>5569</t>
  </si>
  <si>
    <t>BARBARA AZEVEDO</t>
  </si>
  <si>
    <t>00007778039680</t>
  </si>
  <si>
    <t>5570</t>
  </si>
  <si>
    <t>Teresa Porto</t>
  </si>
  <si>
    <t>00030924804300</t>
  </si>
  <si>
    <t>5571</t>
  </si>
  <si>
    <t>MARIANA TARRAGÓ</t>
  </si>
  <si>
    <t>00037014805835</t>
  </si>
  <si>
    <t>5572</t>
  </si>
  <si>
    <t>TAUÁ HOTEL E CONVENTION JOÃO PESSOA LTDA</t>
  </si>
  <si>
    <t>TAUÁ HOTEL E CONVENT</t>
  </si>
  <si>
    <t>50026381000156</t>
  </si>
  <si>
    <t>5573</t>
  </si>
  <si>
    <t>HELOISA GONÇALVES ALBANEZ</t>
  </si>
  <si>
    <t>HELOISA GONÇALVES AL</t>
  </si>
  <si>
    <t>00011250869633</t>
  </si>
  <si>
    <t>5574</t>
  </si>
  <si>
    <t>NATALICIA FERREIRA DE ARAUJO BA</t>
  </si>
  <si>
    <t>NATALICIA FERREIRA D</t>
  </si>
  <si>
    <t>00095042636820</t>
  </si>
  <si>
    <t>5575</t>
  </si>
  <si>
    <t>Aurea Patricia Santos Monteiro</t>
  </si>
  <si>
    <t>Aurea Patricia Santo</t>
  </si>
  <si>
    <t>00044577297876</t>
  </si>
  <si>
    <t>5576</t>
  </si>
  <si>
    <t>Cynthia de Menezes Barros</t>
  </si>
  <si>
    <t>Cynthia de Menezes B</t>
  </si>
  <si>
    <t>00002702235689</t>
  </si>
  <si>
    <t>TOALHA PARA SALÃO COR PRETO 100% ALGODÃO 0,45 X 0,90 C/ LOGO MASSAGEM</t>
  </si>
  <si>
    <t>TOALHA PARA SALÃO COR PRETO 100% ALGODÃO 0,45 X 0,90 C/ LOGO CABELEREIRO</t>
  </si>
  <si>
    <t>K6754</t>
  </si>
  <si>
    <t>K6755</t>
  </si>
  <si>
    <t>K6880EC</t>
  </si>
  <si>
    <t xml:space="preserve">LENÇOL CIMA  C/ LOGO 1,10 X  1,16 </t>
  </si>
  <si>
    <t>K6880E</t>
  </si>
  <si>
    <t>5577</t>
  </si>
  <si>
    <t>LALAMOVE TECNOLOGIA BRASIL LTDA</t>
  </si>
  <si>
    <t>LALAMOVE TECNOLOGIA</t>
  </si>
  <si>
    <t>34538625000123</t>
  </si>
  <si>
    <t>5578</t>
  </si>
  <si>
    <t>CORDEIRO MAQUINAS E FERRAMENTAS LTDA</t>
  </si>
  <si>
    <t>CORDEIRO MAQUINAS E</t>
  </si>
  <si>
    <t>71449201000119</t>
  </si>
  <si>
    <t>5579</t>
  </si>
  <si>
    <t>CIA BRAS. DISTRIB. QUINTAS DO MORUMBI</t>
  </si>
  <si>
    <t>CIA BRAS. DISTRIB. Q</t>
  </si>
  <si>
    <t>47508411144824</t>
  </si>
  <si>
    <t>5580</t>
  </si>
  <si>
    <t>MIXUP CONNECTING COMUNICACAO LTDA</t>
  </si>
  <si>
    <t>MIXUP CONNECTING COM</t>
  </si>
  <si>
    <t>31599629000123</t>
  </si>
  <si>
    <t>5581</t>
  </si>
  <si>
    <t>LAURA SCHUJMANN CAMPANI</t>
  </si>
  <si>
    <t>LAURA SCHUJMANN CAMP</t>
  </si>
  <si>
    <t>00003098241098</t>
  </si>
  <si>
    <t>5582</t>
  </si>
  <si>
    <t>GUILHERME BALCONI NETO</t>
  </si>
  <si>
    <t>GUILHERME BALCONI NE</t>
  </si>
  <si>
    <t>00041791620833</t>
  </si>
  <si>
    <t>Recebemos -  9 roupões, faltando fazer os cintos. será descontado na próxima NF. um valor de 31,90 reais.</t>
  </si>
  <si>
    <t>FRONHA 3 ABAS 5CM 230F BELLAGIO BRANCO - 0,50 X 0,70</t>
  </si>
  <si>
    <t>2.50,25</t>
  </si>
  <si>
    <t>17259 / 17262</t>
  </si>
  <si>
    <t>03/06/2026-04/06/2026</t>
  </si>
  <si>
    <t>TOALHA PARA SALÃO COR PRETO 100% ALGODÃO 0,45 X 0,90 C/ LOGO "MASSAGEM"</t>
  </si>
  <si>
    <t>TOALHA PARA SALÃO COR PRETO 100% ALGODÃO 0,45 X 0,90 C/ LOGO "CABELEREIRO"</t>
  </si>
  <si>
    <t>ROUPÃO C/ CAPUZ BABY - BORDADO BRANCO 6 Á 9 MESES COM LOGO "A"</t>
  </si>
  <si>
    <t>ROUPÃO C/ CAPUZ BABY - BORDADO BRANCO 6 Á 9 MESES COM LOGO "C"</t>
  </si>
  <si>
    <t>FAIXA LENÇOL DE CIMA 1,10 X 1,70 - BORDADO CORAÇÃO</t>
  </si>
  <si>
    <t>FAIXA FRONHA 0,30 X 0,40 - BORDADO CORAÇÃO</t>
  </si>
  <si>
    <t>K5289</t>
  </si>
  <si>
    <t>K5379P</t>
  </si>
  <si>
    <t>K5822</t>
  </si>
  <si>
    <t>K6890</t>
  </si>
  <si>
    <t>K6891</t>
  </si>
  <si>
    <t>FAIXA LENÇOL DE CIMA 1,10 X 1,70 - BORDADO BOLINHA</t>
  </si>
  <si>
    <t>FAIXA FRONHA 0,30 X 0,40 - BORDADO BOLINHA</t>
  </si>
  <si>
    <t>K5235M1 K5235M2</t>
  </si>
  <si>
    <t>K5235P K5235</t>
  </si>
  <si>
    <t>FAIXA LENÇOL DE CIMA 1,10 X 1,70 - BORDADO JARDIM</t>
  </si>
  <si>
    <t>FAIXA FRONHA 0,30 X 0,40 - BORDADO JARDIM</t>
  </si>
  <si>
    <t>K6058A K6058B</t>
  </si>
  <si>
    <t>K6058C</t>
  </si>
  <si>
    <t>FAIXA LENÇOL DE CIMA 1,10 X 1,70 - BORDADO JABUTI</t>
  </si>
  <si>
    <t>FAIXA FRONHA 0,30 X 0,40 - BORDADO JABUTI</t>
  </si>
  <si>
    <t>K5280C</t>
  </si>
  <si>
    <t>LENÇOL PARA MACA BARRA ESTREITA 4 LADOS 230F MISTO 1,70 X 2,40</t>
  </si>
  <si>
    <t>LENÇOL PARA MACA BARRA ESTREITA 4 LADOS 230F MISTO 1,70 X 2,40 COM LOGO</t>
  </si>
  <si>
    <t>TOALHA DE BANHO JADE 100% ALG 580G COR BRANCO 1,00X1,80 C/ LOGO H1</t>
  </si>
  <si>
    <t>TOALHA DE BANHO JADE 100% ALG 580G COR BRANCO 1,00X1,80 C/ LOGO H2</t>
  </si>
  <si>
    <t>K6880H - K6880X</t>
  </si>
  <si>
    <t>K6880H - K6880Z</t>
  </si>
  <si>
    <t>TOALHA DE BANHO JADE 100% ALG 580G COR BRANCO 1,00X1,80 C/ LOGO SA1</t>
  </si>
  <si>
    <t>TOALHA DE BANHO JADE 100% ALG 580G COR BRANCO 1,00X1,80 C/ LOGO SA2</t>
  </si>
  <si>
    <t>K6880SA - K6880Z</t>
  </si>
  <si>
    <t>K6880SA - K6880X</t>
  </si>
  <si>
    <t>TOALHA DE BANHO JADE 100% ALG 580G COR BRANCO 1,00X1,80 C/ LOGO VA1</t>
  </si>
  <si>
    <t>TOALHA DE BANHO JADE 100% ALG 580G COR BRANCO 1,00X1,80 C/ LOGO VA2</t>
  </si>
  <si>
    <t>K6880VA - K6880X</t>
  </si>
  <si>
    <t>K6880VA - K6880Z</t>
  </si>
  <si>
    <t>TOALHA DE BANHO JADE 100% ALG 580G COR BRANCO 1,00X1,80 C/ LOGO CA1</t>
  </si>
  <si>
    <t>TOALHA DE BANHO JADE 100% ALG 580G COR BRANCO 1,00X1,80 C/ LOGO CA2</t>
  </si>
  <si>
    <t>K6880CA - K6880Z</t>
  </si>
  <si>
    <t>K6880CA - K6880X</t>
  </si>
  <si>
    <t>TOALHA DE BANHO JADE 100% ALG 580G COR BRANCO 1,00X1,80 C/ LOGO MA1</t>
  </si>
  <si>
    <t>TOALHA DE BANHO JADE 100% ALG 580G COR BRANCO 1,00X1,80 C/ LOGO MA2</t>
  </si>
  <si>
    <t>K68880MA - K6880X</t>
  </si>
  <si>
    <t>K68880MA - K6880Z</t>
  </si>
  <si>
    <t>TOALHA DE ROSTO JADE 100% ALG 580G COR BRANCO 0,48X0,80 C/ LOGO SA1</t>
  </si>
  <si>
    <t>TOALHA DE ROSTO JADE 100% ALG 580G COR BRANCO 0,48X0,80 C/ LOGO SA2</t>
  </si>
  <si>
    <t>K6880SA1 - K6880X</t>
  </si>
  <si>
    <t>K6880SA1 - K6880Z</t>
  </si>
  <si>
    <t>K6880CA1 - K6880X</t>
  </si>
  <si>
    <t>K6880CA1 - K6880Z</t>
  </si>
  <si>
    <t>TOALHA DE ROSTO JADE 100% ALG 580G COR BRANCO 0,48X0,80 C/ LOGO CA1</t>
  </si>
  <si>
    <t>TOALHA DE ROSTO JADE 100% ALG 580G COR BRANCO 0,48X0,80 C/ LOGO CA2</t>
  </si>
  <si>
    <t>TOALHA DE ROSTO JADE 100% ALG 580G COR BRANCO 0,48X0,80 C/ LOGO H1</t>
  </si>
  <si>
    <t>TOALHA DE ROSTO JADE 100% ALG 580G COR BRANCO 0,48X0,80 C/ LOGO H2</t>
  </si>
  <si>
    <t>K6880H4CM - K6880Z</t>
  </si>
  <si>
    <t>TOALHA DE ROSTO JADE 100% ALG 580G COR BRANCO 0,48X0,80 C/ LOGO VA1</t>
  </si>
  <si>
    <t>TOALHA DE ROSTO JADE 100% ALG 580G COR BRANCO 0,48X0,80 C/ LOGO VA2</t>
  </si>
  <si>
    <t>K6880VA1 - K6880X</t>
  </si>
  <si>
    <t>K6880VA1 - K6880Z</t>
  </si>
  <si>
    <t>K6880MA1 - K6880X</t>
  </si>
  <si>
    <t>K6880MA1 - K6880Z</t>
  </si>
  <si>
    <t>TOALHA DE ROSTO JADE 100% ALG 580G COR BRANCO 0,48X0,80 C/ LOGO MA1</t>
  </si>
  <si>
    <t>TOALHA DE ROSTO JADE 100% ALG 580G COR BRANCO 0,48X0,80 C/ LOGO MA2</t>
  </si>
  <si>
    <t>K2642E "Mr "</t>
  </si>
  <si>
    <t>K5131</t>
  </si>
  <si>
    <t>Lilica</t>
  </si>
  <si>
    <t>ROLO LATERAL BERÇO - 400F BCO C/ DET BORDADO JARDIM C/ VIÉS BCO + BORDADO BOUQUET + TIRA P/ FECHAR - 1,30 X 0,18</t>
  </si>
  <si>
    <t>2101019890</t>
  </si>
  <si>
    <t>LENÇOL BARRA ESTREITA 4 LADOS 200F 100% ALGODÃO C/ LATERAL 2,70 X 2,90</t>
  </si>
  <si>
    <t>2101028849</t>
  </si>
  <si>
    <t>JOGO DE LENÇOL KING - 400F 100% ALG - ACAB. BELAGIO CASTOR - LB: 1,93 X 2,03 X 0,35 - LC: 2,90 X 2,60 - FR 4 ABAS: 0,50 X 0,70</t>
  </si>
  <si>
    <t>2101069911</t>
  </si>
  <si>
    <t>2104129990</t>
  </si>
  <si>
    <t>SUPER FRONHA 4 ABAS 5cm - 400F 100% ALGODÃO - ACAB. BELAGIO CASTOR - 0,50 X 0,90</t>
  </si>
  <si>
    <t>2105029912</t>
  </si>
  <si>
    <t>CAPA ALMOFADA 4 3cm ABAS - 400F BCO - C/ BORDADO JARDIM - 0,50 X 0,50</t>
  </si>
  <si>
    <t>2111019884</t>
  </si>
  <si>
    <t>CAPA ALMOFADA - 400F BCO - C/ DET. BORDADO ROSA</t>
  </si>
  <si>
    <t>2111019885</t>
  </si>
  <si>
    <t>CAPA ALMOFADA 400F BCO C/ DET. BORDADO BOUQUET + LOGO - 0,30 X 0,50</t>
  </si>
  <si>
    <t>2111019886</t>
  </si>
  <si>
    <t>CAPA ALMOFADA TEC. PIQUET - SOPHIA C/ DET. BORDADO BOUQUET + BORDADO LAVANDA - 0,50 X 0,50</t>
  </si>
  <si>
    <t>2111019887</t>
  </si>
  <si>
    <t>CAPA ALMOFADA 4 ABAS - 400F 100% ALG. - ACAB. BELAGIO CASTOR - C/ TRANSPASSE - 0,30 X 0,40</t>
  </si>
  <si>
    <t>2111239913</t>
  </si>
  <si>
    <t>CAPA ALMOFADA BABY MEIA MALHA CRU C/ CORDONÊ TEC. FOLHAS C/ LOGO + ZÍPER - 0,30 X 0,40</t>
  </si>
  <si>
    <t>2111309939</t>
  </si>
  <si>
    <t>CAPA ROLO FELPA CARAMELO TAM 0,60 X 0,16 COM LOGO</t>
  </si>
  <si>
    <t>2112589932</t>
  </si>
  <si>
    <t>RECHEIO ROLINHO 180F MISTO 0,60 X 0,16</t>
  </si>
  <si>
    <t>2114085220</t>
  </si>
  <si>
    <t>CAPA DUVET SOLTEIRO - PIQUET SOPHIA C/ DETALHE. DUPLO FESTONÊ - C/ ZIPER - 1,60 X 2,20</t>
  </si>
  <si>
    <t>2115029891</t>
  </si>
  <si>
    <t>CAPA DUVET KING - 400F 100% ALGODÃO - ACAB. BELAGIO CASTOR - MOD. RETO NO PÉ - C/ ZÍPER - 2,90 X 2,45</t>
  </si>
  <si>
    <t>2115029916</t>
  </si>
  <si>
    <t>DUVET (CAPA) - 300F MISTO CLASSIC - 2,85 X 2,50</t>
  </si>
  <si>
    <t>2115061015</t>
  </si>
  <si>
    <t>SAIA P/ BERÇO - 400F ROSE ( COR 60 ) C/ DET. BORDADO JARDIM - 0,70 X 1,30 X 0,54</t>
  </si>
  <si>
    <t>2120029889</t>
  </si>
  <si>
    <t>SAIA BRIM BRANCO 0,89 X 1,98 X 0,35 MOLDURA E TRANSPASSE</t>
  </si>
  <si>
    <t>2120059936</t>
  </si>
  <si>
    <t>COLCHA MATELASSADO QUADROS 180F - 2,60 X 2,40</t>
  </si>
  <si>
    <t>2121011692</t>
  </si>
  <si>
    <t>COLCHA MATELASSADO QUADROS - 180F MISTO - 2,30 X 2,35</t>
  </si>
  <si>
    <t>2121019749</t>
  </si>
  <si>
    <t>LAÇO P/ BERÇO - 400F BCO C/ DET, DUPLO FESTONÊ - 0,12 X 0,12 - FITA 0,03</t>
  </si>
  <si>
    <t>2121029889</t>
  </si>
  <si>
    <t>GUARDANAPO CLASSIC BARRA 2cm - 80% ALGODÃO E 20% LINHO COR CRU 396 - 0,35 X 0,40</t>
  </si>
  <si>
    <t>2201021020</t>
  </si>
  <si>
    <t>ROUPÃO SUEDINE BRANCO - MODELO SUMMERS</t>
  </si>
  <si>
    <t>3101090120</t>
  </si>
  <si>
    <t>3101090121</t>
  </si>
  <si>
    <t>3101090122</t>
  </si>
  <si>
    <t>3101090123</t>
  </si>
  <si>
    <t>FRONHA PARA TRAVESSEIRO DE OLHOS EM FELPA  CARAMELO - - TAM ÚNICO</t>
  </si>
  <si>
    <t>3105018388</t>
  </si>
  <si>
    <t>FRONHA PARA TRAVESSEIRO DE OLHOS EM FELPA
CARAMELO - TAM ÚNICO COM LOGO</t>
  </si>
  <si>
    <t>3105019931</t>
  </si>
  <si>
    <t>RECHEIO ROLINHO 180F MISTO 0,40 X 0,16</t>
  </si>
  <si>
    <t>3109062569</t>
  </si>
  <si>
    <t>TOALHA DE BANHO COM CAPUZ BRANCA BABY - BORDADO AZUL C/ LOGO - 0,70 X 0,90</t>
  </si>
  <si>
    <t>ROUPÃO INFANTIL VELUX BRANCO MODELO KIMONO  COM CAPUZ E LOGO 6 ANOS</t>
  </si>
  <si>
    <t>3301069930</t>
  </si>
  <si>
    <t>ROUPÃO INFANTIL FELPA VELUX BRANCO MODELO  KIMONO COM CAPUZ E LOGO 10 ANOS</t>
  </si>
  <si>
    <t>3301092760</t>
  </si>
  <si>
    <t>TOALHA PISO SIMPLES S/ LOGO FELPA CARAMELO 0,48 X 0,80</t>
  </si>
  <si>
    <t>3302122847</t>
  </si>
  <si>
    <t>MASCARA DE OLHOS FELPA TAM. UNICO -CARAMELO SEM LOGO COR</t>
  </si>
  <si>
    <t>3401026167</t>
  </si>
  <si>
    <t>FAIXA DE CABELO TAM. UNICO - COR CARAMELO</t>
  </si>
  <si>
    <t>3401036168</t>
  </si>
  <si>
    <t>ENCOSTO DE ROSTO FELPA CARAMELO TAM. UNICO</t>
  </si>
  <si>
    <t>3401049971</t>
  </si>
  <si>
    <t>TRAVESSEIRO OLHOS 180F MISTO LINHAÇA TAM UNICO</t>
  </si>
  <si>
    <t>3402061208</t>
  </si>
  <si>
    <t>CAPA ROLINHO FELPA CARAMELO TAM. 0,40 X 0,16 COM
LOGO</t>
  </si>
  <si>
    <t>3404119933</t>
  </si>
  <si>
    <t>PIJAMA FRMININO BLUSA + CALÇA EM TECIDO GALLES CETIM 100% ALG  ( ESTAMPADO FLORELA AZUL) ZISSOU</t>
  </si>
  <si>
    <t>3913019989</t>
  </si>
  <si>
    <t>FRONHA 2 ABAS 5CM CLASSIC STRIPE ESTREITO 300FIOS MISTO LISTRA HORIZONTAL CLASSIC 0,50 X 0,70</t>
  </si>
  <si>
    <t>92101046444</t>
  </si>
  <si>
    <t>LENÇOL BARRA ESTREITA 4 LADOS STRIPE ESTREITO 300FIOS MISTO LISTRA HORIZONTAL 2,16 X 2,90</t>
  </si>
  <si>
    <t>92101062494</t>
  </si>
  <si>
    <t>LENÇOL BARRA ESTREITA 4 LADOS STRIPE ESTREITO 300FIOS MISTO LISTRA HORIZONTAL 3,00 X 2,90</t>
  </si>
  <si>
    <t>92101062495</t>
  </si>
  <si>
    <t>LENÇOL PARA MACA BARRA ESTREITA 4 LADOS 230F
MISTO 1,70 X 2,40</t>
  </si>
  <si>
    <t>92101068151</t>
  </si>
  <si>
    <t>ZLH775 PAR DE FRONHA ZISSOU LISTRAS ACAB. CORDONÊ AZUL VOLTA TODA MOD ENVELOPE 0,53 X 0,73</t>
  </si>
  <si>
    <t>LENÇOL PARA MACA BARRA ESTREITA 4 LADOS 230F
MISTO 1,70 X 2,40 COM LOGO</t>
  </si>
  <si>
    <t>92101069934</t>
  </si>
  <si>
    <t>SUPER FRONHA 2 ABAS 5CM CLASSIC STRIPE ESTREITO 300FIOS MISTO LISTRA HORIZONTAL 0,50 X 0,90</t>
  </si>
  <si>
    <t>92101086445</t>
  </si>
  <si>
    <t>92104107588</t>
  </si>
  <si>
    <t>SUPER FRONHA 2 ABAS 5CM CLASSIC 400F 100%
ALGODÃO 0,50 X 0,90</t>
  </si>
  <si>
    <t>92108341082</t>
  </si>
  <si>
    <t>CAPA DUVET (EDRED) CLASSIC 300F MISTO STRIPE 1CM HORIZONTAL S/ ENVELOPE - TIPO SACO LINHA VERDE NA BARRA P/ IDENTIFICAÇÃO 2,80 X 2,40</t>
  </si>
  <si>
    <t>92115039919</t>
  </si>
  <si>
    <t>CAPA DUVET (EDRED) CLASSIC 300F MISTO STRIPE 1CM HORIZONTAL S/ ENVELOPE - TIPO SACO LINHA VERMELHA NA BARRA P/ IDENTIFICAÇÃO 2,40 X 2,40</t>
  </si>
  <si>
    <t>92115039920</t>
  </si>
  <si>
    <t>CAPA ROLINHO 400F CLASSIC 0,40 X 0,16</t>
  </si>
  <si>
    <t>SERENA E ILUMINADA</t>
  </si>
  <si>
    <t>5583</t>
  </si>
  <si>
    <t>JULIANA OLIVEIRA</t>
  </si>
  <si>
    <t>00030071979883</t>
  </si>
  <si>
    <t>5584</t>
  </si>
  <si>
    <t>EMPRESA HOTELEIRA MABU LTDA</t>
  </si>
  <si>
    <t>MABU THERMAS GRAND</t>
  </si>
  <si>
    <t>75047498000309</t>
  </si>
  <si>
    <t>5585</t>
  </si>
  <si>
    <t>SAHA SERVICOS MEDICOS E HOSPITALARES LTDA.</t>
  </si>
  <si>
    <t>SAHA - GRUPO FLEURY</t>
  </si>
  <si>
    <t>07045325000130</t>
  </si>
  <si>
    <t>5586</t>
  </si>
  <si>
    <t>RENATA GONÇALVES JÁBALI</t>
  </si>
  <si>
    <t>RENATA GONÇALVES JÁB</t>
  </si>
  <si>
    <t>00017497246852</t>
  </si>
  <si>
    <t>5587</t>
  </si>
  <si>
    <t>HELENA MORAIS OMATI</t>
  </si>
  <si>
    <t>GRUPO FIAMA - LOJA</t>
  </si>
  <si>
    <t>26314673000100</t>
  </si>
  <si>
    <t>5588</t>
  </si>
  <si>
    <t>RICARDO LUIZ DE CARVALHO</t>
  </si>
  <si>
    <t>R.L DE CARVALHO</t>
  </si>
  <si>
    <t>29821056000199</t>
  </si>
  <si>
    <t>5589</t>
  </si>
  <si>
    <t>LUZINAIDE DE QUEIROZ MACIEL</t>
  </si>
  <si>
    <t>LUZINAIDE DE QUEIROZ</t>
  </si>
  <si>
    <t>00001479630101</t>
  </si>
  <si>
    <t>5590</t>
  </si>
  <si>
    <t>Maria Gabriela Delboni Cabrera</t>
  </si>
  <si>
    <t>Maria Gabriela Delbo</t>
  </si>
  <si>
    <t>00027402035867</t>
  </si>
  <si>
    <t>5591</t>
  </si>
  <si>
    <t>V N FERNANDES SOLUCOES DE ECOMMERCE LTDA</t>
  </si>
  <si>
    <t>NOVUS COMMERCE</t>
  </si>
  <si>
    <t>37752864000250</t>
  </si>
  <si>
    <t>5592</t>
  </si>
  <si>
    <t>ANA LUCIA BOTELHO</t>
  </si>
  <si>
    <t>00028434410800</t>
  </si>
  <si>
    <t>5593</t>
  </si>
  <si>
    <t>IOHANNES FIORESE</t>
  </si>
  <si>
    <t>00006659582932</t>
  </si>
  <si>
    <t>5594</t>
  </si>
  <si>
    <t>CAROLINA RAUCCI TUTUNDJIAN</t>
  </si>
  <si>
    <t>CAROLINA RAUCCI TUTU</t>
  </si>
  <si>
    <t>00033701444846</t>
  </si>
  <si>
    <t>5595</t>
  </si>
  <si>
    <t>PABLO SILVA OLIVEIRA DOS MONTES</t>
  </si>
  <si>
    <t>PABLO SILVA OLIVEIRA</t>
  </si>
  <si>
    <t>00047995707819</t>
  </si>
  <si>
    <t>5596</t>
  </si>
  <si>
    <t>KATERINE DO NASCIMENTO</t>
  </si>
  <si>
    <t>KATERINE DO NASCIMEN</t>
  </si>
  <si>
    <t>00032529917809</t>
  </si>
  <si>
    <t>5597</t>
  </si>
  <si>
    <t>CLEMERSON DA SILVA SANTOS</t>
  </si>
  <si>
    <t>CLEMERSON DA SILVA S</t>
  </si>
  <si>
    <t>40498670000102</t>
  </si>
  <si>
    <t>5598</t>
  </si>
  <si>
    <t>SANTELMO GONCALVES COMERCIO DE PRODUTOS NATURAIS L</t>
  </si>
  <si>
    <t>SANTELMO GONCALVES C</t>
  </si>
  <si>
    <t>51377253000110</t>
  </si>
  <si>
    <t>5599</t>
  </si>
  <si>
    <t>AGUA ON LTDA</t>
  </si>
  <si>
    <t>52881201000149</t>
  </si>
  <si>
    <t>5600</t>
  </si>
  <si>
    <t>MAGNA RUBIA DAMBRÓZ MORO</t>
  </si>
  <si>
    <t>MAGNA RUBIA DAMBRÓZ</t>
  </si>
  <si>
    <t>00001710668717</t>
  </si>
  <si>
    <t>5601</t>
  </si>
  <si>
    <t>66120292000104</t>
  </si>
  <si>
    <t>5602</t>
  </si>
  <si>
    <t>LUIZA TRINDADE</t>
  </si>
  <si>
    <t>00092889646220</t>
  </si>
  <si>
    <t>5603</t>
  </si>
  <si>
    <t>AFC COMERCIO VAREJISTA DE COMPONENTES ELETRONICOS</t>
  </si>
  <si>
    <t>AFC</t>
  </si>
  <si>
    <t>18983263000123</t>
  </si>
  <si>
    <t>K6755/ LOGO FICOU UM POUCO TORTO</t>
  </si>
  <si>
    <t>FRONHA BABY 1/2 ESTAMPADA    COM CORDONÊ LISO 1/2 MALHA BRANCA  - TEM SENTIDO</t>
  </si>
  <si>
    <t>CAPA DUVET SOLTEIRO - 400F - ACAB CORDONÊ  BRANCO RETO NO PÉ</t>
  </si>
  <si>
    <t>CAPA DUVET SOLTEIRO - 400F - ACAB CORDONÊ  ROSA RETO NO PÉ</t>
  </si>
  <si>
    <t>CAPA DUVET SOLTEIRO - 400F - ACAB CORDONÊ  AZUL RETO NO PÉ</t>
  </si>
  <si>
    <t>LENÇOL MACA - 180F 100% ALG C/ LOGO BORDADO COR ALABASTRO 07077 - 2,50 X 2,80</t>
  </si>
  <si>
    <t>2101067951</t>
  </si>
  <si>
    <t>FRONHA BABY SUEDINE ESTAMPA OURIÇO COM CORDONÊ  LISO 1/2 MALHA OFF WHITE - TEM SENTIDO</t>
  </si>
  <si>
    <t>FRONHA SEM ABA C/ ACABAMENTO ENT. 2 LADOS  BARRA 2CM</t>
  </si>
  <si>
    <t>CAPA DUVET - ESTAMPANDA        [ FRENTE ALICE C/ SENTIDO  - FUNDO LISO ]</t>
  </si>
  <si>
    <t>CAPA DUVET - ALICE       [ FRENTE 1/2 MALHA ESTAMPADA  C/ SENTIDO  - FUNDO LISO ]</t>
  </si>
  <si>
    <t>CAPA DUVET -   CORDONÊ VOLTA TODA      [ FRENTE SUEDINE  ESTAMPADA    - FUNDO LISO ]</t>
  </si>
  <si>
    <t>CAPA DUVET -   CORDONÊ VOLTA TODA      [ FRENTE 1/2 MALHA ESTAMPA CAVALINHO C/ SENTIDO  - FUNDO LISO ]</t>
  </si>
  <si>
    <t>CAPA EDREDOM BABY 400F acab/ E CORDONÊ BRANCO</t>
  </si>
  <si>
    <t>CAPA EDREDOM BABY 400F acab/ E CORDONÊ AZUL</t>
  </si>
  <si>
    <t>RECHEIO EDREDON 180 FIOS / MANTA SILICONIZADA</t>
  </si>
  <si>
    <t>KIT 3 BABADOR  - 1/2 MALHA ESTAMPA FOLHAS C/ SENTIDO</t>
  </si>
  <si>
    <t>MANTA CUEIRO -  SUEDINE  ESTAM FOLHAS C/  GALÃO ESTAMPA FOLHAS</t>
  </si>
  <si>
    <t>FRONHA BABY ESTAMPANDA    COM CORDONÊ LISO  - TEM SENTIDO</t>
  </si>
  <si>
    <t>CAPA DUVET -   CORDONÊ VOLTA TODA      [ FRENTE SUEDINE  ESTAMPA OURIÇO  C/ SENTIDO  - FUNDO LISO ]</t>
  </si>
  <si>
    <t>KIT 3 BABADOR  - 1/2 MALHA ESTAMPA OURIÇO C/ SENTIDO</t>
  </si>
  <si>
    <t>KIT 3 BABADOR  - 1/2 MALHA ESTAMPA ALICE C/ SENTIDO</t>
  </si>
  <si>
    <t>FRONHA BABY ENVELOPE - 400F - CORDONÊ BRANCO</t>
  </si>
  <si>
    <t>CAPA EDREDOM BABY 400F acab/ E CORDONÊ ROSÉ</t>
  </si>
  <si>
    <t>CAPA DUVET EDREDOM BABY - 400F - BORDADO BRANCO</t>
  </si>
  <si>
    <t>CAPA DUVET EDREDOM BABY - 400F - BORDADO AZUL</t>
  </si>
  <si>
    <t>CAPA DUVET EDREDOM BABY - 400F - BORDADO ROSA</t>
  </si>
  <si>
    <t>FRONHA BABY 1/2 MALHA ESTAMPA CAVALINHO COM CORDONÊ  LISO 1/2 MALHA OFF WHITE - TEM SENTIDO</t>
  </si>
  <si>
    <t>CAPA DUVET OURIÇO -   CORDONÊ VOLTA TODA      [ FRENTE SUEDINE  ESTAMPADA    C/ SENTDO - FUNDO LISO ]</t>
  </si>
  <si>
    <t>5604</t>
  </si>
  <si>
    <t>Paloma Cintia tolentino veloso</t>
  </si>
  <si>
    <t>Paloma Cintia tolent</t>
  </si>
  <si>
    <t>00010757610692</t>
  </si>
  <si>
    <t>5605</t>
  </si>
  <si>
    <t>CLEDSON PEREIRA FERREIRA 02905984430</t>
  </si>
  <si>
    <t>CLEDSON PEREIRA</t>
  </si>
  <si>
    <t>41288505000180</t>
  </si>
  <si>
    <t>5606</t>
  </si>
  <si>
    <t>Julieta Cana Brasil da Silva Santos</t>
  </si>
  <si>
    <t>Julieta Cana Brasil</t>
  </si>
  <si>
    <t>00056352980520</t>
  </si>
  <si>
    <t>5607</t>
  </si>
  <si>
    <t>CASEFER - ABRASIVOS, EPIS E FERRAMENTAS LTDA</t>
  </si>
  <si>
    <t>CASEFER - EPIS E FER</t>
  </si>
  <si>
    <t>51687434000142</t>
  </si>
  <si>
    <t>COLOCOU ETIQUETA DE TAMANHO ERRADO</t>
  </si>
  <si>
    <t>K5495 / DOIS LENÇÓIS FUROU E VAI SER DESCONTADO O VALOR NAS PRÓXIMAS NOTAS</t>
  </si>
  <si>
    <t>K6006A/ UMA CAPA FUROU, S/ COBRANÇA</t>
  </si>
  <si>
    <t>3301079969P</t>
  </si>
  <si>
    <t>ROUPÃO PIQUET QUADRAT MISTO C/ VIVO AZUL MARINHO E LOGO BORDADO TAM. G</t>
  </si>
  <si>
    <t>K6893</t>
  </si>
  <si>
    <t>K6058 - TOTAL 10 RETIÇÕES DE BORDADOS, 3 NAS LATERAIS MAIOR, 2 NO LADO MENOR</t>
  </si>
  <si>
    <t>MANTA PET 250G COR PRATA - COM BORDADO PATINHAS 0,85 X 1,05</t>
  </si>
  <si>
    <t>K5130</t>
  </si>
  <si>
    <t>K6880H4CM - K6880X/ 3 PEÇAS SUJAS</t>
  </si>
  <si>
    <t>CAPA DUVET CLASSIC 400F 100% ALG ACAB FECHAMENTO C/ ZIPER 2,90 X 2,50C/ LOGO "H4"</t>
  </si>
  <si>
    <t>K6881A</t>
  </si>
  <si>
    <t>K6881C</t>
  </si>
  <si>
    <t>K6880H4</t>
  </si>
  <si>
    <t>K6881</t>
  </si>
  <si>
    <t>K6880H3</t>
  </si>
  <si>
    <t>CAPA DUVET CLASSIC 400F 100% ALG ACAB FECHAMENTO C/ ZIPER 2,75 X 2,45 C/ LOGO "MARIA"</t>
  </si>
  <si>
    <t>CAPA DUVET CLASSIC 400F 100% ALG ACAB FECHAMENTO C/ ZIPER 2,90 X 2,50 C/ LOGO "SOFIA"</t>
  </si>
  <si>
    <t>CAPA DUVET CLASSIC 400F 100% ALG ACAB FECHAMENTO C/ ZIPER 2,90 X 2,50 C/ LOGO "VITOR"</t>
  </si>
  <si>
    <t>CAPA DUVET CLASSIC 400F 100% ALG ACAB FECHAMENTO C/ ZIPER 2,90 X 2,50 C/ LOGO "MASTER"</t>
  </si>
  <si>
    <t>CAPA DUVET CLASSIC 400F 100% ALG ACAB FECHAMENTO C/ ZIPER 2,90 X 2,50 C/ LOGO "H3"</t>
  </si>
  <si>
    <t>CAPA DUVET CLASSIC 400F 100% ALG ACAB FECHAMENTO C/ ZIPER 1,80 X 2,45 C/ LOGO "H1"</t>
  </si>
  <si>
    <t>CAPA DUVET CLASSIC 400F 100% ALG ACAB FECHAMENTO C/ ZIPER 1,80 X 2,45 C/ LOGO "H2"</t>
  </si>
  <si>
    <t>K6881B</t>
  </si>
  <si>
    <t>K6880H1</t>
  </si>
  <si>
    <t>K6880H2</t>
  </si>
  <si>
    <t>LENÇOL DE BAIXO C/ ELÁSTICO - 400F 100% ALG - 1,93 X 2,03 X 0,25 C/ LOGO "MARIA"</t>
  </si>
  <si>
    <t>LENÇOL DE BAIXO C/ ELÁSTICO - 400F 100% ALG - 1,93 X 2,03 X 0,32 C/ LOGO "H4"</t>
  </si>
  <si>
    <t>LENÇOL DE BAIXO C/ ELÁSTICO - 400F 100% ALG - 1,93 X 2,03 X 0,32 C/ LOGO "H3"</t>
  </si>
  <si>
    <t>LENÇOL DE BAIXO C/ ELÁSTICO - 400F 100% ALG - 1,93 X 2,03 X 0,32 C/ LOGO "MASTER"</t>
  </si>
  <si>
    <t>LENÇOL DE BAIXO C/ ELÁSTICO - 400F 100% ALG - 1,93 X 2,03 X 0,32 C/ LOGO "SOFIA"</t>
  </si>
  <si>
    <t>LENÇOL DE BAIXO C/ ELÁSTICO - 400F 100% ALG - 1,93 X 2,03 X 0,32 C/ LOGO "VITOR"</t>
  </si>
  <si>
    <t>LENÇOL DE BAIXO C/ ELÁSTICO - 400F 100% ALG - 0,96 X 2,03 X 0,25 C/ LOGO "H1"</t>
  </si>
  <si>
    <t>LENÇOL DE BAIXO C/ ELÁSTICO - 400F 100% ALG - 0,96 X 2,03 X 0,25 C/ LOGO "H2"</t>
  </si>
  <si>
    <t>FRONHA 3 ABAS 5CM 400F 100% ALG ACABAMENTO DUPLO FESTONÊ BRANCO C/ LOGO "H1"</t>
  </si>
  <si>
    <t>FRONHA 3 ABAS 5CM 400F 100% ALG ACABAMENTO DUPLO BRANCO FESTONÊ C/ LOGO "H2"</t>
  </si>
  <si>
    <t>FRONHA 3 ABAS 5CM 400F 100% ALG ACABAMENTO DUPLO FESTONÊ PERÓLA -7113 C/ LOGO "H3"</t>
  </si>
  <si>
    <t>FRONHA 3 ABAS 5CM 400F 100% ALG ACABAMENTO DUPLO FESTONÊ PERÓLA 7113 C/ LOGO "H4"</t>
  </si>
  <si>
    <t>K2642D "Mrs", TODOS ERRADOS, FIZERAM O BORDADO "Mr."</t>
  </si>
  <si>
    <t>LENÇOL DE CIMA - 400F 100% ALG - ACAB. DUPLO FESTONÊ BRANCO - 1,80 X 2,45 C/ LOGO "H1"</t>
  </si>
  <si>
    <t>LENÇOL DE CIMA - 400F 100% ALG - ACAB. DUPLO FESTONÊ BRANCO - 1,80 X 2,45 C/ LOGO "H2"</t>
  </si>
  <si>
    <t>LENÇOL DE CIMA - 400F 100% ALG - ACABAMENTO DUPLO FESTONÊ PERÓLA 07113 - 2,90 X 2,50 C/ LOGO "H3''</t>
  </si>
  <si>
    <t>LENÇOL DE CIMA - 400F 100% ALG - ACABAMENTO DUPLO FESTONÊ PERÓLA 07113 - 2,90 X 2,50 C/ LOGO ''H4''</t>
  </si>
  <si>
    <t>K6892</t>
  </si>
  <si>
    <t>K6880D "CECÍLIA"</t>
  </si>
  <si>
    <t>K5791A</t>
  </si>
  <si>
    <t>K5718A</t>
  </si>
  <si>
    <t>K5718</t>
  </si>
  <si>
    <t>K5718C</t>
  </si>
  <si>
    <t>SHOW ROOM LOJA</t>
  </si>
  <si>
    <t>K6066S</t>
  </si>
  <si>
    <t>K6880J</t>
  </si>
  <si>
    <t>K6904A "LEONARDO"</t>
  </si>
  <si>
    <t>K5280A/ BORDARAM ERRADO , BORDARAM 2 A MAIS</t>
  </si>
  <si>
    <t>K5495/ FOI DESCONTADO O BORDADO DE DUAS PEÇAS QUE FUROU NA ULTIMA PRODUÇÃO</t>
  </si>
  <si>
    <t xml:space="preserve">MARIA ARANHA </t>
  </si>
  <si>
    <t>LOJA</t>
  </si>
  <si>
    <t xml:space="preserve">TOALHA LAVABO S/ LOGO VELUX BRANCA  - 0,30 X 0,50 </t>
  </si>
  <si>
    <t>LENÇOL DE BAIXO C/ ELÁSTICO MINI BERÇO - 200F STAR</t>
  </si>
  <si>
    <t>LENÇOL DE BAIXO OURIÇO C/ ELÁSTICO - MINI BERÇO</t>
  </si>
  <si>
    <t>LENÇOL DE BAIXO C/ ELÁSTICO - 400F MINI BERÇO</t>
  </si>
  <si>
    <t>LENÇOL BAIXO BARRA ESTREITA - 300F MISTO - 2,50 X 2,90</t>
  </si>
  <si>
    <t>2101029863</t>
  </si>
  <si>
    <t>FRONHA 3 ABAS 5cm MODELO CLASSIC TEC. LISTRADO GALLES 01530</t>
  </si>
  <si>
    <t>2101041148</t>
  </si>
  <si>
    <t>FRONHA BABY 1/2 MALHA ESTAMPA JABUTI COM CORDONÊ  LISO 1/2 MALHA OFF WHITE - TEM SENTIDO</t>
  </si>
  <si>
    <t>RECHEIO DE ROLINHO 100% FIBRA SILICONIZADA IMPERMEAVEL - 0,70 X 0,16</t>
  </si>
  <si>
    <t>2101051142</t>
  </si>
  <si>
    <t>CAPA DUVET CLASSIC 250F MISTO MODELO ENVELOPE 1,90 X 2,40</t>
  </si>
  <si>
    <t>2101061082</t>
  </si>
  <si>
    <t>CAPA DUVET CLASSIC 250F MISTO MODELO ENVELOPE 2,95 X 2,55</t>
  </si>
  <si>
    <t>2101061083</t>
  </si>
  <si>
    <t>LENÇOL BAIXO BARRA ESTREITA 4 LADOS 250F MISTO 1,90 X 2,90</t>
  </si>
  <si>
    <t>2101111078</t>
  </si>
  <si>
    <t>LENÇOL BAIXO BARRA ESTREITA 4 LADOS 250F MISTO 2,95 X 3,00</t>
  </si>
  <si>
    <t>2101111079</t>
  </si>
  <si>
    <t>LENÇOL BARRA ESTREITA - 250F LISO MISTO - 2,50 X 2,90</t>
  </si>
  <si>
    <t>FRONHA MODELO ENVELOPE C/ CORDONÊ TEC. LISTRADO GALLES 01530</t>
  </si>
  <si>
    <t>2103031149</t>
  </si>
  <si>
    <t>FRONHA 3 ABAS 5CM 250F MISTO CLASSIC 50 X 70</t>
  </si>
  <si>
    <t>2105161084</t>
  </si>
  <si>
    <t>SUPER FRONHA MODELO ENVELOPE 250F MISTO CLASSIC 50 X 90</t>
  </si>
  <si>
    <t>2105161085</t>
  </si>
  <si>
    <t>CAPA ROLINHO COM FECHAMENTO TRANSPASSE FELPA VELUX BRANCA 0,70 X 0,16</t>
  </si>
  <si>
    <t>2112061143</t>
  </si>
  <si>
    <t>RECHEIO ALMOFADA IMPERMEABILIZADA - 0,30 X 0,40</t>
  </si>
  <si>
    <t>2114075058</t>
  </si>
  <si>
    <t>DUVET (CAPA) - 230F MISTO - CLASSIC - MODELO ENVELOPE - 2,70 X 2,45</t>
  </si>
  <si>
    <t>2115471144</t>
  </si>
  <si>
    <t>LENÇOL DE CIMA 250F MISTO CLASSIC 1,90 X 2,40</t>
  </si>
  <si>
    <t>3103071080</t>
  </si>
  <si>
    <t>LENÇOL DE CIMA 250F MISTO CLASSIC 2,95 X 2,55</t>
  </si>
  <si>
    <t>3103071081</t>
  </si>
  <si>
    <t>JOGO DE LENÇOL BERÇO BABY 2 PEÇAS (LB + FR) - COLEÇÃO JABUTI</t>
  </si>
  <si>
    <t>ROUPÃO KIMONO TAM G C/ LOGO FELPA CARAMELO</t>
  </si>
  <si>
    <t>3105012391</t>
  </si>
  <si>
    <t>ROUPÃO KIMONO TAM GG C/ LOGO FELPA CARAMELO</t>
  </si>
  <si>
    <t>3105012392</t>
  </si>
  <si>
    <t>ROUPÃO KIMONO TAM M C/ LOGO FELPA CARAMELO</t>
  </si>
  <si>
    <t>3105012393</t>
  </si>
  <si>
    <t>ROUPÃO KIMONO TAM P C/ LOGO FELPA CARAMELO</t>
  </si>
  <si>
    <t>3105012394</t>
  </si>
  <si>
    <t>TOALHA DE BANHO BABY C/ CAPUZ FORRADO ESTAMPA - COLEÇÃO JABUTI</t>
  </si>
  <si>
    <t>TOALHA PRATICA RN - CORDONÊ STONE</t>
  </si>
  <si>
    <t>JOGO LENÇOL BABY - 400F 100% - CORDONÊ VERMELHO - BORDADO COGUMELO</t>
  </si>
  <si>
    <t>3161091095</t>
  </si>
  <si>
    <t>JOGO LENÇOL BABY - 400F 100% - CORDONÊ VERMELHO - BORDADO BORBOLETA</t>
  </si>
  <si>
    <t>3161091096</t>
  </si>
  <si>
    <t>KIT BABADOR 2 PIQUET / 1 SUEDINE - BORDADO ROSA</t>
  </si>
  <si>
    <t>TOALHA DE BANHO C/ CAPUZ BABY - BORDADO BRANCO</t>
  </si>
  <si>
    <t>TOALHA DE BANHO C/ CAPUZ KIDS - BORDADO BRANCO</t>
  </si>
  <si>
    <t>TOALHA COM CAPUZ BABY - BORDADO ROSA</t>
  </si>
  <si>
    <t>LENÇOL BAIXO C/ ELÁSTICO BABY - 200F 100% ALGODÃO</t>
  </si>
  <si>
    <t>FRALDÃO - COLEÇÃO OURIÇO</t>
  </si>
  <si>
    <t>CUEIRO/MALHA ESTAMPADA - COLEÇÃO ALICE</t>
  </si>
  <si>
    <t>FRONHA BABY - 200F - COLEÇÃO STAR AZUL</t>
  </si>
  <si>
    <t>ROUPÃO KIMONO FELPA VELUX BRANCA C/ VIVO AZUL MARINHO - LOGO BORDADO AZUL MARINHO 7127 - TAM G</t>
  </si>
  <si>
    <t>3301071152</t>
  </si>
  <si>
    <t>ROUPÃO PIQUET MOSAICO TAM. GG</t>
  </si>
  <si>
    <t>3301081093</t>
  </si>
  <si>
    <t>ROUPÃO PIQUET MOSAICO TAM. XG</t>
  </si>
  <si>
    <t>3301081094</t>
  </si>
  <si>
    <t>ROUPÃO PIQUET MOSAICO TAM. P</t>
  </si>
  <si>
    <t>3301083953</t>
  </si>
  <si>
    <t>ROUPÃO PIQUET MOSAICO TAM. G</t>
  </si>
  <si>
    <t>3301084132</t>
  </si>
  <si>
    <t>ROUPÃO FELPA VELUX BRANCO EXG</t>
  </si>
  <si>
    <t>3301091765</t>
  </si>
  <si>
    <t>3301099653</t>
  </si>
  <si>
    <t>TOALHA BANHO MACA S/LOGO FELPA CARAMELO 1,30 X 2,55</t>
  </si>
  <si>
    <t>3302111098</t>
  </si>
  <si>
    <t>TOALHA ROSTO CARAMELO C/ LOGO 0,48 X 0,90</t>
  </si>
  <si>
    <t>3302128022</t>
  </si>
  <si>
    <t>3302303365</t>
  </si>
  <si>
    <t>ENCOSTO DE ROSTO PITTI TAM. UNICO</t>
  </si>
  <si>
    <t>3401043960</t>
  </si>
  <si>
    <t>TRAVESSEIRO DE OLHOS - 180F MISTO LINHAÇA TAM. ÚNICO BRANCO</t>
  </si>
  <si>
    <t>3402067443</t>
  </si>
  <si>
    <t>TOALHA SOHO BANHO C/ LOGO 0,90 X 1,60 CARAMELO</t>
  </si>
  <si>
    <t>3759311037</t>
  </si>
  <si>
    <t>FRONHA P/ TRAVES OLHOS 400F 100% ALG BRANCA TAM U</t>
  </si>
  <si>
    <t>92103177961</t>
  </si>
  <si>
    <t>FRONHA 3 ABAS 5cm - 230F MISTO ACABAMENTO BELLAGIO BRANCO - 0,50 X 0,70</t>
  </si>
  <si>
    <t>92104741028</t>
  </si>
  <si>
    <t>PULLMAN GUARULHOS</t>
  </si>
  <si>
    <t>OFICINA ECOPRINT</t>
  </si>
  <si>
    <t>5608</t>
  </si>
  <si>
    <t>Katia Milene Pereira Caixeta De Jesus</t>
  </si>
  <si>
    <t>Katia Milene Pereira</t>
  </si>
  <si>
    <t>00061335150153</t>
  </si>
  <si>
    <t>5609</t>
  </si>
  <si>
    <t>Sonia Maria Gagliardi Corte Real</t>
  </si>
  <si>
    <t>Sonia Maria Gagliard</t>
  </si>
  <si>
    <t>00030139553843</t>
  </si>
  <si>
    <t>5610</t>
  </si>
  <si>
    <t>FAMA HOTEIS ILHABELA LTDA</t>
  </si>
  <si>
    <t>ILHASOL HOTEL POUSAD</t>
  </si>
  <si>
    <t>05310260000187</t>
  </si>
  <si>
    <t>5611</t>
  </si>
  <si>
    <t>Alessandra Leal Brasil</t>
  </si>
  <si>
    <t>Alessandra Leal Bras</t>
  </si>
  <si>
    <t>00010875643795</t>
  </si>
  <si>
    <t>5612</t>
  </si>
  <si>
    <t>Yara Lima</t>
  </si>
  <si>
    <t>00004686664357</t>
  </si>
  <si>
    <t>5613</t>
  </si>
  <si>
    <t>JULIANA DUARTE</t>
  </si>
  <si>
    <t>00031679809822</t>
  </si>
  <si>
    <t>5614</t>
  </si>
  <si>
    <t>MARIA ARANHA</t>
  </si>
  <si>
    <t>00003479572855</t>
  </si>
  <si>
    <t>5615</t>
  </si>
  <si>
    <t xml:space="preserve"> MARISTELLA DE FREITAS VAL DINIZ</t>
  </si>
  <si>
    <t xml:space="preserve"> MARISTELLA DE FREIT</t>
  </si>
  <si>
    <t>00075810921604</t>
  </si>
  <si>
    <t>5616</t>
  </si>
  <si>
    <t>MORADA DOS CANYONS PARQUES E HOTEIS LTDA</t>
  </si>
  <si>
    <t>MORADA DOS CANYONS</t>
  </si>
  <si>
    <t>06978405000185</t>
  </si>
  <si>
    <t>5617</t>
  </si>
  <si>
    <t>Julia</t>
  </si>
  <si>
    <t>00046193097880</t>
  </si>
  <si>
    <t>5618</t>
  </si>
  <si>
    <t>TATIANA LAGE</t>
  </si>
  <si>
    <t>00002791509704</t>
  </si>
  <si>
    <t>5619</t>
  </si>
  <si>
    <t>ALESSANDRA CAMARGO CABRAL</t>
  </si>
  <si>
    <t>ALESSANDRA CAMARGO C</t>
  </si>
  <si>
    <t>00029245649806</t>
  </si>
  <si>
    <t>5620</t>
  </si>
  <si>
    <t>Magali Silvestre</t>
  </si>
  <si>
    <t>00006917004863</t>
  </si>
  <si>
    <t>5621</t>
  </si>
  <si>
    <t>FOLHA STANDS SINALIZ. &amp; MONTAG. LTDA</t>
  </si>
  <si>
    <t>FOLHA STANDS</t>
  </si>
  <si>
    <t>01499095000100</t>
  </si>
  <si>
    <t>5622</t>
  </si>
  <si>
    <t>ISADORA BUTIGELI</t>
  </si>
  <si>
    <t>00042328805850</t>
  </si>
  <si>
    <t>5623</t>
  </si>
  <si>
    <t>LUCAS RODRIGUES DE ABREU</t>
  </si>
  <si>
    <t>LUCAS RODRIGUES DE A</t>
  </si>
  <si>
    <t>00001546269614</t>
  </si>
  <si>
    <t>5624</t>
  </si>
  <si>
    <t>CCR ARTEFATOS DE LONA E COURO LTDA</t>
  </si>
  <si>
    <t>CCR</t>
  </si>
  <si>
    <t>10753350000182</t>
  </si>
  <si>
    <t>5625</t>
  </si>
  <si>
    <t>57.578.111 RAFAEL GUIMARAES BARBOSA</t>
  </si>
  <si>
    <t>57.578.111 RAFAEL GU</t>
  </si>
  <si>
    <t>57578111000105</t>
  </si>
  <si>
    <t>5626</t>
  </si>
  <si>
    <t>VIVAY COMERCIAL INTERNET LTDA</t>
  </si>
  <si>
    <t>VIVAY COMERCIAL INTE</t>
  </si>
  <si>
    <t>54915058000194</t>
  </si>
  <si>
    <t>5627</t>
  </si>
  <si>
    <t>EB DE PAIVA LIMA CONFECCAO LTDA</t>
  </si>
  <si>
    <t>EB CONFECCAO E ESTAM</t>
  </si>
  <si>
    <t>12630100000180</t>
  </si>
  <si>
    <t>5628</t>
  </si>
  <si>
    <t>EDSON ROBERTO DE LARA</t>
  </si>
  <si>
    <t>LARA DIESEL BOMBAS I</t>
  </si>
  <si>
    <t>13670714000159</t>
  </si>
  <si>
    <t>5629</t>
  </si>
  <si>
    <t>MICHELLE CAVALCANTE DA SILVA</t>
  </si>
  <si>
    <t>MICHELLE CAVALCANTE</t>
  </si>
  <si>
    <t>00041350059854</t>
  </si>
  <si>
    <t>5630</t>
  </si>
  <si>
    <t>karina L. Kwasnicka</t>
  </si>
  <si>
    <t>00025358174893</t>
  </si>
  <si>
    <t>5631</t>
  </si>
  <si>
    <t>ANDRE WESLEY DOS SANTOS SOUZA</t>
  </si>
  <si>
    <t>ANDRE WESLEY DOS SAN</t>
  </si>
  <si>
    <t>00044241161820</t>
  </si>
  <si>
    <t>5632</t>
  </si>
  <si>
    <t>CAIQUE XAVIER SILVEIRA</t>
  </si>
  <si>
    <t>CAIQUE XAVIER SILVEI</t>
  </si>
  <si>
    <t>00042737020883</t>
  </si>
  <si>
    <t>5633</t>
  </si>
  <si>
    <t>CLÁUDIA C F MENEZES</t>
  </si>
  <si>
    <t>00013019348870</t>
  </si>
  <si>
    <t>100 PEÇAS BORDO APLICADO ERRADO 19/06 PRIMEIRA ENTREGA</t>
  </si>
  <si>
    <t>CAPA DE ALMOFADA ESTAMPA GARDEN - LINHA HOME (SEM RECHEIO ) - 0,40 X 0,60</t>
  </si>
  <si>
    <t>2101065926</t>
  </si>
  <si>
    <t>CAPA DE ALMOFADA ESTAMPA MOSAICO - LINHA HOME ( SEM RECHEIO ) - 0,40 X 0,40</t>
  </si>
  <si>
    <t>2101065927</t>
  </si>
  <si>
    <t>SUPER FRONHA 4 ABAS 5cm - CLASSIC - 300F MISTO - 0,50 X 0,90</t>
  </si>
  <si>
    <t>2110301161</t>
  </si>
  <si>
    <t>CAPA ALMOFADA - 300F CAQUI - NEW MILLE - DET LAÇOS X/ RECHEIO DE FIBRA - 0,40 X 0,40</t>
  </si>
  <si>
    <t>2111781153</t>
  </si>
  <si>
    <t>CAPA ALMOFADA - 300F MOZART NEW MILLE - DET. LAÇOS C/ RECHEIO DE FIBRA - 0,40 X 0,40</t>
  </si>
  <si>
    <t>2111781154</t>
  </si>
  <si>
    <t>RECHEIO ALMOFADA - 183F MSITO</t>
  </si>
  <si>
    <t>2114074224</t>
  </si>
  <si>
    <t>RECHEIO ALMOFADA - 183F MISTO</t>
  </si>
  <si>
    <t>2114078439</t>
  </si>
  <si>
    <t>GUARDANAPO CLASSIC BARRA DE 2cm - 80% ALGODÃO E 20% LINHO COR CRU 396 - 0,40 X 0,40</t>
  </si>
  <si>
    <t>2201021164</t>
  </si>
  <si>
    <t>GUARDANAPO PANAMA CLASSIC - 100% POLIESTER BRANCO - BARRA DE 3cm - 0,50 X 0,50</t>
  </si>
  <si>
    <t>2202011165</t>
  </si>
  <si>
    <t>5634</t>
  </si>
  <si>
    <t>LUZIA FERREIRA DOS SANTOS</t>
  </si>
  <si>
    <t>LUZIA FERREIRA DOS S</t>
  </si>
  <si>
    <t>00027353553812</t>
  </si>
  <si>
    <t>5635</t>
  </si>
  <si>
    <t>VANESSA CRISTINA DOS SANTOS MOTA</t>
  </si>
  <si>
    <t>VANESSA CRISTINA DOS</t>
  </si>
  <si>
    <t>00036471819862</t>
  </si>
  <si>
    <t>5636</t>
  </si>
  <si>
    <t>PALPITEC ADMINISTRACAO E PARTICIPACOES LTDA</t>
  </si>
  <si>
    <t>PALPITEC ADMINISTRAC</t>
  </si>
  <si>
    <t>00484815000193</t>
  </si>
  <si>
    <t>5637</t>
  </si>
  <si>
    <t>Fabiola Caramez</t>
  </si>
  <si>
    <t>00036249407839</t>
  </si>
  <si>
    <t>MANTA SOLTEIRO VELUTTO 300G MICROFIBRA VERDE - COLEÇÃO OURIÇO 1,50 X 2,20</t>
  </si>
  <si>
    <t>MANTA SOLTEIRO VELUTTO 300G MICROFIBRA CINZA - COLEÇÃO STAR 1,50 X 2,20</t>
  </si>
  <si>
    <t>MANTA SOLTEIRO VELUTTO 300G MICROFIBRA BEGE - COLEÇÃO FOLHAS 1,50 X 2,20</t>
  </si>
  <si>
    <t>MANTA SOLTEIRO VELUTTO 300G MICROFIBRA MARFIM - COLEÇÃO ALICE 1,50 X 2,21</t>
  </si>
  <si>
    <t>MANTA SOLTEIRO VELUTTO 300G MICROFIBRA MARROM - COLEÇÃO JABUTI 1,50 X 2,22</t>
  </si>
  <si>
    <t>K5278A</t>
  </si>
  <si>
    <t>K6088</t>
  </si>
  <si>
    <t>K5148</t>
  </si>
  <si>
    <t>K5147</t>
  </si>
  <si>
    <t>K5280</t>
  </si>
  <si>
    <t>K6899B</t>
  </si>
  <si>
    <t xml:space="preserve">TOALHA BEACH BRANCO/CASTOR C/ LOGO 0,80 X 1,60 </t>
  </si>
  <si>
    <t>K6899A</t>
  </si>
  <si>
    <t>K6662</t>
  </si>
  <si>
    <t>K6190A</t>
  </si>
  <si>
    <t>K6190B</t>
  </si>
  <si>
    <t>ROUPÃO ATOALHADO BRANCO C/ CAPUZ KIDS - CORDONÊ ROSÊ C/ LOGO - 6 Á 8 ANOS</t>
  </si>
  <si>
    <t>ROUPÃO ATOALHADO BRANCO C/ CAPUZ KIDS - CORDONÊ AZUL C/ LOGO - 6 Á 8 ANOS</t>
  </si>
  <si>
    <t>LENÇOL DE CIMA C/ CORDONÊ AZUL 400F C/ LOGO -  1,60 X 2,21</t>
  </si>
  <si>
    <t>LENÇOL DE CIMA C/ BORDADO ROSA 400F C/ LOGO -  1,60 X 2,20</t>
  </si>
  <si>
    <t>K6913 , PEÇA PRONTA</t>
  </si>
  <si>
    <t>k5495</t>
  </si>
  <si>
    <t>FRONHA SEM ABA C/ ACABAMENTO VIVO COR VERMELHO ENT. 2 LADOS  BARRA 2CM 0,30X0,40 - C/ BORDADO BORBOLETA</t>
  </si>
  <si>
    <t>FRONHA SEM ABA C/ ACABAMENTO VIVO COR VERMELHO ENT. 2 LADOS  BARRA 2CM 0,30X0,40 - C/ BORDADO COGUMELO</t>
  </si>
  <si>
    <t>LENÇOL DE CIMA BABY 400F C/ ACAMENTO VIVO COR VERMELHO - C/ BORDADO BORBOLETA - 1,10 X 1,60</t>
  </si>
  <si>
    <t>LENÇOL DE CIMA BABY 400F C/ ACAMENTO VIVO COR VERMELHO - C/ BORDADO COGUMELO- 1,10 X 1,61</t>
  </si>
  <si>
    <t>K6909A</t>
  </si>
  <si>
    <t>K6908F</t>
  </si>
  <si>
    <t>ROUPÃO INFANTIL FELPA VELUX BRANCO MODELO  KIMONO COM CAPUZ E LOGO 6 ANOS</t>
  </si>
  <si>
    <t>49 PEÇAS PRECISOU VOLTAR PARA A OFICINA CONSERTAR, PONTOS PULADO, ESTOURADO</t>
  </si>
  <si>
    <t xml:space="preserve">ATRASOU A ENTREGA POR ESTÁ FINALIZANDO OUTRA PRODUÇÃO </t>
  </si>
  <si>
    <t>QUE DEMOROU PARA CHEGAR AS FRENTES BORDADAS</t>
  </si>
  <si>
    <t>ATRASOU, PQ A FRENTE BORDADA DEMOROU A CHEGAR</t>
  </si>
  <si>
    <t>K6899A / BORDARAM C/ O LOGO DO ROUPÃO</t>
  </si>
  <si>
    <t xml:space="preserve"> </t>
  </si>
  <si>
    <t>k3670a</t>
  </si>
  <si>
    <t>descontar na proxima nota16,00 reais nf. referente 1 capa duvet s/ fazer peças manchadas.</t>
  </si>
  <si>
    <t>UMA PEÇA NÃO FOI FEITA, DESCONTAR O VALOR DE R$6,00 NA PRÓXIMA NOTA</t>
  </si>
  <si>
    <t>ROUPÃO PIQUET MOSAICO S/ VIVO E C/ LOGO TAM GG</t>
  </si>
  <si>
    <t>ROUPÃO PIQUET MOSAICO S/ VIVO E C/ LOGO TAM G</t>
  </si>
  <si>
    <t>ROUPÃO PIQUET MOSAICO S/ VIVO E C/ LOGO TAM M</t>
  </si>
  <si>
    <t>3104063237P</t>
  </si>
  <si>
    <t>MANTA PET 250 GRAMAS - COR PRATA - APENAS AS PATINHAS - 0,85 X 1,05</t>
  </si>
  <si>
    <t>ROUPÃO INFANTIL FELPA BRANCA MODELO KIMONO COM CAPUZ COM LOGO TAM 4 A 6 ANOS</t>
  </si>
  <si>
    <t>ROUPÃO INFANTIL FELPA BRANCA MODELO KIMONO COM CAPUZ COM LOGO TAM 2 A 4 ANOS</t>
  </si>
  <si>
    <t>K1968</t>
  </si>
  <si>
    <t>LENÇOL DE CIMA BERÇO C/ CORDONÊ ROSE 400F C/ LOGO " MAYA" -  1,10 X 1,60</t>
  </si>
  <si>
    <t>K6928</t>
  </si>
  <si>
    <t>PEÇAS C/ PONTO PULADO, MANGAS, LATERAL ...</t>
  </si>
  <si>
    <t>DESCONTO DE R$2,83 POR PEÇA POR CONSERTO, TL: R$127,35</t>
  </si>
  <si>
    <t>2 ROUPÕES SEM FINALIZAR, 2 FRENTES FOI DANIFICADA NA KEYBORDER, ROUPÕES FINALIZADO NO ATELIE</t>
  </si>
  <si>
    <t>Dois guardanapos a mais do pedido.</t>
  </si>
  <si>
    <t>CONFORTO LIVING LTDA</t>
  </si>
  <si>
    <t>5638</t>
  </si>
  <si>
    <t>BRISA ADMINISTRADORA DE HOTEIS LTDA</t>
  </si>
  <si>
    <t>VENTI HOTEIS</t>
  </si>
  <si>
    <t>40515161000132</t>
  </si>
  <si>
    <t>5639</t>
  </si>
  <si>
    <t>Camila Faria</t>
  </si>
  <si>
    <t>00012373039745</t>
  </si>
  <si>
    <t>5640</t>
  </si>
  <si>
    <t>FEDERAL EXPRESS</t>
  </si>
  <si>
    <t>00676486000182</t>
  </si>
  <si>
    <t>5641</t>
  </si>
  <si>
    <t>KAMILA DE SOUZA DUTRA</t>
  </si>
  <si>
    <t>KAMILA DE SOUZA DUTR</t>
  </si>
  <si>
    <t>00001140069110</t>
  </si>
  <si>
    <t>5642</t>
  </si>
  <si>
    <t>FELIPE MOUACCAD PERES</t>
  </si>
  <si>
    <t>FELIPE MOUACCAD PERE</t>
  </si>
  <si>
    <t>00041823523862</t>
  </si>
  <si>
    <t>5643</t>
  </si>
  <si>
    <t>ARTEMIS INCORPORADORA SPE LTDA</t>
  </si>
  <si>
    <t>NOON HIGIENÓPOLIS</t>
  </si>
  <si>
    <t>39298126000120</t>
  </si>
  <si>
    <t>5644</t>
  </si>
  <si>
    <t>34317581000616</t>
  </si>
  <si>
    <t>5645</t>
  </si>
  <si>
    <t>HCC HOTELS GESTAO HOTELEIRA SA</t>
  </si>
  <si>
    <t>39287376000750</t>
  </si>
  <si>
    <t>5646</t>
  </si>
  <si>
    <t>VINICIUS ALVES SIQUEIRA</t>
  </si>
  <si>
    <t>VINICIUS ALVES SIQUE</t>
  </si>
  <si>
    <t>00042770263897</t>
  </si>
  <si>
    <t>5647</t>
  </si>
  <si>
    <t>C.S. COMERCIO E INDUSTRIA SOPLAST DE SACOLAS PLAST</t>
  </si>
  <si>
    <t>SOPLAST DE SACOLAS</t>
  </si>
  <si>
    <t>56003007000111</t>
  </si>
  <si>
    <t>5648</t>
  </si>
  <si>
    <t>RAFAELA FERREIRA</t>
  </si>
  <si>
    <t>00066995205120</t>
  </si>
  <si>
    <t>5649</t>
  </si>
  <si>
    <t>FOCO GESTAO DE EMPREENDIMENTOS DE HOSPEDAGEM E IMO</t>
  </si>
  <si>
    <t>HOTEL CAICARA</t>
  </si>
  <si>
    <t>10994250000229</t>
  </si>
  <si>
    <t>5650</t>
  </si>
  <si>
    <t>KAMILLA SOUZA GUIMARAES</t>
  </si>
  <si>
    <t>KAMILLA SOUZA GUIMAR</t>
  </si>
  <si>
    <t>00052304220843</t>
  </si>
  <si>
    <t>5651</t>
  </si>
  <si>
    <t>SARA TORRES GOMES SPA</t>
  </si>
  <si>
    <t>SPA ZENA</t>
  </si>
  <si>
    <t>00002400971226</t>
  </si>
  <si>
    <t>5652</t>
  </si>
  <si>
    <t>J. G. C. COMERCIO E IMPORTACAO LTDA</t>
  </si>
  <si>
    <t>J. G. C. COMERCIO E</t>
  </si>
  <si>
    <t>40995420000170</t>
  </si>
  <si>
    <t>5653</t>
  </si>
  <si>
    <t>DUARTE RUBIA EQUIPAMENTOS, DRENOS E SUPRIMENTOS LT</t>
  </si>
  <si>
    <t>TDR SOLUCOES</t>
  </si>
  <si>
    <t>19275142000190</t>
  </si>
  <si>
    <t>5654</t>
  </si>
  <si>
    <t>CLEDSON PEREIRA FERREIRA</t>
  </si>
  <si>
    <t>CLEDSON PEREIRA FERR</t>
  </si>
  <si>
    <t>00002905984430</t>
  </si>
  <si>
    <t>5655</t>
  </si>
  <si>
    <t>BRUNO MOREIRA DE ANDRADE</t>
  </si>
  <si>
    <t>BRUNO MOREIRA DE AND</t>
  </si>
  <si>
    <t>00023033195873</t>
  </si>
  <si>
    <t>5656</t>
  </si>
  <si>
    <t>ADEMAR TÁVORA</t>
  </si>
  <si>
    <t>00067920020387</t>
  </si>
  <si>
    <t>5657</t>
  </si>
  <si>
    <t>PATRICIA EMI DE BRITO</t>
  </si>
  <si>
    <t>PATRICIA EMI DE BRIT</t>
  </si>
  <si>
    <t>00038977483808</t>
  </si>
  <si>
    <t>5658</t>
  </si>
  <si>
    <t>ATRIO HOTEIS S.A.</t>
  </si>
  <si>
    <t>80732928009407</t>
  </si>
  <si>
    <t>5659</t>
  </si>
  <si>
    <t>Gabriela Gomes Carvalho</t>
  </si>
  <si>
    <t>Gabriela Gomes Carva</t>
  </si>
  <si>
    <t>00006653504654</t>
  </si>
  <si>
    <t>TOALHA DE ROSTO JADE 100%ALG 580G COR BRANCO 0,48 X 0,80 COM LOGO CA E NUMERO 2</t>
  </si>
  <si>
    <t>REPOSIÇÃO / K6880CA , K6880Z</t>
  </si>
  <si>
    <t>PROBLEMAS C/ EMISÃO DA NF</t>
  </si>
  <si>
    <t>Será abatido na proxima nota o valor de 4,00 reais faltou uma toalha</t>
  </si>
  <si>
    <t xml:space="preserve">32 PÇS C/ DEFEITOS, PONTO PULADO, ETIQUETA VERDE COSTURADA DENTRO DA PEÇA </t>
  </si>
  <si>
    <t>TAMANHOS Ñ ESPECIFICADOS , CONSERTOS FEITOS NO ATELIÊ</t>
  </si>
  <si>
    <t>23 PÇS C/ ETIQUETAS COLOCADAS MUITO NA PONTA, QUASE CAINDO DA PEÇA</t>
  </si>
  <si>
    <t>LENÇOL BARRA ESTREITA 4 LADOS - 180F MISTO PREMIUM - 2,30 X 2,80</t>
  </si>
  <si>
    <t>2101033503</t>
  </si>
  <si>
    <t>FRONHA 3 ABAS 5CM ACAB. BOUQUET 300F MISTO 0,50 X 0,70</t>
  </si>
  <si>
    <t>2101051172</t>
  </si>
  <si>
    <t>FRONHA 3 ABAS 5CM ACAB. TREZZO 300F MISTO 0,50 X 0,70</t>
  </si>
  <si>
    <t>2101051173</t>
  </si>
  <si>
    <t>FRONHA BABY 2 ABAS 5cm CLASSIC PERCAL ESTAMPADO - 100%ALG - 0,30 X 0,40</t>
  </si>
  <si>
    <t>2101051176</t>
  </si>
  <si>
    <t>LENÇOL CIMA - CLASSIC - 180F MISTO PREMIUM - 2,20 X 2,30</t>
  </si>
  <si>
    <t>2101063504</t>
  </si>
  <si>
    <t>LENÇOL BAIXO BARRA ESTREITA 4 LADOS 300F MISTO 2,30 X 2,90</t>
  </si>
  <si>
    <t>2101111169</t>
  </si>
  <si>
    <t>2101111177</t>
  </si>
  <si>
    <t>LENÇOL CIMA 300F MISTO ACABAMENTO BOUQUET 2,30 X 2,45</t>
  </si>
  <si>
    <t>2102021171</t>
  </si>
  <si>
    <t>2102021179</t>
  </si>
  <si>
    <t>RECHEIO ALMOFADA 100% FIBRA SILICONIZADA 180F MISTO 0,30 X 0,50</t>
  </si>
  <si>
    <t>2114078440</t>
  </si>
  <si>
    <t>CAPA DUVET (EDRED) CLASSIC 300F MISTO C/ ENVELOPE 2,30 X 2,45</t>
  </si>
  <si>
    <t>2115021170</t>
  </si>
  <si>
    <t>PORTA TRAV PIQUET 4 ABAS SERRANO 0,50 X 0,70</t>
  </si>
  <si>
    <t>2122048702</t>
  </si>
  <si>
    <t>GUARDANAPO PANAMÁ 100% POLIÉSTER BRANCO BARRA SIMPLES 0,50 X 0,50</t>
  </si>
  <si>
    <t>PORTA TRAVESSEIRO 4 ABAS MATELASSADO 183F MISTO LOSANGO 0,50 X 0,70</t>
  </si>
  <si>
    <t>2202029519</t>
  </si>
  <si>
    <t>PORTA TRAVESSEIRO 4 ABAS PIQUET PALLONCINO 0,50 X 0,70</t>
  </si>
  <si>
    <t>2202029651</t>
  </si>
  <si>
    <t>PORTA TRAVESSEIRO 4 ABAS MATELASSADO MICRO    PERCAL GOMO 5CM  0,50 X 0,70</t>
  </si>
  <si>
    <t>2202029680</t>
  </si>
  <si>
    <t>GUARDANAPO CEDROMIX COR BRANCO CLASSIC BARRA 2CM 0,50 X 0,50</t>
  </si>
  <si>
    <t>GUARDANAPO GABARPLUS 100% POLIÉSTER BRANCO CLASSIC BARRA 2CM 0,50 X 0,50</t>
  </si>
  <si>
    <t>2203015183</t>
  </si>
  <si>
    <t>ROUPÃO PIQUET MOSAICO COM VIVO TAM. G</t>
  </si>
  <si>
    <t>3301082206</t>
  </si>
  <si>
    <t>ROUPÃO PIQUET MOSAICO S/ VIVO E C/ LOGO TAM. G  -  ( MODELAGEM EXCLUSIVA REDE DOR )</t>
  </si>
  <si>
    <t>ROUPÃO PIQUET MOSAICO S/ VIVO E C/ LOGO TAM. GG  -  ( MODELAGEM EXCLUSIVA REDE DOR )</t>
  </si>
  <si>
    <t>ROUPÃO PIQUET MOSAICO S/ VIVO E C/ LOGO TAM. M  -  ( MODELAGEM EXCLUSIVA REDE DOR )</t>
  </si>
  <si>
    <t>KIT BRINDE 2 TOALHA DE MÃO C/ BORDADO E SAQUINHO</t>
  </si>
  <si>
    <t>3302064065</t>
  </si>
  <si>
    <t>HOTELARIA ALBA S.A</t>
  </si>
  <si>
    <t>SANMA HOTEL</t>
  </si>
  <si>
    <t>5660</t>
  </si>
  <si>
    <t>66.435.493 NATAN GUSTAVO SOUZA OLIVEIRA</t>
  </si>
  <si>
    <t>66435493000109</t>
  </si>
  <si>
    <t>5661</t>
  </si>
  <si>
    <t>JULIO CEZAR</t>
  </si>
  <si>
    <t>00037368058880</t>
  </si>
  <si>
    <t>5662</t>
  </si>
  <si>
    <t>ANA LAURA LEMOS</t>
  </si>
  <si>
    <t>00001359955666</t>
  </si>
  <si>
    <t>5663</t>
  </si>
  <si>
    <t>GAELLE DE OLIVEIRA</t>
  </si>
  <si>
    <t>00023588311823</t>
  </si>
  <si>
    <t>5664</t>
  </si>
  <si>
    <t>Luis guilherme</t>
  </si>
  <si>
    <t>00029029282894</t>
  </si>
  <si>
    <t>5665</t>
  </si>
  <si>
    <t>Luisa Spernega Gomes</t>
  </si>
  <si>
    <t>00051197123806</t>
  </si>
  <si>
    <t>5666</t>
  </si>
  <si>
    <t>ANA COSTA</t>
  </si>
  <si>
    <t>00032091312878</t>
  </si>
  <si>
    <t>DUVET (CAPA) - CLASSIC 230F MISTO MODELO MAÕZINHA ACABAMENTO 2,40 X 240</t>
  </si>
  <si>
    <t>DUVET (CAPA) - CLASSIC 230F MISTO MODELO MAÕZINHA ACABAMENTO 1,80 X 2,45</t>
  </si>
  <si>
    <t>TOALHA MÃO FELPA CINZA - SEM LOGO - 0,30 X 0,30</t>
  </si>
  <si>
    <t>TOALHA MÃO FELPA BRANCA - SEM LOGO - 30 X 30 COM BORDADOS VARIADOS</t>
  </si>
  <si>
    <t>TOALHA PARA MACA FELPA CARAMELO C/ LOGO 1,40 X 2,00</t>
  </si>
  <si>
    <t>K6930</t>
  </si>
  <si>
    <t>ROUPÃO INFANTIL FELPA BRANCA MODELO KIMONO COM CAPUZ COM LOGO TAM 8 A 10 ANOS</t>
  </si>
  <si>
    <t>K5495/ 28 PÇS BORDADAS ERRADAS, 3 PEÇAS FURADA, 1 PEÇA COM DEFEITO NO TECIDO, SERÁ ABATIDO NA PRÓXIMA NOTA O VALOR R$, DO TECIDO E BORDADOS</t>
  </si>
  <si>
    <t>Anchieta bordados</t>
  </si>
  <si>
    <t>Entrega Parcial</t>
  </si>
  <si>
    <t>AMOSTRA</t>
  </si>
  <si>
    <t>Serás abatido R$ 46,90 NF. 6 referente as produções anterior.</t>
  </si>
  <si>
    <t>FRONHA 2 ABAS 5CM 400F FESTONE BRANCO 0,50 X 0,70</t>
  </si>
  <si>
    <t>2104221105</t>
  </si>
  <si>
    <t>LENÇOL BARRA ESTREITA 4 LADOS 400F 100% ALGODÃO 2,30 X 2,90</t>
  </si>
  <si>
    <t>92101062691</t>
  </si>
  <si>
    <t>92101105008</t>
  </si>
  <si>
    <t>LENÇOL CIMA 400F 100% ALGODÃO FESTONÊ COR BRANCO 2,30 X 2,45</t>
  </si>
  <si>
    <t>92102221241</t>
  </si>
  <si>
    <t>LENÇOL CIMA 400F 100% ALGODÃO FESTONÊ COR BRANCO 2,50 X 2,45</t>
  </si>
  <si>
    <t>92102222749</t>
  </si>
  <si>
    <t>LENÇOL CIMA 400F 100% ALGODÃO FESTONÊ COR BRANCO 1,80 X 2,40</t>
  </si>
  <si>
    <t>92102223273</t>
  </si>
  <si>
    <t>LENÇOL BARRA ESTREITA 4 LADOS 400F 100% ALGODÃO 1,80 X 2,80</t>
  </si>
  <si>
    <t>93105012478</t>
  </si>
  <si>
    <t>CANTO DOS VENTOS LTDA</t>
  </si>
  <si>
    <t>CANTO DOS VENTOS LTD</t>
  </si>
  <si>
    <t>5667</t>
  </si>
  <si>
    <t>ALCIONE MEDEIROS DA SILVA FRAZAO</t>
  </si>
  <si>
    <t>ALCIONE MEDEIROS DA</t>
  </si>
  <si>
    <t>00029662334866</t>
  </si>
  <si>
    <t>5668</t>
  </si>
  <si>
    <t>SORAYA SOLLITO PEREIRA</t>
  </si>
  <si>
    <t>SORAYA SOLLITO PEREI</t>
  </si>
  <si>
    <t>28224071000197</t>
  </si>
  <si>
    <t>5669</t>
  </si>
  <si>
    <t>CLARA INHOTIM</t>
  </si>
  <si>
    <t>04823123000426</t>
  </si>
  <si>
    <t>5670</t>
  </si>
  <si>
    <t>ELCAR LOGISTICA &amp; TRANSPORTES LTDA</t>
  </si>
  <si>
    <t>ELCAR LOGISTICA &amp; TR</t>
  </si>
  <si>
    <t>32730039000150</t>
  </si>
  <si>
    <t>5671</t>
  </si>
  <si>
    <t>GABRIELY ORIANI THOMASELLA</t>
  </si>
  <si>
    <t>GABRIELY ORIANI THOM</t>
  </si>
  <si>
    <t>00022745844865</t>
  </si>
  <si>
    <t>5672</t>
  </si>
  <si>
    <t>6 TABELIAO DE PROTESTO DE SAO PAULO</t>
  </si>
  <si>
    <t>6 TABELIAO DE PROTES</t>
  </si>
  <si>
    <t>52751994000181</t>
  </si>
  <si>
    <t>5673</t>
  </si>
  <si>
    <t>APPLE HOUSE PARATY HOTEL LTDA</t>
  </si>
  <si>
    <t>APPLE HOUSE CONNECT</t>
  </si>
  <si>
    <t>60919878000157</t>
  </si>
  <si>
    <t>5674</t>
  </si>
  <si>
    <t>SAO LUIZ - UNIDADE B</t>
  </si>
  <si>
    <t>06047087001100</t>
  </si>
  <si>
    <t>5675</t>
  </si>
  <si>
    <t>CAMILA QUOOS GOVERNICI</t>
  </si>
  <si>
    <t>CAMILA QUOOS GOVERNI</t>
  </si>
  <si>
    <t>00009994158910</t>
  </si>
  <si>
    <t>5676</t>
  </si>
  <si>
    <t>COMERCIO DO ACRILICO &amp; UTILIDADES LTDA</t>
  </si>
  <si>
    <t>COMERCIO DO ACRILICO</t>
  </si>
  <si>
    <t>50840508000176</t>
  </si>
  <si>
    <t>5677</t>
  </si>
  <si>
    <t>Isabella segre</t>
  </si>
  <si>
    <t>00041638927880</t>
  </si>
  <si>
    <t>5678</t>
  </si>
  <si>
    <t>Flavio Helio de Arruda</t>
  </si>
  <si>
    <t>Flavio Helio de Arru</t>
  </si>
  <si>
    <t>00099283840615</t>
  </si>
  <si>
    <t>5679</t>
  </si>
  <si>
    <t>MMCA COMERCIO E CONFECCAO DE ROUPAS E DECORACOES L</t>
  </si>
  <si>
    <t>MMCA COMERCIO E CONF</t>
  </si>
  <si>
    <t>08399889000133</t>
  </si>
  <si>
    <t>5680</t>
  </si>
  <si>
    <t>EDIFICIO CHATEAU CARMELO</t>
  </si>
  <si>
    <t>EDIFICIO CHATEAU CAR</t>
  </si>
  <si>
    <t>66731107000118</t>
  </si>
  <si>
    <t>5681</t>
  </si>
  <si>
    <t>CLINICA DRA PATRICIA FAGUNDES DERMATOLOGIA LTDA</t>
  </si>
  <si>
    <t>12002342000120</t>
  </si>
  <si>
    <t>ESTOQUE</t>
  </si>
  <si>
    <t>3913011235N</t>
  </si>
  <si>
    <t>BOLSO PARA PIJAMA BORDADO LETRA "G" COR - 7201 - INOCÊNCIA</t>
  </si>
  <si>
    <t>BOLSO PARA MACACÃO RN BORDADO LETRA "T" COR - 7201 - INOCÊNCIA</t>
  </si>
  <si>
    <t>BOLSO PARA PIJAMA BORDADO LETRA "C" COR - 7201 - INOCÊNCIA</t>
  </si>
  <si>
    <t>BOLSO PARA MACACÃO RN BORDADO LETRA "C" COR - 7201 - INOCÊNCIA</t>
  </si>
  <si>
    <t>KIT PIJAMA TAM. M (BLUSA PIJAMA CASEAR E PREGAR BOTÕES)</t>
  </si>
  <si>
    <t>ROUPÃO FELPA CARAMELO BORDADO ESCRITA CASA COSTA COR BEGE 5305 GG</t>
  </si>
  <si>
    <t>K6934</t>
  </si>
  <si>
    <t>K3670A/ FOI DESCONTADO O VALOR DE R$157,58 REFERENTE AOS LENÇÓIS DO ALIANÇA QUE FOI DANIFICADO</t>
  </si>
  <si>
    <t>ROUPÃO SOHO CARAMELO MODELO KIMONO - TAM. G COM LOGO</t>
  </si>
  <si>
    <t>NANAI</t>
  </si>
  <si>
    <t>K4632</t>
  </si>
  <si>
    <t>LENÇOL BAIXO COM ELÁSTICO 400F - 0,70X1,30X0,15</t>
  </si>
  <si>
    <t>LENÇOL DE CIMA ACAB/ BORDADO BRANCO 400F - 1,10X1,60</t>
  </si>
  <si>
    <t>FRONHA SEM ABA C/ ACABAMENTO BORDADO ENT. BRANCO 2 LADOS 400F - 0,30X0,40</t>
  </si>
  <si>
    <t>LENÇOL DE CIMA ACAB/ BORDADO ROSA 400F - 1,10X1,60</t>
  </si>
  <si>
    <t>FRONHA SEM ABA C/ ACABAMENTO BORDADO ENT. ROSA 2 LADOS 400F - 0,30X0,40</t>
  </si>
  <si>
    <t>LENÇOL DE CIMA ACAB/ CORDONÊ VERDE 400F - 1,10X1,60</t>
  </si>
  <si>
    <t>FRONHA SEM ABA C/ ACABAMENTO BORDADO ENT. CORDONÊ VERDE 2 LADOS 400F - 0,30X0,40</t>
  </si>
  <si>
    <t>LENÇOL DE CIMA ACAB/ CORDONÊ AZUL 400F - 1,10X1,60</t>
  </si>
  <si>
    <t>FRONHA SEM ABA C/ ACABAMENTO BORDADO ENT. CORDONÊ AZUL 2 LADOS 400F - 0,30X0,40</t>
  </si>
  <si>
    <t>LENÇOL DE CIMA ACAB/ CORDONÊ ROSE 400F - 1,10X1,60</t>
  </si>
  <si>
    <t>FRONHA SEM ABA C/ ACABAMENTO BORDADO ENT. CORDONÊ ROSE 2 LADOS 400F - 0,30X0,40</t>
  </si>
  <si>
    <t>LENÇOL DE CIMA ACAB/ CORDONÊ STONE 400F - 1,10X1,60</t>
  </si>
  <si>
    <t>FRONHA SEM ABA C/ ACABAMENTO BORDADO ENT. CORDONÊ STONE 2 LADOS 400F - 0,30X0,40</t>
  </si>
  <si>
    <t>LENÇOL DE CIMA ACAB/ CORDONÊ BRANCO 400F - 1,10X1,60</t>
  </si>
  <si>
    <t>FRONHA SEM ABA C/ ACABAMENTO BORDADO ENT. CORDONÊ BRANCO 2 LADOS 400F - 0,30X0,40</t>
  </si>
  <si>
    <t>30 PEÇAS C/ DEFEITO, PONTO PULADO, BOLINHA VERDE DENTRO DA COSTURA, ETIQUETA ERRADA, CONSERTOS FEITO NO ATÊLIE, VALOR DO CONSERTO R$77,40 A SER DESCONTADO NA PRÓXIMA PRODUÇÃO</t>
  </si>
  <si>
    <t>LENÇOL MACA BARRA ESTREITA - 180F MISTO AZUL CLARO COM LOGO SILKADA - 1,20 X 1,80</t>
  </si>
  <si>
    <t>2101011231</t>
  </si>
  <si>
    <t>LENÇOL DE BAIXO BERÇO C/ ELÁSTICO SUEDINE - COLEÇÃO OURIÇO</t>
  </si>
  <si>
    <t>LENÇOL DE BAIXO BERÇO C/ ELÁSTICO - COLEÇÃO JABUTI</t>
  </si>
  <si>
    <t>LENÇOL DE BAIXO BERÇO C/ ELÁSTICO - COLEÇÃO ALICE</t>
  </si>
  <si>
    <t>LENÇOL BAIXO COM ELÁSTICO FELPA ATOALHADA PITTI 0,70 X 2,20 X 0,10</t>
  </si>
  <si>
    <t>2101021214</t>
  </si>
  <si>
    <t>LENÇOL BARRA ESTREITA 230F MISTO LISO 1,80 X 3,00 - COM COSTURA AZUL PARA IDENTIFICAÇÃO</t>
  </si>
  <si>
    <t>2101021234</t>
  </si>
  <si>
    <t>LENÇOL DE BAIXO BERÇO C/ ELÁSTICO - COLEÇÃO CAVALINHO</t>
  </si>
  <si>
    <t>LENÇOL BARRA ESTREITA 4 LADOS - 230F MISTO - 2,80 X 3,00 - COSTURA VERDE PARA IDENTIFICAÇÃO</t>
  </si>
  <si>
    <t>2101046053</t>
  </si>
  <si>
    <t>LENÇOL BARRA ESTREITA - 300F MISTO - 2,90 X 3,10</t>
  </si>
  <si>
    <t>2101051183</t>
  </si>
  <si>
    <t>FRONHA 3 ABAS 5cm - 250F MISTO - CLASSIC - 0,50 X 0,70</t>
  </si>
  <si>
    <t>JG LENÇOL QUEEN - 1,60 X 2,00 X 0,40 - 400F 100% ALGODÃO COM VIRA DE 0,50cm - BARRÃO DE 10cm E ACABAMENTO FESTONÊ DUPLO COR AREIA CAVA 7191</t>
  </si>
  <si>
    <t>2101061045</t>
  </si>
  <si>
    <t>JG LENÇOL QUEEN - 1,60 X 2,00 X 0,40 - 400F 100% ALGODÃO COM VIRA DE 0,50cm - BARRÃO DE 10cm E ACABAMENTO FESTONÊ DUPLO COR AREIA 7190</t>
  </si>
  <si>
    <t>2101061048</t>
  </si>
  <si>
    <t>JG LENÇOL QUEEN - 1,60 X 2,00 X 0,40 - 400F 100% ALGODÃO COM VIRA DE 0,50cm - BARRÃO DE 10cm E ACABAMENTO FESTONÊ DUPLO COR ERIN 7331</t>
  </si>
  <si>
    <t>2101061051</t>
  </si>
  <si>
    <t>JOGO DE LENÇOL - KING - 400F 100% ALG - ACABAMENTO DODICI COR 07124 MUSGUINHO</t>
  </si>
  <si>
    <t>2101061229</t>
  </si>
  <si>
    <t>JOGO DE LENÇOL COR BRANCO QUEEN 400F 100% ALG   - ACABAMENTO DUPLO FESTONÊ FINO COR AREIA CAVA 7191   (LB C/ELASTICO 1,58 X 1,98 X 0,30 - LC 2,50 X 2,45 -   ABAS 7CM 50 X 70)</t>
  </si>
  <si>
    <t>LENÇOL BARRA ESTREITA - 180F 100% ALGODÃO AZUL CLARO - 1,70 X 2,50</t>
  </si>
  <si>
    <t>2101101230</t>
  </si>
  <si>
    <t>LENÇOL BAIXO 400F 100%ALG COM LOGO BORDADO COR LAPIS 7115 E CARAMELO 7198  E SEM FESTONÊ - 1,80 X 2,80</t>
  </si>
  <si>
    <t>2101101237</t>
  </si>
  <si>
    <t>LENÇOL DE BAIXO COM ELÁSTICO PERCAL ESTAMPADO 100% ALG - 0,65 X 1,00 X 0,09</t>
  </si>
  <si>
    <t>LENÇOL DE CIMA - CLASSIC - CORPO BRANCO 200F 100% - COM VIRA ESTAMPADA TECIDO PERCAL ESTAMPADO 100% ALG - 0,90 X 1,20</t>
  </si>
  <si>
    <t>LENÇOL CIMA - 300F MISTO - STRIPE LARGE - HORIZONTAL - FESTONÊ BRANCO - 2,90 X 2,55</t>
  </si>
  <si>
    <t>2102061185</t>
  </si>
  <si>
    <t>FRONHA 4 ABAS 5cm - 300F MISTO STRIPE LARG - HORIZONTAL - FESTONÊ BRANCO - 0,50 X 0,70</t>
  </si>
  <si>
    <t>2102061186</t>
  </si>
  <si>
    <t>SUPER FRONHA 4 ABAS 5cm - 300F MISTO STRIPE LARG - HORIZONTAL FESTONÊ BRANCO - 0,50 X 0,90</t>
  </si>
  <si>
    <t>2102061187</t>
  </si>
  <si>
    <t>LENÇOL CIMA - 230F MISTO - FESTONÊ BRANCO - 2,30 X 2,45</t>
  </si>
  <si>
    <t>2102116436</t>
  </si>
  <si>
    <t>SUPER FRONHA ENVELOPE 180F MISTO AZUL CLARO - LOGO BORDADO COR LAPÍS 7115 - 0,50 X 0,90</t>
  </si>
  <si>
    <t>2103061229</t>
  </si>
  <si>
    <t>FRONHA 4 ABAS 5CM FESTONE LAPIS 7115 E 400FIOS 100%ALG E LOGO BORDADO LAPIS 7115 E CARAMELO 7198 - 0,50 X 0,70</t>
  </si>
  <si>
    <t>2103061238</t>
  </si>
  <si>
    <t>FRONHA 2 ABAS 5cm - 230F MISTO CLASSIC - 0,50 X 0,70</t>
  </si>
  <si>
    <t>FRONHA 3 ABAS 5cm - 230F 100% ALG. CLASSIC - 0,50 X 0,70</t>
  </si>
  <si>
    <t>2104041216</t>
  </si>
  <si>
    <t>CAPA ALMOFADA 4 ABAS - 400F 100% ALGODÃO - NEW MILLE - COR CAQUI/ESMERALDO - 0,20 X 0,50</t>
  </si>
  <si>
    <t>2104041217</t>
  </si>
  <si>
    <t>SUPER FRONHA - 400F 100% ALG - NEW MILLE VOLTA TODA COR ESMERALDA - 0,50 X 0,90</t>
  </si>
  <si>
    <t>2104041219</t>
  </si>
  <si>
    <t>FRONHA 2 ABAS 5CM 300F MISTO CLASSIC 0,50 X 0,70</t>
  </si>
  <si>
    <t>FRONHA 2 ABAS 5cm - 230F MISTO - FESTONÊ BRANCO - 0,50 X 0,70</t>
  </si>
  <si>
    <t>2104261184</t>
  </si>
  <si>
    <t>FRONHA 3 ABAS 5cm - 300F MISTO - CLASSIC - 0,50 X 0,70</t>
  </si>
  <si>
    <t>2105050679</t>
  </si>
  <si>
    <t>SUPER FRONHA 4 ABAS 5CM CLASSIC 300F 100%  ALGODÃO 0,50 X 0,90</t>
  </si>
  <si>
    <t>2110300739</t>
  </si>
  <si>
    <t>CAPA ROLINHO P/ PERNAS - FELPA CARAMELO - 0,70 X 0,16</t>
  </si>
  <si>
    <t>2111031220</t>
  </si>
  <si>
    <t>CAPA ALMOFADÃO 4 ABAS COM FESTONÊ CASTOR 5631 - TECIDO BOHEMIAN COR BEGE - 0,60 X 0,60</t>
  </si>
  <si>
    <t>2111061241</t>
  </si>
  <si>
    <t>CAPA ALMOFADA SEM ABA ACABAMENTO CORDONE TODA VOLTA FECHAMENTO COM ZÍPER BOHEMIAN BEGE COM LOGO ESTRELA COR 5308     -     0,50 X 0,50</t>
  </si>
  <si>
    <t>2111261202</t>
  </si>
  <si>
    <t>CAPA ROLINHO FELPA VELUX BRANCA 0,40 X 0,16</t>
  </si>
  <si>
    <t>2112061306</t>
  </si>
  <si>
    <t>RECHEIO DE ROLINHO PARA PERNAS - 100% IMPERMEAVEL - 0,70 X 0,16</t>
  </si>
  <si>
    <t>2114071219</t>
  </si>
  <si>
    <t>RECHEIO ALMOFADA - 0,20 X 0,50</t>
  </si>
  <si>
    <t>2114074210</t>
  </si>
  <si>
    <t>RECHEIO ROLINHO 0,40 X 0,16 IMPERMEAVEL 100%</t>
  </si>
  <si>
    <t>2114085950</t>
  </si>
  <si>
    <t>DUVET LISO LINHO MISTO 01A FRENTE / VERSO TECIDO 400F 100% ALG 63 BEGE - CORDONÊ VOLTA TODA EM LINHO - C/ ZIPER NOS PÉS</t>
  </si>
  <si>
    <t>2115011053</t>
  </si>
  <si>
    <t>CAPA DUVET - 400F 100% ALG - KING - NEW MILLE COR ESMERALDA - FECHAMENTO COM ZÍPER - 2,90 X 2,60</t>
  </si>
  <si>
    <t>2115011218</t>
  </si>
  <si>
    <t>DUVET ( CAPA ) - 230F MISTO - CLASSIC COM ENVELOPE - 2,65 X 2,45 - COSTURA VERDE PARA IDENTIFICAÇÃO</t>
  </si>
  <si>
    <t>2115023678</t>
  </si>
  <si>
    <t>ROUPÃO KIMONO PIQUET MARROM - TAM M</t>
  </si>
  <si>
    <t>2115031221</t>
  </si>
  <si>
    <t>ROUPÃO KIMONO PIQUET MARROM - TAM G</t>
  </si>
  <si>
    <t>2115031222</t>
  </si>
  <si>
    <t>ROUPÃO KIMONO PIQUET MARROM - TAM GG</t>
  </si>
  <si>
    <t>2115031223</t>
  </si>
  <si>
    <t>ROUPÃO KIMONO PIQUET MARINHO - TAM M</t>
  </si>
  <si>
    <t>2115031224</t>
  </si>
  <si>
    <t>ROUPÃO KIMONO PIQUET MARINHO - TAM G</t>
  </si>
  <si>
    <t>2115031225</t>
  </si>
  <si>
    <t>ROUPÃO KIMONO PIQUET MARINHO - TAM GG</t>
  </si>
  <si>
    <t>2115031226</t>
  </si>
  <si>
    <t>ROUPÃO KIMONO PIQUET PRETO - TAM G</t>
  </si>
  <si>
    <t>2115031227</t>
  </si>
  <si>
    <t>DUVET (CAPA) 230F MISTO CLASSIC COM ENVELOPE 1,80 X 2,40 COM COSTURA AZUL PARA IDENTIFICAÇÃO</t>
  </si>
  <si>
    <t>2115035266</t>
  </si>
  <si>
    <t>DUVET (CAPA) MODELO MÃOZINHA ACABAMENTO CLASSIC 230F MISTO 1,80 X 2,45</t>
  </si>
  <si>
    <t>2115155826</t>
  </si>
  <si>
    <t>DUVET (CAPA) CLASSIC 230F MISTO MODELO MÃOZINHA ACABAMENTO 2,40 X 2,40</t>
  </si>
  <si>
    <t>2115501207</t>
  </si>
  <si>
    <t>SAIA BRIM BRANCA MOLDURA E TRANSPASSE - 2,00 X 2,00 X 0,33</t>
  </si>
  <si>
    <t>2120051190</t>
  </si>
  <si>
    <t>COLCHA PIQUET 100% ALGODÃO MADRID BRANCO - 3,10 X 2,60</t>
  </si>
  <si>
    <t>2121011182</t>
  </si>
  <si>
    <t>COLCHA MATELASSADA MILANO - 300F MISTO - 2,90 X 2,55</t>
  </si>
  <si>
    <t>2121021188</t>
  </si>
  <si>
    <t>PORTA TRAV. 4 ABAS - MATELASSADO MILANO 300F MISTO - 0,50 X 0,70</t>
  </si>
  <si>
    <t>2121021189</t>
  </si>
  <si>
    <t>PONCHO FELPA FELOUR ESTAMPA OURIÇO COM CAPUZ</t>
  </si>
  <si>
    <t>PONCHO FELPA FELOUR ESTAMPADA ALICE COM CAPUZ</t>
  </si>
  <si>
    <t>GUARDANAPO AJOUR BARRA 2CM 80%ALGODÃO /20% LINHO COR BRANCO 0,45 X 0,45</t>
  </si>
  <si>
    <t>2201021216</t>
  </si>
  <si>
    <t>GUARDANAPO AJOUR BARRA 2CM 80%ALGODÃO /20% LINHO COR CINZA CIMENTO 369 0,45 X 0,45</t>
  </si>
  <si>
    <t>2201021221</t>
  </si>
  <si>
    <t>TOALHA CAPUZ C/ ORELHA DE URSO  - FELPA CARAMELO BABY</t>
  </si>
  <si>
    <t>TOUCA SOHO CARAMELO - TAM. ÚNICO</t>
  </si>
  <si>
    <t>2401017254</t>
  </si>
  <si>
    <t>PESEIRA DUPLA ACABAMENTO CORDONE TODA VOLTA BOHEMIAN BEGE 0,60 X 1,70</t>
  </si>
  <si>
    <t>3101011203</t>
  </si>
  <si>
    <t>PESEIRA DUPLA ACABAMENTO CORDONE TODA VOLTA BOHEMIAN BEGE 0,60 X 2,70</t>
  </si>
  <si>
    <t>3101011204</t>
  </si>
  <si>
    <t>LENÇOL DE CIMA 300F MISTO ACABAMENTO CLASSIC 1,20 X 2,40</t>
  </si>
  <si>
    <t>3103071215</t>
  </si>
  <si>
    <t>TOALHA MÃO SEM LOGO FELPA CINZA - 0,30 X 0,30</t>
  </si>
  <si>
    <t>3105011992</t>
  </si>
  <si>
    <t>JOGO DE LENÇOL BERÇO BABY 2 PEÇAS ( LB + FR ) - COLEÇÃO FOLHAS</t>
  </si>
  <si>
    <t>TOALHA DE BANHO BABY  COM CAPUZ FELPA BRANCA E CORDONÊ BRANCO</t>
  </si>
  <si>
    <t>TOALHA CAPUZ BABY  FELPA VELOUR  OFF WHITE  ACAB/ SUEDINE ESTAMPA OURIÇO</t>
  </si>
  <si>
    <t>TOALHA CAPUZ KIDS  FELPA VELOUR  BRANCA  ACAB/ MALHA ALICE</t>
  </si>
  <si>
    <t>TOALHA CAPUZ KIDS COELHO BORDADO - COLEÇÃO ALICE</t>
  </si>
  <si>
    <t>TOALHA PRATICA RN 1/2 MALHA ESTAMPA OURIÇO SUEDINE</t>
  </si>
  <si>
    <t>TOALHA PRATICA RN 1/2 MALHA ESTAMPA FOLHAS  SUEDINE</t>
  </si>
  <si>
    <t>FRALDÃO COM CORDONÊ BRANCO</t>
  </si>
  <si>
    <t>TOALHA DE BANHO KIDS COM CAPUZ FELPA BRANCA E BORDADO AZUL</t>
  </si>
  <si>
    <t>FRALDÃO COM CORDONÊ ROSE</t>
  </si>
  <si>
    <t>TOALHA DE BANHO BABY  COM CAPUZ FELPA BRANCA E CORDONÊ ROSE</t>
  </si>
  <si>
    <t>JOGO DE LENÇOL BERÇO - STAR ROSA MISTICO 07161</t>
  </si>
  <si>
    <t>TOALHA DE BANHO BABY  COM CAPUZ FELPA BRANCA E CORDONÊ STONE</t>
  </si>
  <si>
    <t>TOALHA DE BANHO KIDS COM CAPUZ FELPA BRANCA ACAB/ AJOUR - STAR CINZA</t>
  </si>
  <si>
    <t>ROUPÃO CAPUZ CARAMELO  URSINHO COM ORELHINHAS MAIORES</t>
  </si>
  <si>
    <t>JOGO DE LENÇOL BERÇO - COLEÇÃO ALICE</t>
  </si>
  <si>
    <t>TOALHA DE BANHO KIDS COM CAPUZ FELPA BRANCA ACAB/ AJOUR - STAR ROSA</t>
  </si>
  <si>
    <t>JOGO DE LENÇOL BERÇO - STAR BEGE</t>
  </si>
  <si>
    <t>TOALHA DE BANHO BABY  COM CAPUZ FELPA BRANCA E CORDONÊ VERDE</t>
  </si>
  <si>
    <t>TOALHA DE BANHO BABY  COM CAPUZ FELPA BRANCA E CORDONÊ AZUL</t>
  </si>
  <si>
    <t>TOALHA DE BANHO KIDS COM CAPUZ FELPA BRANCA ACAB/ AJOUR - STAR AZUL</t>
  </si>
  <si>
    <t>TOALHA DE BANHO KIDS COM CAPUZ FELPA BRANCA ACAB/ AJOUR - STAR BEGE</t>
  </si>
  <si>
    <t>JOGO DE LENÇOL - 400F 100% - SOLTEIRO - CORDONÊ BRANCO</t>
  </si>
  <si>
    <t>JOGO DE LENÇOL - 400F 100% - SOLTEIRO - CORDONÊ STONE</t>
  </si>
  <si>
    <t>JOGO LENÇOL 400F  BABY acab/ CORDONÊ ROSE</t>
  </si>
  <si>
    <t>JOGO LENÇOL 400F  BABY acab/ BORDADO AZUL</t>
  </si>
  <si>
    <t>TOALHA DE BANHO C/ CAPUZ KIDS - BORDADO JARDIM</t>
  </si>
  <si>
    <t>JOGO LENÇOL BABY - 300F - BORDADO CAVALINHO ( 1 LB + 1 LC COM VIRA FAIXA 0,10cm CAVALINHO C/ VIÉS BRANCO + 1F BORDADO CAVALINHO C/ VIÉS BRANCO )</t>
  </si>
  <si>
    <t>TOALHA DE BANHO C/ CAPUZ KIDS - BORDADA CAVALINHO</t>
  </si>
  <si>
    <t>JOGO LENÇOL 400F  BABY acab/ CORDONÊ AZUL</t>
  </si>
  <si>
    <t>JOGO LENÇOL 400F  BABY acab/ CORDONÊ VERDE</t>
  </si>
  <si>
    <t>JOGO DE LENÇOL - 400F 100% - SOLTEIRO - CORDONÊ VERDE</t>
  </si>
  <si>
    <t>TOALHA DE BANHO KIDS COM CAPUZ FELPA BRANCA ACAB/ AJOUR</t>
  </si>
  <si>
    <t>TOALHA CAPUZ BABY  FELPA VELOUR  OFF WHITE  ACAB/ MALHA ESTAMPA CAVALINHO</t>
  </si>
  <si>
    <t>JOGO LENÇOL BABY - 300F - BORDADO ALICE ( 1 LB + 1 LC COM VIRA FAIXA 0,10cm ALICE C/ VIÉS BRANCO + 1F BORDADO ALICE C/ VIÉS BRANCO )</t>
  </si>
  <si>
    <t>ROUPÃO VELUX BRANCO - M</t>
  </si>
  <si>
    <t>3301023945</t>
  </si>
  <si>
    <t>ROUPÃO PIQUET SERRANO - TAM. GG</t>
  </si>
  <si>
    <t>3301075741</t>
  </si>
  <si>
    <t>3301091211</t>
  </si>
  <si>
    <t>3301091213</t>
  </si>
  <si>
    <t>ROUPÃO FELPA CARAMELO BORDADO ESCRITA CASA COSTA COR BEGE 5305 G</t>
  </si>
  <si>
    <t>3301091220</t>
  </si>
  <si>
    <t>ROUPÃO FELPA VELUX BRANCO - TAM. GG - COM LOGO - MODELO KIMONO</t>
  </si>
  <si>
    <t>3301091242</t>
  </si>
  <si>
    <t>ROUPÃO VELUX BRANCO - G</t>
  </si>
  <si>
    <t>3301093860</t>
  </si>
  <si>
    <t>3301096390</t>
  </si>
  <si>
    <t>3301096391</t>
  </si>
  <si>
    <t>3301096392</t>
  </si>
  <si>
    <t>ROUPÃO VELUX CINZA - P</t>
  </si>
  <si>
    <t>3301096804</t>
  </si>
  <si>
    <t>ROUPÃO VELUX CINZA - G</t>
  </si>
  <si>
    <t>3301098941</t>
  </si>
  <si>
    <t>ROUPÃO VELUX CINZA - GG</t>
  </si>
  <si>
    <t>3301099636</t>
  </si>
  <si>
    <t>ROUPÃO FELPA CARAMELO - G - MODELO KIMONO</t>
  </si>
  <si>
    <t>3301146819</t>
  </si>
  <si>
    <t>TOALHA DE MÃO FELPA VELUX BRANCO - S/ LOGO - 0,30 X 0,30</t>
  </si>
  <si>
    <t>3302011217</t>
  </si>
  <si>
    <t>TOALHA FITNES FELPA VELUX BRANCA - 0,30 X 1,20</t>
  </si>
  <si>
    <t>3302038405</t>
  </si>
  <si>
    <t>TOALHA PISO DUPLO CARAMELO - 0,45 X 0,90 C/ LOGO</t>
  </si>
  <si>
    <t>3302048547</t>
  </si>
  <si>
    <t>TOALHA BANHÃO FELPA CARAMELO (LISA) S/ LOGO BORDADA 1,00 X 2,10</t>
  </si>
  <si>
    <t>3302111244</t>
  </si>
  <si>
    <t>TOALHA BANHO FELPA CARAMELO 0,80 X 1,60</t>
  </si>
  <si>
    <t>3302111488</t>
  </si>
  <si>
    <t>TOALHA PISO DUPLO FELPA CARAMELO 0,48 X 0,80</t>
  </si>
  <si>
    <t>3302122337</t>
  </si>
  <si>
    <t>TOALHA FITNESS FELPA CARAMELO 0,30 X 1,20</t>
  </si>
  <si>
    <t>3302135943</t>
  </si>
  <si>
    <t>TOALHA PARA MACA FELPA CARAMELO C/ LOGO - 1,40 X 2,00</t>
  </si>
  <si>
    <t>3302138611</t>
  </si>
  <si>
    <t>TOALHA LAVABO - FELPA CINZA - 0,30 X 0,50</t>
  </si>
  <si>
    <t>3302303364</t>
  </si>
  <si>
    <t>TOALHA LAVABO - FELPA CARAMELO - 0,30 X 0,50</t>
  </si>
  <si>
    <t>TOALHA FITNES FELPA CINZA - 0,30 X 1,20</t>
  </si>
  <si>
    <t>3302335875</t>
  </si>
  <si>
    <t>FAIXA DE CABELO TAM. ÚNICO - COR CARAMELO</t>
  </si>
  <si>
    <t>ENCOSTO DE ROSTO FELPA VELUX TAM. UNICO COR BRANCO</t>
  </si>
  <si>
    <t>CAPA ALMOFADA FELPA CARAMELO - 0,30 X 0,40</t>
  </si>
  <si>
    <t>3404112112</t>
  </si>
  <si>
    <t>TOALHA DE MÃO - FELPA CARAMELO - 0,30 X 0,30</t>
  </si>
  <si>
    <t>ROUPÃO KIMONO PIQUET PRETO - TAM GG</t>
  </si>
  <si>
    <t>21115031228</t>
  </si>
  <si>
    <t>LENÇOL BAIXO BARRA ESTREITA 4 LADOS 300F MISTO LISO 2,60 X 2,80</t>
  </si>
  <si>
    <t>92101011194</t>
  </si>
  <si>
    <t>LENÇOL BAIXO BARRA ESTREITA 4 LADOS 300F MISTO LISO 1,70 X 2,80</t>
  </si>
  <si>
    <t>92101011195</t>
  </si>
  <si>
    <t>LENÇOL BARRA ESTREITA 4 LADOS - 400F 100% ALGODÃO - 2,50 X 2,90</t>
  </si>
  <si>
    <t>LENÇOL BAIXO BARRA ESTREITA 4 LADOS 400F 100% ALGODÃO 2,72 X 3,12</t>
  </si>
  <si>
    <t>92101106136</t>
  </si>
  <si>
    <t>LENÇOL BAIXO BARRA ESTREITA 4 LADOS 400F 100% ALGODÃO C/ LATERAL 3,07 X 3,17</t>
  </si>
  <si>
    <t>LENÇOL BARRA ESTREITA 4 LADOS 400F 100% ALGODÃO 2,70 X 2,90</t>
  </si>
  <si>
    <t>92101107950</t>
  </si>
  <si>
    <t>SUPER FRONHA 2 ABAS 5 CM 300F MISTO FESTONE 5305 0,50 X 0,90</t>
  </si>
  <si>
    <t>92102061200</t>
  </si>
  <si>
    <t>FRONHA 4 ABAS 5 CM 300F MISTO FESTONE 5305 0,50 X 0,70</t>
  </si>
  <si>
    <t>92102061201</t>
  </si>
  <si>
    <t>LENÇOL CIMA 400F 100% ALGODÃO CLASSIC 2,64 X 2,57</t>
  </si>
  <si>
    <t>92102106137</t>
  </si>
  <si>
    <t>LENÇOL CIMA 400F 100% ALGODÃO CLASSIC 3,00 X 2,70</t>
  </si>
  <si>
    <t>LENÇOL CIMA - 400F 100% ALGODÃO - DUPLO FESTONÊ CASTOR 5631 - 2,30 X 2,45</t>
  </si>
  <si>
    <t>92102221243</t>
  </si>
  <si>
    <t>LENÇOL CIMA - 400F 100% ALGODÃO - DUPLO FESTONÊ CASTOR 5631 - 2,50 X 2,45</t>
  </si>
  <si>
    <t>92102225856</t>
  </si>
  <si>
    <t>SUPER FRONHA 3 ABAS 5CM 400F 100%ALG DUPLO FESTONE CASTOR 5631 0,50 X 0,90</t>
  </si>
  <si>
    <t>DUVET (CAPA) 300F MISTO ACABAMENTO MODELO ENVELOPE CLASSIC 2,60 X 2,40</t>
  </si>
  <si>
    <t>92115011196</t>
  </si>
  <si>
    <t>DUVET (CAPA) 300F MISTO ACABAMENTO MODELO ENVELOPE CLASSIC 1,70 X 2,40</t>
  </si>
  <si>
    <t>92115011197</t>
  </si>
  <si>
    <t>CAPA DE DUVET CLASSIC C/ ENVELOPE 400F 100% ALGODÃO 2,20 X 2,40</t>
  </si>
  <si>
    <t>92115031230</t>
  </si>
  <si>
    <t>CAPA DE DUVET CLASSIC C/ ENVELOPE 400F 100% ALGODÃO 2,60 X 2,40</t>
  </si>
  <si>
    <t>92115033023</t>
  </si>
  <si>
    <t>LENÇOL DE CIMA 300F MISTO ACABAMENTO FESTONE 5305 1,70 X 2,40</t>
  </si>
  <si>
    <t>93103071198</t>
  </si>
  <si>
    <t>LENÇOL DE CIMA 300F MISTO ACABAMENTO FESTONE 5305 2,60 X 2,40</t>
  </si>
  <si>
    <t>93103071199</t>
  </si>
  <si>
    <t>Sem Código</t>
  </si>
  <si>
    <t>2 PEÇAS FURADAS</t>
  </si>
  <si>
    <t xml:space="preserve">ESTOQUE </t>
  </si>
  <si>
    <t>ENVELOPE PEQUENO COM VÉS DE 3cm LAÇINHO NA ABA - LINHA ECO</t>
  </si>
  <si>
    <t>K5278 / BORDADOS NO FUNDO E ENVELOPE= TOTAL DE FRONHAS 4 PEÇAS</t>
  </si>
  <si>
    <t>FRONHA BABY - 200F - COLEÇÃO STAR BEGE - 7189  (FRENTE E FUNDO)</t>
  </si>
  <si>
    <t>FRONHA BABY - 200F - COLEÇÃO STAR ROSA - 7161  (FRENTE E FUNDO)</t>
  </si>
  <si>
    <t xml:space="preserve">K5278  </t>
  </si>
  <si>
    <t>K5278</t>
  </si>
  <si>
    <t>VIRA DE LENÇOL BABY 200F - COLEÇÃO STAR BEGE - 7189 - 1,10 X 1,60</t>
  </si>
  <si>
    <t>VIRA DE LENÇOL BABY 200F - COLEÇÃO STAR ROSA - 7161 - 1,10 X 1,61</t>
  </si>
  <si>
    <t xml:space="preserve">K5278A - STAR ROSA </t>
  </si>
  <si>
    <t>K6088Y</t>
  </si>
  <si>
    <t>K6088G</t>
  </si>
  <si>
    <t xml:space="preserve">FAIXA LENÇOL BABY 300F 1,10 X 1,60 - COLEÇÃO ALICE </t>
  </si>
  <si>
    <t>FAIXA FRONHA BABY 300F 0,30 X 0,40 - COLEÇÃO ALICE</t>
  </si>
  <si>
    <t>K6088F - 5 REPETIÇÕES</t>
  </si>
  <si>
    <t>FAIXA FRONHA BABY 300F 0,30 X 0,40 - COLEÇÃO CAVALINHO</t>
  </si>
  <si>
    <t xml:space="preserve">FAIXA LENÇOL BABY 300F 1,10 X 1,60 - COLEÇÃO CAVALINHO </t>
  </si>
  <si>
    <t>K6066R</t>
  </si>
  <si>
    <t>K6066P - K6066Q - 6 REPETIÇÕES</t>
  </si>
  <si>
    <t>K6066S - 4 REPETIÇÕES</t>
  </si>
  <si>
    <t>K6955</t>
  </si>
  <si>
    <t>1° ENTREGA 14/07 , 2° ENTREGA 17/07</t>
  </si>
  <si>
    <t>LENÇOL MACA BARRA ESTREITA 180F MISTO AZUL CLARO COM LOGO SILKADA 1,20 X 1,80</t>
  </si>
  <si>
    <t>SILK LOGO "REDE DOR" 25 CM</t>
  </si>
  <si>
    <t>12 PEÇAS C/ DEFEITO NAS COSTURAS, PONTO PULADO, CONSERTADOS NO ATELIÊ VALOR DA M.O R$30,96</t>
  </si>
  <si>
    <t>K5495/ 1 PEÇAS FURADA NO BORDADO</t>
  </si>
  <si>
    <t>MANTA PERSONALIZADA BARRA DE 10CM 4 LADOS ACAB/FESTONÊ 07156 4LADOS C/ LOGO PERSONALIZADO</t>
  </si>
  <si>
    <t xml:space="preserve">MANTA COBRE LEITO ACAB/ BORDADO 240927-T PETIT FLUER 4LADOS + FESTONÊ 07156 4 LADOS C/ LOGO PERSONALIZADO </t>
  </si>
  <si>
    <t xml:space="preserve">FRONHA MOD/ ENVELOPE  BABY ACAB/ BORDADO 240927-T PETIT FLUER 4LADOS + C/ LOGO PERSONALIZADO </t>
  </si>
  <si>
    <t>EMBALAGEM PARA KIT</t>
  </si>
  <si>
    <t>K6957B, 8 CM</t>
  </si>
  <si>
    <t>K6957A, 10 CM</t>
  </si>
  <si>
    <t>K6957, 15 CM</t>
  </si>
  <si>
    <t>K3209</t>
  </si>
  <si>
    <t>NANNAI</t>
  </si>
  <si>
    <t>K6956/ 1 PEÇA MANCHADA COM ÓLEO</t>
  </si>
  <si>
    <t>K6956/ 1 PEÇA FURADA NO BORDADO</t>
  </si>
  <si>
    <t>LENÇOL BRANCO P/ MACA - 400F 100% ALG - C0M LOGO BORDADO COR ALABASTRO 07077 - 1,70 X 2,50</t>
  </si>
  <si>
    <t>210112487</t>
  </si>
  <si>
    <t>JG LENÇOL CASAL 1,40X2,00X0,40 400F 100% ALGODÃO COM VIRA DE 0,50CM BARRÃO DE 10CM E ACABAMENTO FESTONÊ FINO DUPLO COR AREIA CAVA 7191 -O JOGO É COMPOSTO POR 1 LB + 1LC 2,20X2,60 + 2FR 4 ABAS 7CM 50X70</t>
  </si>
  <si>
    <t>2101061044</t>
  </si>
  <si>
    <t>JG LENÇOL SUPER KING 1,93X2,03X0,40 400F 100% ALGODÃO COM VIRA DE 0,50CM BARRÃO DE 10CM E ACABAMENTO FESTONÊ FINO DUPLO COR AREIA CAVA 7191 -O JOGO É COMPOSTO POR 1 LB + 1LC 2,90X2,60 + 2FR 4 ABAS 7CM 50X70</t>
  </si>
  <si>
    <t>2101061046</t>
  </si>
  <si>
    <t>JG LENÇOL CASAL 1,40X2,00X0,40 400F 100% ALGODÃO COM VIRA DE 0,50CM BARRÃO DE 10CM E ACABAMENTO FESTONÊ FINO DUPLO COR AREIA 7190 - O JOGO É COMPOSTO POR 1 LB + 1LC 2,20X2,60 + 2FR 4 ABAS 7CM 50X70</t>
  </si>
  <si>
    <t>2101061047</t>
  </si>
  <si>
    <t>JG LENÇOL SUPER KING 1,93X2,03X0,40 400F 100% ALGODÃO COM VIRA DE 0,50CM BARRÃO DE 10CM E ACABAMENTO FESTONÊ FINO DUPLO COR AREIA 7190 - O JOGO É COMPOSTO POR 1 LB + 1LC 2,90X60 + 2FR 4 ABAS 7CM 50X70</t>
  </si>
  <si>
    <t>2101061049</t>
  </si>
  <si>
    <t>JG LENÇOL CASAL 1,40X2,00X0,40 400F 100% ALGODÃO COM VIRA DE 0,50CM BARRÃO DE 10CM E ACABAMENTO FESTONÊ FINO DUPLO COR ERIN 7331 - O JOGO É COMPOSTO POR 1 LB + 1LC 2,20X2,60 + 2FR 4 ABAS 7CM 50X70</t>
  </si>
  <si>
    <t>2101061050</t>
  </si>
  <si>
    <t>JG LENÇOL SUPER KING 1,93X2,03X0,40 400F 100% ALGODÃO COM VIRA DE 0,50CM BARRÃO DE 10CM E ACABAMENTO FESTONÊ FINO DUPLO COR ERIN 7331 - O JOGO É COMPOSTO POR 1 LB + 1LC 2,90X2,60 + 2FR 4 ABAS 7CM 50X70</t>
  </si>
  <si>
    <t>2101061052</t>
  </si>
  <si>
    <t>LENÇOL BARRA ESTREITA 4 LADOS - 300F 100% ALGODÃO - 2,90 X 2,90</t>
  </si>
  <si>
    <t>2101061311</t>
  </si>
  <si>
    <t>DUVET (CAPA) BRANCO ACABAMENTO DUPLO  FESTONÊ CASTOR CÓD 07308 400F 100% ALG  FECHAMENTO ZÍPER MODELO EM U 2,85 X 2,50</t>
  </si>
  <si>
    <t>2101071271</t>
  </si>
  <si>
    <t>JG LENÇOL 400F 100% ALG ACABAMENTO MILLE BEGE 64 1,93 X 2,03 X 0,30 (LB C/   ELÁSTICO + LC 2,85 X 2,50 + S.FR 4 ABAS 6CM 50 X 90)</t>
  </si>
  <si>
    <t>2101071272</t>
  </si>
  <si>
    <t>DUVET (CAPA) BRANCO ACABAMENTO MILLE GOLD 64 400F 100% ALG  FECHAMENTO ZÍPER MODELO EM U 2,85 X 2,50</t>
  </si>
  <si>
    <t>2101071273</t>
  </si>
  <si>
    <t>JG LENÇOL 400F 100% ALG ACABAMENTO BELLAGIO BRANCO 1,93 X 2,03 X 0,30 ( LB C/   ELÁSTICO + LC 2,85 X 2,50 + S.FR 4 ABAS 6CM 50 X 90)</t>
  </si>
  <si>
    <t>2101071275</t>
  </si>
  <si>
    <t>DUVET (CAPA) BRANCO ACABAMENTO BELLAGIO  BRANCO 400F 100% ALG  FECHAMENTO ZÍPER MODELO EM U 2,85 X 2,50</t>
  </si>
  <si>
    <t>2101071276</t>
  </si>
  <si>
    <t>JG LENÇOL 400F 100% ALG ACABAMENTO DUPLO FESTONÊ NOZES CÓD 7039 1,38 X 1,88 X 0,30 ( LB C/ ELÁSTICO + LC 2,30 X 2,35 + FR 4 ABAS 6CM 50 X 70)</t>
  </si>
  <si>
    <t>2101071277</t>
  </si>
  <si>
    <t>DUVET (CAPA) BRANCO ACABAMENTO DUPLO FESTONÊ   NOZES CÓD 7039 400F 100% ALG   FECHAMENTO ZÍPER MODELO EM U  2,30 X 2,35</t>
  </si>
  <si>
    <t>2101071278</t>
  </si>
  <si>
    <t>JG LENÇOL 400F 100% ALG ACABAMENTO DUPLO FESTONÊ EUROPA CÓD 07295 1,38 X 1,88 X 0,30 ( LB C/ ELÁSTICO + LC 2,30 X 2,35 + FR 4 ABAS 6CM 50 X 70)</t>
  </si>
  <si>
    <t>2101071279</t>
  </si>
  <si>
    <t>DUVET (CAPA) BRANCO ACABAMENTO DUPLO FESTONÊ  EUROPA CÓD 07295 400F 100% ALG  FECHAMENTO ZÍPER MODELO EM U 2,30 X 2,35</t>
  </si>
  <si>
    <t>2101071280</t>
  </si>
  <si>
    <t>JG LENÇOL 400F 100% ALG ACABAMENTO DUPLO FESTONÊ BIJOU CÓD 07298 1,38 X 1,88 X 0,30 ( LB C/ ELÁSTICO + LC 2,30 X 2,35 + FR 4 ABAS 6CM 50 X 70)</t>
  </si>
  <si>
    <t>2101071281</t>
  </si>
  <si>
    <t>DUVET (CAPA) BRANCO ACABAMENTO DUPLO FESTONÊ  BIJOU CÓD 07298 400F 100% ALG  FECHAMENTO ZÍPER MODELO EM U 2,30 X 2,35</t>
  </si>
  <si>
    <t>2101071282</t>
  </si>
  <si>
    <t>JG LENÇOL 400F 100% ALG ACABAMENTO DUPLO FESTONÊ AMIANTO CÓD 07076 1,38 X 1,88 X 0,30 ( LB C/ ELÁSTICO + LC 2,30 X 2,35 + FR 4 ABAS 6CM 50 X 70)</t>
  </si>
  <si>
    <t>2101071283</t>
  </si>
  <si>
    <t>DUVET (CAPA) BRANCO ACABAMENTO DUPLO FESTONÊ  AMIANTO CÓD 07076 400F 100% ALG  FECHAMENTO ZÍPER MODELO EM U 2,30 X 2,35</t>
  </si>
  <si>
    <t>2101071284</t>
  </si>
  <si>
    <t>JG LENÇOL 400F 100% ALG ACABAMENTO DUPLO FESTONÊ FOG CÓD 07316 1,38 X 1,88 X 0,30 ( LB C/ ELÁSTICO + LC 2,30 X 2,35 + FR 4 ABAS 6CM 50 X 70)</t>
  </si>
  <si>
    <t>2101071285</t>
  </si>
  <si>
    <t>DUVET (CAPA) BRANCO ACABAMENTO DUPLO FESTONÊ  FOG CÓD 07316 400F 100% ALG  FECHAMENTO ZÍPER MODELO EM U 2,30 X 2,35</t>
  </si>
  <si>
    <t>2101071286</t>
  </si>
  <si>
    <t>JG LENÇOL 400F 100% ALG ACABAMENTO DUPLO FESTONÊ ELETRA CÓD 07253 1,38 X 1,88 X 0,30 ( LB C/ ELÁSTICO + LC 2,30 X 2,35 + FR 4 ABAS 6CM 50 X 70)</t>
  </si>
  <si>
    <t>2101071287</t>
  </si>
  <si>
    <t xml:space="preserve">  DUVET (CAPA) BRANCO ACABAMENTO DUPLO FESTONÊ  ELETRA CÓD 07253 400F 100% ALG  FECHAMENTO ZÍPER MODELO EM U 2,30 X 2,35</t>
  </si>
  <si>
    <t>2101071288</t>
  </si>
  <si>
    <t>LENÇOL CIMA - 300F 100% ALGODÃO - ACAB. CLASSIC - 2,80 X 2,45</t>
  </si>
  <si>
    <t>2102301312</t>
  </si>
  <si>
    <t>JG LENÇOL 400F 100% ALG ACABAMENTO DUPLO FESTONE CASTOR 07308 1,93 X 2,03 X 0,30 ( LB C/ ELÁSTICO + LC 2,85 X 2,50 + S.FR 4 ABAS 6CM 50 X 90)</t>
  </si>
  <si>
    <t>2102461270</t>
  </si>
  <si>
    <t>FRONHA 2 ABAS 5cm - 300F 100% ALG. - CLASSIC - 0,50 X 0,70</t>
  </si>
  <si>
    <t>2104060733</t>
  </si>
  <si>
    <t>FRONHA 2 ABAS 5CM 300F MISTO DUPLO AJOUR 0,50 X 0,70</t>
  </si>
  <si>
    <t>2105231249</t>
  </si>
  <si>
    <t>SUPER FRONHA 4 ABAS 400F 100% ALF DUPLO FESTONE COR AREIA CAVA 7191 0,50 X 0,90</t>
  </si>
  <si>
    <t>2110341071</t>
  </si>
  <si>
    <t>SUPER FRONHA 4 ABAS 400F 100% ALF DUPLO FESTONE COR AREIA 7190 0,50 X 0,90</t>
  </si>
  <si>
    <t>2110341072</t>
  </si>
  <si>
    <t>SUPER FRONHA 4 ABAS 400F 100% ALF DUPLO FESTONE COR ERIN 7331 0,50 X 0,90</t>
  </si>
  <si>
    <t>2110341073</t>
  </si>
  <si>
    <t>CAPA ALMOFADA 300F MISTO ACAB. VALENCIA 0,30 X 0,40 - COM LOGO</t>
  </si>
  <si>
    <t>DUVET LISO LINHO MISTO 01A FRENTE / VERSO TECIDO 400F 100% ALG 63 BEGE, FAZER O CORDONÊ AO REDOR NO TECIDO LINHO COM FECHAMENTO EM ZIPER NOS PÉS 2,50 X 2,70</t>
  </si>
  <si>
    <t>2115011054</t>
  </si>
  <si>
    <t>DUVET LISO LINHO MISTO 01A FRENTE / VERSO TECIDO 400F 100% ALG 63 BEGE, FAZER O CORDONÊ AO REDOR NO TECIDO LINHO COM FECHAMENTO EM ZIPER NOS PÉS 2,90 X 2,70</t>
  </si>
  <si>
    <t>2115011055</t>
  </si>
  <si>
    <t>DUVET LISO LINHO MISTO 87 BEGE FRENTE / VERSO TECIDO 400F 100% ALG AREIA GOLD 64, FAZER O CORDONÊ AO REDOR NO TECIDO LINHO COM FECHAMENTO EM ZIPER NOS PÉS 2,20 X 2,70</t>
  </si>
  <si>
    <t>2115011089</t>
  </si>
  <si>
    <t>DUVET LISO LINHO MISTO 87 BEGE FRENTE / VERSO TECIDO 400F 100% ALG AREIA GOLD 64, FAZER O CORDONÊ AO REDOR NO TECIDO LINHO COM FECHAMENTO EM ZIPER NOS PÉS 2,50 X 2,70</t>
  </si>
  <si>
    <t>2115011090</t>
  </si>
  <si>
    <t>DUVET LISO LINHO MISTO 87 BEGE FRENTE / VERSO TECIDO 400F 100% ALG AREIA GOLD 64, FAZER O CORDONÊ AO REDOR NO TECIDO LINHO COM FECHAMENTO EM ZIPER NOS PÉS 2,90 X 2,70</t>
  </si>
  <si>
    <t>2115011091</t>
  </si>
  <si>
    <t>CAPA PARA ASSENTO CADEIRA TECIDO ECOTEC COM ZIPER - ECOTEC ALVEJAD CILINDRON026 LIGHT - RDZ 210450 0,46 X 0,46 X 0,05</t>
  </si>
  <si>
    <t>2115031259</t>
  </si>
  <si>
    <t>2161221352</t>
  </si>
  <si>
    <t>JOGO LENÇOL BABY BERÇO - 300F 100% - BORDADO CACHORRINHO - LB 0,70 X 1,30 X 0,15 - LC 1,10 X 1,60 - FR 0,30 X 0,40</t>
  </si>
  <si>
    <t>3161091333</t>
  </si>
  <si>
    <t>JOGO LENÇOL MINI BERÇO - 300F - BORDADO CORAÇÃO - LB 0.60 x 0.70 x 0.05 - LC 1.10 X 1.10 - 0.30 X 0.40</t>
  </si>
  <si>
    <t>3161091334</t>
  </si>
  <si>
    <t>JOGO LENÇOL MINI BERÇO - 300F - BORDADO CACHORRINHO - LB 0.60 x 0.70 x 0.05 - LC 1.10 X 1.10 - 0.30 X 0.40</t>
  </si>
  <si>
    <t>3161091335</t>
  </si>
  <si>
    <t>TOALHA DE BANHO COM CAPUZ KIDS - FELPA VELUX BRANCA C/ BORDADO CORAÇÃO - 0,90 X 1,00</t>
  </si>
  <si>
    <t>3161091336</t>
  </si>
  <si>
    <t>TOALHA DE BANHO COM CAPUZ KIDS - FELPA VELUX BRANCA C/ BORDADO CACHORRINHO - 0,90 X 1,00</t>
  </si>
  <si>
    <t>3161091337</t>
  </si>
  <si>
    <t>JOGO LENÇOL MINI BERÇO - 300F - BORDADO BOLINHA - LB 0.60 x 0.70 x 0.05 - LC 1.10 X 1.10 - 0.30 X 0.40</t>
  </si>
  <si>
    <t>3161091338</t>
  </si>
  <si>
    <t>JOGO LENÇOL BABY BERÇO - 300F - BORDADO CORAÇÃO - LB 0.70 x 1.30 x 0.15 - LC 1.10 X 1.60 - 0.30 X 0.40</t>
  </si>
  <si>
    <t>FRONHA 4 ABAS - TECIDO BAMBOO BRANCO - 0,50 X 0,70</t>
  </si>
  <si>
    <t>3301071313</t>
  </si>
  <si>
    <t>TOALHA SOHO MÃO FELPA CARAMELO 0,30 X 0,30</t>
  </si>
  <si>
    <t>3302142009</t>
  </si>
  <si>
    <t>CAPA (DUVET) CLASSIC MOD. MÃOZINHA C/ ENVELOPE 400F 100% ALGODÃO 1,80 X 2,40</t>
  </si>
  <si>
    <t>90103012167</t>
  </si>
  <si>
    <t>92101061044</t>
  </si>
  <si>
    <t>JG LENÇOL QUEEN 1,60X2,00X0,40 400F 100% ALGODÃO COM VIRA DE 0,50CM BARRÃO DE 10CM E ACABAMENTO FESTONÊ FINO DUPLO COR AREIA CAVA 7191 -O JOGO É COMPOSTO POR 1 LB + 1LC 2,50X2,60 + 2FR 4 ABAS 7CM 50X70</t>
  </si>
  <si>
    <t>92101061045</t>
  </si>
  <si>
    <t>92101061046</t>
  </si>
  <si>
    <t>92101061047</t>
  </si>
  <si>
    <t>JG LENÇOL QUEEN 1,60X2,00X0,40 400F 100% ALGODÃO COM VIRA DE 0,50CM BARRÃO DE 10CM E ACABAMENTO FESTONÊ FINO DUPLO COR AREIA 7190 - O JOGO É COMPOSTO POR 1 LB + 1LC 2,50X2,60 + 2FR 4 ABAS 7CM 50X70</t>
  </si>
  <si>
    <t>92101061048</t>
  </si>
  <si>
    <t>92101061049</t>
  </si>
  <si>
    <t>92101061050</t>
  </si>
  <si>
    <t>JG LENÇOL QUEEN 1,60X2,00X0,40 400F 100% ALGODÃO COM VIRA DE 0,50CM BARRÃO DE 10CM E ACABAMENTO FESTONÊ FINO DUPLO COR ERIN 7331 - O JOGO É COMPOSTO POR 1 LB + 1LC 2,50X2,60 + 2FR 4 ABAS 7CM 50X70</t>
  </si>
  <si>
    <t>92101061051</t>
  </si>
  <si>
    <t>92101061052</t>
  </si>
  <si>
    <t>92110341323</t>
  </si>
  <si>
    <t>92110341324</t>
  </si>
  <si>
    <t>92110341325</t>
  </si>
  <si>
    <t>CAPA DE DUVET (EDRED) 400F 100% ALGODÃO ACAB. CLASSIC 2,50 X 2,45</t>
  </si>
  <si>
    <t>92115105214</t>
  </si>
  <si>
    <t>CAPA (DUVET) CLASSIC MOD. MÃOZINHA C/ ENVELOPE 400F 100% ALGODÃO 2,30 X 2,45</t>
  </si>
  <si>
    <t>92115105215</t>
  </si>
  <si>
    <t>5682</t>
  </si>
  <si>
    <t>SCHEIDT NATHALIA ARQUITETURA LTDA</t>
  </si>
  <si>
    <t>SCHEIDT NATHALIA ARQ</t>
  </si>
  <si>
    <t>53072786000119</t>
  </si>
  <si>
    <t>5683</t>
  </si>
  <si>
    <t xml:space="preserve">STEFAN NEUDING
</t>
  </si>
  <si>
    <t>00010368648800</t>
  </si>
  <si>
    <t>5684</t>
  </si>
  <si>
    <t>CAROLINA KZAN</t>
  </si>
  <si>
    <t>00079891616215</t>
  </si>
  <si>
    <t>5685</t>
  </si>
  <si>
    <t>SAMANTHA ROSSETO</t>
  </si>
  <si>
    <t>00006646835926</t>
  </si>
  <si>
    <t>5686</t>
  </si>
  <si>
    <t>JESSICA VITORIA SCHOER PORTES</t>
  </si>
  <si>
    <t>JESSICA VITORIA SCHO</t>
  </si>
  <si>
    <t>00002221040074</t>
  </si>
  <si>
    <t>5687</t>
  </si>
  <si>
    <t>GABRIELA TREVENZOLLI FORTES</t>
  </si>
  <si>
    <t>GABRIELA TREVENZOLLI</t>
  </si>
  <si>
    <t>00041837264848</t>
  </si>
  <si>
    <t>5688</t>
  </si>
  <si>
    <t>TEKA TRADING LTDA</t>
  </si>
  <si>
    <t>63964925000172</t>
  </si>
  <si>
    <t>5689</t>
  </si>
  <si>
    <t>MULTIMODAL TRANSPORTES</t>
  </si>
  <si>
    <t>MULTIMODAL TRANSPORT</t>
  </si>
  <si>
    <t>42946808000106</t>
  </si>
  <si>
    <t>5690</t>
  </si>
  <si>
    <t>GLORIA DOR OPERACOES HOSPITALARES LTDA</t>
  </si>
  <si>
    <t>GLORIA D´OR</t>
  </si>
  <si>
    <t>53781619000147</t>
  </si>
  <si>
    <t>5691</t>
  </si>
  <si>
    <t>TRANSMISAN TRANSPORTES LTDA</t>
  </si>
  <si>
    <t>TRANSMISAN</t>
  </si>
  <si>
    <t>05980381000136</t>
  </si>
  <si>
    <t>5692</t>
  </si>
  <si>
    <t>LUIZA STEWART</t>
  </si>
  <si>
    <t>00014797174790</t>
  </si>
  <si>
    <t>5693</t>
  </si>
  <si>
    <t>ANDRESA MARGUET</t>
  </si>
  <si>
    <t>00039887129810</t>
  </si>
  <si>
    <t>5694</t>
  </si>
  <si>
    <t>00007475785408</t>
  </si>
  <si>
    <t>5695</t>
  </si>
  <si>
    <t>Luisa Kurizky</t>
  </si>
  <si>
    <t>00010612463702</t>
  </si>
  <si>
    <t>5696</t>
  </si>
  <si>
    <t>Priscilla Britto</t>
  </si>
  <si>
    <t>00012205132709</t>
  </si>
  <si>
    <t>5697</t>
  </si>
  <si>
    <t>Maria Da Conceicao Borges Andrade</t>
  </si>
  <si>
    <t>Maria Da Conceicao B</t>
  </si>
  <si>
    <t>00033583943520</t>
  </si>
  <si>
    <t>5698</t>
  </si>
  <si>
    <t>ALAN WANDERLEY MARTINS</t>
  </si>
  <si>
    <t>ALAN WANDERLEY MARTI</t>
  </si>
  <si>
    <t>42975346000155</t>
  </si>
  <si>
    <t>5699</t>
  </si>
  <si>
    <t>GRMULTICOM COMUNIC. CORP. LTDA</t>
  </si>
  <si>
    <t>GRMULTICOM COMUNIC.</t>
  </si>
  <si>
    <t>81217671000100</t>
  </si>
  <si>
    <t>5700</t>
  </si>
  <si>
    <t>Maria Da Cruz De Carvalho</t>
  </si>
  <si>
    <t>Maria Da Cruz De Car</t>
  </si>
  <si>
    <t>00015516179866</t>
  </si>
  <si>
    <t>5701</t>
  </si>
  <si>
    <t>ARMARINHOS RUBINHO S.A</t>
  </si>
  <si>
    <t>ARMARINHOS RUBINHO S</t>
  </si>
  <si>
    <t>57416521000141</t>
  </si>
  <si>
    <t>5702</t>
  </si>
  <si>
    <t>Karin Natanie Micozzi de Almeida</t>
  </si>
  <si>
    <t>Karin Natanie Micozz</t>
  </si>
  <si>
    <t>00041688690832</t>
  </si>
  <si>
    <t>5703</t>
  </si>
  <si>
    <t>Maria De Lourdes M.bueno</t>
  </si>
  <si>
    <t>Maria De Lourdes M.b</t>
  </si>
  <si>
    <t>00006805589851</t>
  </si>
  <si>
    <t>5704</t>
  </si>
  <si>
    <t>ELIETE AMORIM</t>
  </si>
  <si>
    <t>STUDIO ELIETE AMORIM</t>
  </si>
  <si>
    <t>00021255987871</t>
  </si>
  <si>
    <t>5705</t>
  </si>
  <si>
    <t>SELBETTI TECNOLOGIA S.A.</t>
  </si>
  <si>
    <t>SELBETTI TECNOLOGIA</t>
  </si>
  <si>
    <t>83483230002804</t>
  </si>
  <si>
    <t>5706</t>
  </si>
  <si>
    <t>LEONARDO COVO RODRIGUES COMERCIO LTDA</t>
  </si>
  <si>
    <t>LEONARDO COVO RODRIG</t>
  </si>
  <si>
    <t>57445562000166</t>
  </si>
  <si>
    <t>5707</t>
  </si>
  <si>
    <t>CASA DOS MOVEIS AFBF LTDA</t>
  </si>
  <si>
    <t>CASA DOS MOVEIS</t>
  </si>
  <si>
    <t>22907528000181</t>
  </si>
  <si>
    <t>5708</t>
  </si>
  <si>
    <t>J.C. COMERCIAL ARTIGOS PARA TAPECARIA E DECORACAO</t>
  </si>
  <si>
    <t>J.C. COMERCIAL</t>
  </si>
  <si>
    <t>14193612000152</t>
  </si>
  <si>
    <t>5709</t>
  </si>
  <si>
    <t>TECH PAPER ARTIGOS DE PAPELARIA LTDA</t>
  </si>
  <si>
    <t>TECH PAPER ARTIGOS D</t>
  </si>
  <si>
    <t>51307961000184</t>
  </si>
  <si>
    <t>5710</t>
  </si>
  <si>
    <t>RIMMAR NEGOCIOS DIGITAIS LTDA</t>
  </si>
  <si>
    <t>RIMMAR NEGOCIOS DIGI</t>
  </si>
  <si>
    <t>63557561000106</t>
  </si>
  <si>
    <t>5711</t>
  </si>
  <si>
    <t>65.243.932 RODRIGO ALBUQUERQUE</t>
  </si>
  <si>
    <t>65.243.932 RODRIGO A</t>
  </si>
  <si>
    <t>65243932000100</t>
  </si>
  <si>
    <t>5712</t>
  </si>
  <si>
    <t>MARLENE BUSARELLO &amp; CIA LTDA</t>
  </si>
  <si>
    <t>UNIVERSO TEXTIL</t>
  </si>
  <si>
    <t>11600971000199</t>
  </si>
  <si>
    <t>5713</t>
  </si>
  <si>
    <t>ANA CLAUDIA MALLEY SOUZA RAMOS</t>
  </si>
  <si>
    <t>ANA CLAUDIA MALLEY S</t>
  </si>
  <si>
    <t>00027760905874</t>
  </si>
  <si>
    <t>5714</t>
  </si>
  <si>
    <t>SHEILA RODRIGUES DE FARIA</t>
  </si>
  <si>
    <t>SHEILA RODRIGUES DE</t>
  </si>
  <si>
    <t>00031063392845</t>
  </si>
  <si>
    <t>3302301294P</t>
  </si>
  <si>
    <t>3302301291P</t>
  </si>
  <si>
    <t>3302301292P</t>
  </si>
  <si>
    <t>3302301296P</t>
  </si>
  <si>
    <t>3302301289P</t>
  </si>
  <si>
    <t>TOALHA DE ROSTO JADE 100% ALG 580G COR BRANCO 0,48 X 0,80 COM LOGO " I " COR BRANCO</t>
  </si>
  <si>
    <t>TOALHA DE ROSTO JADE 100% ALG 580G COR BRANCO 0,48 X 0,80 COM LOGO " M " COR BRANCO</t>
  </si>
  <si>
    <t>TOALHA DE ROSTO JADE 100% ALG 580G COR BRANCO 0,48 X 0,80 COM LOGO " S " COR BRANCO</t>
  </si>
  <si>
    <t>TOALHA DE ROSTO JADE 100% ALG 580G COR BRANCO 0,48 X 0,80 COM LOGO " E " COR BRANCO</t>
  </si>
  <si>
    <t>TOALHA DE BANHO JADE 100% ALG 580G COR BRANCO 1,00 X 1,80 COM LOGO " M " COM BRANCO</t>
  </si>
  <si>
    <t>3302301293P</t>
  </si>
  <si>
    <t>TOALHA DE BANHO JADE 100% ALG 580G COR BRANCO 1,00 X 1,80 COM LOGO " I " COM BRANCO</t>
  </si>
  <si>
    <t>K6967i</t>
  </si>
  <si>
    <t>K6967m1</t>
  </si>
  <si>
    <t>K6967i1</t>
  </si>
  <si>
    <t>K6967s1</t>
  </si>
  <si>
    <t>K6967e1</t>
  </si>
  <si>
    <t>3302301290P</t>
  </si>
  <si>
    <t>TOALHA DE BANHO JADE 100% ALG 580G COR BRANCO 1,00 X 1,80 COM LOGO " S " COM BRANCO</t>
  </si>
  <si>
    <t>3302301295P</t>
  </si>
  <si>
    <t>K6967e</t>
  </si>
  <si>
    <t>TOALHA DE BANHO JADE 100% ALG 580G COR BRANCO 1,00 X 1,80 COM LOGO " E " COM BRANCO</t>
  </si>
  <si>
    <t>$ 4,50  referente um lençol a mais do ped.    23045</t>
  </si>
  <si>
    <t>foram os fundos envelopes para ir adiantando até as frentes ficarem prontas do bordado</t>
  </si>
  <si>
    <t>84/85</t>
  </si>
  <si>
    <t xml:space="preserve">   </t>
  </si>
  <si>
    <t>3302389329P</t>
  </si>
  <si>
    <t>3302129328P</t>
  </si>
  <si>
    <t>TOALHA ROSTO 600G 0,50 X 0,77 BARCELOS COM LOGO " A " - CÓD 350.70</t>
  </si>
  <si>
    <t>TOALHA ROSTO 600G 0,50 X 0,77 BARCELOS COM LOGO " P " - CÓD 350.71</t>
  </si>
  <si>
    <t>TOALHA BANHÃO 600G 0,77 X 1,60 BARCELOS COM LOGO " A " - CÓD 350.69</t>
  </si>
  <si>
    <t>TOALHA BANHÃO 600G 0,77 X 1,60 BARCELOS COM LOGO " P " - CÓD 350.70</t>
  </si>
  <si>
    <t>K6971P</t>
  </si>
  <si>
    <t>K6971A</t>
  </si>
  <si>
    <t>PONCHO FELPA VELUX BRANCO C/ BOLSO EM FELPA BCA + LOGO NO BOLSO - 4 ANOS</t>
  </si>
  <si>
    <t>K6972</t>
  </si>
  <si>
    <t xml:space="preserve">5 PEÇAS COM DEFEITO NA COSTURA, PONTO PULADO.. CONSERTOS FEITO NO ATELIE </t>
  </si>
  <si>
    <t>GUARDANAPO CANDY ACABAMENTO OVERLOQUE 80% ALGODÃO/ 20% LINHO COR CRU 0,30 X 0,30</t>
  </si>
  <si>
    <t>GUADANAPO MAGIC ACABAMENTO AJOUR BARRA 2,5 CM 80% ALGODÃO/ 20% LINHO COR BORDO 0,30 X 0,30</t>
  </si>
  <si>
    <t>GUADANAPO MAGIC ACABAMENTO AJOUR BARRA 2,5 CM 80% ALGODÃO/ 20% LINHO COR VERDE 0,30 X 0,30</t>
  </si>
  <si>
    <t>GUARDANAPO CANDLE ACABAMENTO OVERLOQUE 80% ALGODÃO/ 20% LINHO COR CRU 0,30 X 0,30</t>
  </si>
  <si>
    <t>GUARDANAPO BELL ACABAMENTO OVERLOQUE 80% ALGODÃO/ 20% LINHO COR CRU 0,30 X 0,30</t>
  </si>
  <si>
    <t>K6978 - ESTRELAS</t>
  </si>
  <si>
    <t>K6975 - BENGALA</t>
  </si>
  <si>
    <t>K6977 - VELAS</t>
  </si>
  <si>
    <t>K6976 - BOLINHA</t>
  </si>
  <si>
    <t>CLINICA DRA.PATRICIA</t>
  </si>
  <si>
    <t>5715</t>
  </si>
  <si>
    <t>HCC HOTELS GESTAO HOTELARIA</t>
  </si>
  <si>
    <t>39287376000911</t>
  </si>
  <si>
    <t>5716</t>
  </si>
  <si>
    <t>VANESSA NORONHA KAISER DUARTE</t>
  </si>
  <si>
    <t>VANESSA NORONHA KAIS</t>
  </si>
  <si>
    <t>00016971572890</t>
  </si>
  <si>
    <t>5717</t>
  </si>
  <si>
    <t>EXPESSO JA LTDA</t>
  </si>
  <si>
    <t>26607430000160</t>
  </si>
  <si>
    <t>5718</t>
  </si>
  <si>
    <t>LÚCIA ROCHA FERREIRA</t>
  </si>
  <si>
    <t>00066550114691</t>
  </si>
  <si>
    <t>5719</t>
  </si>
  <si>
    <t>TAFFAREL &amp; PEDRINI LTDA</t>
  </si>
  <si>
    <t>TAFFAREL &amp; PEDRINI L</t>
  </si>
  <si>
    <t>05094869000166</t>
  </si>
  <si>
    <t>5720</t>
  </si>
  <si>
    <t>CLAUDIA LYN NISHIMURA</t>
  </si>
  <si>
    <t>CLAUDIA LYN NISHIMUR</t>
  </si>
  <si>
    <t>00004336111898</t>
  </si>
  <si>
    <t>5721</t>
  </si>
  <si>
    <t>AZUL INCORPORACOES E PARTICIPACOES LTDA</t>
  </si>
  <si>
    <t>AZUL INCORPORACOES</t>
  </si>
  <si>
    <t>23692318000186</t>
  </si>
  <si>
    <t>5722</t>
  </si>
  <si>
    <t>Marisi Premazzi</t>
  </si>
  <si>
    <t>00026515416806</t>
  </si>
  <si>
    <t>5723</t>
  </si>
  <si>
    <t>YOSHIDA COMERCIO E DISTRIBUICAO SOCIEDADE UNIPESSO</t>
  </si>
  <si>
    <t>YC</t>
  </si>
  <si>
    <t>44927202000159</t>
  </si>
  <si>
    <t>5724</t>
  </si>
  <si>
    <t>PIKOLIN BRASIL INDUSTRIA DE COLCHOES LTDA</t>
  </si>
  <si>
    <t>PIKOLIN BRASIL INDUS</t>
  </si>
  <si>
    <t>33663920000149</t>
  </si>
  <si>
    <t>5725</t>
  </si>
  <si>
    <t>VIEIRA DE MORAES MENDONCA NEGOCIOS IMOBILIARIOS LT</t>
  </si>
  <si>
    <t>VIEIRA DE MORAES MEN</t>
  </si>
  <si>
    <t>28715525000122</t>
  </si>
  <si>
    <t>5726</t>
  </si>
  <si>
    <t>PORTAL DOS BOLOS VILA SONIA LTDA</t>
  </si>
  <si>
    <t>PORTAL DOS BOLOS VIL</t>
  </si>
  <si>
    <t>54030007000185</t>
  </si>
  <si>
    <t>5727</t>
  </si>
  <si>
    <t>M&amp;K SOLUCOES EMPRESARIAIS LTDA</t>
  </si>
  <si>
    <t>M&amp;K SOLUCOES EMPRESA</t>
  </si>
  <si>
    <t>28781526000175</t>
  </si>
  <si>
    <t>FRONHA ZISSOU TECIDO GALLES TF LISTRADO AZUL TAFETÁ 100% ALG - MODELO ENVELOPE - 0,53 X 0,73</t>
  </si>
  <si>
    <t>2101061341</t>
  </si>
  <si>
    <t>LENÇOL BAIXO BARRA ESTREITA 4 LADOS 300F 100%ALG 1,80 X 2,80</t>
  </si>
  <si>
    <t>LENÇOL BARRA ESTREITA 4 LADOS - 230F MISTO - 2,80 X 2,90</t>
  </si>
  <si>
    <t>2101065978</t>
  </si>
  <si>
    <t>LENÇOL BAIXO BARRA ESTREITA 4 LADOS 300F 100% ALG 2,70 X 2,80</t>
  </si>
  <si>
    <t>2101066940</t>
  </si>
  <si>
    <t>LENÇOL BAIXO - 400F C/ ELÁSTICO - 1,38 X 1,88 X 0,22</t>
  </si>
  <si>
    <t>2101101361</t>
  </si>
  <si>
    <t>LENÇOL BARRA ESTREITA 4 LADOS 230F MISTO 2,90 X 2,90</t>
  </si>
  <si>
    <t>2101477188</t>
  </si>
  <si>
    <t>LENÇOL CIMA 300F 100% ALGODÃO CLASSIC 1,60 X 2,25</t>
  </si>
  <si>
    <t>2102021348</t>
  </si>
  <si>
    <t>LENÇOL DECIMA 300F 100% ALG ACAB. CLASSIC 1,80 X2,40</t>
  </si>
  <si>
    <t>LENÇOL DE CIMA 300F 100% ALG ACAB. CLASSIC 2,70 X2,40</t>
  </si>
  <si>
    <t>2102068749</t>
  </si>
  <si>
    <t>LENÇOL CIMA 230F MISTO CLASSIC 2,90 X 2,45</t>
  </si>
  <si>
    <t>2102119970</t>
  </si>
  <si>
    <t>LENÇOL CIMA - CLASSIC - 230F MISTO - 2,80 X 2,45</t>
  </si>
  <si>
    <t>2102165979</t>
  </si>
  <si>
    <t>LENÇOL CIMA - 400F 100% ALGODÃO - FESTONÊ BRANCO - 2,15 X 2,25</t>
  </si>
  <si>
    <t>2102221362</t>
  </si>
  <si>
    <t>LENÇOL BAIXO BARRA ESTREITA 4LADOS 300F 100% ALGODÃO 1,60 X 2,60</t>
  </si>
  <si>
    <t>2102861349</t>
  </si>
  <si>
    <t>FRONHA 3 ABAS 5CM - 300F 100% ALGODÃO ACAB.CLASSIC 0,50 X 0,70</t>
  </si>
  <si>
    <t>FRONHA 3 ABAS - BAMBU BRANCO - ACABAMENTO CORDONÊ BEGE VOLTA TODA - 0,50 X 0,70</t>
  </si>
  <si>
    <t>2105871380</t>
  </si>
  <si>
    <t>FRONHA 3 ABAS 5cm BAMBOO BRANCA CRDONÊ BRANCO</t>
  </si>
  <si>
    <t>2105871396</t>
  </si>
  <si>
    <t>SUPER FRONHA 3 ABAS 5CM 300F 100% ALG CLASSIC 0,50 X 0,90</t>
  </si>
  <si>
    <t>2109065191</t>
  </si>
  <si>
    <t>CAPA DUVET ZISSOU TECIDO GALLES TF LISTRADO AZUL TAFETÁ 100% ALG - FECHAMENTO COM ZÍPER E BOTÃO FAKE - QUEEN - 2,60 X 2,45</t>
  </si>
  <si>
    <t>2115021339</t>
  </si>
  <si>
    <t>CAPA DUVET ZISSOU - FRENTE: TECIDO GALLES LISTRADO AZUL TAFETÁ 100% ALG - VERSO: 300F 100% ALG BRANCO FECHAMENTO COM ZÍPER E BOTÃO FAKE - QUEEN - 2,60 X 2,45</t>
  </si>
  <si>
    <t>2115021340</t>
  </si>
  <si>
    <t>DUVET (CAPA)230F MISTO CLASSIC 2,90 X 2,65</t>
  </si>
  <si>
    <t>2115030452</t>
  </si>
  <si>
    <t>DUVET (CAPA) MODELO ENVELOPE 300F 100% ALG ACAB CLASSIC 2,70 X 2,40</t>
  </si>
  <si>
    <t>DUVET ( CAPA ) - 230F MISTO - CLASSIC - 2,80 X 2,45</t>
  </si>
  <si>
    <t>2115041361</t>
  </si>
  <si>
    <t>DUVET (CAPA)300F 100% ALGODÃO ACAB CLASSIC 1,80 X 2,40</t>
  </si>
  <si>
    <t>2115067026</t>
  </si>
  <si>
    <t>DUVET (CAPA) 300F 100% ALGODAO CLASSIC MOD. ENVELOPE 1,60 X 2,25</t>
  </si>
  <si>
    <t>2115851351</t>
  </si>
  <si>
    <t>2201021366</t>
  </si>
  <si>
    <t>2201021367</t>
  </si>
  <si>
    <t>GUARDANAPO MAGIC ACABAMENTO AJOUR BARRA 2,5cm - 80% ALGODÃO /20% LINHO - COR VERDE - 0,30 X 0,30</t>
  </si>
  <si>
    <t>2201021368</t>
  </si>
  <si>
    <t>FRALDÃO - CORDONÊ BRANCO - C/ MONOGRAMA</t>
  </si>
  <si>
    <t>3161091314</t>
  </si>
  <si>
    <t>TOALHA DE BANHO BRANCA C/ CAPUZ BABY - CORDONÊ BRANCO C/ MONOGRAMA - 0,90 X 1,00</t>
  </si>
  <si>
    <t>3161091315</t>
  </si>
  <si>
    <t>JOGO LENÇOL BABY - 400F - CORDONÊ BRANCO C/ MONOGRAMA</t>
  </si>
  <si>
    <t>3161091320</t>
  </si>
  <si>
    <t>JOGO LENÇOL BABY - 400F - CORDONÊ VERDE C/ MONOGRAMA</t>
  </si>
  <si>
    <t>3161091321</t>
  </si>
  <si>
    <t>ROUPÃO KIMONO FELPA VELUX BRANCA C/ VIVO AZUL MARINHO E LOGO BORDADO AZUL MARINHO 7127 - TAM .M</t>
  </si>
  <si>
    <t>3301071384</t>
  </si>
  <si>
    <t>ROUPÃO PITTI GOLA XALE TAM P</t>
  </si>
  <si>
    <t>TOALHA ROSTO FELPA VELUX BRANCO COM LOGO - 0,48 X 0,70</t>
  </si>
  <si>
    <t>3302047896</t>
  </si>
  <si>
    <t>24130C</t>
  </si>
  <si>
    <t>TOALHA DE BANHO BRANCA C/ CAPUZ BABY - CORDONÊ BRANCO C/ MONOGRAMA " H. F" - 0,90 X 1,00</t>
  </si>
  <si>
    <t>FRONHA SEM ABA C/ ACABAMENTO CORDONÊ BRANCO ENT. 2 LADOS  BARRA 2CM COM LOGO " H. F "</t>
  </si>
  <si>
    <t>K6982A</t>
  </si>
  <si>
    <t>K6982</t>
  </si>
  <si>
    <t>K6112E</t>
  </si>
  <si>
    <t>FRONHA SEM ABA C/ ACABAMENTO CORDONÊ VERDE ENT. 2 LADOS  BARRA 2CM COM LOGO " L "</t>
  </si>
  <si>
    <t>LENÇOL CIMA - 400F - ACAB. CORDONÊ VERDE COM LOGO " L "</t>
  </si>
  <si>
    <t>FRONHA SEM ABA C/ ACABAMENTO CORDONÊ BRANCO ENT. 2 LADOS  BARRA 2CM</t>
  </si>
  <si>
    <t>LENÇOL CIMA - 400F - ACAB. CORDONÊ BRANCO</t>
  </si>
  <si>
    <t>CONSERTOS FEITO NO ATELIE</t>
  </si>
  <si>
    <t>K5495/ 1 PEÇA O BORDADO A LINHA DE BAIXO ESTA C/ OUTRA COR</t>
  </si>
  <si>
    <t>K6795 / MONOGRAMA</t>
  </si>
  <si>
    <t>K6962A</t>
  </si>
  <si>
    <t>K6962</t>
  </si>
  <si>
    <t>LENÇOL DE CIMA - 300F 100% ALG - BORDADO BOLINHA - 1.10 X 1.10</t>
  </si>
  <si>
    <t>FRONHA SEM ABA - 300F 100% ALG - BORDADO BOLINHA - 0.30 X 0.40</t>
  </si>
  <si>
    <t>K5379P - K5289</t>
  </si>
  <si>
    <t>K5235M1 - K5235M2</t>
  </si>
  <si>
    <t>K5235P - K5235</t>
  </si>
  <si>
    <t>LENÇOL DE CIMA - 300F 100% ALG - BORDADO CORAÇÃO - 1.10 X 1.10</t>
  </si>
  <si>
    <t>LENÇOL DE CIMA - 300F 100% ALG - BORDADO CORAÇÃO - 1.10 X 1.60</t>
  </si>
  <si>
    <t>FRONHA SEM ABA - 300F 100% ALG - BORDADO CORAÇÃO - 0.30 X 0.40</t>
  </si>
  <si>
    <t>K5289M1 - K5289M2</t>
  </si>
  <si>
    <t xml:space="preserve">BLUSA DE PJAMA </t>
  </si>
  <si>
    <t>S/ COD</t>
  </si>
  <si>
    <t xml:space="preserve">BLUSA DE PIJAMA COR CASTOR </t>
  </si>
  <si>
    <t>BLUSA DE PIJAMA</t>
  </si>
  <si>
    <t>SUPER FRONHA 2 ABAS 400F FESTONÊ BRANCO 0,50X0,+[@[Qtd pçs Retornadas ]]90+[@[Data Prometida  Entrega]]</t>
  </si>
  <si>
    <t xml:space="preserve">BLUSA DE PIJAMA COR  FLORAL </t>
  </si>
  <si>
    <t>LOGO NO BOLSO LETRA R</t>
  </si>
  <si>
    <t>,</t>
  </si>
  <si>
    <t>Dia de Atrasado</t>
  </si>
  <si>
    <t xml:space="preserve"> -   </t>
  </si>
  <si>
    <t>Produção Finalizada</t>
  </si>
  <si>
    <t>Em dia</t>
  </si>
  <si>
    <t>ROUPÃO FELPA VELUX BRANCO G COM LOGO -MODELO KIMONO</t>
  </si>
  <si>
    <t>K6961</t>
  </si>
  <si>
    <t>K6024</t>
  </si>
  <si>
    <t>GUARDANAPO CANDLE ACABAMENTO FESTONÊ BORDO 7078  80% ALGODÃO/ 20% LINHO COR CRU 0,30 X 0,30</t>
  </si>
  <si>
    <t>GUARDANAPO BELL ACABAMENTO FESTONÊ BORDO 7078  80% ALGODÃO/ 20% LINHO COR CRU 0,30 X 0,31</t>
  </si>
  <si>
    <t>GUARDANAPO CANDY ACABAMENTO FESTONÊ BORDO 7078  80% ALGODÃO/ 20% LINHO COR CRU 0,30 X 0,32</t>
  </si>
  <si>
    <t>3301073318P</t>
  </si>
  <si>
    <t>ROUPÃO PIQUET QUADRAT MISTO C/ LOGO BORDADO TAM. G</t>
  </si>
  <si>
    <t>K6986</t>
  </si>
  <si>
    <t>K6981</t>
  </si>
  <si>
    <t>BOLSO PARA PIJAMA XADREZ AZUL E VERDE C/ DT CORDONÊ SUEDINE BRANCO TAM P COM LOGO "J" - 7140 - CÉU</t>
  </si>
  <si>
    <t xml:space="preserve">LETRA 4 CM </t>
  </si>
  <si>
    <t>BOLSO PARA PIJAMA XADREZ AZUL E VERDE C/ DT CORDONÊ SUEDINE BRANCO TAM G COM LOGO "R" - 7140 - CÉU</t>
  </si>
  <si>
    <t>BOLSO PARA PIJAMA XADREZ AZUL E VERDE C/ DT CORDONÊ SUEDINE BRANCO TAM 4 ANOS COM LOGO "E" - 7140 - CÉU</t>
  </si>
  <si>
    <t xml:space="preserve">LETRA 3,5 CM </t>
  </si>
  <si>
    <t>BLUSA PIJAMA ESTAMPA URSO TAM M</t>
  </si>
  <si>
    <t>K6939</t>
  </si>
  <si>
    <t>ROUPÃO FELPA VELUX BRANCO M COM LOGO -MODELO KIMONO</t>
  </si>
  <si>
    <t>TOALHA BANHO CARAMELO C/ LOGO 0,98 X 1,50</t>
  </si>
  <si>
    <t>TOALHA SOHO ROSTO CARAMELO 45 X 1,00 COM LOGO</t>
  </si>
  <si>
    <t xml:space="preserve">LETRA 2,5 CM </t>
  </si>
  <si>
    <t>BOLSA PARA PIJAMA SUEDINE BRANCO C/ DT CORDONÊ SUEDINE AZUL TAM M  COM LOGO "L" - COR 7016 - LOTUS</t>
  </si>
  <si>
    <t>LETRA 4 CM</t>
  </si>
  <si>
    <t>BOLSA PARA PIJAMA SUEDINE BRANCO C/ DT CORDONÊ SUEDINE AZUL TAM M  COM LOGO "T" - COR 7016 - LOTUS</t>
  </si>
  <si>
    <t>BOLSA PARA PIJAMA SUEDINE BRANCO C/ DT CORDONÊ SUEDINE AZUL TAM 5 ANOS  COM LOGO "B" - COR 7016 - LOTUS</t>
  </si>
  <si>
    <t>BOLSO PARA MACACÃO RN SUEDINE BRANCO C/ DT CORDONÊ SUEDINE AZUL COM LOGO "D" - COR 7016 - LOTUS</t>
  </si>
  <si>
    <t>LETRA 2 CM</t>
  </si>
  <si>
    <t>1 Pçs Pendente</t>
  </si>
  <si>
    <t>CAPA ( DUVET ) - 230F MISTO C/ FESTONÊ "T" LINHA PRATA - PONTAS ARREDONDADAS - 2,05 X 2,55</t>
  </si>
  <si>
    <t>101/102</t>
  </si>
  <si>
    <t>DASA BELA VISTA</t>
  </si>
  <si>
    <t>2 PÇS C/ DEFEITO NA COSTURA, CONSERTOS FEITO NO ATELIE</t>
  </si>
  <si>
    <t>K5495/ 8 PÇS C/ BORDADO ERRADO, FOI FEITO A REPOSIÇÃO DAS PÇS</t>
  </si>
  <si>
    <t>3302051431P</t>
  </si>
  <si>
    <t>TOALHA DE MÃO OSHIBORI - 400G - 0,30 X 0,20 - COM LOGO COR 7080 CRAFT</t>
  </si>
  <si>
    <t>K6995</t>
  </si>
  <si>
    <t>3302051430P</t>
  </si>
  <si>
    <t>TOALHA DE MÃO OSHIBORI - 400G - 0,30 X 0,20 - COM LOGO COR 7201 INOCÊNCIA</t>
  </si>
  <si>
    <t>LENÇOL CIMA - 400F - ACAB. CORDONÊ VERDE COM LOGO " J "</t>
  </si>
  <si>
    <t>K6989J</t>
  </si>
  <si>
    <t>FRONHA SEM ABA C/ ACABAMENTO CORDONÊ VERDE ENT. 2 LADOS  BARRA 2CM COM LOGO " J "</t>
  </si>
  <si>
    <t>LENÇOL CIMA - 400F - ACAB. CORDONÊ BRANCO COM LOGO " J "</t>
  </si>
  <si>
    <t>1 frente duvet c/ rasgo prox ao bordado.</t>
  </si>
  <si>
    <t>K961</t>
  </si>
  <si>
    <t>MANTA PET 250G COR PRATA C/ LOGO 0,85 X 1,05</t>
  </si>
  <si>
    <t>LOUISE ESTANIECKI RA</t>
  </si>
  <si>
    <t>LOUISE ESTANIECKI RAMOS</t>
  </si>
  <si>
    <t xml:space="preserve"> - </t>
  </si>
  <si>
    <t>FAIXA LENÇOL DE CIMA - 300F 100% ALG - BORDADO BOLINHA - 1.10 X 1.10</t>
  </si>
  <si>
    <t>MARGARIDAS BOUTIQUE</t>
  </si>
  <si>
    <t>JARDIM DAS MARGARIDAS EMPREENDIMENTOS HOTELEIROS L</t>
  </si>
  <si>
    <t>LENÇOL BARRA ESTREITA 4 LADOS 230F MISTO 2,95 X 3,05</t>
  </si>
  <si>
    <t>LENÇOL BAIXO BARRA ESTREITA 4 LADOS 230F MISTO 2,60 X 3,00</t>
  </si>
  <si>
    <t>LENÇOL BAIXO BARRA ESTREITA 4 LADOS 230F MISTO 2,00 X 3,05</t>
  </si>
  <si>
    <t>LENÇOL DE CIMA BORDO DUPLO  ACAB/  AJOUR + BORDADO LOCALIZADO NA VIRA STAR 7150 - CASSITERITA</t>
  </si>
  <si>
    <t>FRONHA SEM ABA C/ ACAB/ AJOUR  + BORDADO LOCALIZADO NAS ABAS   ENT. 2 LADOS  BARRA 2CM STAR 7150 - CASSITERITA</t>
  </si>
  <si>
    <t>BOLSO P/ PIJAMA P XADREZ AZUL E VERDE BORDADO " J "</t>
  </si>
  <si>
    <t>BOLSO P/ PIJAMA G XADREZ AZUL E VERDE BORDADO " R "</t>
  </si>
  <si>
    <t>K6989R</t>
  </si>
  <si>
    <t>BOLSO P/ PIJAMA 5 ANOS XADREZ AZUL E VERDE BORDADO " E "</t>
  </si>
  <si>
    <t>K6989E1</t>
  </si>
  <si>
    <t>CAPA ALMOFADA 4 ABAS - 300F 100% ALG. ACAB. VITORIANO C/ LOGO E FECHAMENTO ENVELOPE - 0,35 X 0,45</t>
  </si>
  <si>
    <t>LENÇOL CIMA CLASSIC 230F MISTO CLASSIC 2,95 X 2,55</t>
  </si>
  <si>
    <t>LENÇOL CIMA 230FIOS MISTO CLASSIC 2,60 X 2,50</t>
  </si>
  <si>
    <t>LENÇOL CIMA 230F MISTO CLASSIC 2,00 X 2,55</t>
  </si>
  <si>
    <t>GISLAINE RAFIK</t>
  </si>
  <si>
    <t>TOALHA BANHO C/ CAPUZ BABY - CORDONE ROSÊ C/ LOGO 70 X 90 "OHANA"</t>
  </si>
  <si>
    <t>k6996</t>
  </si>
  <si>
    <t>TOALHA BANHO C/ CAPUZ BABY - CORDONE AZUL C/ LOGO 70 X 90  "KAI"</t>
  </si>
  <si>
    <t>k6996b</t>
  </si>
  <si>
    <t>K6996a</t>
  </si>
  <si>
    <t>NANNAI 14</t>
  </si>
  <si>
    <t>NANNAI14</t>
  </si>
  <si>
    <t>JG 2 PÇS GUARDANAPO BELL ACABAMENTO FESTONÊ BORDO 7078 80%ALGODÃO / 20% LINHO COR CRU - 0,30 X 0,30</t>
  </si>
  <si>
    <t>JG 2 PÇS GUARDANAPO CANDLES ACABAMENTO FESTONÊ BORDO 7078 80%ALGODÃO / 20% LINHO COR CRU - 0,30 X 0,30</t>
  </si>
  <si>
    <t>JG 2 PÇS GUARDANAPO CANDY ACABAMENTO FESTONÊ BORDO 7078 80%ALGODÃO / 20% LINHO COR CRU - 0,30 X 0,30</t>
  </si>
  <si>
    <t>GUARDANAPO MAGIC C/ AJOUR BARRA 2,5cm - 80% ALGODÃO /20% LINHO - COR BORDO - 0,30 X 0,30</t>
  </si>
  <si>
    <t>DEFEITO A VISTA, PREGA NO BOLSO, CONSERTADOS NO ATELIE</t>
  </si>
  <si>
    <t>105/106</t>
  </si>
  <si>
    <t>TOALHA DE BANHO BABY  COM CAPUZ FELPA BRANCA E CORDONÊ ROSE C/ LOGO - 0,70 X 0,90</t>
  </si>
  <si>
    <t>VOAR AVIATION</t>
  </si>
  <si>
    <t>CAPA ALMOFADA 4 ABAS 400F 100%ALGODÃO 0,30 X 0,40 ACABAMENTO FESTONÊ COR BRANCA C/ LOGO + VOAR COR BRANCA</t>
  </si>
  <si>
    <t>k6363</t>
  </si>
  <si>
    <t>LOJA SHOW ROOM MP</t>
  </si>
  <si>
    <t>CAPA ALMOFADA 4 ABAS 5cm - CLASSIC - 300F 100% ALGODÃO - 0,30 X 0,40 - BORDADO LETRAS</t>
  </si>
  <si>
    <t xml:space="preserve"> abcdefghijlmnopqrstuvxwyz</t>
  </si>
  <si>
    <t>MGDM MAJU COMERCIO D</t>
  </si>
  <si>
    <t>MGDM MAJU COMERCIO DE ROUPAS INFANTIS LTDA</t>
  </si>
  <si>
    <t>PONCHO FELPA VELUX BRANCO C/ BOLSO EM FELPA BRANCA - 2 ANOS - C/ LOGO</t>
  </si>
  <si>
    <t>K6989ma</t>
  </si>
  <si>
    <t>PONCHO FELPA VELUX BRANCO C/ BOLSO EM FELPA BRANCA - 4 ANOS - C/ LOGO</t>
  </si>
  <si>
    <t>JOGO LENÇOL BABY - 400F - DUPLO AJOUR - 0,70 X 1,30 X 0,15 - LC 1,10 X 1,60 - FR 0,30 X 0,40</t>
  </si>
  <si>
    <t>k6989mc</t>
  </si>
  <si>
    <t>ROUPÃO PIQUET DREAM MISTO C/ VIVO NA GOLA -LOGO BORDADO SHAMASH TAM.GG</t>
  </si>
  <si>
    <t>K5696</t>
  </si>
  <si>
    <t>ROUPÃO PIQUET DREAM MISTO C/ VIVO NA GOLA -LOGO BORDADO SHAMASH TAM.G</t>
  </si>
  <si>
    <t>ADRIANA FIORE</t>
  </si>
  <si>
    <t>PONCHO FELPA VELUX BRANCO C/ BOLSO EM FELPA BRANCA - 6 ANOS - C/ LOGO</t>
  </si>
  <si>
    <t>K6972 BORDADO COM A SEQUÊNCIA DE CORES ERRADA</t>
  </si>
  <si>
    <t>TOALHA DE BANHO BABY  COM CAPUZ FELPA BRANCA E BORDADO ROSA</t>
  </si>
  <si>
    <t>K7012</t>
  </si>
  <si>
    <t>TOALHA PARA SALÃO COR PRETA 100% ALGODÃO 0,45 X 0,90 C/ LOGO MANICURE</t>
  </si>
  <si>
    <t xml:space="preserve"> K6755</t>
  </si>
  <si>
    <t>SHOWROOM</t>
  </si>
  <si>
    <t>S/ CODIGO</t>
  </si>
  <si>
    <t>TOALHA DE BANHO -FELPA BRA NCA - 080 X 2,10 COM LOGO FIO A FIO</t>
  </si>
  <si>
    <t>K2164B</t>
  </si>
  <si>
    <t>AVENTAL OFF WITE</t>
  </si>
  <si>
    <t>K2164A</t>
  </si>
  <si>
    <t>LENÇOL BARRA ESTREITA 4 LADOS STRIPE ESTREITO 300 FIOS MISTO LISTRA HORIZONTAL 2,16 X 2,90</t>
  </si>
  <si>
    <t xml:space="preserve">ROUPÃO FELPA VELUX BRANCO G COM LOGO -MODELO KIMONO </t>
  </si>
  <si>
    <t>K6999</t>
  </si>
  <si>
    <t xml:space="preserve">ROUPÃO FELPA VELUX BRANCO M COM LOGO -MODELO KIMONO </t>
  </si>
  <si>
    <t>ROUPÃO VELUX BRANCO M - MODELO KIMONO</t>
  </si>
  <si>
    <t>ROUPÃO INFANTIL FELPA VELUX BRANCO MODELO  KIMONO COM CAPUZ E LOGO 12 ANOS</t>
  </si>
  <si>
    <t>HOTEL UNNA-HOMEWOOD</t>
  </si>
  <si>
    <t>CAPA DUVET (EDRED) CLASSIC MODELO ENVELOPE 180F MISTO PREMIUM 2,50 X 2,45</t>
  </si>
  <si>
    <t>LENÇOL BARRA ESTREITA 4 LADOS 180F MISTO PREMIUM 2,50 X 2,90</t>
  </si>
  <si>
    <t>ESTOQUE REDE DOR</t>
  </si>
  <si>
    <t>TOALHA DE MÃO VELUX 0,30 X 0,20 COM LOGO</t>
  </si>
  <si>
    <t xml:space="preserve"> R$ -   </t>
  </si>
  <si>
    <t>K6972 - REPOSIÇÃO</t>
  </si>
  <si>
    <t>LENÇOL BARRA ESTREITA 4 LADOS 180F MISTO PREMIUM 2,00 X 2,90</t>
  </si>
  <si>
    <t>266 Pçs Pendente</t>
  </si>
  <si>
    <t>HOTEL PLAZA BELMAR B</t>
  </si>
  <si>
    <t>HCC HOTELS GESTAO HOTELEIRA S/A</t>
  </si>
  <si>
    <t>K7010</t>
  </si>
  <si>
    <t>NANNAI MILAGRES</t>
  </si>
  <si>
    <t>POUSADA JRMP LTDA</t>
  </si>
  <si>
    <t>K7027</t>
  </si>
  <si>
    <t>K6363</t>
  </si>
  <si>
    <t>DEVILLE SALVADOR</t>
  </si>
  <si>
    <t>LIX GALEAO</t>
  </si>
  <si>
    <t>MAGNA CARLA BASTOS DE MIRANDA PERRU</t>
  </si>
  <si>
    <t>MAGNA CARLA BASTOS D</t>
  </si>
  <si>
    <t>5728</t>
  </si>
  <si>
    <t xml:space="preserve">MARINA NOGUEIRA DA SILVA 
</t>
  </si>
  <si>
    <t>MARINA NOGUEIRA DA S</t>
  </si>
  <si>
    <t>00040099074877</t>
  </si>
  <si>
    <t>5729</t>
  </si>
  <si>
    <t>SWEET SHOT CONFEITARIA GOURMET LTDA</t>
  </si>
  <si>
    <t>SWEET SHOT CONFEITAR</t>
  </si>
  <si>
    <t>60410661000117</t>
  </si>
  <si>
    <t>5730</t>
  </si>
  <si>
    <t>CLEA BRENA CALLEGARI NOVELLI</t>
  </si>
  <si>
    <t>CLEA BRENA CALLEGARI</t>
  </si>
  <si>
    <t>00027811245833</t>
  </si>
  <si>
    <t>5731</t>
  </si>
  <si>
    <t>BRENDON ROSENDO DOS SANTOS</t>
  </si>
  <si>
    <t>BRENDON ROSENDO DOS</t>
  </si>
  <si>
    <t>00005863353155</t>
  </si>
  <si>
    <t>5732</t>
  </si>
  <si>
    <t>BÁRBARA ALICE GOMES DA SILVA</t>
  </si>
  <si>
    <t>BÁRBARA ALICE GOMES</t>
  </si>
  <si>
    <t>00007732183789</t>
  </si>
  <si>
    <t>5733</t>
  </si>
  <si>
    <t>BRUNA OLIVEIRA</t>
  </si>
  <si>
    <t>00043882953888</t>
  </si>
  <si>
    <t>5734</t>
  </si>
  <si>
    <t>GPBR PARTICIPACOES LTDA</t>
  </si>
  <si>
    <t>GPBR PARTICIPACOES L</t>
  </si>
  <si>
    <t>15664649000184</t>
  </si>
  <si>
    <t>5735</t>
  </si>
  <si>
    <t>OPERADORA HOTELEIRA RITZ LTDA</t>
  </si>
  <si>
    <t>RITZ LTDA</t>
  </si>
  <si>
    <t>09317675000214</t>
  </si>
  <si>
    <t>5736</t>
  </si>
  <si>
    <t>PATRÍCIA BORGES</t>
  </si>
  <si>
    <t>00012009748670</t>
  </si>
  <si>
    <t>5737</t>
  </si>
  <si>
    <t>00035353898877</t>
  </si>
  <si>
    <t>5738</t>
  </si>
  <si>
    <t>BRENDA GAZOLA BUSANELLI</t>
  </si>
  <si>
    <t>BRENDA GAZOLA BUSANE</t>
  </si>
  <si>
    <t>00048478256830</t>
  </si>
  <si>
    <t>5739</t>
  </si>
  <si>
    <t>BÁRBARA EVANS CLARK ALMEIDA THEODORO</t>
  </si>
  <si>
    <t>BÁRBARA EVANS CLARK</t>
  </si>
  <si>
    <t>00014520888700</t>
  </si>
  <si>
    <t>5740</t>
  </si>
  <si>
    <t>BRANCA MOREIRA FERES</t>
  </si>
  <si>
    <t>00010986624748</t>
  </si>
  <si>
    <t>5741</t>
  </si>
  <si>
    <t>BEATRIZ MOREIRA FERES</t>
  </si>
  <si>
    <t>BEATRIZ MOREIRA FERE</t>
  </si>
  <si>
    <t>00010986622702</t>
  </si>
  <si>
    <t>5742</t>
  </si>
  <si>
    <t>WSB COMERCIO DE MOVEIS LTDA</t>
  </si>
  <si>
    <t>WSB COMERCIO DE MOVE</t>
  </si>
  <si>
    <t>45401743000101</t>
  </si>
  <si>
    <t>5743</t>
  </si>
  <si>
    <t>43283811013804</t>
  </si>
  <si>
    <t>5744</t>
  </si>
  <si>
    <t>54.755.569 LUCCA MAGALHAES SENNA DE OLIVEIRA</t>
  </si>
  <si>
    <t>54.755.569 LUCCA MAG</t>
  </si>
  <si>
    <t>54755569000196</t>
  </si>
  <si>
    <t>5745</t>
  </si>
  <si>
    <t>Daniel G Silva</t>
  </si>
  <si>
    <t>00009848677674</t>
  </si>
  <si>
    <t>5746</t>
  </si>
  <si>
    <t>Cinthya Brandao Da Silva Almeida</t>
  </si>
  <si>
    <t>Cinthya Brandao Da S</t>
  </si>
  <si>
    <t>00068894244504</t>
  </si>
  <si>
    <t>5747</t>
  </si>
  <si>
    <t>CLAUDIA WOLF LING</t>
  </si>
  <si>
    <t>00063373777020</t>
  </si>
  <si>
    <t>5748</t>
  </si>
  <si>
    <t>GRAZIELLA DORIGON</t>
  </si>
  <si>
    <t>00007341913916</t>
  </si>
  <si>
    <t>5749</t>
  </si>
  <si>
    <t>Ana Maria Moliterno Pena</t>
  </si>
  <si>
    <t>Ana Maria Moliterno</t>
  </si>
  <si>
    <t>00009122762825</t>
  </si>
  <si>
    <t>5750</t>
  </si>
  <si>
    <t>ANNA ELIZA MISACH</t>
  </si>
  <si>
    <t>00095822798772</t>
  </si>
  <si>
    <t>5751</t>
  </si>
  <si>
    <t>Gabriela Dourado</t>
  </si>
  <si>
    <t>00000536800146</t>
  </si>
  <si>
    <t>5752</t>
  </si>
  <si>
    <t>Rafaela Souza</t>
  </si>
  <si>
    <t>00005766194773</t>
  </si>
  <si>
    <t>5753</t>
  </si>
  <si>
    <t>Queila Vicente</t>
  </si>
  <si>
    <t>00002861200979</t>
  </si>
  <si>
    <t>5754</t>
  </si>
  <si>
    <t>IM TEC</t>
  </si>
  <si>
    <t>00002182856633</t>
  </si>
  <si>
    <t>5755</t>
  </si>
  <si>
    <t>CAROLINA SILVA BERNARDES</t>
  </si>
  <si>
    <t>CAROLINA SILVA BERNA</t>
  </si>
  <si>
    <t>00009501696685</t>
  </si>
  <si>
    <t>5756</t>
  </si>
  <si>
    <t>17947252000125</t>
  </si>
  <si>
    <t>5757</t>
  </si>
  <si>
    <t>SELBETTI TECNOLOGIA S/A.</t>
  </si>
  <si>
    <t>83483230000186</t>
  </si>
  <si>
    <t>5758</t>
  </si>
  <si>
    <t>00001696418054</t>
  </si>
  <si>
    <t>5759</t>
  </si>
  <si>
    <t>REGINA HELENA ABBATE CORREA</t>
  </si>
  <si>
    <t>REGINA HELENA ABBATE</t>
  </si>
  <si>
    <t>00004309198830</t>
  </si>
  <si>
    <t>5760</t>
  </si>
  <si>
    <t>JORDANA NEPOMOCENO</t>
  </si>
  <si>
    <t>00009587332954</t>
  </si>
  <si>
    <t>5761</t>
  </si>
  <si>
    <t>C-JAU COMERCIO DE FERRAMENTAS E PARAFUSOS LTDA</t>
  </si>
  <si>
    <t>C-JAU COMERCIO DE FE</t>
  </si>
  <si>
    <t>48120752000201</t>
  </si>
  <si>
    <t>5762</t>
  </si>
  <si>
    <t>32502735000100</t>
  </si>
  <si>
    <t>5763</t>
  </si>
  <si>
    <t>ALINE SCARPETTA</t>
  </si>
  <si>
    <t>00007680693943</t>
  </si>
  <si>
    <t>5764</t>
  </si>
  <si>
    <t>GURGELMIX MAQUINAS E FERRAMENTAS S.A.</t>
  </si>
  <si>
    <t>GURGELMIX MAQUINAS E</t>
  </si>
  <si>
    <t>29302348000387</t>
  </si>
  <si>
    <t>5765</t>
  </si>
  <si>
    <t>MOARA STAEBLEIN</t>
  </si>
  <si>
    <t>00074525140763</t>
  </si>
  <si>
    <t>5766</t>
  </si>
  <si>
    <t>AL BUZIOS HOTEL LTDA</t>
  </si>
  <si>
    <t>66467050000191</t>
  </si>
  <si>
    <t>5767</t>
  </si>
  <si>
    <t>PETIT LABO SERVICOS EMP. LTDA</t>
  </si>
  <si>
    <t>PETIT LABO SERVICOS</t>
  </si>
  <si>
    <t>38077346000160</t>
  </si>
  <si>
    <t>5768</t>
  </si>
  <si>
    <t>BAUER &amp; SANZOVO LTDA.</t>
  </si>
  <si>
    <t>TRANSAMERICA FIT</t>
  </si>
  <si>
    <t>20913382000151</t>
  </si>
  <si>
    <t>5769</t>
  </si>
  <si>
    <t>MULTCORTE COMERCIO DE SERRAS LTDA</t>
  </si>
  <si>
    <t>MULTCORTE COMERCIO D</t>
  </si>
  <si>
    <t>25408383000162</t>
  </si>
  <si>
    <t>5770</t>
  </si>
  <si>
    <t>MKG ACESSORIOS PARA AUTOS LTDA</t>
  </si>
  <si>
    <t>CARROSOMSHOP</t>
  </si>
  <si>
    <t>04778021000193</t>
  </si>
  <si>
    <t>5771</t>
  </si>
  <si>
    <t>MERCADO LIVRE BRASIL LTDA</t>
  </si>
  <si>
    <t>MERCADO LIVRE BRASIL</t>
  </si>
  <si>
    <t>03007331001032</t>
  </si>
  <si>
    <t>5772</t>
  </si>
  <si>
    <t>MALULI AVIAMENTOS</t>
  </si>
  <si>
    <t>51669307000382</t>
  </si>
  <si>
    <t>5773</t>
  </si>
  <si>
    <t>JMFM COMERCIO INDUMENTARIO LTDA</t>
  </si>
  <si>
    <t>JMFM COMERCIO INDUME</t>
  </si>
  <si>
    <t>49762670000134</t>
  </si>
  <si>
    <t>5774</t>
  </si>
  <si>
    <t>VERA DUVIVIER</t>
  </si>
  <si>
    <t>00010996133704</t>
  </si>
  <si>
    <t>5775</t>
  </si>
  <si>
    <t>CAMILA MOREIRA</t>
  </si>
  <si>
    <t>00004387578904</t>
  </si>
  <si>
    <t>5776</t>
  </si>
  <si>
    <t>MARA LUIZA ZENNI SALOMÃO</t>
  </si>
  <si>
    <t>MARA LUIZA ZENNI SAL</t>
  </si>
  <si>
    <t>00052478025949</t>
  </si>
  <si>
    <t>5777</t>
  </si>
  <si>
    <t>Tatiana carvalho</t>
  </si>
  <si>
    <t>00021576934837</t>
  </si>
  <si>
    <t>5778</t>
  </si>
  <si>
    <t>Samira Martins</t>
  </si>
  <si>
    <t>00006245126738</t>
  </si>
  <si>
    <t>5779</t>
  </si>
  <si>
    <t>TARUMA AGROPECUARIA COMERCIAL LTDA</t>
  </si>
  <si>
    <t>TARUMA AGROPECUARIA</t>
  </si>
  <si>
    <t>57283327000135</t>
  </si>
  <si>
    <t>5780</t>
  </si>
  <si>
    <t>DANI STORE LTDA</t>
  </si>
  <si>
    <t>53792702000111</t>
  </si>
  <si>
    <t>5781</t>
  </si>
  <si>
    <t>BFOX BRASIL COMERCIO DE PRESENTES UTILIDADES E ART</t>
  </si>
  <si>
    <t>BFOX COMERCIO DE VAR</t>
  </si>
  <si>
    <t>49658274000161</t>
  </si>
  <si>
    <t>5782</t>
  </si>
  <si>
    <t>R. S. SERRALHERIA LTDA</t>
  </si>
  <si>
    <t>R. S. SERRALHERIA LT</t>
  </si>
  <si>
    <t>62435570000161</t>
  </si>
  <si>
    <t>5783</t>
  </si>
  <si>
    <t xml:space="preserve">LETICIA ANTOLINEZ FELDMANN
</t>
  </si>
  <si>
    <t>LETICIA ANTOLINEZ</t>
  </si>
  <si>
    <t>00042254190881</t>
  </si>
  <si>
    <t>5784</t>
  </si>
  <si>
    <t>PRISCILA MACENA</t>
  </si>
  <si>
    <t>00000610485180</t>
  </si>
  <si>
    <t>5785</t>
  </si>
  <si>
    <t>VIVIAN T KOTELEVZEV</t>
  </si>
  <si>
    <t>00037046901805</t>
  </si>
  <si>
    <t>5786</t>
  </si>
  <si>
    <t>AURELICE PEREIRA DIAS FIGUEIREDO</t>
  </si>
  <si>
    <t>AURELICE PEREIRA DIA</t>
  </si>
  <si>
    <t>00012652668838</t>
  </si>
  <si>
    <t>5787</t>
  </si>
  <si>
    <t>VIVIAN MENEZES</t>
  </si>
  <si>
    <t>00010242299717</t>
  </si>
  <si>
    <t>5788</t>
  </si>
  <si>
    <t>MICHELLE RIBEIRO SOUZA NILO</t>
  </si>
  <si>
    <t>MICHELLE RIBEIRO SOU</t>
  </si>
  <si>
    <t>00030206941838</t>
  </si>
  <si>
    <t>5789</t>
  </si>
  <si>
    <t>MAURO DIOMELLI</t>
  </si>
  <si>
    <t>00006680976804</t>
  </si>
  <si>
    <t>5790</t>
  </si>
  <si>
    <t>Igor vogas Cortat</t>
  </si>
  <si>
    <t>00010786517794</t>
  </si>
  <si>
    <t>5791</t>
  </si>
  <si>
    <t>GIVANILDA FURTADO LEITE</t>
  </si>
  <si>
    <t>GIVANILDA FURTADO LE</t>
  </si>
  <si>
    <t>00038904103835</t>
  </si>
  <si>
    <t>5792</t>
  </si>
  <si>
    <t>FRANCIANE BONVIN LOPES</t>
  </si>
  <si>
    <t>FRANCIANE BONVIN LOP</t>
  </si>
  <si>
    <t>00002971779904</t>
  </si>
  <si>
    <t>5793</t>
  </si>
  <si>
    <t>DANIELLE VIANNA</t>
  </si>
  <si>
    <t>00005736764610</t>
  </si>
  <si>
    <t>5794</t>
  </si>
  <si>
    <t>ROBERTA MIRANDA SILVA</t>
  </si>
  <si>
    <t>ROBERTA MIRANDA SILV</t>
  </si>
  <si>
    <t>00000815786107</t>
  </si>
  <si>
    <t>5795</t>
  </si>
  <si>
    <t>SILVA STONE LTDA</t>
  </si>
  <si>
    <t>TOMBERLIN</t>
  </si>
  <si>
    <t>28039684000154</t>
  </si>
  <si>
    <t>5796</t>
  </si>
  <si>
    <t>00016628122808</t>
  </si>
  <si>
    <t>5797</t>
  </si>
  <si>
    <t>Ana Caroline Alves Ferreira</t>
  </si>
  <si>
    <t>Ana Caroline Alves F</t>
  </si>
  <si>
    <t>00044746641838</t>
  </si>
  <si>
    <t>5798</t>
  </si>
  <si>
    <t>39287376000830</t>
  </si>
  <si>
    <t>5799</t>
  </si>
  <si>
    <t>BT FARIA LIMA HOTEIS LTDA</t>
  </si>
  <si>
    <t>BT FARIA LIMA HOTEIS</t>
  </si>
  <si>
    <t>22359283000103</t>
  </si>
  <si>
    <t>5800</t>
  </si>
  <si>
    <t>THAIS TIRIBA</t>
  </si>
  <si>
    <t>00036695743878</t>
  </si>
  <si>
    <t>5801</t>
  </si>
  <si>
    <t>IT MIDIA &amp; COMUNICACOES LTDA</t>
  </si>
  <si>
    <t>IT MIDIA &amp; COMUNICAC</t>
  </si>
  <si>
    <t>15251492000165</t>
  </si>
  <si>
    <t>5802</t>
  </si>
  <si>
    <t>JESSIKA MARTINS BONA</t>
  </si>
  <si>
    <t>00005404219955</t>
  </si>
  <si>
    <t>5803</t>
  </si>
  <si>
    <t>JUSSARA FRANÇA</t>
  </si>
  <si>
    <t>00007534738369</t>
  </si>
  <si>
    <t>5804</t>
  </si>
  <si>
    <t>MARIA CELESTE CIRQUEIRA CÓRDOVA</t>
  </si>
  <si>
    <t>MARIA CELESTE CIRQUE</t>
  </si>
  <si>
    <t>00049113801600</t>
  </si>
  <si>
    <t>5805</t>
  </si>
  <si>
    <t>TOKUNAGA IMPORTS LTDA</t>
  </si>
  <si>
    <t>TOKUNAGA IMPORTS LTD</t>
  </si>
  <si>
    <t>22015657000165</t>
  </si>
  <si>
    <t>5806</t>
  </si>
  <si>
    <t>D&amp;D EMBALAGENS LTDA</t>
  </si>
  <si>
    <t>D&amp;D EMBALAGENS</t>
  </si>
  <si>
    <t>48500758000115</t>
  </si>
  <si>
    <t>5807</t>
  </si>
  <si>
    <t>ANA CELIA PEREIRA</t>
  </si>
  <si>
    <t>00029938711880</t>
  </si>
  <si>
    <t>5808</t>
  </si>
  <si>
    <t>MAURICIO ANTONIO DE SOUZA 29347988871</t>
  </si>
  <si>
    <t>FECHPORT</t>
  </si>
  <si>
    <t>33355273000108</t>
  </si>
  <si>
    <t>5809</t>
  </si>
  <si>
    <t>E. R. C. CONSTRUCOES LTDA</t>
  </si>
  <si>
    <t>E. R. C. CONSTRUCOES</t>
  </si>
  <si>
    <t>45619675000151</t>
  </si>
  <si>
    <t>5810</t>
  </si>
  <si>
    <t>REBECA LISBOA</t>
  </si>
  <si>
    <t>00007607686410</t>
  </si>
  <si>
    <t>5811</t>
  </si>
  <si>
    <t>TATIANY REGINA ROCHA</t>
  </si>
  <si>
    <t>00033245152892</t>
  </si>
  <si>
    <t>5812</t>
  </si>
  <si>
    <t>CARLA LUISA GOUVEIA</t>
  </si>
  <si>
    <t>00027136037816</t>
  </si>
  <si>
    <t>5813</t>
  </si>
  <si>
    <t>ÉRICK MATOS GAMA</t>
  </si>
  <si>
    <t>00045554725864</t>
  </si>
  <si>
    <t>5814</t>
  </si>
  <si>
    <t>LARISSA PONTES CARVALHO GOMES</t>
  </si>
  <si>
    <t>LARISSA PONTES CARVA</t>
  </si>
  <si>
    <t>00011263063470</t>
  </si>
  <si>
    <t>5815</t>
  </si>
  <si>
    <t>YASMIN LIMA</t>
  </si>
  <si>
    <t>00010661951618</t>
  </si>
  <si>
    <t>5816</t>
  </si>
  <si>
    <t>EVELYN ARABI</t>
  </si>
  <si>
    <t>00027899741874</t>
  </si>
  <si>
    <t>5817</t>
  </si>
  <si>
    <t>JULIANA ELITO MALUF</t>
  </si>
  <si>
    <t>00041882379888</t>
  </si>
  <si>
    <t>5818</t>
  </si>
  <si>
    <t>MAYARA SLIVA</t>
  </si>
  <si>
    <t>00007696090909</t>
  </si>
  <si>
    <t>5819</t>
  </si>
  <si>
    <t>PÂMELLA ALVES</t>
  </si>
  <si>
    <t>00038850209800</t>
  </si>
  <si>
    <t>5820</t>
  </si>
  <si>
    <t>ANA CLAUDIA DALVI HIGA</t>
  </si>
  <si>
    <t>ANA CLAUDIA DALVI HI</t>
  </si>
  <si>
    <t>00039910268809</t>
  </si>
  <si>
    <t>5821</t>
  </si>
  <si>
    <t>SELENIS PRESENTES LTDA</t>
  </si>
  <si>
    <t>SELENIS PRESENTES</t>
  </si>
  <si>
    <t>65418914000112</t>
  </si>
  <si>
    <t>5822</t>
  </si>
  <si>
    <t>ANA PAULA PECINI</t>
  </si>
  <si>
    <t>00036945898806</t>
  </si>
  <si>
    <t>5823</t>
  </si>
  <si>
    <t>VANESSA AVELAR CAPPELLE FONSECA</t>
  </si>
  <si>
    <t>VANESSA AVELAR CAPPE</t>
  </si>
  <si>
    <t>00007030166604</t>
  </si>
  <si>
    <t>5824</t>
  </si>
  <si>
    <t>EJS HOTEIS E TURISMO S.A.</t>
  </si>
  <si>
    <t>RESORT MAKAI</t>
  </si>
  <si>
    <t>07417970000136</t>
  </si>
  <si>
    <t>5825</t>
  </si>
  <si>
    <t>38225995000161</t>
  </si>
  <si>
    <t>5826</t>
  </si>
  <si>
    <t>TZ PERSONALIZADOS LTDA</t>
  </si>
  <si>
    <t>TZ PERSONALIZADOS</t>
  </si>
  <si>
    <t>50640065000170</t>
  </si>
  <si>
    <t>5827</t>
  </si>
  <si>
    <t>PULSO FARIA LIMA</t>
  </si>
  <si>
    <t>01943121001020</t>
  </si>
  <si>
    <t>5828</t>
  </si>
  <si>
    <t>MARIANA MELLO BONILHA</t>
  </si>
  <si>
    <t>MARIANA MELLO BONILH</t>
  </si>
  <si>
    <t>00001575248093</t>
  </si>
  <si>
    <t>5829</t>
  </si>
  <si>
    <t xml:space="preserve">ANA LIVIA CARDOSO PATTI MAIA 
</t>
  </si>
  <si>
    <t>ANA LIVIA</t>
  </si>
  <si>
    <t>00011524053651</t>
  </si>
  <si>
    <t>5830</t>
  </si>
  <si>
    <t>J. C. NOGUEIRA REIS</t>
  </si>
  <si>
    <t>26789346000104</t>
  </si>
  <si>
    <t>5831</t>
  </si>
  <si>
    <t>M R CAMBURI INFORMATICA LTDA</t>
  </si>
  <si>
    <t>CAMBURI</t>
  </si>
  <si>
    <t>22769687000167</t>
  </si>
  <si>
    <t>5832</t>
  </si>
  <si>
    <t>PAPELARIA I-COMMERCE LTDA</t>
  </si>
  <si>
    <t>AQUARELA PAPELARIA E</t>
  </si>
  <si>
    <t>59945165000189</t>
  </si>
  <si>
    <t>5833</t>
  </si>
  <si>
    <t>PAPELARIA RISKPEL LTDA</t>
  </si>
  <si>
    <t>RISKPEL</t>
  </si>
  <si>
    <t>85376754000101</t>
  </si>
  <si>
    <t>5834</t>
  </si>
  <si>
    <t>W PLAC COMERCIO E SERVICOS LTDA</t>
  </si>
  <si>
    <t>W PLAC COMERCIO E SE</t>
  </si>
  <si>
    <t>03362269000106</t>
  </si>
  <si>
    <t>5835</t>
  </si>
  <si>
    <t>FIOS BRASIL LTDA</t>
  </si>
  <si>
    <t>39458343000130</t>
  </si>
  <si>
    <t>5836</t>
  </si>
  <si>
    <t>MAMELUKO COMERCIO DE CALCADOS LTDA</t>
  </si>
  <si>
    <t>MAMELUKO CALCADOS</t>
  </si>
  <si>
    <t>10723034000168</t>
  </si>
  <si>
    <t>5837</t>
  </si>
  <si>
    <t>J B F ATACADO LTDA</t>
  </si>
  <si>
    <t>J B F ATACADO</t>
  </si>
  <si>
    <t>59663055000124</t>
  </si>
  <si>
    <t>5838</t>
  </si>
  <si>
    <t>LAIS GAZOLA</t>
  </si>
  <si>
    <t>00007799211946</t>
  </si>
  <si>
    <t>5839</t>
  </si>
  <si>
    <t>ROBERTA SILVA</t>
  </si>
  <si>
    <t>00009198314602</t>
  </si>
  <si>
    <t>5840</t>
  </si>
  <si>
    <t>PARK HOTEL E ADMINISTRACAO LTDA</t>
  </si>
  <si>
    <t>PARK HOTEL E ADMINIS</t>
  </si>
  <si>
    <t>41364065000101</t>
  </si>
  <si>
    <t>5841</t>
  </si>
  <si>
    <t>LUPI FERRAGENS LTDA</t>
  </si>
  <si>
    <t>LUPI FECHADURAS</t>
  </si>
  <si>
    <t>52749827000104</t>
  </si>
  <si>
    <t>5842</t>
  </si>
  <si>
    <t>CENTRAL IMPORTADORA TEXTIL LTDA</t>
  </si>
  <si>
    <t>CENTRAL IMPORTADORA</t>
  </si>
  <si>
    <t>00460986000182</t>
  </si>
  <si>
    <t>5843</t>
  </si>
  <si>
    <t>00460986000506</t>
  </si>
  <si>
    <t>5844</t>
  </si>
  <si>
    <t>ISABELLE LAHOUD</t>
  </si>
  <si>
    <t>00033811150812</t>
  </si>
  <si>
    <t>5845</t>
  </si>
  <si>
    <t>EVELYN MAGALHÃES DEL BUSSO</t>
  </si>
  <si>
    <t>EVELYN MAGALHÃES DEL</t>
  </si>
  <si>
    <t>00039326027813</t>
  </si>
  <si>
    <t>JOGO BAMBO CINZA - CORDONÊ CINZA - KING</t>
  </si>
  <si>
    <t>330171406</t>
  </si>
  <si>
    <t>TECIDO FELPA SOHO CARAM INDANT90% ALG 10% POL 1,44/MATÉRIA PRIMA</t>
  </si>
  <si>
    <t>1114309657</t>
  </si>
  <si>
    <t>2101011527</t>
  </si>
  <si>
    <t>LENÇOL BARRA ESTREITA 250F MISTO 2,90 X 3,10</t>
  </si>
  <si>
    <t>2101031585</t>
  </si>
  <si>
    <t>LENÇOL BAIXO C/ ELÁSTICO - BERÇO 183F MISTO 0,70 X 1,30 X 0,10</t>
  </si>
  <si>
    <t>2101043138</t>
  </si>
  <si>
    <t xml:space="preserve"> LENÇOL BARRA ESTREITA 4 LADOS 230F MISTO 2,60 X 2,80/PRODUTOS ACABADOS</t>
  </si>
  <si>
    <t>2101046858</t>
  </si>
  <si>
    <t>JOGO DE LENÇOL QUEEN 230F MISTO - ACABAMENTO
FESTONÊ 7316 FOG (LB C/ELASTICO 1,60 X 2,00 X 0,27 -LC 2,50 X 2,45- 2 FR 2 ABAS 50 X 70)</t>
  </si>
  <si>
    <t>2101061409</t>
  </si>
  <si>
    <t>CAPA DUVET - 400F SOLTEIRO - BORDADO DUPLO BRANCO - 1,60 X 2,20</t>
  </si>
  <si>
    <t>2101061455</t>
  </si>
  <si>
    <t>LENÇOL P/ MACA 180F MISTO PREMIUM CLASSIC 1,30 X 2,30</t>
  </si>
  <si>
    <t>2101064183</t>
  </si>
  <si>
    <t>JOGO DE LENÇOL - KING - 400F 100% ALG - ACABAMENTO BELLAGIO - ( LB C/ ELÁSTICO 1,93 X 2,03 X 0,40 - LC 2,90 X 2,60 - FR 3 ABAS 5cm 0,50 X 0,70 )</t>
  </si>
  <si>
    <t>2101069009</t>
  </si>
  <si>
    <t>JOGO DE LENÇOL - QUEEN - 400F 100% ALG - ACABAMENTO TREZZO - ( LB C/ ELÁSTICO 1,60 X 2,00 X 0,40 - LC 2,50 X 2,60 - FR 3 ABAS 5cm 0,50 X 0,70 )</t>
  </si>
  <si>
    <t>2101069076</t>
  </si>
  <si>
    <t>DUVET TODDLER CASAL - DUPLA FACE - ( FRENTE: FLORAL AZUL | VERSO: FLORAL AMARELO ) ACAB. BABADO DUPLO - C/ZIPER NOS PÉS</t>
  </si>
  <si>
    <t>LENÇOL DE CMA BRANCO - 400F 100% ALGODÃO FESTONÊ E LOGO BORDADO COR ALABASTRO 07077 - 1,80 X 2,80</t>
  </si>
  <si>
    <t>2101858692</t>
  </si>
  <si>
    <t>LENÇOL CIMA - 250F MISTO - ACABAMENTO TREZZO - 2,50 X 2,45</t>
  </si>
  <si>
    <t>2102021545</t>
  </si>
  <si>
    <t>LENÇOL DE CIMA ACABAMENTO FESTONE BRANCO - 183F MISTO -1,10 X 1,60 - BERÇO</t>
  </si>
  <si>
    <t>2102024380</t>
  </si>
  <si>
    <t>LENÇOL BARRA ESTREITA 4 LADOS - 180F MISTO PREMIUM - 1,80 X 2,80</t>
  </si>
  <si>
    <t>LENÇOL CIMA 250F MISTO FESTONÊ BRANCO 2,90 X 2,55</t>
  </si>
  <si>
    <t>2102301586</t>
  </si>
  <si>
    <t>LENÇOL BAIXO BARRA ESTREITA 4LADOS 300F MISTO 1,60 X 2,60</t>
  </si>
  <si>
    <t>2102861412</t>
  </si>
  <si>
    <t>LENÇOL BAIXO BARRA ESTREITA 4 LADOS 300F MISTO 2,70 X 2,90</t>
  </si>
  <si>
    <t>2102861413</t>
  </si>
  <si>
    <t>FRONHA 2 ABAS 5cm CLASSIC - 230F MISTO - 0,50 X 0,70</t>
  </si>
  <si>
    <t>FRONHA 4 ABAS 5CM CLASSIC 183FIOS MISTO 0,30 X 0,40</t>
  </si>
  <si>
    <t>2104108041</t>
  </si>
  <si>
    <t>FRONHA 2 ABAS 5cm - CLASSIC - 180F MISTO PREMIUM - 0,50 X 0,70</t>
  </si>
  <si>
    <t>FRONHA 3 ABAS 5CM 300F MISTO CLASSIC 50 X 70</t>
  </si>
  <si>
    <t>2105161417</t>
  </si>
  <si>
    <t>FRONHA 3 ABAS 5cm - 300F MISTO - VALENCIA - 0,50 X 0,70</t>
  </si>
  <si>
    <t>2105231547</t>
  </si>
  <si>
    <t>FRONHA 3 ABAS 5cm - 300F MISTO - BUQUE - 0,50 X 0,70</t>
  </si>
  <si>
    <t>2105231548</t>
  </si>
  <si>
    <t>FRONHA 2 ABAS 5cm - 250F MISTO - ACABAMENTO TREZZO - 0,50 X 0,70</t>
  </si>
  <si>
    <t>2106221546</t>
  </si>
  <si>
    <t>CAPA ALMOFADA 4 ABAS 5CM CLASSIC 180F MISTO PREMIUM 0,30 X 0,40</t>
  </si>
  <si>
    <t>2111010118</t>
  </si>
  <si>
    <t>2111021228</t>
  </si>
  <si>
    <t>CAPA ALMOFADA S/ ABAS - GORGURINHO CINZA - MODELO ENVELOPE - 0,40 X 0,50</t>
  </si>
  <si>
    <t>2111031420</t>
  </si>
  <si>
    <t>2111231441</t>
  </si>
  <si>
    <t>CAPA ALMOFADA 4 ABAS - 200F 100% ALG. ACAB. CLASSIC - C/ ZÍPER - 0,30 X 0,40</t>
  </si>
  <si>
    <t>2111238623</t>
  </si>
  <si>
    <t>CAPA ALMOFADA - 300F MISTO - S/ ABAS - ACAB. CORDONÊ BRANCO - 0,30 X 0,70</t>
  </si>
  <si>
    <t>2111851481</t>
  </si>
  <si>
    <t>CAPA ROLINHO COM TRANSPASSE 0,13 CM ATOALHADO  FELPA VELOUX BRANCA 400G 0,60 X 0,17DIAM</t>
  </si>
  <si>
    <t>2112018078</t>
  </si>
  <si>
    <t>RECHEIO ALMOFADA FIBRA SILICONIZADA - 180F MISTO - 0,40 X 0,50</t>
  </si>
  <si>
    <t>2114070124</t>
  </si>
  <si>
    <t>RECHEIO ALMOFADA - 183F MISTO - 0,30 X 0,70</t>
  </si>
  <si>
    <t>2114071446</t>
  </si>
  <si>
    <t>RECHEIO DE ALMOFADA - 180F MISTO - 0,30 X 0,40</t>
  </si>
  <si>
    <t>DUVET (CAPA) 230F MISTO CLASSIC 2,50 X 2,45</t>
  </si>
  <si>
    <t>DUVET (CAPA) - 230F MISTO - CLASSIC MODELO ENVELOPE - 2,50 X 2,45</t>
  </si>
  <si>
    <t>2115471542</t>
  </si>
  <si>
    <t>DUVET (CAPA) 300F MISTO CLASSIC MOD ENVELOPE 1,60 X 2,25</t>
  </si>
  <si>
    <t>2115851414</t>
  </si>
  <si>
    <t>DUVET (CAPA) 300F MISTO CLASSIC MOD ENVELOPE 2,50 X 2,45</t>
  </si>
  <si>
    <t>2115851415</t>
  </si>
  <si>
    <t>DUVET (CAPA) 300F MISTO CLASSIC MOD ENVELOPE 2,70 X 2,45</t>
  </si>
  <si>
    <t>2115851416</t>
  </si>
  <si>
    <t>2115861524</t>
  </si>
  <si>
    <t>CAPA DUVET (EDRED) CLASSIC MODELO ENVELOPE 180F MISTO PREMIUM 2,00 X 2,45</t>
  </si>
  <si>
    <t>2115861525</t>
  </si>
  <si>
    <t>RECHEIO (EDREDON) 250G MICROF1,60 X 2,25</t>
  </si>
  <si>
    <t>2117011350</t>
  </si>
  <si>
    <t>PESEIRA DUPLA - GORGURINHO CINZA - C/ ENCABEÇAMENTO PESPONTO 4 LADOS 8cm - 0,60 X 2,60</t>
  </si>
  <si>
    <t>2120011419</t>
  </si>
  <si>
    <t>SAIA BRIM 1,58 X 1,98 X 0,34 C/ MOLD E TRANSP BRANCO</t>
  </si>
  <si>
    <t>2120051370</t>
  </si>
  <si>
    <t>SAIA BRIM C/ MOLDURA, TRANSPASSE E C/ VELCRO COR BRANCO 1,60 X 2,00 X 0,33</t>
  </si>
  <si>
    <t>SAIA DE LYCRA COR PRETO - 1,82 X 2,00 X 0,25</t>
  </si>
  <si>
    <t>2120121467</t>
  </si>
  <si>
    <t>COLCHA MATELASSADA LOSANGO 183F MISTO MECÂNICO - ( COM COMPLEMENTO NA CABEÇEIRA ) - 2,90 X 2,45</t>
  </si>
  <si>
    <t>2121011491</t>
  </si>
  <si>
    <t>COLCHA MATELASSADA LOSANGO 183F MISTO MECÂNICO - 1,80 X 2,40</t>
  </si>
  <si>
    <t>2121011492</t>
  </si>
  <si>
    <t>COLCHA MATELASSADA LOSANGO 183F MISTO MECÂNICO - ( COM COMPLEMENTO NA CABEÇEIRA ) - 2,50 X 2,45</t>
  </si>
  <si>
    <t>2121011493</t>
  </si>
  <si>
    <t>PORTA TRAV. 4 ABAS - MATELASSADO MILANO 300F MISTO - 0,50 X 0,90</t>
  </si>
  <si>
    <t>2121021589</t>
  </si>
  <si>
    <t>COLCHA PIQUET DREAM BARRA 3CM COM EMENDA 2,70 X 2,45</t>
  </si>
  <si>
    <t>2121061437</t>
  </si>
  <si>
    <t>COLCHA PIQUET DREAM BARRA 3CM COM EMENDA 2,90 X 2,45</t>
  </si>
  <si>
    <t>2121061439</t>
  </si>
  <si>
    <t>COLCHA PIQUET PALLONCINO BARRA 3CM 2,50 X 2,45</t>
  </si>
  <si>
    <t>2121061522</t>
  </si>
  <si>
    <t>COLCHA PIQUET PALLONCINO BARRA 3CM 2,90 X 2,45</t>
  </si>
  <si>
    <t>2121061523</t>
  </si>
  <si>
    <t>PORTA TRAV PIQUET DREAM 4 ABAS 0,50 X 0,70</t>
  </si>
  <si>
    <t>2122101438</t>
  </si>
  <si>
    <t>PORTA TRAV PIQUET DREAM 4 ABAS 0,50 X 0,90</t>
  </si>
  <si>
    <t>2122101440</t>
  </si>
  <si>
    <t>2161221453</t>
  </si>
  <si>
    <t>PONCHO FELPA VELUX BRANCO C/ BOLSO EM FELPA BRANCA - 2 ANOS</t>
  </si>
  <si>
    <t>2161221456</t>
  </si>
  <si>
    <t>PONCHO FELPA VELUX BRANCO C/ BOLSO EM FELPA BRANCA - 4 ANOS</t>
  </si>
  <si>
    <t>2161221457</t>
  </si>
  <si>
    <t>2161221506</t>
  </si>
  <si>
    <t>2161221507</t>
  </si>
  <si>
    <t>2201021364</t>
  </si>
  <si>
    <t>2201021365</t>
  </si>
  <si>
    <t>GUARDANAPO BELL ACABAMENTO FESTONÊ BORDO 7078 80%ALGODÃO / 20% LINHO COR CRU - 0,30 X 0,30</t>
  </si>
  <si>
    <t>2201021432</t>
  </si>
  <si>
    <t>GUARDANAPO CANDLE ACABAMENTO FESTONÊ BORDO 7078 80%ALGODÃO / 20% LINHO COR CRU - 0,30 X 0,30</t>
  </si>
  <si>
    <t>2201021433</t>
  </si>
  <si>
    <t>GUARDANAPO CANDY ACABAMENTO FESTONÊ BORDO 7078 80%ALGODÃO / 20% LINHO COR CRU - 0,30 X 0,30</t>
  </si>
  <si>
    <t>2201021434</t>
  </si>
  <si>
    <t>GUARDANAPO CLASSIC BARRA 2CM 45% ALGODÃO E 55% LINHO OFF WHITE 0,45 X 0,45</t>
  </si>
  <si>
    <t>2201021570</t>
  </si>
  <si>
    <t>TOALHA MESA REDONDA 20% LINHO 80% ALGODÃO COR BRANCO COM LATERAL BARRA 1CM 1,80 DIAMETRO</t>
  </si>
  <si>
    <t>2202011579</t>
  </si>
  <si>
    <t>TOALHA MESA 20% LINHO 80% ALGODÃO COM LATERAL BARRA 4CM 1,60 X 1,60</t>
  </si>
  <si>
    <t>2202011580</t>
  </si>
  <si>
    <t>PORTA TRAVESSEIRO 4 ABAS PIQUET PALLONCINO 0,50 X 0,90</t>
  </si>
  <si>
    <t>2202021521</t>
  </si>
  <si>
    <t>KIT PROTETOR DE BERÇO 183 FIOS MISTO BRANCO 0,70 X 1,30</t>
  </si>
  <si>
    <t>2630011489</t>
  </si>
  <si>
    <t>SAIA GORGURINHO COM MOLDURA; TRANSPASSE E VELCRO COR BRANCO 1,10 X 2,00 X 0,33</t>
  </si>
  <si>
    <t>3105011581</t>
  </si>
  <si>
    <t>JOGO DE LENÇOL CASAL - COLEÇÃO FOLHAS - LB 1,40 X 2,00 X 0,30 - FR 0,50 X 0,70</t>
  </si>
  <si>
    <t>3161091423</t>
  </si>
  <si>
    <t>JOGO LENÇOL CASAL - 400F 100% ALG ACAB. CORDONÊ ROSE - LB 1,40 X 2,00 X 0,30 - LC 2,10 X 2,30 - FR 0,50 X 0,70</t>
  </si>
  <si>
    <t>3161091424</t>
  </si>
  <si>
    <t>JOGO LENÇOL CASAL - 400F 100% ALG ACAB. BORDADO ROSA - LB 1,40 X 2,00 X 0,30 - LC 2,10 X 2,30 - FR 0,50 X 0,70</t>
  </si>
  <si>
    <t>3161091425</t>
  </si>
  <si>
    <t>TOALHA DE BANHO KIDS COM CAPUZ FELPA BRANCA E CORDONÊ AZUL C/ LOGO</t>
  </si>
  <si>
    <t>3161091426</t>
  </si>
  <si>
    <t>3161091427</t>
  </si>
  <si>
    <t>JOGO LENÇOL BABY - 400F - BORDADO DUPLO BRANCO - 0,70 X 1,30 X 0,15 - LC 1,10 X 1,60 - FR 0,30 X 0,40</t>
  </si>
  <si>
    <t>3161091449</t>
  </si>
  <si>
    <t>JOGO DE LENÇOL SOLTEIRO 400F - BORDADO DUPLO BRANCO - LB 0,88 X 1,88 X 0,20 - LC 1,60 X 2,20 - FR 0,50 X 0,70</t>
  </si>
  <si>
    <t>3161091450</t>
  </si>
  <si>
    <t>JOGO DE LENÇOL SOLTEIRO 400F - BORDADO DUPLO ROSA - LB 0,88 X 1,88 X 0,20 - LC 1,60 X 2,20 - FR 0,50 X 0,70</t>
  </si>
  <si>
    <t>3161091451</t>
  </si>
  <si>
    <t>3161091452</t>
  </si>
  <si>
    <t>TOALHA DE BANHO C/ CAPUZ KIDS - BORDADO AMARELO - 0,90 X 1,00</t>
  </si>
  <si>
    <t>3161091469</t>
  </si>
  <si>
    <t>JOGO LENÇOL BABY - 400F - BORDADO DUPLO ROSA - 0,70 X 1,30 X 0,15 - LC 1,10 X 1,60 - FR 0,30 X 0,40</t>
  </si>
  <si>
    <t>3161091484</t>
  </si>
  <si>
    <t>3161091485</t>
  </si>
  <si>
    <t>3161091519</t>
  </si>
  <si>
    <t>JOGO BAMBO - CORDONÊ BRANCO - SOLTEIRO</t>
  </si>
  <si>
    <t>3301071385</t>
  </si>
  <si>
    <t>JOGO BAMBO - CORDONÊ BRANCO - CASAL</t>
  </si>
  <si>
    <t>3301071387</t>
  </si>
  <si>
    <t>JOGO BAMBO - CORDONÊ BRANCO - QUEEN</t>
  </si>
  <si>
    <t>3301071388</t>
  </si>
  <si>
    <t>JOGO BAMBO - CORDONÊ BRANCO - KING</t>
  </si>
  <si>
    <t>3301071389</t>
  </si>
  <si>
    <t>JOGO BAMBO - CORDONÊ BEGE - CASAL</t>
  </si>
  <si>
    <t>3301071392</t>
  </si>
  <si>
    <t>JOGO BAMBO - CORDONÊ BEGE - QUEEN</t>
  </si>
  <si>
    <t>3301071393</t>
  </si>
  <si>
    <t>JOGO BAMBO - CORDONÊ BEGE - KING</t>
  </si>
  <si>
    <t>3301071395</t>
  </si>
  <si>
    <t>JOGO BAMBO - CORDONÊ CINZA - SOLTEIRO</t>
  </si>
  <si>
    <t>3301071397</t>
  </si>
  <si>
    <t>JOGO BAMBO - CORDONÊ CINZA - CASAL</t>
  </si>
  <si>
    <t>3301071399</t>
  </si>
  <si>
    <t>JOGO BAMBO - CORDONÊ CINZA - QUEEN</t>
  </si>
  <si>
    <t>3301071400</t>
  </si>
  <si>
    <t>JOGO BAMBO - CORDONÊ CINZA - KING</t>
  </si>
  <si>
    <t>3301071401</t>
  </si>
  <si>
    <t>JOGO BAMBO CINZA - CORDONÊ CINZA - SOLTEIRO</t>
  </si>
  <si>
    <t>3301071402</t>
  </si>
  <si>
    <t>JOGO BAMBO CINZA - CORDONÊ CINZA - CASAL</t>
  </si>
  <si>
    <t>3301071404</t>
  </si>
  <si>
    <t>JOGO BAMBO CINZA - CORDONÊ CINZA - QUEEN</t>
  </si>
  <si>
    <t>3301071405</t>
  </si>
  <si>
    <t>FRONHA 2 ABAS 5CM ACABAMENTO FESTONE BRANCO 183F MISTO 0,30 X 0,40</t>
  </si>
  <si>
    <t>3301073139</t>
  </si>
  <si>
    <t>3301074372</t>
  </si>
  <si>
    <t>3301074373</t>
  </si>
  <si>
    <t>ROUPÃO PIQUET QUADRAT MISTO C/ VIVO BRANCO E C/ LOGO BORDADO TAM. G</t>
  </si>
  <si>
    <t>3301076156</t>
  </si>
  <si>
    <t>ROUPÃO PIQUET MOSAICO TAM. M</t>
  </si>
  <si>
    <t>3301091442</t>
  </si>
  <si>
    <t>3301091544</t>
  </si>
  <si>
    <t>3301092761</t>
  </si>
  <si>
    <t>ROUPÃO INFANTIL FELPA CARAMELO MODELO KIMONO COM CAPUZ COM LOGO TAM 10 ANOS</t>
  </si>
  <si>
    <t>3301094403</t>
  </si>
  <si>
    <t>ROUPÃO FELPA CARAMELO - M</t>
  </si>
  <si>
    <t>TOALHA DE MÃO FELPA VELUX BRANCO C/ LOGO 0,30 X 0,30</t>
  </si>
  <si>
    <t>TOALHA DE BUSTO FELPA VELUX BRANCO 0,37 X 1,10</t>
  </si>
  <si>
    <t>3302032038</t>
  </si>
  <si>
    <t>TOALHA PISO DUPLO CARAMELO 0,45 X 0,90</t>
  </si>
  <si>
    <t>3302045823</t>
  </si>
  <si>
    <t>TOALHA DE MÃO VELUX 0,30 X 0,20 COM LOGO COR FETICHE 7230</t>
  </si>
  <si>
    <t>3302051583</t>
  </si>
  <si>
    <t>TOALHA BANHO FELPA CARAMELO SEM LOGO 0,98 X 1,50</t>
  </si>
  <si>
    <t>3302111551</t>
  </si>
  <si>
    <t>TOALHA ROSTO FELPA CARAMELO SEM LOGO 0,45 X 1,00</t>
  </si>
  <si>
    <t>3302111552</t>
  </si>
  <si>
    <t>3302119211</t>
  </si>
  <si>
    <t>TOALHA PISO DUPLO CARAMELO S/ LOGO 0,48 X 0,80</t>
  </si>
  <si>
    <t>3302122157</t>
  </si>
  <si>
    <t>3302128548</t>
  </si>
  <si>
    <t>TOALHA ROSTO BEACH BRANCO/CASTOR - 0,40 X 0,75</t>
  </si>
  <si>
    <t>3302331408</t>
  </si>
  <si>
    <t>LENÇOL PARA MACA 180 FIOS MISTO COR: KAKI SEM LOGO (1,30 X 2,60 )</t>
  </si>
  <si>
    <t>3401021557</t>
  </si>
  <si>
    <t>EMBALAGEM ORGANIZADORA EM BRIM COR CASTOR COM VISOR 0,44 X 0,59 X 0,13</t>
  </si>
  <si>
    <t>3606031560</t>
  </si>
  <si>
    <t>LENÇOL BAIXO C/ ELAS 230F MI 0,90 X 2,00 X 0,30</t>
  </si>
  <si>
    <t>92101012057</t>
  </si>
  <si>
    <t>92101021443</t>
  </si>
  <si>
    <t>92101021444</t>
  </si>
  <si>
    <t>LENÇOL BAIXO C/ ELÁSTICO 230F MISTO C/ LATERAL 1,80 X 2,00 X 0,30</t>
  </si>
  <si>
    <t>92101021520</t>
  </si>
  <si>
    <t>LENÇOL CIMA CLASSIC 230F MISTO 2,50 X 2,45</t>
  </si>
  <si>
    <t>92101023339</t>
  </si>
  <si>
    <t>LENÇOL BAIXO COM ELÁSTICO 230F MISTO 1,93 X 2,03 X 0,36</t>
  </si>
  <si>
    <t>92101024090</t>
  </si>
  <si>
    <t>LENÇOL BAIXO COM ELÁSTICO 230F MISTO 0,78 X 1,88 X 0,13</t>
  </si>
  <si>
    <t>92101024091</t>
  </si>
  <si>
    <t>LENÇOL BAIXO COM ELÁSTICO 230F MISTO 1,65 X 1,88 X 0,36</t>
  </si>
  <si>
    <t>92101024095</t>
  </si>
  <si>
    <t>LENÇOL CIMA 230FMISTO ACAB DODICI PRETO E BEGE 1,87 X 2,60</t>
  </si>
  <si>
    <t>92101024472</t>
  </si>
  <si>
    <t>LENÇOL BAIXO C/ ELÁSTICO 230F MISTO 1,60 X 2,00 X 0,30</t>
  </si>
  <si>
    <t>92101025896</t>
  </si>
  <si>
    <t>S.FRONHA 2 ABAS 5 CM 230FIOS MISTO CLASSIC 0,50 X 0,90</t>
  </si>
  <si>
    <t>92101032357</t>
  </si>
  <si>
    <t>LENÇOL BARRA ESTREITA 4 LADOS 230F MISTO 1,80 X  2,80</t>
  </si>
  <si>
    <t>LENÇOL BAIXO C/ ELÁSTICO 400F 100% ALGODÃO 1,60 X 2,00 X 0,30</t>
  </si>
  <si>
    <t>92101042483</t>
  </si>
  <si>
    <t>LENÇOL BAIXO BARRA ESTREITA 4 LADOS 300F 100% ALGODÃO 1,85 X 2,80</t>
  </si>
  <si>
    <t>92101061573</t>
  </si>
  <si>
    <t>LENÇOL BAIXO C/ ELÁSTICO 230F MISTO 1,40 X 2,00 X 0,30</t>
  </si>
  <si>
    <t>92101063344</t>
  </si>
  <si>
    <t>92101065362</t>
  </si>
  <si>
    <t>LENÇOL DE BAIXO BARRA ESTREITA 4 LADOS 300FMISTO STRIPE ESTREITO LISTRA HORIZONTAL 3,10 X3,00</t>
  </si>
  <si>
    <t>92101068053</t>
  </si>
  <si>
    <t>LENÇOL DE CIMA 400 FIOS100% ALGODÃO ACAB FESTONE AZUL MARINHO 7127 2,90 X 2,50</t>
  </si>
  <si>
    <t>92102021373</t>
  </si>
  <si>
    <t>92102030432</t>
  </si>
  <si>
    <t>92102111810</t>
  </si>
  <si>
    <t>LENÇOL CIMA 250F MISTO ACAB. FESTONÊ MUSGUINHO 7124 2,50 X 2,55</t>
  </si>
  <si>
    <t>92102161511</t>
  </si>
  <si>
    <t>LENÇOL CIMA 250F MISTO ACAB. FESTONÊ MUSGUINHO 7124 2,75 X 2,55</t>
  </si>
  <si>
    <t>92102161512</t>
  </si>
  <si>
    <t>LENÇOL CIMA 300F MISTO ACAB. FESTONÊ PEROLA 7113 2,70 X 2,45</t>
  </si>
  <si>
    <t>92102161513</t>
  </si>
  <si>
    <t>LENÇOL CIMA 230F MISTO ACAB CLASSIC 1,70 X 2,40</t>
  </si>
  <si>
    <t>92102162423</t>
  </si>
  <si>
    <t>LENÇOL CIMA 230F MISTO FESTONÊ MILITAR 07329 2,50 X 2,45</t>
  </si>
  <si>
    <t>LENÇOL CIMA 230F MISTO FESTONÊ MILITAR 07329 1,80 X 2,40</t>
  </si>
  <si>
    <t>LENÇOL CIMA 230F MISTO FESTONÊ COR 5317 2,30 X 2,45</t>
  </si>
  <si>
    <t>92102221562</t>
  </si>
  <si>
    <t>LENÇOL CIMA 230F MISTO FESTONÊ COR 5317 2,50 X 2,45</t>
  </si>
  <si>
    <t>92102221564</t>
  </si>
  <si>
    <t>LENÇOL CIMA CLASSIC 300F 100% ALGODÃO 1,85 X 2,40</t>
  </si>
  <si>
    <t>92102221571</t>
  </si>
  <si>
    <t>LENÇOL CIMA 400F 100% ALGODÃO CLASSIC 2,50 X 2,45</t>
  </si>
  <si>
    <t>92102222748</t>
  </si>
  <si>
    <t>LENÇOL CIMA BARRA 10 CM 300F 100% ALG ACAB BELLAGIO BRANCO 2,90 X 2,60</t>
  </si>
  <si>
    <t>92102408617</t>
  </si>
  <si>
    <t>LENÇOL CIMA 230F MISTO CLASSIC 2,60 X 2,45</t>
  </si>
  <si>
    <t>92102461479</t>
  </si>
  <si>
    <t>LENÇOL CIMA - 400F 100% ALG. DUPLO FESTONÊ COR CASTOR - 2,40 X 2,50</t>
  </si>
  <si>
    <t>LENÇOL CIMA - 400F 100% ALG. DUPLO FESTONÊ COR CASTOR - 2,10 X 2,50</t>
  </si>
  <si>
    <t>FRONHA 2 ABAS 5CM 230F MISTO CLASSIC 0,50 X 0,70</t>
  </si>
  <si>
    <t>FRONHA 2 ABAS 5cm - 300F MISTO - CLASSIC - 0,60 X 1,00</t>
  </si>
  <si>
    <t>92104051541</t>
  </si>
  <si>
    <t>FRONHA 2 ABAS 5CM 300F 100% ALG CLASSIC 0,50 X 0,70</t>
  </si>
  <si>
    <t>92104060733</t>
  </si>
  <si>
    <t>FRONHA 2 ABAS 5cm - CLASSIC - 400F 100% ALGODÃO ( NOVO ) - 0,50 X 0,70</t>
  </si>
  <si>
    <t>FRONHA 2 ABAS 5CM 400F 100% ALGODÃO ACAB. FESTONÊ COR BRANCO 0,50 X 0,70</t>
  </si>
  <si>
    <t>92104142469</t>
  </si>
  <si>
    <t>FRONHA 2 ABAS 5CM 230F MISTO FESTONÊ COR 5317 0,50 X 0,70</t>
  </si>
  <si>
    <t>92104211563</t>
  </si>
  <si>
    <t>FRONHA 2 ABAS 5CM 400F 100%ALG FESTONE AZUL MARINHO 7127 0,50 X 0,70</t>
  </si>
  <si>
    <t>92104861371</t>
  </si>
  <si>
    <t>FRONHA 4 ABAS 5CM - 300F 100% ALGODÃO - ACAB. BELAGIO BRANCO 0,50 X 0,70</t>
  </si>
  <si>
    <t>92105021460</t>
  </si>
  <si>
    <t>SUPER FRONHA 4 ABAS 5CM - 300F 100% ALGODÃO - ACAB. BELAGIO BRANCO 0,50 X 0,90</t>
  </si>
  <si>
    <t>92105021461</t>
  </si>
  <si>
    <t>FRONHA 3 ABAS 5CM 230F MISTO FESTONÊ 07329 MILITAR 0,50 X 0,70</t>
  </si>
  <si>
    <t>SUPER FRONHA 2 ABAS 5CM 400F 100%ALG FESTONE AZUL MARINHO 7127 0,50 X 0,90</t>
  </si>
  <si>
    <t>92108861372</t>
  </si>
  <si>
    <t>92111016797</t>
  </si>
  <si>
    <t>92111051310</t>
  </si>
  <si>
    <t>DUVET (CAPA) 230 FIOS MISTO ACAB CLASSIC 2,95 X 2,55</t>
  </si>
  <si>
    <t>92115012380</t>
  </si>
  <si>
    <t>DUVET (CAPA) 230F MISTO CLASSIC 2,70 X 2,40</t>
  </si>
  <si>
    <t>92115021017</t>
  </si>
  <si>
    <t>DUVET (CAPA) 300F BELLAGIO BRANCO ACAB EM U 2,90 X 2,60</t>
  </si>
  <si>
    <t>92115026552</t>
  </si>
  <si>
    <t>DUVET (CAPA) 230F MISTO CLASSIC 1,35 X 2,20</t>
  </si>
  <si>
    <t>92115061459</t>
  </si>
  <si>
    <t>CAPA (DUVET) FESTONE AZUL MARINHO 7127 MOD. MÃOZINHA C/ ENVELOPE 400F 100% ALGODÃO 2,90 X 2,45</t>
  </si>
  <si>
    <t>92115101374</t>
  </si>
  <si>
    <t>DUVET (CAPA) MOD. MÃOZINHA C/ ENVELOPE 400F 100%ALG CLASSIC 2,50 X 2,45</t>
  </si>
  <si>
    <t>92115101375</t>
  </si>
  <si>
    <t>DUVET (CAPA) MOD. MÃOZINHA C/ ENVELOPE 400F 100%ALG CLASSIC 2,90 X 2,60</t>
  </si>
  <si>
    <t>92115101376</t>
  </si>
  <si>
    <t>92115170167</t>
  </si>
  <si>
    <t>92115864092</t>
  </si>
  <si>
    <t>LENÇOL CIMA CLASSIC 230F MISTO CLASSIC 1,35 X 2,15</t>
  </si>
  <si>
    <t>92115864093</t>
  </si>
  <si>
    <t>LENÇOL CIMA CLASSIC 230F MISTO CLASSIC 2,70 X 2,40</t>
  </si>
  <si>
    <t>92115864094</t>
  </si>
  <si>
    <t>BORDADO BOLSO: K7031, BORDADO COSTAS: K7014H</t>
  </si>
  <si>
    <t>4 PEÇAS C/ DEFEITO, PONTO ESTOURADO, OFICINA RETIROU E CONSERTOU AS PEÇAS</t>
  </si>
  <si>
    <t>K7032</t>
  </si>
  <si>
    <t>K6190</t>
  </si>
  <si>
    <t>FRONHA CLASSIC 4 ABAS 300F 100% ALGODÃO C/ LOGO LESS DRAMA - 0,50 X 0,70</t>
  </si>
  <si>
    <t xml:space="preserve">FRONHA DE OLHOS 300F 100% ALGODÃO C/ LOGO ROSA - TAM ÚNICO </t>
  </si>
  <si>
    <t>K7034</t>
  </si>
  <si>
    <t>TOALHA DE MÃO VELUX 0,30 X 0,20 COM LOGO COR MANGA 7037</t>
  </si>
  <si>
    <t>2 PEÇAS C/ O BORDADO NA LOCALIZAÇÃO ERRADA FORAM DEVOLVIDA S/ FAZER</t>
  </si>
  <si>
    <t>K5495/ 1 FURADO, 1 MANCHADO, 1 BORDADO LOCAL ERRADO</t>
  </si>
  <si>
    <t>21010448814P</t>
  </si>
  <si>
    <t>TOALHA DE MÃO PEARL 600G C/ LOGO "PÁSSARO" 0,30 X 0,50</t>
  </si>
  <si>
    <t>FRONHA 4 ABAS CLASSIC 300F 100% ALGODÃO C/ LOGO "LESS DRAMA" - 0,50 X 0,70</t>
  </si>
  <si>
    <t>S/ NOTA</t>
  </si>
  <si>
    <t>K7022</t>
  </si>
  <si>
    <t>K7035 - REPOSIÇÃO</t>
  </si>
  <si>
    <t>K7035/ BORDADO DO LADO AVESSO DO TECIDO</t>
  </si>
  <si>
    <t>TOALHA DE BANHO C/ CAPUZ KIDS - BORDADO ROSA C/ MONOGRAMA 0,90 X 1,00</t>
  </si>
  <si>
    <t>LENÇOL DE CIMA ACABAMENTO CORDONÊ 400F C/ LOGO - 1,10 X 1,60</t>
  </si>
  <si>
    <t xml:space="preserve">FRONHA S/ ABA C/ ACABAMENTO CORDONÊ ENT. 2 LADOS 400F C/ LOGO - 0,30 X 0,40 </t>
  </si>
  <si>
    <t>K6946C/ LETRA C</t>
  </si>
  <si>
    <t>K6856G/ LETRA F</t>
  </si>
  <si>
    <t>BORDADO</t>
  </si>
  <si>
    <t>107/108</t>
  </si>
  <si>
    <t>17 fronhas para c/ etiqutas tortas</t>
  </si>
  <si>
    <t>ETIQUETAS TORTAS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</si>
</sst>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2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Times New Roman"/>
      <family val="1"/>
    </font>
    <font>
      <sz val="11"/>
      <color rgb="FF000000"/>
      <name val="Aptos Narrow"/>
      <family val="2"/>
    </font>
    <font>
      <sz val="11"/>
      <color rgb="FF006100"/>
      <name val="Aptos Narrow"/>
      <family val="2"/>
    </font>
    <font>
      <sz val="11"/>
      <name val="Aptos Narrow"/>
      <family val="2"/>
    </font>
    <font>
      <sz val="1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9C0006"/>
      <name val="Times New Roman"/>
      <family val="1"/>
    </font>
    <font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38">
    <xf numFmtId="0" fontId="0" fillId="0" borderId="0" xfId="0"/>
    <xf numFmtId="44" fontId="0" fillId="0" borderId="0" xfId="2" applyFont="1" applyBorder="1" applyProtection="1">
      <protection locked="0"/>
    </xf>
    <xf numFmtId="0" fontId="0" fillId="0" borderId="0" xfId="0" applyProtection="1">
      <protection locked="0"/>
    </xf>
    <xf numFmtId="44" fontId="0" fillId="2" borderId="0" xfId="2" applyFont="1" applyFill="1" applyBorder="1" applyProtection="1"/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Protection="1">
      <protection locked="0"/>
    </xf>
    <xf numFmtId="0" fontId="0" fillId="0" borderId="0" xfId="0" applyAlignment="1" applyProtection="1">
      <alignment horizontal="right"/>
      <protection locked="0"/>
    </xf>
    <xf numFmtId="164" fontId="0" fillId="0" borderId="0" xfId="1" applyNumberFormat="1" applyFont="1" applyProtection="1">
      <protection locked="0"/>
    </xf>
    <xf numFmtId="164" fontId="0" fillId="0" borderId="0" xfId="1" applyNumberFormat="1" applyFont="1" applyAlignment="1" applyProtection="1">
      <alignment horizontal="center" vertical="center"/>
      <protection locked="0"/>
    </xf>
    <xf numFmtId="164" fontId="0" fillId="0" borderId="0" xfId="1" applyNumberFormat="1" applyFont="1" applyBorder="1" applyAlignment="1" applyProtection="1">
      <alignment horizontal="center"/>
      <protection locked="0"/>
    </xf>
    <xf numFmtId="44" fontId="0" fillId="0" borderId="0" xfId="2" applyFont="1" applyProtection="1">
      <protection locked="0"/>
    </xf>
    <xf numFmtId="0" fontId="16" fillId="6" borderId="2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7" borderId="0" xfId="0" applyFont="1" applyFill="1" applyAlignment="1">
      <alignment horizontal="center" vertical="center"/>
    </xf>
    <xf numFmtId="164" fontId="16" fillId="6" borderId="1" xfId="1" applyNumberFormat="1" applyFont="1" applyFill="1" applyBorder="1" applyAlignment="1">
      <alignment horizontal="center" vertical="center" wrapText="1"/>
    </xf>
    <xf numFmtId="14" fontId="16" fillId="6" borderId="1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1" applyNumberFormat="1" applyFont="1" applyAlignment="1">
      <alignment horizontal="center"/>
    </xf>
    <xf numFmtId="164" fontId="0" fillId="2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/>
    <xf numFmtId="44" fontId="16" fillId="6" borderId="1" xfId="2" applyFont="1" applyFill="1" applyBorder="1" applyAlignment="1">
      <alignment horizontal="center" vertical="center" wrapText="1"/>
    </xf>
    <xf numFmtId="44" fontId="0" fillId="0" borderId="0" xfId="2" applyFont="1"/>
    <xf numFmtId="164" fontId="0" fillId="2" borderId="0" xfId="1" applyNumberFormat="1" applyFont="1" applyFill="1" applyAlignment="1" applyProtection="1">
      <alignment horizontal="center"/>
    </xf>
    <xf numFmtId="164" fontId="0" fillId="0" borderId="0" xfId="1" applyNumberFormat="1" applyFont="1" applyFill="1" applyAlignment="1" applyProtection="1">
      <alignment horizontal="center"/>
      <protection locked="0"/>
    </xf>
    <xf numFmtId="44" fontId="0" fillId="2" borderId="0" xfId="2" applyFont="1" applyFill="1" applyProtection="1"/>
    <xf numFmtId="14" fontId="0" fillId="0" borderId="0" xfId="2" applyNumberFormat="1" applyFont="1" applyAlignment="1" applyProtection="1">
      <alignment horizontal="center"/>
      <protection locked="0"/>
    </xf>
    <xf numFmtId="0" fontId="0" fillId="0" borderId="0" xfId="0" applyAlignment="1" applyProtection="1">
      <alignment horizontal="center" wrapText="1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left"/>
      <protection locked="0"/>
    </xf>
    <xf numFmtId="44" fontId="0" fillId="0" borderId="0" xfId="2" applyFont="1" applyBorder="1" applyAlignment="1" applyProtection="1">
      <alignment horizontal="left"/>
      <protection locked="0"/>
    </xf>
    <xf numFmtId="44" fontId="0" fillId="2" borderId="0" xfId="2" applyFont="1" applyFill="1" applyBorder="1" applyAlignment="1" applyProtection="1">
      <alignment horizontal="left"/>
    </xf>
    <xf numFmtId="164" fontId="0" fillId="0" borderId="0" xfId="1" applyNumberFormat="1" applyFont="1" applyBorder="1" applyAlignment="1" applyProtection="1">
      <alignment horizontal="left" vertical="center"/>
      <protection locked="0"/>
    </xf>
    <xf numFmtId="44" fontId="1" fillId="0" borderId="0" xfId="2" applyFont="1" applyBorder="1" applyProtection="1">
      <protection locked="0"/>
    </xf>
    <xf numFmtId="164" fontId="0" fillId="0" borderId="0" xfId="1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164" fontId="4" fillId="0" borderId="0" xfId="1" applyNumberFormat="1" applyFont="1" applyBorder="1" applyAlignment="1" applyProtection="1">
      <alignment horizontal="center"/>
      <protection locked="0"/>
    </xf>
    <xf numFmtId="14" fontId="4" fillId="0" borderId="0" xfId="0" applyNumberFormat="1" applyFont="1" applyAlignment="1" applyProtection="1">
      <alignment horizontal="center"/>
      <protection locked="0"/>
    </xf>
    <xf numFmtId="164" fontId="4" fillId="3" borderId="0" xfId="1" applyNumberFormat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164" fontId="5" fillId="4" borderId="0" xfId="1" applyNumberFormat="1" applyFont="1" applyFill="1" applyBorder="1" applyAlignment="1" applyProtection="1">
      <alignment horizontal="center"/>
      <protection locked="0"/>
    </xf>
    <xf numFmtId="164" fontId="5" fillId="0" borderId="0" xfId="1" applyNumberFormat="1" applyFont="1" applyBorder="1" applyAlignment="1" applyProtection="1">
      <alignment horizontal="center"/>
      <protection locked="0"/>
    </xf>
    <xf numFmtId="44" fontId="4" fillId="0" borderId="0" xfId="2" applyFont="1" applyBorder="1" applyAlignment="1" applyProtection="1">
      <alignment horizontal="center"/>
      <protection locked="0"/>
    </xf>
    <xf numFmtId="44" fontId="0" fillId="2" borderId="0" xfId="2" applyFont="1" applyFill="1" applyBorder="1" applyAlignment="1" applyProtection="1">
      <alignment horizontal="center"/>
    </xf>
    <xf numFmtId="0" fontId="3" fillId="0" borderId="0" xfId="0" applyFont="1" applyAlignment="1" applyProtection="1">
      <alignment horizontal="center" wrapText="1"/>
      <protection locked="0"/>
    </xf>
    <xf numFmtId="0" fontId="4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164" fontId="4" fillId="5" borderId="0" xfId="1" applyNumberFormat="1" applyFont="1" applyFill="1" applyBorder="1" applyAlignment="1" applyProtection="1">
      <alignment horizontal="center"/>
      <protection locked="0"/>
    </xf>
    <xf numFmtId="14" fontId="4" fillId="5" borderId="0" xfId="0" applyNumberFormat="1" applyFont="1" applyFill="1" applyAlignment="1" applyProtection="1">
      <alignment horizontal="center"/>
      <protection locked="0"/>
    </xf>
    <xf numFmtId="0" fontId="3" fillId="5" borderId="0" xfId="0" applyFont="1" applyFill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/>
      <protection locked="0"/>
    </xf>
    <xf numFmtId="44" fontId="0" fillId="0" borderId="0" xfId="2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2" borderId="0" xfId="1" applyNumberFormat="1" applyFont="1" applyFill="1" applyBorder="1" applyAlignment="1" applyProtection="1">
      <alignment horizontal="center"/>
    </xf>
    <xf numFmtId="0" fontId="11" fillId="0" borderId="0" xfId="0" applyFont="1" applyAlignment="1" applyProtection="1">
      <alignment horizontal="center" wrapText="1"/>
      <protection locked="0"/>
    </xf>
    <xf numFmtId="0" fontId="12" fillId="0" borderId="0" xfId="0" applyFont="1" applyAlignment="1" applyProtection="1">
      <alignment horizontal="center" wrapText="1"/>
      <protection locked="0"/>
    </xf>
    <xf numFmtId="164" fontId="11" fillId="0" borderId="0" xfId="1" applyNumberFormat="1" applyFont="1" applyBorder="1" applyAlignment="1" applyProtection="1">
      <alignment horizontal="center" wrapText="1"/>
      <protection locked="0"/>
    </xf>
    <xf numFmtId="14" fontId="11" fillId="0" borderId="0" xfId="0" applyNumberFormat="1" applyFont="1" applyAlignment="1" applyProtection="1">
      <alignment horizontal="center" wrapText="1"/>
      <protection locked="0"/>
    </xf>
    <xf numFmtId="164" fontId="11" fillId="2" borderId="0" xfId="1" applyNumberFormat="1" applyFont="1" applyFill="1" applyBorder="1" applyAlignment="1" applyProtection="1">
      <alignment horizontal="center" wrapText="1"/>
    </xf>
    <xf numFmtId="0" fontId="11" fillId="2" borderId="0" xfId="0" applyFont="1" applyFill="1" applyAlignment="1">
      <alignment horizontal="center" wrapText="1"/>
    </xf>
    <xf numFmtId="44" fontId="11" fillId="0" borderId="0" xfId="2" applyFont="1" applyBorder="1" applyAlignment="1" applyProtection="1">
      <alignment horizontal="center" wrapText="1"/>
      <protection locked="0"/>
    </xf>
    <xf numFmtId="44" fontId="11" fillId="2" borderId="0" xfId="2" applyFont="1" applyFill="1" applyBorder="1" applyAlignment="1" applyProtection="1">
      <alignment horizontal="center" wrapText="1"/>
    </xf>
    <xf numFmtId="0" fontId="10" fillId="0" borderId="0" xfId="0" applyFont="1" applyAlignment="1" applyProtection="1">
      <alignment horizontal="center"/>
      <protection locked="0"/>
    </xf>
    <xf numFmtId="0" fontId="14" fillId="0" borderId="0" xfId="0" applyFont="1" applyAlignment="1">
      <alignment horizontal="center" wrapText="1"/>
    </xf>
    <xf numFmtId="14" fontId="0" fillId="0" borderId="0" xfId="0" applyNumberFormat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/>
      <protection locked="0"/>
    </xf>
    <xf numFmtId="164" fontId="0" fillId="0" borderId="0" xfId="1" applyNumberFormat="1" applyFont="1" applyBorder="1" applyAlignment="1" applyProtection="1">
      <alignment horizontal="center" wrapText="1"/>
      <protection locked="0"/>
    </xf>
    <xf numFmtId="0" fontId="18" fillId="0" borderId="0" xfId="0" applyFont="1" applyAlignment="1">
      <alignment horizontal="center" wrapText="1"/>
    </xf>
    <xf numFmtId="0" fontId="0" fillId="0" borderId="0" xfId="0" applyAlignment="1" applyProtection="1">
      <alignment horizontal="left" wrapText="1"/>
      <protection locked="0"/>
    </xf>
    <xf numFmtId="14" fontId="0" fillId="0" borderId="0" xfId="0" applyNumberFormat="1" applyAlignment="1" applyProtection="1">
      <alignment horizontal="left"/>
      <protection locked="0"/>
    </xf>
    <xf numFmtId="164" fontId="0" fillId="0" borderId="0" xfId="1" applyNumberFormat="1" applyFont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left" vertical="center" wrapText="1"/>
    </xf>
    <xf numFmtId="0" fontId="4" fillId="0" borderId="0" xfId="0" applyFont="1" applyAlignment="1" applyProtection="1">
      <alignment horizontal="left"/>
      <protection locked="0"/>
    </xf>
    <xf numFmtId="0" fontId="11" fillId="0" borderId="0" xfId="0" applyFont="1" applyAlignment="1" applyProtection="1">
      <alignment horizontal="left" wrapText="1"/>
      <protection locked="0"/>
    </xf>
    <xf numFmtId="0" fontId="0" fillId="0" borderId="0" xfId="0" applyAlignment="1">
      <alignment horizontal="left"/>
    </xf>
    <xf numFmtId="16" fontId="0" fillId="0" borderId="0" xfId="0" applyNumberFormat="1" applyAlignment="1" applyProtection="1">
      <alignment wrapText="1"/>
      <protection locked="0"/>
    </xf>
    <xf numFmtId="12" fontId="0" fillId="0" borderId="0" xfId="0" applyNumberFormat="1" applyAlignment="1" applyProtection="1">
      <alignment wrapText="1"/>
      <protection locked="0"/>
    </xf>
    <xf numFmtId="0" fontId="14" fillId="0" borderId="0" xfId="0" applyFont="1" applyAlignment="1">
      <alignment horizontal="center"/>
    </xf>
    <xf numFmtId="0" fontId="4" fillId="5" borderId="0" xfId="0" applyFont="1" applyFill="1" applyAlignment="1" applyProtection="1">
      <alignment horizontal="left"/>
      <protection locked="0"/>
    </xf>
    <xf numFmtId="0" fontId="15" fillId="0" borderId="0" xfId="0" applyFont="1" applyAlignment="1" applyProtection="1">
      <alignment horizontal="left"/>
      <protection locked="0"/>
    </xf>
    <xf numFmtId="0" fontId="16" fillId="6" borderId="1" xfId="0" applyFont="1" applyFill="1" applyBorder="1" applyAlignment="1">
      <alignment vertical="center" wrapText="1"/>
    </xf>
    <xf numFmtId="14" fontId="11" fillId="0" borderId="0" xfId="0" applyNumberFormat="1" applyFont="1" applyAlignment="1" applyProtection="1">
      <alignment wrapText="1"/>
      <protection locked="0"/>
    </xf>
    <xf numFmtId="14" fontId="4" fillId="0" borderId="0" xfId="0" applyNumberFormat="1" applyFont="1" applyProtection="1">
      <protection locked="0"/>
    </xf>
    <xf numFmtId="14" fontId="4" fillId="5" borderId="0" xfId="0" applyNumberFormat="1" applyFont="1" applyFill="1" applyProtection="1">
      <protection locked="0"/>
    </xf>
    <xf numFmtId="14" fontId="16" fillId="6" borderId="1" xfId="0" applyNumberFormat="1" applyFont="1" applyFill="1" applyBorder="1" applyAlignment="1">
      <alignment vertical="center" wrapText="1"/>
    </xf>
    <xf numFmtId="14" fontId="0" fillId="0" borderId="0" xfId="2" applyNumberFormat="1" applyFont="1" applyBorder="1" applyAlignment="1" applyProtection="1">
      <protection locked="0"/>
    </xf>
    <xf numFmtId="14" fontId="11" fillId="0" borderId="0" xfId="2" applyNumberFormat="1" applyFont="1" applyBorder="1" applyAlignment="1" applyProtection="1">
      <alignment wrapText="1"/>
      <protection locked="0"/>
    </xf>
    <xf numFmtId="14" fontId="0" fillId="0" borderId="0" xfId="2" applyNumberFormat="1" applyFont="1" applyAlignment="1" applyProtection="1"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2" borderId="0" xfId="0" applyFill="1" applyAlignment="1">
      <alignment horizontal="center" wrapText="1"/>
    </xf>
    <xf numFmtId="0" fontId="0" fillId="0" borderId="0" xfId="1" applyNumberFormat="1" applyFont="1" applyBorder="1" applyAlignment="1" applyProtection="1">
      <alignment horizontal="center"/>
      <protection locked="0"/>
    </xf>
    <xf numFmtId="0" fontId="4" fillId="0" borderId="0" xfId="1" applyNumberFormat="1" applyFont="1" applyBorder="1" applyAlignment="1" applyProtection="1">
      <alignment horizontal="center"/>
      <protection locked="0"/>
    </xf>
    <xf numFmtId="0" fontId="4" fillId="5" borderId="0" xfId="1" applyNumberFormat="1" applyFont="1" applyFill="1" applyBorder="1" applyAlignment="1" applyProtection="1">
      <alignment horizontal="center"/>
      <protection locked="0"/>
    </xf>
    <xf numFmtId="0" fontId="11" fillId="0" borderId="0" xfId="1" applyNumberFormat="1" applyFont="1" applyBorder="1" applyAlignment="1" applyProtection="1">
      <alignment horizontal="center" wrapText="1"/>
      <protection locked="0"/>
    </xf>
    <xf numFmtId="0" fontId="0" fillId="0" borderId="0" xfId="1" applyNumberFormat="1" applyFont="1" applyBorder="1" applyAlignment="1" applyProtection="1">
      <alignment horizontal="left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wrapText="1"/>
      <protection locked="0"/>
    </xf>
    <xf numFmtId="0" fontId="0" fillId="2" borderId="0" xfId="1" applyNumberFormat="1" applyFont="1" applyFill="1" applyAlignment="1" applyProtection="1">
      <alignment horizontal="center"/>
    </xf>
    <xf numFmtId="0" fontId="0" fillId="2" borderId="0" xfId="0" applyFill="1" applyAlignment="1">
      <alignment horizontal="center" vertical="center"/>
    </xf>
    <xf numFmtId="14" fontId="0" fillId="0" borderId="0" xfId="2" applyNumberFormat="1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0" xfId="1" applyNumberFormat="1" applyFont="1" applyBorder="1" applyAlignment="1" applyProtection="1">
      <alignment horizontal="center"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164" fontId="0" fillId="2" borderId="0" xfId="1" applyNumberFormat="1" applyFont="1" applyFill="1" applyBorder="1" applyAlignment="1" applyProtection="1">
      <alignment horizontal="center" vertical="center"/>
    </xf>
    <xf numFmtId="44" fontId="0" fillId="0" borderId="0" xfId="2" applyFont="1" applyBorder="1" applyAlignment="1" applyProtection="1">
      <alignment vertical="center"/>
      <protection locked="0"/>
    </xf>
    <xf numFmtId="44" fontId="0" fillId="2" borderId="0" xfId="2" applyFont="1" applyFill="1" applyBorder="1" applyAlignment="1" applyProtection="1">
      <alignment vertical="center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14" fontId="0" fillId="0" borderId="0" xfId="2" applyNumberFormat="1" applyFont="1" applyAlignment="1" applyProtection="1">
      <alignment vertical="center"/>
      <protection locked="0"/>
    </xf>
    <xf numFmtId="164" fontId="0" fillId="2" borderId="0" xfId="1" applyNumberFormat="1" applyFont="1" applyFill="1" applyAlignment="1" applyProtection="1">
      <alignment horizontal="center" vertical="center"/>
    </xf>
    <xf numFmtId="0" fontId="0" fillId="2" borderId="0" xfId="1" applyNumberFormat="1" applyFont="1" applyFill="1" applyAlignment="1" applyProtection="1">
      <alignment horizontal="center" vertical="center"/>
    </xf>
    <xf numFmtId="164" fontId="0" fillId="0" borderId="0" xfId="1" applyNumberFormat="1" applyFont="1" applyFill="1" applyAlignment="1" applyProtection="1">
      <alignment horizontal="center" vertical="center"/>
      <protection locked="0"/>
    </xf>
    <xf numFmtId="44" fontId="0" fillId="0" borderId="0" xfId="2" applyFont="1" applyAlignment="1" applyProtection="1">
      <alignment vertical="center"/>
      <protection locked="0"/>
    </xf>
    <xf numFmtId="44" fontId="0" fillId="2" borderId="0" xfId="2" applyFont="1" applyFill="1" applyAlignment="1" applyProtection="1">
      <alignment vertical="center"/>
    </xf>
    <xf numFmtId="14" fontId="0" fillId="0" borderId="0" xfId="2" applyNumberFormat="1" applyFont="1" applyAlignment="1" applyProtection="1">
      <alignment horizontal="center" vertical="center"/>
      <protection locked="0"/>
    </xf>
    <xf numFmtId="0" fontId="0" fillId="2" borderId="0" xfId="0" applyFill="1" applyAlignment="1">
      <alignment horizontal="center" vertical="center" wrapText="1"/>
    </xf>
    <xf numFmtId="164" fontId="0" fillId="0" borderId="0" xfId="1" applyNumberFormat="1" applyFont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center" wrapText="1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23" fillId="0" borderId="0" xfId="0" applyFont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 wrapText="1"/>
      <protection locked="0"/>
    </xf>
    <xf numFmtId="14" fontId="0" fillId="0" borderId="0" xfId="2" applyNumberFormat="1" applyFont="1" applyBorder="1" applyAlignment="1" applyProtection="1">
      <alignment horizontal="center" vertical="center" wrapText="1"/>
      <protection locked="0"/>
    </xf>
    <xf numFmtId="14" fontId="0" fillId="0" borderId="0" xfId="0" applyNumberFormat="1" applyAlignment="1" applyProtection="1">
      <alignment horizontal="center" vertical="center" wrapText="1"/>
      <protection locked="0"/>
    </xf>
    <xf numFmtId="44" fontId="0" fillId="0" borderId="0" xfId="2" applyFont="1" applyBorder="1" applyAlignment="1" applyProtection="1">
      <alignment horizontal="center" vertical="center" wrapText="1"/>
      <protection locked="0"/>
    </xf>
    <xf numFmtId="44" fontId="0" fillId="0" borderId="0" xfId="2" applyFont="1" applyAlignment="1" applyProtection="1">
      <alignment horizontal="center" vertical="center"/>
      <protection locked="0"/>
    </xf>
    <xf numFmtId="44" fontId="0" fillId="2" borderId="0" xfId="2" applyFont="1" applyFill="1" applyAlignment="1" applyProtection="1">
      <alignment horizontal="center" vertical="center"/>
    </xf>
    <xf numFmtId="0" fontId="24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/>
      <protection locked="0"/>
    </xf>
    <xf numFmtId="8" fontId="0" fillId="0" borderId="0" xfId="2" applyNumberFormat="1" applyFont="1" applyProtection="1">
      <protection locked="0"/>
    </xf>
    <xf numFmtId="8" fontId="0" fillId="2" borderId="0" xfId="2" applyNumberFormat="1" applyFont="1" applyFill="1" applyProtection="1"/>
    <xf numFmtId="44" fontId="0" fillId="0" borderId="0" xfId="0" applyNumberFormat="1" applyProtection="1">
      <protection locked="0"/>
    </xf>
    <xf numFmtId="8" fontId="0" fillId="0" borderId="0" xfId="2" applyNumberFormat="1" applyFont="1" applyAlignment="1" applyProtection="1">
      <alignment horizontal="left"/>
      <protection locked="0"/>
    </xf>
  </cellXfs>
  <cellStyles count="5">
    <cellStyle name="Moeda" xfId="2" builtinId="4"/>
    <cellStyle name="Moeda 2" xfId="4"/>
    <cellStyle name="Normal" xfId="0" builtinId="0"/>
    <cellStyle name="Vírgula" xfId="1" builtinId="3"/>
    <cellStyle name="Vírgula 2" xfId="3"/>
  </cellStyles>
  <dxfs count="38"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textRotation="0" indent="0" justifyLastLine="0" shrinkToFit="0" readingOrder="0"/>
      <protection locked="1" hidden="0"/>
    </dxf>
    <dxf>
      <alignment textRotation="0" wrapText="1" indent="0" justifyLastLine="0" shrinkToFit="0" readingOrder="0"/>
      <protection locked="0" hidden="0"/>
    </dxf>
    <dxf>
      <alignment horizontal="center" textRotation="0" indent="0" justifyLastLine="0" shrinkToFit="0" readingOrder="0"/>
      <protection locked="0" hidden="0"/>
    </dxf>
    <dxf>
      <numFmt numFmtId="19" formatCode="dd/mm/yyyy"/>
      <alignment horizontal="center" textRotation="0" indent="0" justifyLastLine="0" shrinkToFit="0" readingOrder="0"/>
      <protection locked="0" hidden="0"/>
    </dxf>
    <dxf>
      <fill>
        <patternFill patternType="solid">
          <fgColor indexed="64"/>
          <bgColor theme="2" tint="-9.9978637043366805E-2"/>
        </patternFill>
      </fill>
      <protection locked="1" hidden="0"/>
    </dxf>
    <dxf>
      <protection locked="0" hidden="0"/>
    </dxf>
    <dxf>
      <alignment horizontal="center" textRotation="0" indent="0" justifyLastLine="0" shrinkToFit="0" readingOrder="0"/>
      <protection locked="0" hidden="0"/>
    </dxf>
    <dxf>
      <alignment horizontal="center" textRotation="0" indent="0" justifyLastLine="0" shrinkToFit="0" readingOrder="0"/>
      <protection locked="0" hidden="0"/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164" formatCode="_-* #,##0_-;\-* #,##0_-;_-* &quot;-&quot;??_-;_-@_-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0" hidden="0"/>
    </dxf>
    <dxf>
      <numFmt numFmtId="0" formatCode="General"/>
      <fill>
        <patternFill patternType="solid">
          <fgColor indexed="64"/>
          <bgColor theme="2" tint="-9.9978637043366805E-2"/>
        </patternFill>
      </fill>
      <alignment horizontal="center" textRotation="0" indent="0" justifyLastLine="0" shrinkToFit="0" readingOrder="0"/>
      <protection locked="1" hidden="0"/>
    </dxf>
    <dxf>
      <numFmt numFmtId="164" formatCode="_-* #,##0_-;\-* #,##0_-;_-* &quot;-&quot;??_-;_-@_-"/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9" formatCode="dd/mm/yyyy"/>
      <alignment horizontal="general" textRotation="0" indent="0" justifyLastLine="0" shrinkToFit="0" readingOrder="0"/>
      <protection locked="0" hidden="0"/>
    </dxf>
    <dxf>
      <numFmt numFmtId="19" formatCode="dd/mm/yyyy"/>
      <fill>
        <patternFill patternType="none">
          <fgColor indexed="64"/>
          <bgColor auto="1"/>
        </patternFill>
      </fill>
      <alignment horizontal="general" textRotation="0" indent="0" justifyLastLine="0" shrinkToFit="0" readingOrder="0"/>
      <protection locked="0" hidden="0"/>
    </dxf>
    <dxf>
      <numFmt numFmtId="164" formatCode="_-* #,##0_-;\-* #,##0_-;_-* &quot;-&quot;??_-;_-@_-"/>
      <alignment horizontal="center" vertical="center" textRotation="0" indent="0" justifyLastLine="0" shrinkToFit="0" readingOrder="0"/>
      <protection locked="0" hidden="0"/>
    </dxf>
    <dxf>
      <numFmt numFmtId="19" formatCode="dd/mm/yyyy"/>
      <alignment horizontal="general" textRotation="0" indent="0" justifyLastLine="0" shrinkToFit="0" readingOrder="0"/>
      <protection locked="0" hidden="0"/>
    </dxf>
    <dxf>
      <numFmt numFmtId="0" formatCode="General"/>
      <alignment horizontal="center" textRotation="0" wrapText="0" indent="0" justifyLastLine="0" shrinkToFit="0" readingOrder="0"/>
      <protection locked="0" hidden="0"/>
    </dxf>
    <dxf>
      <alignment horizontal="left" textRotation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auto="1"/>
        <name val="Aptos Narrow"/>
      </font>
      <numFmt numFmtId="0" formatCode="General"/>
      <alignment horizontal="center" textRotation="0" indent="0" justifyLastLine="0" shrinkToFit="0" readingOrder="0"/>
      <protection locked="0" hidden="0"/>
    </dxf>
    <dxf>
      <numFmt numFmtId="0" formatCode="General"/>
      <protection locked="0" hidden="0"/>
    </dxf>
    <dxf>
      <numFmt numFmtId="0" formatCode="General"/>
      <alignment horizontal="left" textRotation="0" indent="0" justifyLastLine="0" shrinkToFit="0" readingOrder="0"/>
      <protection locked="0" hidden="0"/>
    </dxf>
    <dxf>
      <alignment horizontal="center" textRotation="0" indent="0" justifyLastLine="0" shrinkToFit="0" readingOrder="0"/>
      <protection locked="0" hidden="0"/>
    </dxf>
    <dxf>
      <alignment horizontal="center" vertical="bottom" textRotation="0" indent="0" justifyLastLine="0" shrinkToFit="0" readingOrder="0"/>
      <protection locked="0" hidden="0"/>
    </dxf>
    <dxf>
      <alignment horizontal="left" textRotation="0" indent="0" justifyLastLine="0" shrinkToFit="0" readingOrder="0"/>
      <protection locked="0" hidden="0"/>
    </dxf>
    <dxf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5" Type="http://schemas.microsoft.com/office/2017/06/relationships/rdRichValue" Target="richData/rdrichvalue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microsoft.com/office/2017/06/relationships/rdRichValueStructure" Target="richData/rdrichvaluestructure.xml"/></Relationships>
</file>

<file path=xl/queryTables/queryTable1.xml><?xml version="1.0" encoding="utf-8"?>
<queryTable xmlns="http://schemas.openxmlformats.org/spreadsheetml/2006/main" name="DadosExternos_1" connectionId="3" autoFormatId="16" applyNumberFormats="0" applyBorderFormats="0" applyFontFormats="0" applyPatternFormats="0" applyAlignmentFormats="0" applyWidthHeightFormats="0">
  <queryTableRefresh nextId="15" unboundColumnsRight="1">
    <queryTableFields count="9">
      <queryTableField id="1" name="ID" tableColumnId="1"/>
      <queryTableField id="2" name="Código" tableColumnId="2"/>
      <queryTableField id="3" name="Razão Social" tableColumnId="3"/>
      <queryTableField id="4" name="Nome Fantasia" tableColumnId="4"/>
      <queryTableField id="5" name="CNPJ/CPF" tableColumnId="5"/>
      <queryTableField id="6" name="Desativação" tableColumnId="6"/>
      <queryTableField id="7" name="Cadastro" tableColumnId="7"/>
      <queryTableField id="8" name="Alteração" tableColumnId="8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name="DadosExternos_1" backgroundRefresh="0" connectionId="7" autoFormatId="16" applyNumberFormats="0" applyBorderFormats="0" applyFontFormats="0" applyPatternFormats="0" applyAlignmentFormats="0" applyWidthHeightFormats="0">
  <queryTableRefresh nextId="6">
    <queryTableFields count="3">
      <queryTableField id="3" name="Data.Column2" tableColumnId="3"/>
      <queryTableField id="2" name="Descrição Produto" tableColumnId="2"/>
      <queryTableField id="1" name="Codigo Produto" tableColumnId="1"/>
    </queryTableFields>
  </queryTableRefresh>
  <extLst>
    <ext xmlns:x15="http://schemas.microsoft.com/office/spreadsheetml/2010/11/main" uri="{883FBD77-0823-4a55-B5E3-86C4891E6966}">
      <x15:queryTable sourceDataName="Consulta - 000 - PEDIDOS DE CLIENTES"/>
    </ext>
  </extLst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23</v>
    <v>8</v>
    <v>435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Oficinas" displayName="TabOficinas" ref="C3:D26" totalsRowShown="0">
  <autoFilter ref="C3:D26"/>
  <tableColumns count="2">
    <tableColumn id="1" name="Status "/>
    <tableColumn id="2" name="Oficinas 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LISTA_DE_CLIENTES" displayName="LISTA_DE_CLIENTES" ref="F3:N5849" tableType="queryTable" totalsRowShown="0">
  <autoFilter ref="F3:N5849"/>
  <tableColumns count="9">
    <tableColumn id="1" uniqueName="1" name="ID" queryTableFieldId="1" dataDxfId="37"/>
    <tableColumn id="2" uniqueName="2" name="Código" queryTableFieldId="2" dataDxfId="36"/>
    <tableColumn id="3" uniqueName="3" name="Razão Social" queryTableFieldId="3" dataDxfId="35"/>
    <tableColumn id="4" uniqueName="4" name="Nome Fantasia" queryTableFieldId="4" dataDxfId="34"/>
    <tableColumn id="5" uniqueName="5" name="CNPJ/CPF" queryTableFieldId="5" dataDxfId="33"/>
    <tableColumn id="6" uniqueName="6" name="Desativação" queryTableFieldId="6"/>
    <tableColumn id="7" uniqueName="7" name="Cadastro" queryTableFieldId="7" dataDxfId="32"/>
    <tableColumn id="8" uniqueName="8" name="Alteração" queryTableFieldId="8" dataDxfId="31"/>
    <tableColumn id="10" uniqueName="10" name="Alteração2" queryTableFieldId="10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000___PEDIDOS_DE_CLIENTES" displayName="_000___PEDIDOS_DE_CLIENTES" ref="A1:C1398" tableType="queryTable" totalsRowShown="0">
  <autoFilter ref="A1:C1398"/>
  <tableColumns count="3">
    <tableColumn id="3" uniqueName="3" name="Data.Column2" queryTableFieldId="3"/>
    <tableColumn id="2" uniqueName="2" name="Descrição Produto" queryTableFieldId="2" dataDxfId="29"/>
    <tableColumn id="1" uniqueName="1" name="Codigo Produto" queryTableFieldId="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TAB_OFICINAS" displayName="TAB_OFICINAS" ref="C20:Z1594" totalsRowShown="0" headerRowDxfId="25" dataDxfId="24">
  <autoFilter ref="C20:Z1594">
    <filterColumn colId="0">
      <filters>
        <filter val="Agley"/>
      </filters>
    </filterColumn>
  </autoFilter>
  <sortState ref="C63:Z820">
    <sortCondition ref="T20:T1601"/>
  </sortState>
  <tableColumns count="24">
    <tableColumn id="1" name="   " dataDxfId="23"/>
    <tableColumn id="18" name="Cliente" dataDxfId="22"/>
    <tableColumn id="16" name="Pedido" dataDxfId="21"/>
    <tableColumn id="24" name="Nome Fantasia " dataDxfId="20">
      <calculatedColumnFormula>IFERROR(VLOOKUP(TAB_OFICINAS[[#This Row],[Cliente]],LISTA_DE_CLIENTES[[Código]:[Nome Fantasia]],2,FALSE),"")</calculatedColumnFormula>
    </tableColumn>
    <tableColumn id="21" name="Razão Social " dataDxfId="19">
      <calculatedColumnFormula>IFERROR(VLOOKUP(TAB_OFICINAS[[#This Row],[Cliente]],LISTA_DE_CLIENTES[[Código]:[Nome Fantasia]],3,FALSE),"")</calculatedColumnFormula>
    </tableColumn>
    <tableColumn id="3" name="Codigo Produto " dataDxfId="18"/>
    <tableColumn id="2" name="Item" dataDxfId="17"/>
    <tableColumn id="4" name="Qtd pçs Enviadas" dataDxfId="16" dataCellStyle="Vírgula"/>
    <tableColumn id="5" name="Data Envio" dataDxfId="15" dataCellStyle="Moeda"/>
    <tableColumn id="6" name="Qtd pçs Retornadas " dataDxfId="14" dataCellStyle="Vírgula"/>
    <tableColumn id="9" name="Data Prometida  Entrega" dataDxfId="13"/>
    <tableColumn id="7" name="Data Retorno Produção" dataDxfId="12"/>
    <tableColumn id="22" name="Dias Para Entrega" dataDxfId="11" dataCellStyle="Vírgula">
      <calculatedColumnFormula>TAB_OFICINAS[[#This Row],[Data Retorno Produção]]-TAB_OFICINAS[[#This Row],[Data Prometida  Entrega]]</calculatedColumnFormula>
    </tableColumn>
    <tableColumn id="20" name="Status Entrega" dataDxfId="10" dataCellStyle="Vírgula">
      <calculatedColumnFormula>IF(TAB_OFICINAS[[#This Row],[Dias Para Entrega]]&lt;=0,"Em dia","Dia de Atrasado")</calculatedColumnFormula>
    </tableColumn>
    <tableColumn id="8" name="Qtd pçs Pendetente " dataDxfId="9" dataCellStyle="Vírgula">
      <calculatedColumnFormula>IFERROR(TAB_OFICINAS[[#This Row],[Qtd pçs Enviadas]]-TAB_OFICINAS[[#This Row],[Qtd pçs Retornadas ]],"N/D ")</calculatedColumnFormula>
    </tableColumn>
    <tableColumn id="25" name="Peças Com Defeitos" dataDxfId="8" dataCellStyle="Vírgula"/>
    <tableColumn id="10" name="NF FAF/TC" dataDxfId="7"/>
    <tableColumn id="11" name="NF OFICINA" dataDxfId="6"/>
    <tableColumn id="13" name="Valor Unit" dataDxfId="5" dataCellStyle="Moeda"/>
    <tableColumn id="14" name="Valot Total" dataDxfId="4" dataCellStyle="Moeda">
      <calculatedColumnFormula>IFERROR(TAB_OFICINAS[[#This Row],[Valor Unit]]*TAB_OFICINAS[[#This Row],[Qtd pçs Enviadas]]," ")</calculatedColumnFormula>
    </tableColumn>
    <tableColumn id="15" name="Data Vencimento" dataDxfId="3"/>
    <tableColumn id="17" name="Entrada Manual" dataDxfId="2"/>
    <tableColumn id="19" name="Observações" dataDxfId="1"/>
    <tableColumn id="23" name="Status Peças " dataDxfId="0">
      <calculatedColumnFormula>IF(TAB_OFICINAS[[#This Row],[Qtd pçs Enviadas]]=TAB_OFICINAS[[#This Row],[Qtd pçs Retornadas ]],"Produção Finalizada",TAB_OFICINAS[[#This Row],[Qtd pçs Pendetente ]] &amp; " " &amp; "Pçs Pendente")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D26"/>
  <sheetViews>
    <sheetView workbookViewId="0">
      <selection activeCell="F22" sqref="F22"/>
    </sheetView>
  </sheetViews>
  <sheetFormatPr defaultRowHeight="14.25"/>
  <cols>
    <col min="3" max="3" width="16.125" customWidth="1"/>
    <col min="4" max="4" width="17.75" customWidth="1"/>
  </cols>
  <sheetData>
    <row r="3" spans="3:4">
      <c r="C3" t="s">
        <v>0</v>
      </c>
      <c r="D3" t="s">
        <v>20289</v>
      </c>
    </row>
    <row r="4" spans="3:4">
      <c r="C4" t="s">
        <v>23618</v>
      </c>
      <c r="D4" t="s">
        <v>1</v>
      </c>
    </row>
    <row r="5" spans="3:4">
      <c r="C5" t="s">
        <v>2</v>
      </c>
      <c r="D5" t="s">
        <v>3</v>
      </c>
    </row>
    <row r="6" spans="3:4">
      <c r="C6" t="s">
        <v>4</v>
      </c>
      <c r="D6" t="s">
        <v>5</v>
      </c>
    </row>
    <row r="7" spans="3:4">
      <c r="D7" t="s">
        <v>6</v>
      </c>
    </row>
    <row r="8" spans="3:4">
      <c r="D8" t="s">
        <v>7</v>
      </c>
    </row>
    <row r="9" spans="3:4">
      <c r="D9" t="s">
        <v>8</v>
      </c>
    </row>
    <row r="10" spans="3:4">
      <c r="D10" t="s">
        <v>9</v>
      </c>
    </row>
    <row r="11" spans="3:4">
      <c r="D11" t="s">
        <v>10</v>
      </c>
    </row>
    <row r="12" spans="3:4">
      <c r="D12" t="s">
        <v>11</v>
      </c>
    </row>
    <row r="13" spans="3:4">
      <c r="D13" t="s">
        <v>12</v>
      </c>
    </row>
    <row r="14" spans="3:4">
      <c r="D14" t="s">
        <v>13</v>
      </c>
    </row>
    <row r="15" spans="3:4">
      <c r="D15" t="s">
        <v>14</v>
      </c>
    </row>
    <row r="16" spans="3:4">
      <c r="D16" t="s">
        <v>15</v>
      </c>
    </row>
    <row r="17" spans="4:4">
      <c r="D17" t="s">
        <v>16</v>
      </c>
    </row>
    <row r="18" spans="4:4">
      <c r="D18" t="s">
        <v>17</v>
      </c>
    </row>
    <row r="19" spans="4:4">
      <c r="D19" t="s">
        <v>18</v>
      </c>
    </row>
    <row r="20" spans="4:4">
      <c r="D20" t="s">
        <v>19</v>
      </c>
    </row>
    <row r="21" spans="4:4">
      <c r="D21" t="s">
        <v>20</v>
      </c>
    </row>
    <row r="22" spans="4:4">
      <c r="D22" t="s">
        <v>21</v>
      </c>
    </row>
    <row r="23" spans="4:4">
      <c r="D23" t="s">
        <v>21197</v>
      </c>
    </row>
    <row r="24" spans="4:4">
      <c r="D24" t="s">
        <v>21607</v>
      </c>
    </row>
    <row r="25" spans="4:4">
      <c r="D25" t="s">
        <v>23617</v>
      </c>
    </row>
    <row r="26" spans="4:4">
      <c r="D26" t="s">
        <v>22914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3:N5848"/>
  <sheetViews>
    <sheetView topLeftCell="D1" workbookViewId="0">
      <selection activeCell="P16" sqref="P16"/>
    </sheetView>
  </sheetViews>
  <sheetFormatPr defaultRowHeight="14.25"/>
  <cols>
    <col min="3" max="3" width="29.875" bestFit="1" customWidth="1"/>
    <col min="6" max="6" width="5.25" bestFit="1" customWidth="1"/>
    <col min="7" max="7" width="12" bestFit="1" customWidth="1"/>
    <col min="8" max="8" width="58.25" bestFit="1" customWidth="1"/>
    <col min="9" max="9" width="25.125" bestFit="1" customWidth="1"/>
    <col min="10" max="10" width="15.125" bestFit="1" customWidth="1"/>
    <col min="11" max="11" width="14.25" bestFit="1" customWidth="1"/>
    <col min="12" max="12" width="11.375" bestFit="1" customWidth="1"/>
    <col min="13" max="13" width="11.75" bestFit="1" customWidth="1"/>
    <col min="14" max="14" width="12.75" bestFit="1" customWidth="1"/>
  </cols>
  <sheetData>
    <row r="3" spans="5:14"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 t="s">
        <v>28</v>
      </c>
      <c r="M3" t="s">
        <v>29</v>
      </c>
      <c r="N3" t="s">
        <v>20500</v>
      </c>
    </row>
    <row r="4" spans="5:14">
      <c r="E4">
        <v>1</v>
      </c>
      <c r="F4" t="s">
        <v>6260</v>
      </c>
      <c r="G4">
        <v>1</v>
      </c>
      <c r="H4" t="s">
        <v>6261</v>
      </c>
      <c r="I4" t="s">
        <v>6262</v>
      </c>
      <c r="J4" t="s">
        <v>6263</v>
      </c>
    </row>
    <row r="5" spans="5:14">
      <c r="F5" t="s">
        <v>6264</v>
      </c>
      <c r="H5" t="s">
        <v>6265</v>
      </c>
      <c r="I5" t="s">
        <v>6266</v>
      </c>
      <c r="J5" t="s">
        <v>6267</v>
      </c>
    </row>
    <row r="6" spans="5:14">
      <c r="F6" t="s">
        <v>6268</v>
      </c>
      <c r="G6">
        <v>3</v>
      </c>
      <c r="H6" t="s">
        <v>6269</v>
      </c>
      <c r="I6" t="s">
        <v>6269</v>
      </c>
      <c r="J6" t="s">
        <v>6270</v>
      </c>
    </row>
    <row r="7" spans="5:14">
      <c r="F7" t="s">
        <v>6271</v>
      </c>
      <c r="G7">
        <v>4</v>
      </c>
      <c r="H7" t="s">
        <v>1348</v>
      </c>
      <c r="I7" t="s">
        <v>1349</v>
      </c>
      <c r="J7" t="s">
        <v>6272</v>
      </c>
    </row>
    <row r="8" spans="5:14">
      <c r="F8" t="s">
        <v>6273</v>
      </c>
      <c r="G8">
        <v>5</v>
      </c>
      <c r="H8" t="s">
        <v>5906</v>
      </c>
      <c r="I8" t="s">
        <v>5907</v>
      </c>
      <c r="J8" t="s">
        <v>6274</v>
      </c>
    </row>
    <row r="9" spans="5:14">
      <c r="F9" t="s">
        <v>6275</v>
      </c>
      <c r="G9">
        <v>6</v>
      </c>
      <c r="H9" t="s">
        <v>4156</v>
      </c>
      <c r="I9" t="s">
        <v>4157</v>
      </c>
      <c r="J9" t="s">
        <v>6276</v>
      </c>
    </row>
    <row r="10" spans="5:14">
      <c r="F10" t="s">
        <v>6277</v>
      </c>
      <c r="G10">
        <v>7</v>
      </c>
      <c r="H10" t="s">
        <v>6278</v>
      </c>
      <c r="I10" t="s">
        <v>6279</v>
      </c>
      <c r="J10" t="s">
        <v>6280</v>
      </c>
    </row>
    <row r="11" spans="5:14">
      <c r="F11" t="s">
        <v>6281</v>
      </c>
      <c r="G11">
        <v>8</v>
      </c>
      <c r="H11" t="s">
        <v>6282</v>
      </c>
      <c r="I11" t="s">
        <v>6283</v>
      </c>
      <c r="J11" t="s">
        <v>6284</v>
      </c>
    </row>
    <row r="12" spans="5:14">
      <c r="F12" t="s">
        <v>6285</v>
      </c>
      <c r="G12">
        <v>9</v>
      </c>
      <c r="H12" t="s">
        <v>1844</v>
      </c>
      <c r="I12" t="s">
        <v>1845</v>
      </c>
      <c r="J12" t="s">
        <v>6286</v>
      </c>
    </row>
    <row r="13" spans="5:14">
      <c r="F13" t="s">
        <v>6287</v>
      </c>
      <c r="G13">
        <v>10</v>
      </c>
      <c r="H13" t="s">
        <v>74</v>
      </c>
      <c r="I13" t="s">
        <v>75</v>
      </c>
      <c r="J13" t="s">
        <v>6288</v>
      </c>
    </row>
    <row r="14" spans="5:14">
      <c r="F14" t="s">
        <v>6289</v>
      </c>
      <c r="G14">
        <v>11</v>
      </c>
      <c r="H14" t="s">
        <v>80</v>
      </c>
      <c r="I14" t="s">
        <v>81</v>
      </c>
      <c r="J14" t="s">
        <v>6290</v>
      </c>
    </row>
    <row r="15" spans="5:14">
      <c r="F15" t="s">
        <v>6291</v>
      </c>
      <c r="G15">
        <v>12</v>
      </c>
      <c r="H15" t="s">
        <v>106</v>
      </c>
      <c r="I15" t="s">
        <v>107</v>
      </c>
      <c r="J15" t="s">
        <v>6292</v>
      </c>
    </row>
    <row r="16" spans="5:14">
      <c r="F16" t="s">
        <v>6293</v>
      </c>
      <c r="G16">
        <v>13</v>
      </c>
      <c r="H16" t="s">
        <v>124</v>
      </c>
      <c r="I16" t="s">
        <v>125</v>
      </c>
      <c r="J16" t="s">
        <v>6294</v>
      </c>
    </row>
    <row r="17" spans="6:10">
      <c r="F17" t="s">
        <v>6295</v>
      </c>
      <c r="G17">
        <v>14</v>
      </c>
      <c r="H17" t="s">
        <v>126</v>
      </c>
      <c r="I17" t="s">
        <v>127</v>
      </c>
      <c r="J17" t="s">
        <v>6296</v>
      </c>
    </row>
    <row r="18" spans="6:10">
      <c r="F18" t="s">
        <v>6297</v>
      </c>
      <c r="G18">
        <v>15</v>
      </c>
      <c r="H18" t="s">
        <v>145</v>
      </c>
      <c r="I18" t="s">
        <v>146</v>
      </c>
      <c r="J18" t="s">
        <v>6298</v>
      </c>
    </row>
    <row r="19" spans="6:10">
      <c r="F19" t="s">
        <v>6299</v>
      </c>
      <c r="G19">
        <v>16</v>
      </c>
      <c r="H19" t="s">
        <v>163</v>
      </c>
      <c r="I19" t="s">
        <v>164</v>
      </c>
      <c r="J19" t="s">
        <v>6300</v>
      </c>
    </row>
    <row r="20" spans="6:10">
      <c r="F20" t="s">
        <v>6301</v>
      </c>
      <c r="G20">
        <v>17</v>
      </c>
      <c r="H20" t="s">
        <v>6302</v>
      </c>
      <c r="I20" t="s">
        <v>6303</v>
      </c>
      <c r="J20" t="s">
        <v>6304</v>
      </c>
    </row>
    <row r="21" spans="6:10">
      <c r="F21" t="s">
        <v>6305</v>
      </c>
      <c r="G21">
        <v>18</v>
      </c>
      <c r="H21" t="s">
        <v>183</v>
      </c>
      <c r="I21" t="s">
        <v>184</v>
      </c>
      <c r="J21" t="s">
        <v>6306</v>
      </c>
    </row>
    <row r="22" spans="6:10">
      <c r="F22" t="s">
        <v>6307</v>
      </c>
      <c r="G22">
        <v>19</v>
      </c>
      <c r="H22" t="s">
        <v>259</v>
      </c>
      <c r="I22" t="s">
        <v>260</v>
      </c>
      <c r="J22" t="s">
        <v>6308</v>
      </c>
    </row>
    <row r="23" spans="6:10">
      <c r="F23" t="s">
        <v>6309</v>
      </c>
      <c r="G23">
        <v>20</v>
      </c>
      <c r="H23" t="s">
        <v>265</v>
      </c>
      <c r="I23" t="s">
        <v>266</v>
      </c>
      <c r="J23" t="s">
        <v>6310</v>
      </c>
    </row>
    <row r="24" spans="6:10">
      <c r="F24" t="s">
        <v>6311</v>
      </c>
      <c r="G24">
        <v>21</v>
      </c>
      <c r="H24" t="s">
        <v>57</v>
      </c>
      <c r="I24" t="s">
        <v>58</v>
      </c>
      <c r="J24" t="s">
        <v>6312</v>
      </c>
    </row>
    <row r="25" spans="6:10">
      <c r="F25" t="s">
        <v>6313</v>
      </c>
      <c r="G25">
        <v>22</v>
      </c>
      <c r="H25" t="s">
        <v>57</v>
      </c>
      <c r="I25" t="s">
        <v>57</v>
      </c>
      <c r="J25" t="s">
        <v>6314</v>
      </c>
    </row>
    <row r="26" spans="6:10">
      <c r="F26" t="s">
        <v>6315</v>
      </c>
      <c r="G26">
        <v>23</v>
      </c>
      <c r="H26" t="s">
        <v>404</v>
      </c>
      <c r="I26" t="s">
        <v>405</v>
      </c>
      <c r="J26" t="s">
        <v>6316</v>
      </c>
    </row>
    <row r="27" spans="6:10">
      <c r="F27" t="s">
        <v>6317</v>
      </c>
      <c r="G27">
        <v>24</v>
      </c>
      <c r="H27" t="s">
        <v>443</v>
      </c>
      <c r="I27" t="s">
        <v>444</v>
      </c>
      <c r="J27" t="s">
        <v>6318</v>
      </c>
    </row>
    <row r="28" spans="6:10">
      <c r="F28" t="s">
        <v>6319</v>
      </c>
      <c r="G28">
        <v>25</v>
      </c>
      <c r="H28" t="s">
        <v>484</v>
      </c>
      <c r="I28" t="s">
        <v>485</v>
      </c>
      <c r="J28" t="s">
        <v>6320</v>
      </c>
    </row>
    <row r="29" spans="6:10">
      <c r="F29" t="s">
        <v>6321</v>
      </c>
      <c r="G29">
        <v>26</v>
      </c>
      <c r="H29" t="s">
        <v>486</v>
      </c>
      <c r="I29" t="s">
        <v>487</v>
      </c>
      <c r="J29" t="s">
        <v>6322</v>
      </c>
    </row>
    <row r="30" spans="6:10">
      <c r="F30" t="s">
        <v>6323</v>
      </c>
      <c r="G30">
        <v>27</v>
      </c>
      <c r="H30" t="s">
        <v>492</v>
      </c>
      <c r="I30" t="s">
        <v>493</v>
      </c>
      <c r="J30" t="s">
        <v>6324</v>
      </c>
    </row>
    <row r="31" spans="6:10">
      <c r="F31" t="s">
        <v>6325</v>
      </c>
      <c r="G31">
        <v>28</v>
      </c>
      <c r="H31" t="s">
        <v>514</v>
      </c>
      <c r="I31" t="s">
        <v>515</v>
      </c>
      <c r="J31" t="s">
        <v>6326</v>
      </c>
    </row>
    <row r="32" spans="6:10">
      <c r="F32" t="s">
        <v>6327</v>
      </c>
      <c r="G32">
        <v>29</v>
      </c>
      <c r="H32" t="s">
        <v>6328</v>
      </c>
      <c r="I32" t="s">
        <v>6329</v>
      </c>
      <c r="J32" t="s">
        <v>6330</v>
      </c>
    </row>
    <row r="33" spans="6:10">
      <c r="F33" t="s">
        <v>6331</v>
      </c>
      <c r="G33">
        <v>30</v>
      </c>
      <c r="H33" t="s">
        <v>548</v>
      </c>
      <c r="I33" t="s">
        <v>549</v>
      </c>
      <c r="J33" t="s">
        <v>6332</v>
      </c>
    </row>
    <row r="34" spans="6:10">
      <c r="F34" t="s">
        <v>6250</v>
      </c>
      <c r="G34">
        <v>31</v>
      </c>
      <c r="H34" t="s">
        <v>548</v>
      </c>
      <c r="I34" t="s">
        <v>550</v>
      </c>
      <c r="J34" t="s">
        <v>6333</v>
      </c>
    </row>
    <row r="35" spans="6:10">
      <c r="F35" t="s">
        <v>6252</v>
      </c>
      <c r="G35">
        <v>32</v>
      </c>
      <c r="H35" t="s">
        <v>548</v>
      </c>
      <c r="I35" t="s">
        <v>551</v>
      </c>
      <c r="J35" t="s">
        <v>6334</v>
      </c>
    </row>
    <row r="36" spans="6:10">
      <c r="F36" t="s">
        <v>6254</v>
      </c>
      <c r="G36">
        <v>33</v>
      </c>
      <c r="H36" t="s">
        <v>548</v>
      </c>
      <c r="I36" t="s">
        <v>552</v>
      </c>
      <c r="J36" t="s">
        <v>6335</v>
      </c>
    </row>
    <row r="37" spans="6:10">
      <c r="F37" t="s">
        <v>6255</v>
      </c>
      <c r="G37">
        <v>34</v>
      </c>
      <c r="H37" t="s">
        <v>548</v>
      </c>
      <c r="I37" t="s">
        <v>553</v>
      </c>
      <c r="J37" t="s">
        <v>6336</v>
      </c>
    </row>
    <row r="38" spans="6:10">
      <c r="F38" t="s">
        <v>6337</v>
      </c>
      <c r="G38">
        <v>35</v>
      </c>
      <c r="H38" t="s">
        <v>548</v>
      </c>
      <c r="I38" t="s">
        <v>554</v>
      </c>
      <c r="J38" t="s">
        <v>6338</v>
      </c>
    </row>
    <row r="39" spans="6:10">
      <c r="F39" t="s">
        <v>6339</v>
      </c>
      <c r="G39">
        <v>36</v>
      </c>
      <c r="H39" t="s">
        <v>596</v>
      </c>
      <c r="I39" t="s">
        <v>597</v>
      </c>
      <c r="J39" t="s">
        <v>6340</v>
      </c>
    </row>
    <row r="40" spans="6:10">
      <c r="F40" t="s">
        <v>6341</v>
      </c>
      <c r="G40">
        <v>37</v>
      </c>
      <c r="H40" t="s">
        <v>602</v>
      </c>
      <c r="I40" t="s">
        <v>603</v>
      </c>
      <c r="J40" t="s">
        <v>6342</v>
      </c>
    </row>
    <row r="41" spans="6:10">
      <c r="F41" t="s">
        <v>6343</v>
      </c>
      <c r="G41">
        <v>38</v>
      </c>
      <c r="H41" t="s">
        <v>602</v>
      </c>
      <c r="I41" t="s">
        <v>604</v>
      </c>
      <c r="J41" t="s">
        <v>6344</v>
      </c>
    </row>
    <row r="42" spans="6:10">
      <c r="F42" t="s">
        <v>6345</v>
      </c>
      <c r="G42">
        <v>39</v>
      </c>
      <c r="H42" t="s">
        <v>660</v>
      </c>
      <c r="I42" t="s">
        <v>661</v>
      </c>
      <c r="J42" t="s">
        <v>6346</v>
      </c>
    </row>
    <row r="43" spans="6:10">
      <c r="F43" t="s">
        <v>6347</v>
      </c>
      <c r="G43">
        <v>40</v>
      </c>
      <c r="H43" t="s">
        <v>708</v>
      </c>
      <c r="I43" t="s">
        <v>709</v>
      </c>
      <c r="J43" t="s">
        <v>6348</v>
      </c>
    </row>
    <row r="44" spans="6:10">
      <c r="F44" t="s">
        <v>6349</v>
      </c>
      <c r="G44">
        <v>41</v>
      </c>
      <c r="H44" t="s">
        <v>712</v>
      </c>
      <c r="I44" t="s">
        <v>713</v>
      </c>
      <c r="J44" t="s">
        <v>6350</v>
      </c>
    </row>
    <row r="45" spans="6:10">
      <c r="F45" t="s">
        <v>6351</v>
      </c>
      <c r="G45">
        <v>42</v>
      </c>
      <c r="H45" t="s">
        <v>734</v>
      </c>
      <c r="I45" t="s">
        <v>735</v>
      </c>
      <c r="J45" t="s">
        <v>6352</v>
      </c>
    </row>
    <row r="46" spans="6:10">
      <c r="F46" t="s">
        <v>6353</v>
      </c>
      <c r="G46">
        <v>43</v>
      </c>
      <c r="H46" t="s">
        <v>738</v>
      </c>
      <c r="I46" t="s">
        <v>739</v>
      </c>
      <c r="J46" t="s">
        <v>6354</v>
      </c>
    </row>
    <row r="47" spans="6:10">
      <c r="F47" t="s">
        <v>6355</v>
      </c>
      <c r="G47">
        <v>44</v>
      </c>
      <c r="H47" t="s">
        <v>749</v>
      </c>
      <c r="I47" t="s">
        <v>750</v>
      </c>
      <c r="J47" t="s">
        <v>6356</v>
      </c>
    </row>
    <row r="48" spans="6:10">
      <c r="F48" t="s">
        <v>6357</v>
      </c>
      <c r="G48">
        <v>45</v>
      </c>
      <c r="H48" t="s">
        <v>744</v>
      </c>
      <c r="I48" t="s">
        <v>745</v>
      </c>
      <c r="J48" t="s">
        <v>6358</v>
      </c>
    </row>
    <row r="49" spans="6:10">
      <c r="F49" t="s">
        <v>6359</v>
      </c>
      <c r="G49">
        <v>46</v>
      </c>
      <c r="H49" t="s">
        <v>781</v>
      </c>
      <c r="I49" t="s">
        <v>782</v>
      </c>
      <c r="J49" t="s">
        <v>6360</v>
      </c>
    </row>
    <row r="50" spans="6:10">
      <c r="F50" t="s">
        <v>6361</v>
      </c>
      <c r="G50">
        <v>47</v>
      </c>
      <c r="H50" t="s">
        <v>794</v>
      </c>
      <c r="I50" t="s">
        <v>792</v>
      </c>
      <c r="J50" t="s">
        <v>6362</v>
      </c>
    </row>
    <row r="51" spans="6:10">
      <c r="F51" t="s">
        <v>6363</v>
      </c>
      <c r="G51">
        <v>48</v>
      </c>
      <c r="H51" t="s">
        <v>817</v>
      </c>
      <c r="I51" t="s">
        <v>818</v>
      </c>
      <c r="J51" t="s">
        <v>6364</v>
      </c>
    </row>
    <row r="52" spans="6:10">
      <c r="F52" t="s">
        <v>6365</v>
      </c>
      <c r="G52">
        <v>49</v>
      </c>
      <c r="H52" t="s">
        <v>830</v>
      </c>
      <c r="I52" t="s">
        <v>831</v>
      </c>
      <c r="J52" t="s">
        <v>6366</v>
      </c>
    </row>
    <row r="53" spans="6:10">
      <c r="F53" t="s">
        <v>6367</v>
      </c>
      <c r="G53">
        <v>50</v>
      </c>
      <c r="H53" t="s">
        <v>832</v>
      </c>
      <c r="I53" t="s">
        <v>833</v>
      </c>
      <c r="J53" t="s">
        <v>6368</v>
      </c>
    </row>
    <row r="54" spans="6:10">
      <c r="F54" t="s">
        <v>6369</v>
      </c>
      <c r="G54">
        <v>51</v>
      </c>
      <c r="H54" t="s">
        <v>795</v>
      </c>
      <c r="I54" t="s">
        <v>796</v>
      </c>
      <c r="J54" t="s">
        <v>6370</v>
      </c>
    </row>
    <row r="55" spans="6:10">
      <c r="F55" t="s">
        <v>6371</v>
      </c>
      <c r="G55">
        <v>52</v>
      </c>
      <c r="H55" t="s">
        <v>845</v>
      </c>
      <c r="I55" t="s">
        <v>846</v>
      </c>
      <c r="J55" t="s">
        <v>6372</v>
      </c>
    </row>
    <row r="56" spans="6:10">
      <c r="F56" t="s">
        <v>6373</v>
      </c>
      <c r="G56">
        <v>53</v>
      </c>
      <c r="H56" t="s">
        <v>928</v>
      </c>
      <c r="I56" t="s">
        <v>929</v>
      </c>
      <c r="J56" t="s">
        <v>6374</v>
      </c>
    </row>
    <row r="57" spans="6:10">
      <c r="F57" t="s">
        <v>6375</v>
      </c>
      <c r="G57">
        <v>54</v>
      </c>
      <c r="H57" t="s">
        <v>936</v>
      </c>
      <c r="I57" t="s">
        <v>937</v>
      </c>
      <c r="J57" t="s">
        <v>6376</v>
      </c>
    </row>
    <row r="58" spans="6:10">
      <c r="F58" t="s">
        <v>6377</v>
      </c>
      <c r="G58">
        <v>55</v>
      </c>
      <c r="H58" t="s">
        <v>965</v>
      </c>
      <c r="I58" t="s">
        <v>966</v>
      </c>
      <c r="J58" t="s">
        <v>6378</v>
      </c>
    </row>
    <row r="59" spans="6:10">
      <c r="F59" t="s">
        <v>6379</v>
      </c>
      <c r="G59">
        <v>56</v>
      </c>
      <c r="H59" t="s">
        <v>1001</v>
      </c>
      <c r="I59" t="s">
        <v>1002</v>
      </c>
      <c r="J59" t="s">
        <v>6380</v>
      </c>
    </row>
    <row r="60" spans="6:10">
      <c r="F60" t="s">
        <v>6381</v>
      </c>
      <c r="G60">
        <v>57</v>
      </c>
      <c r="H60" t="s">
        <v>1013</v>
      </c>
      <c r="I60" t="s">
        <v>1014</v>
      </c>
      <c r="J60" t="s">
        <v>6382</v>
      </c>
    </row>
    <row r="61" spans="6:10">
      <c r="F61" t="s">
        <v>6383</v>
      </c>
      <c r="G61">
        <v>58</v>
      </c>
      <c r="H61" t="s">
        <v>1047</v>
      </c>
      <c r="I61" t="s">
        <v>1048</v>
      </c>
      <c r="J61" t="s">
        <v>6384</v>
      </c>
    </row>
    <row r="62" spans="6:10">
      <c r="F62" t="s">
        <v>6385</v>
      </c>
      <c r="G62">
        <v>59</v>
      </c>
      <c r="H62" t="s">
        <v>6386</v>
      </c>
      <c r="I62" t="s">
        <v>6387</v>
      </c>
      <c r="J62" t="s">
        <v>6388</v>
      </c>
    </row>
    <row r="63" spans="6:10">
      <c r="F63" t="s">
        <v>6389</v>
      </c>
      <c r="G63">
        <v>60</v>
      </c>
      <c r="H63" t="s">
        <v>1106</v>
      </c>
      <c r="I63" t="s">
        <v>1107</v>
      </c>
      <c r="J63" t="s">
        <v>6390</v>
      </c>
    </row>
    <row r="64" spans="6:10">
      <c r="F64" t="s">
        <v>6391</v>
      </c>
      <c r="G64">
        <v>61</v>
      </c>
      <c r="H64" t="s">
        <v>1109</v>
      </c>
      <c r="I64" t="s">
        <v>1110</v>
      </c>
      <c r="J64" t="s">
        <v>6392</v>
      </c>
    </row>
    <row r="65" spans="6:10">
      <c r="F65" t="s">
        <v>6393</v>
      </c>
      <c r="G65">
        <v>62</v>
      </c>
      <c r="H65" t="s">
        <v>6394</v>
      </c>
      <c r="I65" t="s">
        <v>6395</v>
      </c>
      <c r="J65" t="s">
        <v>6396</v>
      </c>
    </row>
    <row r="66" spans="6:10">
      <c r="F66" t="s">
        <v>6397</v>
      </c>
      <c r="G66">
        <v>63</v>
      </c>
      <c r="H66" t="s">
        <v>1144</v>
      </c>
      <c r="I66" t="s">
        <v>1145</v>
      </c>
      <c r="J66" t="s">
        <v>6398</v>
      </c>
    </row>
    <row r="67" spans="6:10">
      <c r="F67" t="s">
        <v>6399</v>
      </c>
      <c r="G67">
        <v>64</v>
      </c>
      <c r="H67" t="s">
        <v>1158</v>
      </c>
      <c r="I67" t="s">
        <v>1159</v>
      </c>
      <c r="J67" t="s">
        <v>6400</v>
      </c>
    </row>
    <row r="68" spans="6:10">
      <c r="F68" t="s">
        <v>6401</v>
      </c>
      <c r="G68">
        <v>65</v>
      </c>
      <c r="H68" t="s">
        <v>1175</v>
      </c>
      <c r="I68" t="s">
        <v>1176</v>
      </c>
      <c r="J68" t="s">
        <v>6402</v>
      </c>
    </row>
    <row r="69" spans="6:10">
      <c r="F69" t="s">
        <v>6403</v>
      </c>
      <c r="G69">
        <v>66</v>
      </c>
      <c r="H69" t="s">
        <v>1199</v>
      </c>
      <c r="I69" t="s">
        <v>1200</v>
      </c>
      <c r="J69" t="s">
        <v>6404</v>
      </c>
    </row>
    <row r="70" spans="6:10">
      <c r="F70" t="s">
        <v>6405</v>
      </c>
      <c r="G70">
        <v>67</v>
      </c>
      <c r="H70" t="s">
        <v>1236</v>
      </c>
      <c r="I70" t="s">
        <v>1237</v>
      </c>
      <c r="J70" t="s">
        <v>6406</v>
      </c>
    </row>
    <row r="71" spans="6:10">
      <c r="F71" t="s">
        <v>6407</v>
      </c>
      <c r="G71">
        <v>68</v>
      </c>
      <c r="H71" t="s">
        <v>1242</v>
      </c>
      <c r="I71" t="s">
        <v>1243</v>
      </c>
      <c r="J71" t="s">
        <v>6408</v>
      </c>
    </row>
    <row r="72" spans="6:10">
      <c r="F72" t="s">
        <v>6409</v>
      </c>
      <c r="G72">
        <v>69</v>
      </c>
      <c r="H72" t="s">
        <v>1273</v>
      </c>
      <c r="I72" t="s">
        <v>1274</v>
      </c>
      <c r="J72" t="s">
        <v>6410</v>
      </c>
    </row>
    <row r="73" spans="6:10">
      <c r="F73" t="s">
        <v>6411</v>
      </c>
      <c r="G73">
        <v>70</v>
      </c>
      <c r="H73" t="s">
        <v>1275</v>
      </c>
      <c r="I73" t="s">
        <v>1276</v>
      </c>
      <c r="J73" t="s">
        <v>6412</v>
      </c>
    </row>
    <row r="74" spans="6:10">
      <c r="F74" t="s">
        <v>6413</v>
      </c>
      <c r="G74">
        <v>71</v>
      </c>
      <c r="H74" t="s">
        <v>1289</v>
      </c>
      <c r="I74" t="s">
        <v>1290</v>
      </c>
      <c r="J74" t="s">
        <v>6414</v>
      </c>
    </row>
    <row r="75" spans="6:10">
      <c r="F75" t="s">
        <v>6415</v>
      </c>
      <c r="G75">
        <v>72</v>
      </c>
      <c r="H75" t="s">
        <v>6416</v>
      </c>
      <c r="I75" t="s">
        <v>6417</v>
      </c>
      <c r="J75" t="s">
        <v>6418</v>
      </c>
    </row>
    <row r="76" spans="6:10">
      <c r="F76" t="s">
        <v>6419</v>
      </c>
      <c r="G76">
        <v>73</v>
      </c>
      <c r="H76" t="s">
        <v>1354</v>
      </c>
      <c r="I76" t="s">
        <v>1355</v>
      </c>
      <c r="J76" t="s">
        <v>6420</v>
      </c>
    </row>
    <row r="77" spans="6:10">
      <c r="F77" t="s">
        <v>6421</v>
      </c>
      <c r="G77">
        <v>74</v>
      </c>
      <c r="H77" t="s">
        <v>1359</v>
      </c>
      <c r="I77" t="s">
        <v>1360</v>
      </c>
      <c r="J77" t="s">
        <v>6422</v>
      </c>
    </row>
    <row r="78" spans="6:10">
      <c r="F78" t="s">
        <v>6423</v>
      </c>
      <c r="G78">
        <v>75</v>
      </c>
      <c r="H78" t="s">
        <v>1369</v>
      </c>
      <c r="I78" t="s">
        <v>1370</v>
      </c>
      <c r="J78" t="s">
        <v>6424</v>
      </c>
    </row>
    <row r="79" spans="6:10">
      <c r="F79" t="s">
        <v>6425</v>
      </c>
      <c r="G79">
        <v>76</v>
      </c>
      <c r="H79" t="s">
        <v>1384</v>
      </c>
      <c r="I79" t="s">
        <v>1385</v>
      </c>
      <c r="J79" t="s">
        <v>6426</v>
      </c>
    </row>
    <row r="80" spans="6:10">
      <c r="F80" t="s">
        <v>6427</v>
      </c>
      <c r="G80">
        <v>77</v>
      </c>
      <c r="H80" t="s">
        <v>1403</v>
      </c>
      <c r="I80" t="s">
        <v>1404</v>
      </c>
      <c r="J80" t="s">
        <v>6428</v>
      </c>
    </row>
    <row r="81" spans="6:10">
      <c r="F81" t="s">
        <v>6429</v>
      </c>
      <c r="G81">
        <v>78</v>
      </c>
      <c r="H81" t="s">
        <v>1413</v>
      </c>
      <c r="I81" t="s">
        <v>1404</v>
      </c>
      <c r="J81" t="s">
        <v>6430</v>
      </c>
    </row>
    <row r="82" spans="6:10">
      <c r="F82" t="s">
        <v>6431</v>
      </c>
      <c r="G82">
        <v>79</v>
      </c>
      <c r="H82" t="s">
        <v>1438</v>
      </c>
      <c r="I82" t="s">
        <v>1439</v>
      </c>
      <c r="J82" t="s">
        <v>6432</v>
      </c>
    </row>
    <row r="83" spans="6:10">
      <c r="F83" t="s">
        <v>6433</v>
      </c>
      <c r="G83">
        <v>80</v>
      </c>
      <c r="H83" t="s">
        <v>1440</v>
      </c>
      <c r="I83" t="s">
        <v>1441</v>
      </c>
      <c r="J83" t="s">
        <v>6434</v>
      </c>
    </row>
    <row r="84" spans="6:10">
      <c r="F84" t="s">
        <v>6435</v>
      </c>
      <c r="G84">
        <v>81</v>
      </c>
      <c r="H84" t="s">
        <v>1009</v>
      </c>
      <c r="I84" t="s">
        <v>1010</v>
      </c>
      <c r="J84" t="s">
        <v>6436</v>
      </c>
    </row>
    <row r="85" spans="6:10">
      <c r="F85" t="s">
        <v>6437</v>
      </c>
      <c r="G85">
        <v>82</v>
      </c>
      <c r="H85" t="s">
        <v>1442</v>
      </c>
      <c r="I85" t="s">
        <v>1443</v>
      </c>
      <c r="J85" t="s">
        <v>6438</v>
      </c>
    </row>
    <row r="86" spans="6:10">
      <c r="F86" t="s">
        <v>6439</v>
      </c>
      <c r="G86">
        <v>83</v>
      </c>
      <c r="H86" t="s">
        <v>1447</v>
      </c>
      <c r="I86" t="s">
        <v>1448</v>
      </c>
      <c r="J86" t="s">
        <v>6440</v>
      </c>
    </row>
    <row r="87" spans="6:10">
      <c r="F87" t="s">
        <v>6441</v>
      </c>
      <c r="G87">
        <v>84</v>
      </c>
      <c r="H87" t="s">
        <v>1451</v>
      </c>
      <c r="I87" t="s">
        <v>1010</v>
      </c>
      <c r="J87" t="s">
        <v>6442</v>
      </c>
    </row>
    <row r="88" spans="6:10">
      <c r="F88" t="s">
        <v>6443</v>
      </c>
      <c r="G88">
        <v>85</v>
      </c>
      <c r="H88" t="s">
        <v>1451</v>
      </c>
      <c r="I88" t="s">
        <v>1010</v>
      </c>
      <c r="J88" t="s">
        <v>6444</v>
      </c>
    </row>
    <row r="89" spans="6:10">
      <c r="F89" t="s">
        <v>6445</v>
      </c>
      <c r="G89">
        <v>86</v>
      </c>
      <c r="H89" t="s">
        <v>1456</v>
      </c>
      <c r="I89" t="s">
        <v>1457</v>
      </c>
      <c r="J89" t="s">
        <v>6446</v>
      </c>
    </row>
    <row r="90" spans="6:10">
      <c r="F90" t="s">
        <v>6447</v>
      </c>
      <c r="G90">
        <v>87</v>
      </c>
      <c r="H90" t="s">
        <v>1474</v>
      </c>
      <c r="I90" t="s">
        <v>1475</v>
      </c>
      <c r="J90" t="s">
        <v>6448</v>
      </c>
    </row>
    <row r="91" spans="6:10">
      <c r="F91" t="s">
        <v>6449</v>
      </c>
      <c r="G91">
        <v>88</v>
      </c>
      <c r="H91" t="s">
        <v>6450</v>
      </c>
      <c r="I91" t="s">
        <v>6451</v>
      </c>
      <c r="J91" t="s">
        <v>6452</v>
      </c>
    </row>
    <row r="92" spans="6:10">
      <c r="F92" t="s">
        <v>6453</v>
      </c>
      <c r="G92">
        <v>89</v>
      </c>
      <c r="H92" t="s">
        <v>1510</v>
      </c>
      <c r="I92" t="s">
        <v>1511</v>
      </c>
      <c r="J92" t="s">
        <v>6454</v>
      </c>
    </row>
    <row r="93" spans="6:10">
      <c r="F93" t="s">
        <v>6455</v>
      </c>
      <c r="G93">
        <v>90</v>
      </c>
      <c r="H93" t="s">
        <v>1512</v>
      </c>
      <c r="I93" t="s">
        <v>1513</v>
      </c>
      <c r="J93" t="s">
        <v>6456</v>
      </c>
    </row>
    <row r="94" spans="6:10">
      <c r="F94" t="s">
        <v>6457</v>
      </c>
      <c r="G94">
        <v>91</v>
      </c>
      <c r="H94" t="s">
        <v>1532</v>
      </c>
      <c r="I94" t="s">
        <v>1533</v>
      </c>
      <c r="J94" t="s">
        <v>6458</v>
      </c>
    </row>
    <row r="95" spans="6:10">
      <c r="F95" t="s">
        <v>6459</v>
      </c>
      <c r="G95">
        <v>92</v>
      </c>
      <c r="H95" t="s">
        <v>6460</v>
      </c>
      <c r="I95" t="s">
        <v>6461</v>
      </c>
      <c r="J95" t="s">
        <v>6462</v>
      </c>
    </row>
    <row r="96" spans="6:10">
      <c r="F96" t="s">
        <v>6463</v>
      </c>
      <c r="G96">
        <v>93</v>
      </c>
      <c r="H96" t="s">
        <v>6464</v>
      </c>
      <c r="I96" t="s">
        <v>6465</v>
      </c>
      <c r="J96" t="s">
        <v>6466</v>
      </c>
    </row>
    <row r="97" spans="6:10">
      <c r="F97" t="s">
        <v>6467</v>
      </c>
      <c r="G97">
        <v>94</v>
      </c>
      <c r="H97" t="s">
        <v>6468</v>
      </c>
      <c r="I97" t="s">
        <v>6469</v>
      </c>
      <c r="J97" t="s">
        <v>6470</v>
      </c>
    </row>
    <row r="98" spans="6:10">
      <c r="F98" t="s">
        <v>6471</v>
      </c>
      <c r="G98">
        <v>95</v>
      </c>
      <c r="H98" t="s">
        <v>1622</v>
      </c>
      <c r="I98" t="s">
        <v>24562</v>
      </c>
      <c r="J98" t="s">
        <v>6472</v>
      </c>
    </row>
    <row r="99" spans="6:10">
      <c r="F99" t="s">
        <v>6473</v>
      </c>
      <c r="G99">
        <v>96</v>
      </c>
      <c r="H99" t="s">
        <v>1622</v>
      </c>
      <c r="I99" t="s">
        <v>1623</v>
      </c>
      <c r="J99" t="s">
        <v>6474</v>
      </c>
    </row>
    <row r="100" spans="6:10">
      <c r="F100" t="s">
        <v>6475</v>
      </c>
      <c r="G100">
        <v>97</v>
      </c>
      <c r="H100" t="s">
        <v>1622</v>
      </c>
      <c r="I100" t="s">
        <v>1624</v>
      </c>
      <c r="J100" t="s">
        <v>6476</v>
      </c>
    </row>
    <row r="101" spans="6:10">
      <c r="F101" t="s">
        <v>6477</v>
      </c>
      <c r="G101">
        <v>98</v>
      </c>
      <c r="H101" t="s">
        <v>1622</v>
      </c>
      <c r="I101" t="s">
        <v>1625</v>
      </c>
      <c r="J101" t="s">
        <v>6478</v>
      </c>
    </row>
    <row r="102" spans="6:10">
      <c r="F102" t="s">
        <v>6479</v>
      </c>
      <c r="G102">
        <v>99</v>
      </c>
      <c r="H102" t="s">
        <v>1622</v>
      </c>
      <c r="I102" t="s">
        <v>1626</v>
      </c>
      <c r="J102" t="s">
        <v>6480</v>
      </c>
    </row>
    <row r="103" spans="6:10">
      <c r="F103" t="s">
        <v>6481</v>
      </c>
      <c r="G103">
        <v>100</v>
      </c>
      <c r="H103" t="s">
        <v>1622</v>
      </c>
      <c r="I103" t="s">
        <v>1627</v>
      </c>
      <c r="J103" t="s">
        <v>6482</v>
      </c>
    </row>
    <row r="104" spans="6:10">
      <c r="F104" t="s">
        <v>6483</v>
      </c>
      <c r="G104">
        <v>101</v>
      </c>
      <c r="H104" t="s">
        <v>1622</v>
      </c>
      <c r="I104" t="s">
        <v>1628</v>
      </c>
      <c r="J104" t="s">
        <v>6484</v>
      </c>
    </row>
    <row r="105" spans="6:10">
      <c r="F105" t="s">
        <v>6485</v>
      </c>
      <c r="G105">
        <v>102</v>
      </c>
      <c r="H105" t="s">
        <v>1622</v>
      </c>
      <c r="I105" t="s">
        <v>1629</v>
      </c>
      <c r="J105" t="s">
        <v>6486</v>
      </c>
    </row>
    <row r="106" spans="6:10">
      <c r="F106" t="s">
        <v>6487</v>
      </c>
      <c r="G106">
        <v>103</v>
      </c>
      <c r="H106" t="s">
        <v>1683</v>
      </c>
      <c r="I106" t="s">
        <v>1684</v>
      </c>
      <c r="J106" t="s">
        <v>6488</v>
      </c>
    </row>
    <row r="107" spans="6:10">
      <c r="F107" t="s">
        <v>6489</v>
      </c>
      <c r="G107">
        <v>104</v>
      </c>
      <c r="H107" t="s">
        <v>1695</v>
      </c>
      <c r="I107" t="s">
        <v>1696</v>
      </c>
      <c r="J107" t="s">
        <v>6490</v>
      </c>
    </row>
    <row r="108" spans="6:10">
      <c r="F108" t="s">
        <v>6491</v>
      </c>
      <c r="G108">
        <v>105</v>
      </c>
      <c r="H108" t="s">
        <v>1699</v>
      </c>
      <c r="I108" t="s">
        <v>1700</v>
      </c>
      <c r="J108" t="s">
        <v>6492</v>
      </c>
    </row>
    <row r="109" spans="6:10">
      <c r="F109" t="s">
        <v>6493</v>
      </c>
      <c r="G109">
        <v>106</v>
      </c>
      <c r="H109" t="s">
        <v>1705</v>
      </c>
      <c r="I109" t="s">
        <v>1706</v>
      </c>
      <c r="J109" t="s">
        <v>6494</v>
      </c>
    </row>
    <row r="110" spans="6:10">
      <c r="F110" t="s">
        <v>6495</v>
      </c>
      <c r="G110">
        <v>107</v>
      </c>
      <c r="H110" t="s">
        <v>1721</v>
      </c>
      <c r="I110" t="s">
        <v>1722</v>
      </c>
      <c r="J110" t="s">
        <v>6496</v>
      </c>
    </row>
    <row r="111" spans="6:10">
      <c r="F111" t="s">
        <v>6497</v>
      </c>
      <c r="G111">
        <v>108</v>
      </c>
      <c r="H111" t="s">
        <v>6498</v>
      </c>
      <c r="I111" t="s">
        <v>6499</v>
      </c>
      <c r="J111" t="s">
        <v>6500</v>
      </c>
    </row>
    <row r="112" spans="6:10">
      <c r="F112" t="s">
        <v>6501</v>
      </c>
      <c r="G112">
        <v>109</v>
      </c>
      <c r="H112" t="s">
        <v>3395</v>
      </c>
      <c r="I112" t="s">
        <v>3396</v>
      </c>
      <c r="J112" t="s">
        <v>6502</v>
      </c>
    </row>
    <row r="113" spans="6:10">
      <c r="F113" t="s">
        <v>6503</v>
      </c>
      <c r="G113">
        <v>110</v>
      </c>
      <c r="H113" t="s">
        <v>1750</v>
      </c>
      <c r="I113" t="s">
        <v>1751</v>
      </c>
      <c r="J113" t="s">
        <v>6504</v>
      </c>
    </row>
    <row r="114" spans="6:10">
      <c r="F114" t="s">
        <v>6505</v>
      </c>
      <c r="G114">
        <v>111</v>
      </c>
      <c r="H114" t="s">
        <v>1758</v>
      </c>
      <c r="I114" t="s">
        <v>1759</v>
      </c>
      <c r="J114" t="s">
        <v>6506</v>
      </c>
    </row>
    <row r="115" spans="6:10">
      <c r="F115" t="s">
        <v>6507</v>
      </c>
      <c r="G115">
        <v>112</v>
      </c>
      <c r="H115" t="s">
        <v>1766</v>
      </c>
      <c r="I115" t="s">
        <v>1767</v>
      </c>
      <c r="J115" t="s">
        <v>6508</v>
      </c>
    </row>
    <row r="116" spans="6:10">
      <c r="F116" t="s">
        <v>6509</v>
      </c>
      <c r="G116">
        <v>113</v>
      </c>
      <c r="H116" t="s">
        <v>1793</v>
      </c>
      <c r="I116" t="s">
        <v>1794</v>
      </c>
      <c r="J116" t="s">
        <v>6510</v>
      </c>
    </row>
    <row r="117" spans="6:10">
      <c r="F117" t="s">
        <v>6511</v>
      </c>
      <c r="G117">
        <v>114</v>
      </c>
      <c r="H117" t="s">
        <v>6512</v>
      </c>
      <c r="I117" t="s">
        <v>6513</v>
      </c>
      <c r="J117" t="s">
        <v>6514</v>
      </c>
    </row>
    <row r="118" spans="6:10">
      <c r="F118" t="s">
        <v>6515</v>
      </c>
      <c r="G118">
        <v>115</v>
      </c>
      <c r="H118" t="s">
        <v>1899</v>
      </c>
      <c r="I118" t="s">
        <v>1900</v>
      </c>
      <c r="J118" t="s">
        <v>6516</v>
      </c>
    </row>
    <row r="119" spans="6:10">
      <c r="F119" t="s">
        <v>6517</v>
      </c>
      <c r="G119">
        <v>116</v>
      </c>
      <c r="H119" t="s">
        <v>1899</v>
      </c>
      <c r="I119" t="s">
        <v>1901</v>
      </c>
      <c r="J119" t="s">
        <v>6518</v>
      </c>
    </row>
    <row r="120" spans="6:10">
      <c r="F120" t="s">
        <v>6519</v>
      </c>
      <c r="G120">
        <v>117</v>
      </c>
      <c r="H120" t="s">
        <v>1906</v>
      </c>
      <c r="I120" t="s">
        <v>1907</v>
      </c>
      <c r="J120" t="s">
        <v>6520</v>
      </c>
    </row>
    <row r="121" spans="6:10">
      <c r="F121" t="s">
        <v>6521</v>
      </c>
      <c r="G121">
        <v>118</v>
      </c>
      <c r="H121" t="s">
        <v>1940</v>
      </c>
      <c r="I121" t="s">
        <v>1941</v>
      </c>
      <c r="J121" t="s">
        <v>6522</v>
      </c>
    </row>
    <row r="122" spans="6:10">
      <c r="F122" t="s">
        <v>6523</v>
      </c>
      <c r="G122">
        <v>119</v>
      </c>
      <c r="H122" t="s">
        <v>1940</v>
      </c>
      <c r="I122" t="s">
        <v>1942</v>
      </c>
      <c r="J122" t="s">
        <v>6524</v>
      </c>
    </row>
    <row r="123" spans="6:10">
      <c r="F123" t="s">
        <v>6525</v>
      </c>
      <c r="G123">
        <v>120</v>
      </c>
      <c r="H123" t="s">
        <v>1948</v>
      </c>
      <c r="I123" t="s">
        <v>1949</v>
      </c>
      <c r="J123" t="s">
        <v>6526</v>
      </c>
    </row>
    <row r="124" spans="6:10">
      <c r="F124" t="s">
        <v>6527</v>
      </c>
      <c r="G124">
        <v>121</v>
      </c>
      <c r="H124" t="s">
        <v>1964</v>
      </c>
      <c r="I124" t="s">
        <v>1965</v>
      </c>
      <c r="J124" t="s">
        <v>6528</v>
      </c>
    </row>
    <row r="125" spans="6:10">
      <c r="F125" t="s">
        <v>6529</v>
      </c>
      <c r="G125">
        <v>122</v>
      </c>
      <c r="H125" t="s">
        <v>1975</v>
      </c>
      <c r="I125" t="s">
        <v>1976</v>
      </c>
      <c r="J125" t="s">
        <v>6530</v>
      </c>
    </row>
    <row r="126" spans="6:10">
      <c r="F126" t="s">
        <v>6531</v>
      </c>
      <c r="G126">
        <v>123</v>
      </c>
      <c r="H126" t="s">
        <v>1977</v>
      </c>
      <c r="I126" t="s">
        <v>1978</v>
      </c>
      <c r="J126" t="s">
        <v>6532</v>
      </c>
    </row>
    <row r="127" spans="6:10">
      <c r="F127" t="s">
        <v>6533</v>
      </c>
      <c r="G127">
        <v>124</v>
      </c>
      <c r="H127" t="s">
        <v>1979</v>
      </c>
      <c r="I127" t="s">
        <v>1980</v>
      </c>
      <c r="J127" t="s">
        <v>6534</v>
      </c>
    </row>
    <row r="128" spans="6:10">
      <c r="F128" t="s">
        <v>6535</v>
      </c>
      <c r="G128">
        <v>125</v>
      </c>
      <c r="H128" t="s">
        <v>6536</v>
      </c>
      <c r="I128" t="s">
        <v>6537</v>
      </c>
      <c r="J128" t="s">
        <v>6538</v>
      </c>
    </row>
    <row r="129" spans="6:10">
      <c r="F129" t="s">
        <v>6539</v>
      </c>
      <c r="G129">
        <v>126</v>
      </c>
      <c r="H129" t="s">
        <v>2038</v>
      </c>
      <c r="I129" t="s">
        <v>2039</v>
      </c>
      <c r="J129" t="s">
        <v>6540</v>
      </c>
    </row>
    <row r="130" spans="6:10">
      <c r="F130" t="s">
        <v>6541</v>
      </c>
      <c r="G130">
        <v>127</v>
      </c>
      <c r="H130" t="s">
        <v>6542</v>
      </c>
      <c r="I130" t="s">
        <v>6543</v>
      </c>
      <c r="J130" t="s">
        <v>6544</v>
      </c>
    </row>
    <row r="131" spans="6:10">
      <c r="F131" t="s">
        <v>6545</v>
      </c>
      <c r="G131">
        <v>128</v>
      </c>
      <c r="H131" t="s">
        <v>2115</v>
      </c>
      <c r="I131" t="s">
        <v>2116</v>
      </c>
      <c r="J131" t="s">
        <v>6546</v>
      </c>
    </row>
    <row r="132" spans="6:10">
      <c r="F132" t="s">
        <v>6547</v>
      </c>
      <c r="G132">
        <v>129</v>
      </c>
      <c r="H132" t="s">
        <v>2125</v>
      </c>
      <c r="I132" t="s">
        <v>2126</v>
      </c>
      <c r="J132" t="s">
        <v>6548</v>
      </c>
    </row>
    <row r="133" spans="6:10">
      <c r="F133" t="s">
        <v>6549</v>
      </c>
      <c r="G133">
        <v>130</v>
      </c>
      <c r="H133" t="s">
        <v>2160</v>
      </c>
      <c r="I133" t="s">
        <v>2161</v>
      </c>
      <c r="J133" t="s">
        <v>6550</v>
      </c>
    </row>
    <row r="134" spans="6:10">
      <c r="F134" t="s">
        <v>6551</v>
      </c>
      <c r="G134">
        <v>131</v>
      </c>
      <c r="H134" t="s">
        <v>2203</v>
      </c>
      <c r="I134" t="s">
        <v>2204</v>
      </c>
      <c r="J134" t="s">
        <v>6552</v>
      </c>
    </row>
    <row r="135" spans="6:10">
      <c r="F135" t="s">
        <v>6553</v>
      </c>
      <c r="G135">
        <v>132</v>
      </c>
      <c r="H135" t="s">
        <v>2205</v>
      </c>
      <c r="I135" t="s">
        <v>2206</v>
      </c>
      <c r="J135" t="s">
        <v>6554</v>
      </c>
    </row>
    <row r="136" spans="6:10">
      <c r="F136" t="s">
        <v>6555</v>
      </c>
      <c r="G136">
        <v>133</v>
      </c>
      <c r="H136" t="s">
        <v>2209</v>
      </c>
      <c r="I136" t="s">
        <v>2210</v>
      </c>
      <c r="J136" t="s">
        <v>6556</v>
      </c>
    </row>
    <row r="137" spans="6:10">
      <c r="F137" t="s">
        <v>6557</v>
      </c>
      <c r="G137">
        <v>134</v>
      </c>
      <c r="H137" t="s">
        <v>2220</v>
      </c>
      <c r="I137" t="s">
        <v>2221</v>
      </c>
      <c r="J137" t="s">
        <v>6558</v>
      </c>
    </row>
    <row r="138" spans="6:10">
      <c r="F138" t="s">
        <v>6559</v>
      </c>
      <c r="G138">
        <v>135</v>
      </c>
      <c r="H138" t="s">
        <v>2289</v>
      </c>
      <c r="I138" t="s">
        <v>2290</v>
      </c>
      <c r="J138" t="s">
        <v>6560</v>
      </c>
    </row>
    <row r="139" spans="6:10">
      <c r="F139" t="s">
        <v>6561</v>
      </c>
      <c r="G139">
        <v>136</v>
      </c>
      <c r="H139" t="s">
        <v>2293</v>
      </c>
      <c r="I139" t="s">
        <v>2294</v>
      </c>
      <c r="J139" t="s">
        <v>6562</v>
      </c>
    </row>
    <row r="140" spans="6:10">
      <c r="F140" t="s">
        <v>6563</v>
      </c>
      <c r="G140">
        <v>137</v>
      </c>
      <c r="H140" t="s">
        <v>2376</v>
      </c>
      <c r="I140" t="s">
        <v>22184</v>
      </c>
      <c r="J140" t="s">
        <v>6564</v>
      </c>
    </row>
    <row r="141" spans="6:10">
      <c r="F141" t="s">
        <v>6565</v>
      </c>
      <c r="G141">
        <v>138</v>
      </c>
      <c r="H141" t="s">
        <v>2381</v>
      </c>
      <c r="I141" t="s">
        <v>2382</v>
      </c>
      <c r="J141" t="s">
        <v>6566</v>
      </c>
    </row>
    <row r="142" spans="6:10">
      <c r="F142" t="s">
        <v>6567</v>
      </c>
      <c r="G142">
        <v>139</v>
      </c>
      <c r="H142" t="s">
        <v>2386</v>
      </c>
      <c r="I142" t="s">
        <v>2387</v>
      </c>
      <c r="J142" t="s">
        <v>6568</v>
      </c>
    </row>
    <row r="143" spans="6:10">
      <c r="F143" t="s">
        <v>6569</v>
      </c>
      <c r="G143">
        <v>140</v>
      </c>
      <c r="H143" t="s">
        <v>6570</v>
      </c>
      <c r="I143" t="s">
        <v>6571</v>
      </c>
      <c r="J143" t="s">
        <v>6572</v>
      </c>
    </row>
    <row r="144" spans="6:10">
      <c r="F144" t="s">
        <v>6573</v>
      </c>
      <c r="G144">
        <v>141</v>
      </c>
      <c r="H144" t="s">
        <v>2447</v>
      </c>
      <c r="I144" t="s">
        <v>2448</v>
      </c>
      <c r="J144" t="s">
        <v>6574</v>
      </c>
    </row>
    <row r="145" spans="6:10">
      <c r="F145" t="s">
        <v>6575</v>
      </c>
      <c r="G145">
        <v>142</v>
      </c>
      <c r="H145" t="s">
        <v>2469</v>
      </c>
      <c r="I145" t="s">
        <v>2470</v>
      </c>
      <c r="J145" t="s">
        <v>6576</v>
      </c>
    </row>
    <row r="146" spans="6:10">
      <c r="F146" t="s">
        <v>6577</v>
      </c>
      <c r="G146">
        <v>143</v>
      </c>
      <c r="H146" t="s">
        <v>2475</v>
      </c>
      <c r="I146" t="s">
        <v>2476</v>
      </c>
      <c r="J146" t="s">
        <v>6578</v>
      </c>
    </row>
    <row r="147" spans="6:10">
      <c r="F147" t="s">
        <v>6579</v>
      </c>
      <c r="G147">
        <v>144</v>
      </c>
      <c r="H147" t="s">
        <v>2473</v>
      </c>
      <c r="I147" t="s">
        <v>2474</v>
      </c>
      <c r="J147" t="s">
        <v>6580</v>
      </c>
    </row>
    <row r="148" spans="6:10">
      <c r="F148" t="s">
        <v>6581</v>
      </c>
      <c r="G148">
        <v>145</v>
      </c>
      <c r="H148" t="s">
        <v>2508</v>
      </c>
      <c r="I148" t="s">
        <v>2509</v>
      </c>
      <c r="J148" t="s">
        <v>6582</v>
      </c>
    </row>
    <row r="149" spans="6:10">
      <c r="F149" t="s">
        <v>6583</v>
      </c>
      <c r="G149">
        <v>146</v>
      </c>
      <c r="H149" t="s">
        <v>2519</v>
      </c>
      <c r="I149" t="s">
        <v>2520</v>
      </c>
      <c r="J149" t="s">
        <v>6584</v>
      </c>
    </row>
    <row r="150" spans="6:10">
      <c r="F150" t="s">
        <v>6585</v>
      </c>
      <c r="G150">
        <v>147</v>
      </c>
      <c r="H150" t="s">
        <v>2563</v>
      </c>
      <c r="I150" t="s">
        <v>2564</v>
      </c>
      <c r="J150" t="s">
        <v>6586</v>
      </c>
    </row>
    <row r="151" spans="6:10">
      <c r="F151" t="s">
        <v>6587</v>
      </c>
      <c r="G151">
        <v>148</v>
      </c>
      <c r="H151" t="s">
        <v>2575</v>
      </c>
      <c r="I151" t="s">
        <v>2576</v>
      </c>
      <c r="J151" t="s">
        <v>6588</v>
      </c>
    </row>
    <row r="152" spans="6:10">
      <c r="F152" t="s">
        <v>6589</v>
      </c>
      <c r="G152">
        <v>149</v>
      </c>
      <c r="H152" t="s">
        <v>2579</v>
      </c>
      <c r="I152" t="s">
        <v>2580</v>
      </c>
      <c r="J152" t="s">
        <v>6590</v>
      </c>
    </row>
    <row r="153" spans="6:10">
      <c r="F153" t="s">
        <v>6591</v>
      </c>
      <c r="G153">
        <v>150</v>
      </c>
      <c r="H153" t="s">
        <v>2585</v>
      </c>
      <c r="I153" t="s">
        <v>2586</v>
      </c>
      <c r="J153" t="s">
        <v>6592</v>
      </c>
    </row>
    <row r="154" spans="6:10">
      <c r="F154" t="s">
        <v>6593</v>
      </c>
      <c r="G154">
        <v>151</v>
      </c>
      <c r="H154" t="s">
        <v>2591</v>
      </c>
      <c r="I154" t="s">
        <v>2592</v>
      </c>
      <c r="J154" t="s">
        <v>6594</v>
      </c>
    </row>
    <row r="155" spans="6:10">
      <c r="F155" t="s">
        <v>6595</v>
      </c>
      <c r="G155">
        <v>152</v>
      </c>
      <c r="H155" t="s">
        <v>2591</v>
      </c>
      <c r="I155" t="s">
        <v>2593</v>
      </c>
      <c r="J155" t="s">
        <v>6596</v>
      </c>
    </row>
    <row r="156" spans="6:10">
      <c r="F156" t="s">
        <v>6597</v>
      </c>
      <c r="G156">
        <v>153</v>
      </c>
      <c r="H156" t="s">
        <v>527</v>
      </c>
      <c r="I156" t="s">
        <v>528</v>
      </c>
      <c r="J156" t="s">
        <v>6598</v>
      </c>
    </row>
    <row r="157" spans="6:10">
      <c r="F157" t="s">
        <v>6599</v>
      </c>
      <c r="G157">
        <v>154</v>
      </c>
      <c r="H157" t="s">
        <v>2636</v>
      </c>
      <c r="I157" t="s">
        <v>2637</v>
      </c>
      <c r="J157" t="s">
        <v>6600</v>
      </c>
    </row>
    <row r="158" spans="6:10">
      <c r="F158" t="s">
        <v>6601</v>
      </c>
      <c r="G158">
        <v>155</v>
      </c>
      <c r="H158" t="s">
        <v>2640</v>
      </c>
      <c r="I158" t="s">
        <v>2641</v>
      </c>
      <c r="J158" t="s">
        <v>6602</v>
      </c>
    </row>
    <row r="159" spans="6:10">
      <c r="F159" t="s">
        <v>6603</v>
      </c>
      <c r="G159">
        <v>156</v>
      </c>
      <c r="H159" t="s">
        <v>2642</v>
      </c>
      <c r="I159" t="s">
        <v>2643</v>
      </c>
      <c r="J159" t="s">
        <v>6604</v>
      </c>
    </row>
    <row r="160" spans="6:10">
      <c r="F160" t="s">
        <v>6605</v>
      </c>
      <c r="G160">
        <v>157</v>
      </c>
      <c r="H160" t="s">
        <v>2648</v>
      </c>
      <c r="I160" t="s">
        <v>2649</v>
      </c>
      <c r="J160" t="s">
        <v>6606</v>
      </c>
    </row>
    <row r="161" spans="6:10">
      <c r="F161" t="s">
        <v>6607</v>
      </c>
      <c r="G161">
        <v>158</v>
      </c>
      <c r="H161" t="s">
        <v>2650</v>
      </c>
      <c r="I161" t="s">
        <v>2651</v>
      </c>
      <c r="J161" t="s">
        <v>6608</v>
      </c>
    </row>
    <row r="162" spans="6:10">
      <c r="F162" t="s">
        <v>6609</v>
      </c>
      <c r="G162">
        <v>159</v>
      </c>
      <c r="H162" t="s">
        <v>2660</v>
      </c>
      <c r="I162" t="s">
        <v>2661</v>
      </c>
      <c r="J162" t="s">
        <v>6610</v>
      </c>
    </row>
    <row r="163" spans="6:10">
      <c r="F163" t="s">
        <v>6611</v>
      </c>
      <c r="G163">
        <v>160</v>
      </c>
      <c r="H163" t="s">
        <v>820</v>
      </c>
      <c r="I163" t="s">
        <v>821</v>
      </c>
      <c r="J163" t="s">
        <v>6612</v>
      </c>
    </row>
    <row r="164" spans="6:10">
      <c r="F164" t="s">
        <v>6613</v>
      </c>
      <c r="G164">
        <v>161</v>
      </c>
      <c r="H164" t="s">
        <v>2680</v>
      </c>
      <c r="I164" t="s">
        <v>2681</v>
      </c>
      <c r="J164" t="s">
        <v>6614</v>
      </c>
    </row>
    <row r="165" spans="6:10">
      <c r="F165" t="s">
        <v>6615</v>
      </c>
      <c r="G165">
        <v>162</v>
      </c>
      <c r="H165" t="s">
        <v>2686</v>
      </c>
      <c r="I165" t="s">
        <v>2687</v>
      </c>
      <c r="J165" t="s">
        <v>6616</v>
      </c>
    </row>
    <row r="166" spans="6:10">
      <c r="F166" t="s">
        <v>6617</v>
      </c>
      <c r="G166">
        <v>163</v>
      </c>
      <c r="H166" t="s">
        <v>2688</v>
      </c>
      <c r="I166" t="s">
        <v>2689</v>
      </c>
      <c r="J166" t="s">
        <v>6618</v>
      </c>
    </row>
    <row r="167" spans="6:10">
      <c r="F167" t="s">
        <v>6619</v>
      </c>
      <c r="G167">
        <v>164</v>
      </c>
      <c r="H167" t="s">
        <v>2688</v>
      </c>
      <c r="I167" t="s">
        <v>2690</v>
      </c>
      <c r="J167" t="s">
        <v>6620</v>
      </c>
    </row>
    <row r="168" spans="6:10">
      <c r="F168" t="s">
        <v>6621</v>
      </c>
      <c r="G168">
        <v>165</v>
      </c>
      <c r="H168" t="s">
        <v>2688</v>
      </c>
      <c r="I168" t="s">
        <v>6622</v>
      </c>
      <c r="J168" t="s">
        <v>6623</v>
      </c>
    </row>
    <row r="169" spans="6:10">
      <c r="F169" t="s">
        <v>6624</v>
      </c>
      <c r="G169">
        <v>166</v>
      </c>
      <c r="H169" t="s">
        <v>2692</v>
      </c>
      <c r="I169" t="s">
        <v>2693</v>
      </c>
      <c r="J169" t="s">
        <v>6625</v>
      </c>
    </row>
    <row r="170" spans="6:10">
      <c r="F170" t="s">
        <v>6626</v>
      </c>
      <c r="G170">
        <v>167</v>
      </c>
      <c r="H170" t="s">
        <v>2702</v>
      </c>
      <c r="I170" t="s">
        <v>2703</v>
      </c>
      <c r="J170" t="s">
        <v>6627</v>
      </c>
    </row>
    <row r="171" spans="6:10">
      <c r="F171" t="s">
        <v>6628</v>
      </c>
      <c r="G171">
        <v>168</v>
      </c>
      <c r="H171" t="s">
        <v>2716</v>
      </c>
      <c r="I171" t="s">
        <v>2717</v>
      </c>
      <c r="J171" t="s">
        <v>6629</v>
      </c>
    </row>
    <row r="172" spans="6:10">
      <c r="F172" t="s">
        <v>6630</v>
      </c>
      <c r="G172">
        <v>169</v>
      </c>
      <c r="H172" t="s">
        <v>2726</v>
      </c>
      <c r="I172" t="s">
        <v>2727</v>
      </c>
      <c r="J172" t="s">
        <v>6631</v>
      </c>
    </row>
    <row r="173" spans="6:10">
      <c r="F173" t="s">
        <v>6632</v>
      </c>
      <c r="G173">
        <v>170</v>
      </c>
      <c r="H173" t="s">
        <v>2738</v>
      </c>
      <c r="I173" t="s">
        <v>2739</v>
      </c>
      <c r="J173" t="s">
        <v>6633</v>
      </c>
    </row>
    <row r="174" spans="6:10">
      <c r="F174" t="s">
        <v>6634</v>
      </c>
      <c r="G174">
        <v>171</v>
      </c>
      <c r="H174" t="s">
        <v>843</v>
      </c>
      <c r="I174" t="s">
        <v>844</v>
      </c>
      <c r="J174" t="s">
        <v>6635</v>
      </c>
    </row>
    <row r="175" spans="6:10">
      <c r="F175" t="s">
        <v>6636</v>
      </c>
      <c r="G175">
        <v>172</v>
      </c>
      <c r="H175" t="s">
        <v>2744</v>
      </c>
      <c r="I175" t="s">
        <v>2745</v>
      </c>
      <c r="J175" t="s">
        <v>6637</v>
      </c>
    </row>
    <row r="176" spans="6:10">
      <c r="F176" t="s">
        <v>6638</v>
      </c>
      <c r="G176">
        <v>173</v>
      </c>
      <c r="H176" t="s">
        <v>2770</v>
      </c>
      <c r="I176" t="s">
        <v>2771</v>
      </c>
      <c r="J176" t="s">
        <v>6639</v>
      </c>
    </row>
    <row r="177" spans="6:10">
      <c r="F177" t="s">
        <v>6640</v>
      </c>
      <c r="G177">
        <v>174</v>
      </c>
      <c r="H177" t="s">
        <v>2774</v>
      </c>
      <c r="I177" t="s">
        <v>2775</v>
      </c>
      <c r="J177" t="s">
        <v>6641</v>
      </c>
    </row>
    <row r="178" spans="6:10">
      <c r="F178" t="s">
        <v>6642</v>
      </c>
      <c r="G178">
        <v>175</v>
      </c>
      <c r="H178" t="s">
        <v>2778</v>
      </c>
      <c r="I178" t="s">
        <v>2779</v>
      </c>
      <c r="J178" t="s">
        <v>6643</v>
      </c>
    </row>
    <row r="179" spans="6:10">
      <c r="F179" t="s">
        <v>6644</v>
      </c>
      <c r="G179">
        <v>176</v>
      </c>
      <c r="H179" t="s">
        <v>2792</v>
      </c>
      <c r="I179" t="s">
        <v>2793</v>
      </c>
      <c r="J179" t="s">
        <v>6645</v>
      </c>
    </row>
    <row r="180" spans="6:10">
      <c r="F180" t="s">
        <v>6646</v>
      </c>
      <c r="G180">
        <v>177</v>
      </c>
      <c r="H180" t="s">
        <v>2797</v>
      </c>
      <c r="I180" t="s">
        <v>2798</v>
      </c>
      <c r="J180" t="s">
        <v>6647</v>
      </c>
    </row>
    <row r="181" spans="6:10">
      <c r="F181" t="s">
        <v>6648</v>
      </c>
      <c r="G181">
        <v>178</v>
      </c>
      <c r="H181" t="s">
        <v>2803</v>
      </c>
      <c r="I181" t="s">
        <v>2804</v>
      </c>
      <c r="J181" t="s">
        <v>6649</v>
      </c>
    </row>
    <row r="182" spans="6:10">
      <c r="F182" t="s">
        <v>6650</v>
      </c>
      <c r="G182">
        <v>179</v>
      </c>
      <c r="H182" t="s">
        <v>2807</v>
      </c>
      <c r="I182" t="s">
        <v>2808</v>
      </c>
      <c r="J182" t="s">
        <v>6651</v>
      </c>
    </row>
    <row r="183" spans="6:10">
      <c r="F183" t="s">
        <v>6652</v>
      </c>
      <c r="G183">
        <v>180</v>
      </c>
      <c r="H183" t="s">
        <v>2811</v>
      </c>
      <c r="I183" t="s">
        <v>2811</v>
      </c>
      <c r="J183" t="s">
        <v>6653</v>
      </c>
    </row>
    <row r="184" spans="6:10">
      <c r="F184" t="s">
        <v>6654</v>
      </c>
      <c r="G184">
        <v>181</v>
      </c>
      <c r="H184" t="s">
        <v>2818</v>
      </c>
      <c r="I184" t="s">
        <v>2819</v>
      </c>
      <c r="J184" t="s">
        <v>6655</v>
      </c>
    </row>
    <row r="185" spans="6:10">
      <c r="F185" t="s">
        <v>6656</v>
      </c>
      <c r="G185">
        <v>182</v>
      </c>
      <c r="H185" t="s">
        <v>2818</v>
      </c>
      <c r="I185" t="s">
        <v>2820</v>
      </c>
      <c r="J185" t="s">
        <v>6657</v>
      </c>
    </row>
    <row r="186" spans="6:10">
      <c r="F186" t="s">
        <v>6658</v>
      </c>
      <c r="G186">
        <v>183</v>
      </c>
      <c r="H186" t="s">
        <v>2837</v>
      </c>
      <c r="I186" t="s">
        <v>2838</v>
      </c>
      <c r="J186" t="s">
        <v>6659</v>
      </c>
    </row>
    <row r="187" spans="6:10">
      <c r="F187" t="s">
        <v>6660</v>
      </c>
      <c r="G187">
        <v>184</v>
      </c>
      <c r="H187" t="s">
        <v>23586</v>
      </c>
      <c r="I187" t="s">
        <v>23276</v>
      </c>
      <c r="J187" t="s">
        <v>6661</v>
      </c>
    </row>
    <row r="188" spans="6:10">
      <c r="F188" t="s">
        <v>6662</v>
      </c>
      <c r="G188">
        <v>185</v>
      </c>
      <c r="H188" t="s">
        <v>2847</v>
      </c>
      <c r="I188" t="s">
        <v>2848</v>
      </c>
      <c r="J188" t="s">
        <v>6663</v>
      </c>
    </row>
    <row r="189" spans="6:10">
      <c r="F189" t="s">
        <v>6664</v>
      </c>
      <c r="G189">
        <v>186</v>
      </c>
      <c r="H189" t="s">
        <v>2851</v>
      </c>
      <c r="I189" t="s">
        <v>2852</v>
      </c>
      <c r="J189" t="s">
        <v>6665</v>
      </c>
    </row>
    <row r="190" spans="6:10">
      <c r="F190" t="s">
        <v>6666</v>
      </c>
      <c r="G190">
        <v>187</v>
      </c>
      <c r="H190" t="s">
        <v>2863</v>
      </c>
      <c r="I190" t="s">
        <v>2864</v>
      </c>
      <c r="J190" t="s">
        <v>6667</v>
      </c>
    </row>
    <row r="191" spans="6:10">
      <c r="F191" t="s">
        <v>6668</v>
      </c>
      <c r="G191">
        <v>188</v>
      </c>
      <c r="H191" t="s">
        <v>2899</v>
      </c>
      <c r="I191" t="s">
        <v>2900</v>
      </c>
      <c r="J191" t="s">
        <v>6669</v>
      </c>
    </row>
    <row r="192" spans="6:10">
      <c r="F192" t="s">
        <v>6670</v>
      </c>
      <c r="G192">
        <v>189</v>
      </c>
      <c r="H192" t="s">
        <v>2903</v>
      </c>
      <c r="I192" t="s">
        <v>2904</v>
      </c>
      <c r="J192" t="s">
        <v>6671</v>
      </c>
    </row>
    <row r="193" spans="6:10">
      <c r="F193" t="s">
        <v>6672</v>
      </c>
      <c r="G193">
        <v>190</v>
      </c>
      <c r="H193" t="s">
        <v>2920</v>
      </c>
      <c r="I193" t="s">
        <v>2921</v>
      </c>
      <c r="J193" t="s">
        <v>6673</v>
      </c>
    </row>
    <row r="194" spans="6:10">
      <c r="F194" t="s">
        <v>6674</v>
      </c>
      <c r="G194">
        <v>191</v>
      </c>
      <c r="H194" t="s">
        <v>6675</v>
      </c>
      <c r="I194" t="s">
        <v>6676</v>
      </c>
      <c r="J194" t="s">
        <v>6677</v>
      </c>
    </row>
    <row r="195" spans="6:10">
      <c r="F195" t="s">
        <v>6678</v>
      </c>
      <c r="G195">
        <v>192</v>
      </c>
      <c r="H195" t="s">
        <v>6679</v>
      </c>
      <c r="I195" t="s">
        <v>6680</v>
      </c>
      <c r="J195" t="s">
        <v>6681</v>
      </c>
    </row>
    <row r="196" spans="6:10">
      <c r="F196" t="s">
        <v>6682</v>
      </c>
      <c r="G196">
        <v>193</v>
      </c>
      <c r="H196" t="s">
        <v>3003</v>
      </c>
      <c r="I196" t="s">
        <v>3004</v>
      </c>
      <c r="J196" t="s">
        <v>6683</v>
      </c>
    </row>
    <row r="197" spans="6:10">
      <c r="F197" t="s">
        <v>6684</v>
      </c>
      <c r="G197">
        <v>194</v>
      </c>
      <c r="H197" t="s">
        <v>6685</v>
      </c>
      <c r="I197" t="s">
        <v>6686</v>
      </c>
      <c r="J197" t="s">
        <v>6687</v>
      </c>
    </row>
    <row r="198" spans="6:10">
      <c r="F198" t="s">
        <v>6688</v>
      </c>
      <c r="G198">
        <v>195</v>
      </c>
      <c r="H198" t="s">
        <v>6689</v>
      </c>
      <c r="I198" t="s">
        <v>6690</v>
      </c>
      <c r="J198" t="s">
        <v>6691</v>
      </c>
    </row>
    <row r="199" spans="6:10">
      <c r="F199" t="s">
        <v>6692</v>
      </c>
      <c r="G199">
        <v>196</v>
      </c>
      <c r="H199" t="s">
        <v>3073</v>
      </c>
      <c r="I199" t="s">
        <v>3074</v>
      </c>
      <c r="J199" t="s">
        <v>6693</v>
      </c>
    </row>
    <row r="200" spans="6:10">
      <c r="F200" t="s">
        <v>6694</v>
      </c>
      <c r="G200">
        <v>197</v>
      </c>
      <c r="H200" t="s">
        <v>3105</v>
      </c>
      <c r="I200" t="s">
        <v>3106</v>
      </c>
      <c r="J200" t="s">
        <v>6695</v>
      </c>
    </row>
    <row r="201" spans="6:10">
      <c r="F201" t="s">
        <v>6696</v>
      </c>
      <c r="G201">
        <v>198</v>
      </c>
      <c r="H201" t="s">
        <v>3112</v>
      </c>
      <c r="I201" t="s">
        <v>3113</v>
      </c>
      <c r="J201" t="s">
        <v>6697</v>
      </c>
    </row>
    <row r="202" spans="6:10">
      <c r="F202" t="s">
        <v>6698</v>
      </c>
      <c r="G202">
        <v>199</v>
      </c>
      <c r="H202" t="s">
        <v>3142</v>
      </c>
      <c r="I202" t="s">
        <v>3143</v>
      </c>
      <c r="J202" t="s">
        <v>6699</v>
      </c>
    </row>
    <row r="203" spans="6:10">
      <c r="F203" t="s">
        <v>6700</v>
      </c>
      <c r="G203">
        <v>200</v>
      </c>
      <c r="H203" t="s">
        <v>3144</v>
      </c>
      <c r="I203" t="s">
        <v>3145</v>
      </c>
      <c r="J203" t="s">
        <v>6701</v>
      </c>
    </row>
    <row r="204" spans="6:10">
      <c r="F204" t="s">
        <v>6702</v>
      </c>
      <c r="G204">
        <v>201</v>
      </c>
      <c r="H204" t="s">
        <v>3146</v>
      </c>
      <c r="I204" t="s">
        <v>3147</v>
      </c>
      <c r="J204" t="s">
        <v>6703</v>
      </c>
    </row>
    <row r="205" spans="6:10">
      <c r="F205" t="s">
        <v>6704</v>
      </c>
      <c r="G205">
        <v>202</v>
      </c>
      <c r="H205" t="s">
        <v>3200</v>
      </c>
      <c r="I205" t="s">
        <v>3201</v>
      </c>
      <c r="J205" t="s">
        <v>6705</v>
      </c>
    </row>
    <row r="206" spans="6:10">
      <c r="F206" t="s">
        <v>6706</v>
      </c>
      <c r="G206">
        <v>203</v>
      </c>
      <c r="H206" t="s">
        <v>3221</v>
      </c>
      <c r="I206" t="s">
        <v>3222</v>
      </c>
      <c r="J206" t="s">
        <v>6707</v>
      </c>
    </row>
    <row r="207" spans="6:10">
      <c r="F207" t="s">
        <v>6708</v>
      </c>
      <c r="G207">
        <v>204</v>
      </c>
      <c r="H207" t="s">
        <v>6709</v>
      </c>
      <c r="I207" t="s">
        <v>6710</v>
      </c>
      <c r="J207" t="s">
        <v>6711</v>
      </c>
    </row>
    <row r="208" spans="6:10">
      <c r="F208" t="s">
        <v>6712</v>
      </c>
      <c r="G208">
        <v>205</v>
      </c>
      <c r="H208" t="s">
        <v>6713</v>
      </c>
      <c r="I208" t="s">
        <v>6714</v>
      </c>
      <c r="J208" t="s">
        <v>6715</v>
      </c>
    </row>
    <row r="209" spans="6:10">
      <c r="F209" t="s">
        <v>6716</v>
      </c>
      <c r="G209">
        <v>206</v>
      </c>
      <c r="H209" t="s">
        <v>3375</v>
      </c>
      <c r="I209" t="s">
        <v>3376</v>
      </c>
      <c r="J209" t="s">
        <v>6717</v>
      </c>
    </row>
    <row r="210" spans="6:10">
      <c r="F210" t="s">
        <v>6718</v>
      </c>
      <c r="G210">
        <v>207</v>
      </c>
      <c r="H210" t="s">
        <v>3389</v>
      </c>
      <c r="I210" t="s">
        <v>3389</v>
      </c>
      <c r="J210" t="s">
        <v>6719</v>
      </c>
    </row>
    <row r="211" spans="6:10">
      <c r="F211" t="s">
        <v>6720</v>
      </c>
      <c r="G211">
        <v>208</v>
      </c>
      <c r="H211" t="s">
        <v>3550</v>
      </c>
      <c r="I211" t="s">
        <v>3551</v>
      </c>
      <c r="J211" t="s">
        <v>6721</v>
      </c>
    </row>
    <row r="212" spans="6:10">
      <c r="F212" t="s">
        <v>6722</v>
      </c>
      <c r="G212">
        <v>209</v>
      </c>
      <c r="H212" t="s">
        <v>736</v>
      </c>
      <c r="I212" t="s">
        <v>737</v>
      </c>
      <c r="J212" t="s">
        <v>6723</v>
      </c>
    </row>
    <row r="213" spans="6:10">
      <c r="F213" t="s">
        <v>6724</v>
      </c>
      <c r="G213">
        <v>210</v>
      </c>
      <c r="H213" t="s">
        <v>3408</v>
      </c>
      <c r="I213" t="s">
        <v>3409</v>
      </c>
      <c r="J213" t="s">
        <v>6725</v>
      </c>
    </row>
    <row r="214" spans="6:10">
      <c r="F214" t="s">
        <v>6726</v>
      </c>
      <c r="G214">
        <v>211</v>
      </c>
      <c r="H214" t="s">
        <v>3415</v>
      </c>
      <c r="I214" t="s">
        <v>3416</v>
      </c>
      <c r="J214" t="s">
        <v>6727</v>
      </c>
    </row>
    <row r="215" spans="6:10">
      <c r="F215" t="s">
        <v>6728</v>
      </c>
      <c r="G215">
        <v>212</v>
      </c>
      <c r="H215" t="s">
        <v>3415</v>
      </c>
      <c r="I215" t="s">
        <v>3417</v>
      </c>
      <c r="J215" t="s">
        <v>6729</v>
      </c>
    </row>
    <row r="216" spans="6:10">
      <c r="F216" t="s">
        <v>6730</v>
      </c>
      <c r="G216">
        <v>213</v>
      </c>
      <c r="H216" t="s">
        <v>6731</v>
      </c>
      <c r="I216" t="s">
        <v>6732</v>
      </c>
      <c r="J216" t="s">
        <v>6733</v>
      </c>
    </row>
    <row r="217" spans="6:10">
      <c r="F217" t="s">
        <v>6734</v>
      </c>
      <c r="G217">
        <v>214</v>
      </c>
      <c r="H217" t="s">
        <v>3422</v>
      </c>
      <c r="I217" t="s">
        <v>3423</v>
      </c>
      <c r="J217" t="s">
        <v>6735</v>
      </c>
    </row>
    <row r="218" spans="6:10">
      <c r="F218" t="s">
        <v>6736</v>
      </c>
      <c r="G218">
        <v>215</v>
      </c>
      <c r="H218" t="s">
        <v>3424</v>
      </c>
      <c r="I218" t="s">
        <v>3425</v>
      </c>
      <c r="J218" t="s">
        <v>6737</v>
      </c>
    </row>
    <row r="219" spans="6:10">
      <c r="F219" t="s">
        <v>6738</v>
      </c>
      <c r="G219">
        <v>216</v>
      </c>
      <c r="H219" t="s">
        <v>3437</v>
      </c>
      <c r="I219" t="s">
        <v>3438</v>
      </c>
      <c r="J219" t="s">
        <v>6739</v>
      </c>
    </row>
    <row r="220" spans="6:10">
      <c r="F220" t="s">
        <v>6740</v>
      </c>
      <c r="G220">
        <v>217</v>
      </c>
      <c r="H220" t="s">
        <v>3449</v>
      </c>
      <c r="I220" t="s">
        <v>3450</v>
      </c>
      <c r="J220" t="s">
        <v>6741</v>
      </c>
    </row>
    <row r="221" spans="6:10">
      <c r="F221" t="s">
        <v>6742</v>
      </c>
      <c r="G221">
        <v>218</v>
      </c>
      <c r="H221" t="s">
        <v>3482</v>
      </c>
      <c r="I221" t="s">
        <v>3483</v>
      </c>
      <c r="J221" t="s">
        <v>6743</v>
      </c>
    </row>
    <row r="222" spans="6:10">
      <c r="F222" t="s">
        <v>6744</v>
      </c>
      <c r="G222">
        <v>219</v>
      </c>
      <c r="H222" t="s">
        <v>3482</v>
      </c>
      <c r="I222" t="s">
        <v>3483</v>
      </c>
      <c r="J222" t="s">
        <v>6745</v>
      </c>
    </row>
    <row r="223" spans="6:10">
      <c r="F223" t="s">
        <v>6746</v>
      </c>
      <c r="G223">
        <v>220</v>
      </c>
      <c r="H223" t="s">
        <v>3498</v>
      </c>
      <c r="I223" t="s">
        <v>3499</v>
      </c>
      <c r="J223" t="s">
        <v>6747</v>
      </c>
    </row>
    <row r="224" spans="6:10">
      <c r="F224" t="s">
        <v>6748</v>
      </c>
      <c r="G224">
        <v>221</v>
      </c>
      <c r="H224" t="s">
        <v>3504</v>
      </c>
      <c r="I224" t="s">
        <v>3505</v>
      </c>
      <c r="J224" t="s">
        <v>6749</v>
      </c>
    </row>
    <row r="225" spans="6:10">
      <c r="F225" t="s">
        <v>6750</v>
      </c>
      <c r="G225">
        <v>222</v>
      </c>
      <c r="H225" t="s">
        <v>3514</v>
      </c>
      <c r="I225" t="s">
        <v>3515</v>
      </c>
      <c r="J225" t="s">
        <v>6751</v>
      </c>
    </row>
    <row r="226" spans="6:10">
      <c r="F226" t="s">
        <v>6752</v>
      </c>
      <c r="G226">
        <v>223</v>
      </c>
      <c r="H226" t="s">
        <v>3529</v>
      </c>
      <c r="I226" t="s">
        <v>3530</v>
      </c>
      <c r="J226" t="s">
        <v>6753</v>
      </c>
    </row>
    <row r="227" spans="6:10">
      <c r="F227" t="s">
        <v>6754</v>
      </c>
      <c r="G227">
        <v>224</v>
      </c>
      <c r="H227" t="s">
        <v>6755</v>
      </c>
      <c r="I227" t="s">
        <v>6756</v>
      </c>
      <c r="J227" t="s">
        <v>6757</v>
      </c>
    </row>
    <row r="228" spans="6:10">
      <c r="F228" t="s">
        <v>6758</v>
      </c>
      <c r="G228">
        <v>225</v>
      </c>
      <c r="H228" t="s">
        <v>6759</v>
      </c>
      <c r="I228" t="s">
        <v>6760</v>
      </c>
      <c r="J228" t="s">
        <v>6761</v>
      </c>
    </row>
    <row r="229" spans="6:10">
      <c r="F229" t="s">
        <v>6762</v>
      </c>
      <c r="G229">
        <v>226</v>
      </c>
      <c r="H229" t="s">
        <v>3725</v>
      </c>
      <c r="I229" t="s">
        <v>3726</v>
      </c>
      <c r="J229" t="s">
        <v>6763</v>
      </c>
    </row>
    <row r="230" spans="6:10">
      <c r="F230" t="s">
        <v>6764</v>
      </c>
      <c r="G230">
        <v>227</v>
      </c>
      <c r="H230" t="s">
        <v>6765</v>
      </c>
      <c r="I230" t="s">
        <v>6766</v>
      </c>
      <c r="J230" t="s">
        <v>6767</v>
      </c>
    </row>
    <row r="231" spans="6:10">
      <c r="F231" t="s">
        <v>6768</v>
      </c>
      <c r="G231">
        <v>228</v>
      </c>
      <c r="H231" t="s">
        <v>3775</v>
      </c>
      <c r="I231" t="s">
        <v>3776</v>
      </c>
      <c r="J231" t="s">
        <v>6769</v>
      </c>
    </row>
    <row r="232" spans="6:10">
      <c r="F232" t="s">
        <v>6770</v>
      </c>
      <c r="G232">
        <v>229</v>
      </c>
      <c r="H232" t="s">
        <v>3786</v>
      </c>
      <c r="I232" t="s">
        <v>3787</v>
      </c>
      <c r="J232" t="s">
        <v>6771</v>
      </c>
    </row>
    <row r="233" spans="6:10">
      <c r="F233" t="s">
        <v>6772</v>
      </c>
      <c r="G233">
        <v>230</v>
      </c>
      <c r="H233" t="s">
        <v>4718</v>
      </c>
      <c r="I233" t="s">
        <v>4719</v>
      </c>
      <c r="J233" t="s">
        <v>6773</v>
      </c>
    </row>
    <row r="234" spans="6:10">
      <c r="F234" t="s">
        <v>6774</v>
      </c>
      <c r="G234">
        <v>231</v>
      </c>
      <c r="H234" t="s">
        <v>3842</v>
      </c>
      <c r="I234" t="s">
        <v>3843</v>
      </c>
      <c r="J234" t="s">
        <v>6775</v>
      </c>
    </row>
    <row r="235" spans="6:10">
      <c r="F235" t="s">
        <v>6776</v>
      </c>
      <c r="G235">
        <v>232</v>
      </c>
      <c r="H235" t="s">
        <v>3850</v>
      </c>
      <c r="I235" t="s">
        <v>3851</v>
      </c>
      <c r="J235" t="s">
        <v>6777</v>
      </c>
    </row>
    <row r="236" spans="6:10">
      <c r="F236" t="s">
        <v>6778</v>
      </c>
      <c r="G236">
        <v>233</v>
      </c>
      <c r="H236" t="s">
        <v>3922</v>
      </c>
      <c r="I236" t="s">
        <v>3923</v>
      </c>
      <c r="J236" t="s">
        <v>6779</v>
      </c>
    </row>
    <row r="237" spans="6:10">
      <c r="F237" t="s">
        <v>6780</v>
      </c>
      <c r="G237">
        <v>234</v>
      </c>
      <c r="H237" t="s">
        <v>3985</v>
      </c>
      <c r="I237" t="s">
        <v>3986</v>
      </c>
      <c r="J237" t="s">
        <v>6781</v>
      </c>
    </row>
    <row r="238" spans="6:10">
      <c r="F238" t="s">
        <v>6782</v>
      </c>
      <c r="G238">
        <v>235</v>
      </c>
      <c r="H238" t="s">
        <v>4061</v>
      </c>
      <c r="I238" t="s">
        <v>4062</v>
      </c>
      <c r="J238" t="s">
        <v>6783</v>
      </c>
    </row>
    <row r="239" spans="6:10">
      <c r="F239" t="s">
        <v>6784</v>
      </c>
      <c r="G239">
        <v>236</v>
      </c>
      <c r="H239" t="s">
        <v>4070</v>
      </c>
      <c r="I239" t="s">
        <v>4071</v>
      </c>
      <c r="J239" t="s">
        <v>6785</v>
      </c>
    </row>
    <row r="240" spans="6:10">
      <c r="F240" t="s">
        <v>6786</v>
      </c>
      <c r="G240">
        <v>237</v>
      </c>
      <c r="H240" t="s">
        <v>4094</v>
      </c>
      <c r="I240" t="s">
        <v>4095</v>
      </c>
      <c r="J240" t="s">
        <v>6787</v>
      </c>
    </row>
    <row r="241" spans="6:10">
      <c r="F241" t="s">
        <v>6788</v>
      </c>
      <c r="G241">
        <v>238</v>
      </c>
      <c r="H241" t="s">
        <v>4108</v>
      </c>
      <c r="I241" t="s">
        <v>4109</v>
      </c>
      <c r="J241" t="s">
        <v>6789</v>
      </c>
    </row>
    <row r="242" spans="6:10">
      <c r="F242" t="s">
        <v>6790</v>
      </c>
      <c r="G242">
        <v>239</v>
      </c>
      <c r="H242" t="s">
        <v>4131</v>
      </c>
      <c r="I242" t="s">
        <v>4132</v>
      </c>
      <c r="J242" t="s">
        <v>6791</v>
      </c>
    </row>
    <row r="243" spans="6:10">
      <c r="F243" t="s">
        <v>6792</v>
      </c>
      <c r="G243">
        <v>240</v>
      </c>
      <c r="H243" t="s">
        <v>4147</v>
      </c>
      <c r="I243" t="s">
        <v>4148</v>
      </c>
      <c r="J243" t="s">
        <v>6793</v>
      </c>
    </row>
    <row r="244" spans="6:10">
      <c r="F244" t="s">
        <v>6794</v>
      </c>
      <c r="G244">
        <v>241</v>
      </c>
      <c r="H244" t="s">
        <v>4156</v>
      </c>
      <c r="I244" t="s">
        <v>4158</v>
      </c>
      <c r="J244" t="s">
        <v>6795</v>
      </c>
    </row>
    <row r="245" spans="6:10">
      <c r="F245" t="s">
        <v>6796</v>
      </c>
      <c r="G245">
        <v>242</v>
      </c>
      <c r="H245" t="s">
        <v>4156</v>
      </c>
      <c r="I245" t="s">
        <v>4159</v>
      </c>
      <c r="J245" t="s">
        <v>6797</v>
      </c>
    </row>
    <row r="246" spans="6:10">
      <c r="F246" t="s">
        <v>6798</v>
      </c>
      <c r="G246">
        <v>243</v>
      </c>
      <c r="H246" t="s">
        <v>4156</v>
      </c>
      <c r="I246" t="s">
        <v>4160</v>
      </c>
      <c r="J246" t="s">
        <v>6799</v>
      </c>
    </row>
    <row r="247" spans="6:10">
      <c r="F247" t="s">
        <v>6800</v>
      </c>
      <c r="G247">
        <v>244</v>
      </c>
      <c r="H247" t="s">
        <v>4156</v>
      </c>
      <c r="I247" t="s">
        <v>4161</v>
      </c>
      <c r="J247" t="s">
        <v>6801</v>
      </c>
    </row>
    <row r="248" spans="6:10">
      <c r="F248" t="s">
        <v>6802</v>
      </c>
      <c r="G248">
        <v>245</v>
      </c>
      <c r="H248" t="s">
        <v>4156</v>
      </c>
      <c r="I248" t="s">
        <v>4162</v>
      </c>
      <c r="J248" t="s">
        <v>6803</v>
      </c>
    </row>
    <row r="249" spans="6:10">
      <c r="F249" t="s">
        <v>6804</v>
      </c>
      <c r="G249">
        <v>246</v>
      </c>
      <c r="H249" t="s">
        <v>4156</v>
      </c>
      <c r="I249" t="s">
        <v>4163</v>
      </c>
      <c r="J249" t="s">
        <v>6805</v>
      </c>
    </row>
    <row r="250" spans="6:10">
      <c r="F250" t="s">
        <v>6806</v>
      </c>
      <c r="G250">
        <v>247</v>
      </c>
      <c r="H250" t="s">
        <v>4156</v>
      </c>
      <c r="I250" t="s">
        <v>4164</v>
      </c>
      <c r="J250" t="s">
        <v>6807</v>
      </c>
    </row>
    <row r="251" spans="6:10">
      <c r="F251" t="s">
        <v>6808</v>
      </c>
      <c r="G251">
        <v>248</v>
      </c>
      <c r="H251" t="s">
        <v>4156</v>
      </c>
      <c r="I251" t="s">
        <v>4165</v>
      </c>
      <c r="J251" t="s">
        <v>6809</v>
      </c>
    </row>
    <row r="252" spans="6:10">
      <c r="F252" t="s">
        <v>6810</v>
      </c>
      <c r="G252">
        <v>249</v>
      </c>
      <c r="H252" t="s">
        <v>4156</v>
      </c>
      <c r="I252" t="s">
        <v>4166</v>
      </c>
      <c r="J252" t="s">
        <v>6811</v>
      </c>
    </row>
    <row r="253" spans="6:10">
      <c r="F253" t="s">
        <v>6812</v>
      </c>
      <c r="G253">
        <v>250</v>
      </c>
      <c r="H253" t="s">
        <v>4153</v>
      </c>
      <c r="I253" t="s">
        <v>4154</v>
      </c>
      <c r="J253" t="s">
        <v>6813</v>
      </c>
    </row>
    <row r="254" spans="6:10">
      <c r="F254" t="s">
        <v>6814</v>
      </c>
      <c r="G254">
        <v>251</v>
      </c>
      <c r="H254" t="s">
        <v>4156</v>
      </c>
      <c r="I254" t="s">
        <v>4167</v>
      </c>
      <c r="J254" t="s">
        <v>6815</v>
      </c>
    </row>
    <row r="255" spans="6:10">
      <c r="F255" t="s">
        <v>6816</v>
      </c>
      <c r="G255">
        <v>252</v>
      </c>
      <c r="H255" t="s">
        <v>4178</v>
      </c>
      <c r="I255" t="s">
        <v>4179</v>
      </c>
      <c r="J255" t="s">
        <v>6817</v>
      </c>
    </row>
    <row r="256" spans="6:10">
      <c r="F256" t="s">
        <v>6818</v>
      </c>
      <c r="G256">
        <v>253</v>
      </c>
      <c r="H256" t="s">
        <v>4178</v>
      </c>
      <c r="I256" t="s">
        <v>4180</v>
      </c>
      <c r="J256" t="s">
        <v>6819</v>
      </c>
    </row>
    <row r="257" spans="6:10">
      <c r="F257" t="s">
        <v>6820</v>
      </c>
      <c r="G257">
        <v>254</v>
      </c>
      <c r="H257" t="s">
        <v>4183</v>
      </c>
      <c r="I257" t="s">
        <v>4184</v>
      </c>
      <c r="J257" t="s">
        <v>6821</v>
      </c>
    </row>
    <row r="258" spans="6:10">
      <c r="F258" t="s">
        <v>6822</v>
      </c>
      <c r="G258">
        <v>255</v>
      </c>
      <c r="H258" t="s">
        <v>4190</v>
      </c>
      <c r="I258" t="s">
        <v>4191</v>
      </c>
      <c r="J258" t="s">
        <v>6823</v>
      </c>
    </row>
    <row r="259" spans="6:10">
      <c r="F259" t="s">
        <v>6824</v>
      </c>
      <c r="G259">
        <v>256</v>
      </c>
      <c r="H259" t="s">
        <v>4223</v>
      </c>
      <c r="I259" t="s">
        <v>4224</v>
      </c>
      <c r="J259" t="s">
        <v>6825</v>
      </c>
    </row>
    <row r="260" spans="6:10">
      <c r="F260" t="s">
        <v>6826</v>
      </c>
      <c r="G260">
        <v>257</v>
      </c>
      <c r="H260" t="s">
        <v>4233</v>
      </c>
      <c r="I260" t="s">
        <v>4234</v>
      </c>
      <c r="J260" t="s">
        <v>6827</v>
      </c>
    </row>
    <row r="261" spans="6:10">
      <c r="F261" t="s">
        <v>6828</v>
      </c>
      <c r="G261">
        <v>258</v>
      </c>
      <c r="H261" t="s">
        <v>4268</v>
      </c>
      <c r="I261" t="s">
        <v>4269</v>
      </c>
      <c r="J261" t="s">
        <v>6829</v>
      </c>
    </row>
    <row r="262" spans="6:10">
      <c r="F262" t="s">
        <v>6830</v>
      </c>
      <c r="G262">
        <v>259</v>
      </c>
      <c r="H262" t="s">
        <v>2611</v>
      </c>
      <c r="I262" t="s">
        <v>1904</v>
      </c>
      <c r="J262" t="s">
        <v>6831</v>
      </c>
    </row>
    <row r="263" spans="6:10">
      <c r="F263" t="s">
        <v>6832</v>
      </c>
      <c r="G263">
        <v>260</v>
      </c>
      <c r="H263" t="s">
        <v>4278</v>
      </c>
      <c r="I263" t="s">
        <v>4279</v>
      </c>
      <c r="J263" t="s">
        <v>6833</v>
      </c>
    </row>
    <row r="264" spans="6:10">
      <c r="F264" t="s">
        <v>6834</v>
      </c>
      <c r="G264">
        <v>261</v>
      </c>
      <c r="H264" t="s">
        <v>4290</v>
      </c>
      <c r="I264" t="s">
        <v>4291</v>
      </c>
      <c r="J264" t="s">
        <v>6835</v>
      </c>
    </row>
    <row r="265" spans="6:10">
      <c r="F265" t="s">
        <v>6836</v>
      </c>
      <c r="G265">
        <v>262</v>
      </c>
      <c r="H265" t="s">
        <v>4297</v>
      </c>
      <c r="I265" t="s">
        <v>4298</v>
      </c>
      <c r="J265" t="s">
        <v>6837</v>
      </c>
    </row>
    <row r="266" spans="6:10">
      <c r="F266" t="s">
        <v>6838</v>
      </c>
      <c r="G266">
        <v>263</v>
      </c>
      <c r="H266" t="s">
        <v>4331</v>
      </c>
      <c r="I266" t="s">
        <v>4332</v>
      </c>
      <c r="J266" t="s">
        <v>6839</v>
      </c>
    </row>
    <row r="267" spans="6:10">
      <c r="F267" t="s">
        <v>6840</v>
      </c>
      <c r="G267">
        <v>264</v>
      </c>
      <c r="H267" t="s">
        <v>4340</v>
      </c>
      <c r="I267" t="s">
        <v>4341</v>
      </c>
      <c r="J267" t="s">
        <v>6841</v>
      </c>
    </row>
    <row r="268" spans="6:10">
      <c r="F268" t="s">
        <v>6842</v>
      </c>
      <c r="G268">
        <v>265</v>
      </c>
      <c r="H268" t="s">
        <v>4410</v>
      </c>
      <c r="I268" t="s">
        <v>4411</v>
      </c>
      <c r="J268" t="s">
        <v>6843</v>
      </c>
    </row>
    <row r="269" spans="6:10">
      <c r="F269" t="s">
        <v>6844</v>
      </c>
      <c r="G269">
        <v>266</v>
      </c>
      <c r="H269" t="s">
        <v>4445</v>
      </c>
      <c r="I269" t="s">
        <v>4446</v>
      </c>
      <c r="J269" t="s">
        <v>6845</v>
      </c>
    </row>
    <row r="270" spans="6:10">
      <c r="F270" t="s">
        <v>6846</v>
      </c>
      <c r="G270">
        <v>267</v>
      </c>
      <c r="H270" t="s">
        <v>4451</v>
      </c>
      <c r="I270" t="s">
        <v>4452</v>
      </c>
      <c r="J270" t="s">
        <v>6847</v>
      </c>
    </row>
    <row r="271" spans="6:10">
      <c r="F271" t="s">
        <v>6848</v>
      </c>
      <c r="G271">
        <v>268</v>
      </c>
      <c r="H271" t="s">
        <v>4457</v>
      </c>
      <c r="I271" t="s">
        <v>4458</v>
      </c>
      <c r="J271" t="s">
        <v>6849</v>
      </c>
    </row>
    <row r="272" spans="6:10">
      <c r="F272" t="s">
        <v>6850</v>
      </c>
      <c r="G272">
        <v>269</v>
      </c>
      <c r="H272" t="s">
        <v>4477</v>
      </c>
      <c r="I272" t="s">
        <v>4478</v>
      </c>
      <c r="J272" t="s">
        <v>6851</v>
      </c>
    </row>
    <row r="273" spans="6:10">
      <c r="F273" t="s">
        <v>6852</v>
      </c>
      <c r="G273">
        <v>270</v>
      </c>
      <c r="H273" t="s">
        <v>4482</v>
      </c>
      <c r="I273" t="s">
        <v>4483</v>
      </c>
      <c r="J273" t="s">
        <v>6853</v>
      </c>
    </row>
    <row r="274" spans="6:10">
      <c r="F274" t="s">
        <v>6854</v>
      </c>
      <c r="G274">
        <v>271</v>
      </c>
      <c r="H274" t="s">
        <v>4503</v>
      </c>
      <c r="I274" t="s">
        <v>4504</v>
      </c>
      <c r="J274" t="s">
        <v>6855</v>
      </c>
    </row>
    <row r="275" spans="6:10">
      <c r="F275" t="s">
        <v>6856</v>
      </c>
      <c r="G275">
        <v>272</v>
      </c>
      <c r="H275" t="s">
        <v>4527</v>
      </c>
      <c r="I275" t="s">
        <v>4528</v>
      </c>
      <c r="J275" t="s">
        <v>6857</v>
      </c>
    </row>
    <row r="276" spans="6:10">
      <c r="F276" t="s">
        <v>6858</v>
      </c>
      <c r="G276">
        <v>273</v>
      </c>
      <c r="H276" t="s">
        <v>6859</v>
      </c>
      <c r="I276" t="s">
        <v>6860</v>
      </c>
      <c r="J276" t="s">
        <v>6861</v>
      </c>
    </row>
    <row r="277" spans="6:10">
      <c r="F277" t="s">
        <v>6862</v>
      </c>
      <c r="G277">
        <v>274</v>
      </c>
      <c r="H277" t="s">
        <v>6863</v>
      </c>
      <c r="I277" t="s">
        <v>6864</v>
      </c>
      <c r="J277" t="s">
        <v>6865</v>
      </c>
    </row>
    <row r="278" spans="6:10">
      <c r="F278" t="s">
        <v>6866</v>
      </c>
      <c r="G278">
        <v>275</v>
      </c>
      <c r="H278" t="s">
        <v>4695</v>
      </c>
      <c r="I278" t="s">
        <v>4696</v>
      </c>
      <c r="J278" t="s">
        <v>6867</v>
      </c>
    </row>
    <row r="279" spans="6:10">
      <c r="F279" t="s">
        <v>6868</v>
      </c>
      <c r="G279">
        <v>276</v>
      </c>
      <c r="H279" t="s">
        <v>4704</v>
      </c>
      <c r="I279" t="s">
        <v>4705</v>
      </c>
      <c r="J279" t="s">
        <v>6869</v>
      </c>
    </row>
    <row r="280" spans="6:10">
      <c r="F280" t="s">
        <v>6870</v>
      </c>
      <c r="G280">
        <v>277</v>
      </c>
      <c r="H280" t="s">
        <v>4708</v>
      </c>
      <c r="I280" t="s">
        <v>4709</v>
      </c>
      <c r="J280" t="s">
        <v>6871</v>
      </c>
    </row>
    <row r="281" spans="6:10">
      <c r="F281" t="s">
        <v>6872</v>
      </c>
      <c r="G281">
        <v>278</v>
      </c>
      <c r="H281" t="s">
        <v>4728</v>
      </c>
      <c r="I281" t="s">
        <v>4729</v>
      </c>
      <c r="J281" t="s">
        <v>6873</v>
      </c>
    </row>
    <row r="282" spans="6:10">
      <c r="F282" t="s">
        <v>6874</v>
      </c>
      <c r="G282">
        <v>279</v>
      </c>
      <c r="H282" t="s">
        <v>4728</v>
      </c>
      <c r="I282" t="s">
        <v>4730</v>
      </c>
      <c r="J282" t="s">
        <v>6875</v>
      </c>
    </row>
    <row r="283" spans="6:10">
      <c r="F283" t="s">
        <v>6876</v>
      </c>
      <c r="G283">
        <v>280</v>
      </c>
      <c r="H283" t="s">
        <v>4746</v>
      </c>
      <c r="I283" t="s">
        <v>4747</v>
      </c>
      <c r="J283" t="s">
        <v>6877</v>
      </c>
    </row>
    <row r="284" spans="6:10">
      <c r="F284" t="s">
        <v>6878</v>
      </c>
      <c r="G284">
        <v>281</v>
      </c>
      <c r="H284" t="s">
        <v>4764</v>
      </c>
      <c r="I284" t="s">
        <v>4765</v>
      </c>
      <c r="J284" t="s">
        <v>6879</v>
      </c>
    </row>
    <row r="285" spans="6:10">
      <c r="F285" t="s">
        <v>6880</v>
      </c>
      <c r="G285">
        <v>282</v>
      </c>
      <c r="H285" t="s">
        <v>4772</v>
      </c>
      <c r="I285" t="s">
        <v>4773</v>
      </c>
      <c r="J285" t="s">
        <v>6881</v>
      </c>
    </row>
    <row r="286" spans="6:10">
      <c r="F286" t="s">
        <v>6882</v>
      </c>
      <c r="G286">
        <v>283</v>
      </c>
      <c r="H286" t="s">
        <v>4780</v>
      </c>
      <c r="I286" t="s">
        <v>4781</v>
      </c>
      <c r="J286" t="s">
        <v>6883</v>
      </c>
    </row>
    <row r="287" spans="6:10">
      <c r="F287" t="s">
        <v>6884</v>
      </c>
      <c r="G287">
        <v>284</v>
      </c>
      <c r="H287" t="s">
        <v>4784</v>
      </c>
      <c r="I287" t="s">
        <v>4785</v>
      </c>
      <c r="J287" t="s">
        <v>6885</v>
      </c>
    </row>
    <row r="288" spans="6:10">
      <c r="F288" t="s">
        <v>6886</v>
      </c>
      <c r="G288">
        <v>285</v>
      </c>
      <c r="H288" t="s">
        <v>4788</v>
      </c>
      <c r="I288" t="s">
        <v>4789</v>
      </c>
      <c r="J288" t="s">
        <v>6887</v>
      </c>
    </row>
    <row r="289" spans="6:10">
      <c r="F289" t="s">
        <v>6888</v>
      </c>
      <c r="G289">
        <v>286</v>
      </c>
      <c r="H289" t="s">
        <v>4798</v>
      </c>
      <c r="I289" t="s">
        <v>4799</v>
      </c>
      <c r="J289" t="s">
        <v>6889</v>
      </c>
    </row>
    <row r="290" spans="6:10">
      <c r="F290" t="s">
        <v>6890</v>
      </c>
      <c r="G290">
        <v>287</v>
      </c>
      <c r="H290" t="s">
        <v>4804</v>
      </c>
      <c r="I290" t="s">
        <v>4805</v>
      </c>
      <c r="J290" t="s">
        <v>6891</v>
      </c>
    </row>
    <row r="291" spans="6:10">
      <c r="F291" t="s">
        <v>6892</v>
      </c>
      <c r="G291">
        <v>288</v>
      </c>
      <c r="H291" t="s">
        <v>4806</v>
      </c>
      <c r="I291" t="s">
        <v>4807</v>
      </c>
      <c r="J291" t="s">
        <v>6893</v>
      </c>
    </row>
    <row r="292" spans="6:10">
      <c r="F292" t="s">
        <v>6894</v>
      </c>
      <c r="G292">
        <v>289</v>
      </c>
      <c r="H292" t="s">
        <v>4813</v>
      </c>
      <c r="I292" t="s">
        <v>4814</v>
      </c>
      <c r="J292" t="s">
        <v>6895</v>
      </c>
    </row>
    <row r="293" spans="6:10">
      <c r="F293" t="s">
        <v>6896</v>
      </c>
      <c r="G293">
        <v>290</v>
      </c>
      <c r="H293" t="s">
        <v>4819</v>
      </c>
      <c r="I293" t="s">
        <v>4820</v>
      </c>
      <c r="J293" t="s">
        <v>6897</v>
      </c>
    </row>
    <row r="294" spans="6:10">
      <c r="F294" t="s">
        <v>6898</v>
      </c>
      <c r="G294">
        <v>291</v>
      </c>
      <c r="H294" t="s">
        <v>4823</v>
      </c>
      <c r="I294" t="s">
        <v>4824</v>
      </c>
      <c r="J294" t="s">
        <v>6899</v>
      </c>
    </row>
    <row r="295" spans="6:10">
      <c r="F295" t="s">
        <v>6900</v>
      </c>
      <c r="G295">
        <v>292</v>
      </c>
      <c r="H295" t="s">
        <v>4825</v>
      </c>
      <c r="I295" t="s">
        <v>4826</v>
      </c>
      <c r="J295" t="s">
        <v>6901</v>
      </c>
    </row>
    <row r="296" spans="6:10">
      <c r="F296" t="s">
        <v>6902</v>
      </c>
      <c r="G296">
        <v>293</v>
      </c>
      <c r="H296" t="s">
        <v>4836</v>
      </c>
      <c r="I296" t="s">
        <v>4837</v>
      </c>
      <c r="J296" t="s">
        <v>6903</v>
      </c>
    </row>
    <row r="297" spans="6:10">
      <c r="F297" t="s">
        <v>6904</v>
      </c>
      <c r="G297">
        <v>294</v>
      </c>
      <c r="H297" t="s">
        <v>4838</v>
      </c>
      <c r="I297" t="s">
        <v>4839</v>
      </c>
      <c r="J297" t="s">
        <v>6905</v>
      </c>
    </row>
    <row r="298" spans="6:10">
      <c r="F298" t="s">
        <v>6906</v>
      </c>
      <c r="G298">
        <v>295</v>
      </c>
      <c r="H298" t="s">
        <v>4848</v>
      </c>
      <c r="I298" t="s">
        <v>4849</v>
      </c>
      <c r="J298" t="s">
        <v>6907</v>
      </c>
    </row>
    <row r="299" spans="6:10">
      <c r="F299" t="s">
        <v>6908</v>
      </c>
      <c r="G299">
        <v>296</v>
      </c>
      <c r="H299" t="s">
        <v>4850</v>
      </c>
      <c r="I299" t="s">
        <v>4851</v>
      </c>
      <c r="J299" t="s">
        <v>6909</v>
      </c>
    </row>
    <row r="300" spans="6:10">
      <c r="F300" t="s">
        <v>6910</v>
      </c>
      <c r="G300">
        <v>297</v>
      </c>
      <c r="H300" t="s">
        <v>4856</v>
      </c>
      <c r="I300" t="s">
        <v>4857</v>
      </c>
      <c r="J300" t="s">
        <v>6911</v>
      </c>
    </row>
    <row r="301" spans="6:10">
      <c r="F301" t="s">
        <v>6912</v>
      </c>
      <c r="G301">
        <v>298</v>
      </c>
      <c r="H301" t="s">
        <v>4860</v>
      </c>
      <c r="I301" t="s">
        <v>4861</v>
      </c>
      <c r="J301" t="s">
        <v>6913</v>
      </c>
    </row>
    <row r="302" spans="6:10">
      <c r="F302" t="s">
        <v>6914</v>
      </c>
      <c r="G302">
        <v>299</v>
      </c>
      <c r="H302" t="s">
        <v>4864</v>
      </c>
      <c r="I302" t="s">
        <v>4865</v>
      </c>
      <c r="J302" t="s">
        <v>6915</v>
      </c>
    </row>
    <row r="303" spans="6:10">
      <c r="F303" t="s">
        <v>6916</v>
      </c>
      <c r="G303">
        <v>300</v>
      </c>
      <c r="H303" t="s">
        <v>4872</v>
      </c>
      <c r="I303" t="s">
        <v>4873</v>
      </c>
      <c r="J303" t="s">
        <v>6917</v>
      </c>
    </row>
    <row r="304" spans="6:10">
      <c r="F304" t="s">
        <v>6918</v>
      </c>
      <c r="G304">
        <v>301</v>
      </c>
      <c r="H304" t="s">
        <v>4874</v>
      </c>
      <c r="I304" t="s">
        <v>4875</v>
      </c>
      <c r="J304" t="s">
        <v>6919</v>
      </c>
    </row>
    <row r="305" spans="6:10">
      <c r="F305" t="s">
        <v>6920</v>
      </c>
      <c r="G305">
        <v>302</v>
      </c>
      <c r="H305" t="s">
        <v>4890</v>
      </c>
      <c r="I305" t="s">
        <v>4891</v>
      </c>
      <c r="J305" t="s">
        <v>6921</v>
      </c>
    </row>
    <row r="306" spans="6:10">
      <c r="F306" t="s">
        <v>6922</v>
      </c>
      <c r="G306">
        <v>303</v>
      </c>
      <c r="H306" t="s">
        <v>4898</v>
      </c>
      <c r="I306" t="s">
        <v>4899</v>
      </c>
      <c r="J306" t="s">
        <v>6923</v>
      </c>
    </row>
    <row r="307" spans="6:10">
      <c r="F307" t="s">
        <v>6924</v>
      </c>
      <c r="G307">
        <v>304</v>
      </c>
      <c r="H307" t="s">
        <v>6925</v>
      </c>
      <c r="I307" t="s">
        <v>6926</v>
      </c>
      <c r="J307" t="s">
        <v>6927</v>
      </c>
    </row>
    <row r="308" spans="6:10">
      <c r="F308" t="s">
        <v>6928</v>
      </c>
      <c r="G308">
        <v>305</v>
      </c>
      <c r="H308" t="s">
        <v>6929</v>
      </c>
      <c r="I308" t="s">
        <v>6930</v>
      </c>
      <c r="J308" t="s">
        <v>6931</v>
      </c>
    </row>
    <row r="309" spans="6:10">
      <c r="F309" t="s">
        <v>6932</v>
      </c>
      <c r="G309">
        <v>306</v>
      </c>
      <c r="H309" t="s">
        <v>4982</v>
      </c>
      <c r="I309" t="s">
        <v>4981</v>
      </c>
      <c r="J309" t="s">
        <v>6933</v>
      </c>
    </row>
    <row r="310" spans="6:10">
      <c r="F310" t="s">
        <v>6934</v>
      </c>
      <c r="G310">
        <v>307</v>
      </c>
      <c r="H310" t="s">
        <v>4982</v>
      </c>
      <c r="I310" t="s">
        <v>4983</v>
      </c>
      <c r="J310" t="s">
        <v>6935</v>
      </c>
    </row>
    <row r="311" spans="6:10">
      <c r="F311" t="s">
        <v>6936</v>
      </c>
      <c r="G311">
        <v>308</v>
      </c>
      <c r="H311" t="s">
        <v>4982</v>
      </c>
      <c r="I311" t="s">
        <v>4981</v>
      </c>
      <c r="J311" t="s">
        <v>6937</v>
      </c>
    </row>
    <row r="312" spans="6:10">
      <c r="F312" t="s">
        <v>6938</v>
      </c>
      <c r="G312">
        <v>309</v>
      </c>
      <c r="H312" t="s">
        <v>4982</v>
      </c>
      <c r="I312" t="s">
        <v>4981</v>
      </c>
      <c r="J312" t="s">
        <v>6939</v>
      </c>
    </row>
    <row r="313" spans="6:10">
      <c r="F313" t="s">
        <v>6940</v>
      </c>
      <c r="G313">
        <v>310</v>
      </c>
      <c r="H313" t="s">
        <v>4982</v>
      </c>
      <c r="I313" t="s">
        <v>4981</v>
      </c>
      <c r="J313" t="s">
        <v>6941</v>
      </c>
    </row>
    <row r="314" spans="6:10">
      <c r="F314" t="s">
        <v>6942</v>
      </c>
      <c r="G314">
        <v>311</v>
      </c>
      <c r="H314" t="s">
        <v>4982</v>
      </c>
      <c r="I314" t="s">
        <v>4981</v>
      </c>
      <c r="J314" t="s">
        <v>6943</v>
      </c>
    </row>
    <row r="315" spans="6:10">
      <c r="F315" t="s">
        <v>6944</v>
      </c>
      <c r="G315">
        <v>312</v>
      </c>
      <c r="H315" t="s">
        <v>4982</v>
      </c>
      <c r="I315" t="s">
        <v>4981</v>
      </c>
      <c r="J315" t="s">
        <v>6945</v>
      </c>
    </row>
    <row r="316" spans="6:10">
      <c r="F316" t="s">
        <v>6946</v>
      </c>
      <c r="G316">
        <v>313</v>
      </c>
      <c r="H316" t="s">
        <v>5020</v>
      </c>
      <c r="I316" t="s">
        <v>5021</v>
      </c>
      <c r="J316" t="s">
        <v>6947</v>
      </c>
    </row>
    <row r="317" spans="6:10">
      <c r="F317" t="s">
        <v>6948</v>
      </c>
      <c r="G317">
        <v>314</v>
      </c>
      <c r="H317" t="s">
        <v>5022</v>
      </c>
      <c r="I317" t="s">
        <v>5023</v>
      </c>
      <c r="J317" t="s">
        <v>6949</v>
      </c>
    </row>
    <row r="318" spans="6:10">
      <c r="F318" t="s">
        <v>6950</v>
      </c>
      <c r="G318">
        <v>315</v>
      </c>
      <c r="H318" t="s">
        <v>1153</v>
      </c>
      <c r="I318" t="s">
        <v>1152</v>
      </c>
      <c r="J318" t="s">
        <v>6951</v>
      </c>
    </row>
    <row r="319" spans="6:10">
      <c r="F319" t="s">
        <v>6952</v>
      </c>
      <c r="G319">
        <v>316</v>
      </c>
      <c r="H319" t="s">
        <v>6953</v>
      </c>
      <c r="I319" t="s">
        <v>6954</v>
      </c>
      <c r="J319" t="s">
        <v>6955</v>
      </c>
    </row>
    <row r="320" spans="6:10">
      <c r="F320" t="s">
        <v>6956</v>
      </c>
      <c r="G320">
        <v>317</v>
      </c>
      <c r="H320" t="s">
        <v>5086</v>
      </c>
      <c r="I320" t="s">
        <v>5087</v>
      </c>
      <c r="J320" t="s">
        <v>6957</v>
      </c>
    </row>
    <row r="321" spans="6:10">
      <c r="F321" t="s">
        <v>6958</v>
      </c>
      <c r="G321">
        <v>318</v>
      </c>
      <c r="H321" t="s">
        <v>5091</v>
      </c>
      <c r="I321" t="s">
        <v>5092</v>
      </c>
      <c r="J321" t="s">
        <v>6959</v>
      </c>
    </row>
    <row r="322" spans="6:10">
      <c r="F322" t="s">
        <v>6960</v>
      </c>
      <c r="G322">
        <v>319</v>
      </c>
      <c r="H322" t="s">
        <v>5093</v>
      </c>
      <c r="I322" t="s">
        <v>5094</v>
      </c>
      <c r="J322" t="s">
        <v>6961</v>
      </c>
    </row>
    <row r="323" spans="6:10">
      <c r="F323" t="s">
        <v>6962</v>
      </c>
      <c r="G323">
        <v>320</v>
      </c>
      <c r="H323" t="s">
        <v>5124</v>
      </c>
      <c r="I323" t="s">
        <v>5125</v>
      </c>
      <c r="J323" t="s">
        <v>6963</v>
      </c>
    </row>
    <row r="324" spans="6:10">
      <c r="F324" t="s">
        <v>6964</v>
      </c>
      <c r="G324">
        <v>321</v>
      </c>
      <c r="H324" t="s">
        <v>5223</v>
      </c>
      <c r="I324" t="s">
        <v>5224</v>
      </c>
      <c r="J324" t="s">
        <v>6965</v>
      </c>
    </row>
    <row r="325" spans="6:10">
      <c r="F325" t="s">
        <v>6966</v>
      </c>
      <c r="G325">
        <v>322</v>
      </c>
      <c r="H325" t="s">
        <v>5231</v>
      </c>
      <c r="I325" t="s">
        <v>5232</v>
      </c>
      <c r="J325" t="s">
        <v>6967</v>
      </c>
    </row>
    <row r="326" spans="6:10">
      <c r="F326" t="s">
        <v>6968</v>
      </c>
      <c r="G326">
        <v>323</v>
      </c>
      <c r="H326" t="s">
        <v>5239</v>
      </c>
      <c r="I326" t="s">
        <v>5240</v>
      </c>
      <c r="J326" t="s">
        <v>6969</v>
      </c>
    </row>
    <row r="327" spans="6:10">
      <c r="F327" t="s">
        <v>6970</v>
      </c>
      <c r="G327">
        <v>324</v>
      </c>
      <c r="H327" t="s">
        <v>5247</v>
      </c>
      <c r="I327" t="s">
        <v>5248</v>
      </c>
      <c r="J327" t="s">
        <v>6971</v>
      </c>
    </row>
    <row r="328" spans="6:10">
      <c r="F328" t="s">
        <v>6972</v>
      </c>
      <c r="G328">
        <v>325</v>
      </c>
      <c r="H328" t="s">
        <v>5329</v>
      </c>
      <c r="I328" t="s">
        <v>5330</v>
      </c>
      <c r="J328" t="s">
        <v>6973</v>
      </c>
    </row>
    <row r="329" spans="6:10">
      <c r="F329" t="s">
        <v>6974</v>
      </c>
      <c r="G329">
        <v>326</v>
      </c>
      <c r="H329" t="s">
        <v>5353</v>
      </c>
      <c r="I329" t="s">
        <v>5354</v>
      </c>
      <c r="J329" t="s">
        <v>6975</v>
      </c>
    </row>
    <row r="330" spans="6:10">
      <c r="F330" t="s">
        <v>6976</v>
      </c>
      <c r="G330">
        <v>327</v>
      </c>
      <c r="H330" t="s">
        <v>5378</v>
      </c>
      <c r="I330" t="s">
        <v>5379</v>
      </c>
      <c r="J330" t="s">
        <v>6977</v>
      </c>
    </row>
    <row r="331" spans="6:10">
      <c r="F331" t="s">
        <v>6978</v>
      </c>
      <c r="G331">
        <v>328</v>
      </c>
      <c r="H331" t="s">
        <v>5411</v>
      </c>
      <c r="I331" t="s">
        <v>5412</v>
      </c>
      <c r="J331" t="s">
        <v>6979</v>
      </c>
    </row>
    <row r="332" spans="6:10">
      <c r="F332" t="s">
        <v>6980</v>
      </c>
      <c r="G332">
        <v>329</v>
      </c>
      <c r="H332" t="s">
        <v>5420</v>
      </c>
      <c r="I332" t="s">
        <v>5421</v>
      </c>
      <c r="J332" t="s">
        <v>6981</v>
      </c>
    </row>
    <row r="333" spans="6:10">
      <c r="F333" t="s">
        <v>6982</v>
      </c>
      <c r="G333">
        <v>330</v>
      </c>
      <c r="H333" t="s">
        <v>5451</v>
      </c>
      <c r="I333" t="s">
        <v>5452</v>
      </c>
      <c r="J333" t="s">
        <v>6983</v>
      </c>
    </row>
    <row r="334" spans="6:10">
      <c r="F334" t="s">
        <v>6984</v>
      </c>
      <c r="G334">
        <v>331</v>
      </c>
      <c r="H334" t="s">
        <v>5490</v>
      </c>
      <c r="I334" t="s">
        <v>5491</v>
      </c>
      <c r="J334" t="s">
        <v>6985</v>
      </c>
    </row>
    <row r="335" spans="6:10">
      <c r="F335" t="s">
        <v>6986</v>
      </c>
      <c r="G335">
        <v>332</v>
      </c>
      <c r="H335" t="s">
        <v>5512</v>
      </c>
      <c r="I335" t="s">
        <v>1349</v>
      </c>
      <c r="J335" t="s">
        <v>6987</v>
      </c>
    </row>
    <row r="336" spans="6:10">
      <c r="F336" t="s">
        <v>6988</v>
      </c>
      <c r="G336">
        <v>333</v>
      </c>
      <c r="H336" t="s">
        <v>5524</v>
      </c>
      <c r="I336" t="s">
        <v>5525</v>
      </c>
      <c r="J336" t="s">
        <v>6989</v>
      </c>
    </row>
    <row r="337" spans="6:10">
      <c r="F337" t="s">
        <v>6990</v>
      </c>
      <c r="G337">
        <v>334</v>
      </c>
      <c r="H337" t="s">
        <v>5614</v>
      </c>
      <c r="I337" t="s">
        <v>5615</v>
      </c>
      <c r="J337" t="s">
        <v>6991</v>
      </c>
    </row>
    <row r="338" spans="6:10">
      <c r="F338" t="s">
        <v>6992</v>
      </c>
      <c r="G338">
        <v>335</v>
      </c>
      <c r="H338" t="s">
        <v>5639</v>
      </c>
      <c r="I338" t="s">
        <v>5640</v>
      </c>
      <c r="J338" t="s">
        <v>6993</v>
      </c>
    </row>
    <row r="339" spans="6:10">
      <c r="F339" t="s">
        <v>6994</v>
      </c>
      <c r="G339">
        <v>336</v>
      </c>
      <c r="H339" t="s">
        <v>5678</v>
      </c>
      <c r="I339" t="s">
        <v>5679</v>
      </c>
      <c r="J339" t="s">
        <v>6995</v>
      </c>
    </row>
    <row r="340" spans="6:10">
      <c r="F340" t="s">
        <v>6996</v>
      </c>
      <c r="G340">
        <v>337</v>
      </c>
      <c r="H340" t="s">
        <v>5694</v>
      </c>
      <c r="I340" t="s">
        <v>5695</v>
      </c>
      <c r="J340" t="s">
        <v>6997</v>
      </c>
    </row>
    <row r="341" spans="6:10">
      <c r="F341" t="s">
        <v>6998</v>
      </c>
      <c r="G341">
        <v>338</v>
      </c>
      <c r="H341" t="s">
        <v>5429</v>
      </c>
      <c r="I341" t="s">
        <v>5430</v>
      </c>
      <c r="J341" t="s">
        <v>6999</v>
      </c>
    </row>
    <row r="342" spans="6:10">
      <c r="F342" t="s">
        <v>7000</v>
      </c>
      <c r="G342">
        <v>339</v>
      </c>
      <c r="H342" t="s">
        <v>5775</v>
      </c>
      <c r="I342" t="s">
        <v>5776</v>
      </c>
      <c r="J342" t="s">
        <v>7001</v>
      </c>
    </row>
    <row r="343" spans="6:10">
      <c r="F343" t="s">
        <v>7002</v>
      </c>
      <c r="G343">
        <v>340</v>
      </c>
      <c r="H343" t="s">
        <v>5780</v>
      </c>
      <c r="I343" t="s">
        <v>5781</v>
      </c>
      <c r="J343" t="s">
        <v>7003</v>
      </c>
    </row>
    <row r="344" spans="6:10">
      <c r="F344" t="s">
        <v>7004</v>
      </c>
      <c r="G344">
        <v>341</v>
      </c>
      <c r="H344" t="s">
        <v>7005</v>
      </c>
      <c r="I344" t="s">
        <v>7006</v>
      </c>
      <c r="J344" t="s">
        <v>7007</v>
      </c>
    </row>
    <row r="345" spans="6:10">
      <c r="F345" t="s">
        <v>7008</v>
      </c>
      <c r="G345">
        <v>342</v>
      </c>
      <c r="H345" t="s">
        <v>5858</v>
      </c>
      <c r="I345" t="s">
        <v>5859</v>
      </c>
      <c r="J345" t="s">
        <v>7009</v>
      </c>
    </row>
    <row r="346" spans="6:10">
      <c r="F346" t="s">
        <v>7010</v>
      </c>
      <c r="G346">
        <v>343</v>
      </c>
      <c r="H346" t="s">
        <v>5860</v>
      </c>
      <c r="I346" t="s">
        <v>5861</v>
      </c>
      <c r="J346" t="s">
        <v>7011</v>
      </c>
    </row>
    <row r="347" spans="6:10">
      <c r="F347" t="s">
        <v>7012</v>
      </c>
      <c r="G347">
        <v>344</v>
      </c>
      <c r="H347" t="s">
        <v>5895</v>
      </c>
      <c r="I347" t="s">
        <v>5896</v>
      </c>
      <c r="J347" t="s">
        <v>7013</v>
      </c>
    </row>
    <row r="348" spans="6:10">
      <c r="F348" t="s">
        <v>7014</v>
      </c>
      <c r="G348">
        <v>345</v>
      </c>
      <c r="H348" t="s">
        <v>5899</v>
      </c>
      <c r="I348" t="s">
        <v>5900</v>
      </c>
      <c r="J348" t="s">
        <v>7015</v>
      </c>
    </row>
    <row r="349" spans="6:10">
      <c r="F349" t="s">
        <v>7016</v>
      </c>
      <c r="G349">
        <v>346</v>
      </c>
      <c r="H349" t="s">
        <v>5933</v>
      </c>
      <c r="I349" t="s">
        <v>5934</v>
      </c>
      <c r="J349" t="s">
        <v>7017</v>
      </c>
    </row>
    <row r="350" spans="6:10">
      <c r="F350" t="s">
        <v>7018</v>
      </c>
      <c r="G350">
        <v>347</v>
      </c>
      <c r="H350" t="s">
        <v>5929</v>
      </c>
      <c r="I350" t="s">
        <v>5930</v>
      </c>
      <c r="J350" t="s">
        <v>7019</v>
      </c>
    </row>
    <row r="351" spans="6:10">
      <c r="F351" t="s">
        <v>7020</v>
      </c>
      <c r="G351">
        <v>348</v>
      </c>
      <c r="H351" t="s">
        <v>5947</v>
      </c>
      <c r="I351" t="s">
        <v>5948</v>
      </c>
      <c r="J351" t="s">
        <v>7021</v>
      </c>
    </row>
    <row r="352" spans="6:10">
      <c r="F352" t="s">
        <v>7022</v>
      </c>
      <c r="G352">
        <v>349</v>
      </c>
      <c r="H352" t="s">
        <v>5955</v>
      </c>
      <c r="I352" t="s">
        <v>5956</v>
      </c>
      <c r="J352" t="s">
        <v>7023</v>
      </c>
    </row>
    <row r="353" spans="6:10">
      <c r="F353" t="s">
        <v>7024</v>
      </c>
      <c r="G353">
        <v>350</v>
      </c>
      <c r="H353" t="s">
        <v>6010</v>
      </c>
      <c r="I353" t="s">
        <v>6011</v>
      </c>
      <c r="J353" t="s">
        <v>7025</v>
      </c>
    </row>
    <row r="354" spans="6:10">
      <c r="F354" t="s">
        <v>7026</v>
      </c>
      <c r="G354">
        <v>351</v>
      </c>
      <c r="H354" t="s">
        <v>6015</v>
      </c>
      <c r="I354" t="s">
        <v>6016</v>
      </c>
      <c r="J354" t="s">
        <v>7027</v>
      </c>
    </row>
    <row r="355" spans="6:10">
      <c r="F355" t="s">
        <v>7028</v>
      </c>
      <c r="G355">
        <v>352</v>
      </c>
      <c r="H355" t="s">
        <v>6043</v>
      </c>
      <c r="I355" t="s">
        <v>6044</v>
      </c>
      <c r="J355" t="s">
        <v>7029</v>
      </c>
    </row>
    <row r="356" spans="6:10">
      <c r="F356" t="s">
        <v>7030</v>
      </c>
      <c r="G356">
        <v>353</v>
      </c>
      <c r="H356" t="s">
        <v>6049</v>
      </c>
      <c r="I356" t="s">
        <v>6050</v>
      </c>
      <c r="J356" t="s">
        <v>7031</v>
      </c>
    </row>
    <row r="357" spans="6:10">
      <c r="F357" t="s">
        <v>7032</v>
      </c>
      <c r="G357">
        <v>354</v>
      </c>
      <c r="H357" t="s">
        <v>7033</v>
      </c>
      <c r="I357" t="s">
        <v>7034</v>
      </c>
      <c r="J357" t="s">
        <v>7035</v>
      </c>
    </row>
    <row r="358" spans="6:10">
      <c r="F358" t="s">
        <v>7036</v>
      </c>
      <c r="G358">
        <v>355</v>
      </c>
      <c r="H358" t="s">
        <v>6269</v>
      </c>
      <c r="I358" t="s">
        <v>6269</v>
      </c>
      <c r="J358" t="s">
        <v>7037</v>
      </c>
    </row>
    <row r="359" spans="6:10">
      <c r="F359" t="s">
        <v>7038</v>
      </c>
      <c r="G359">
        <v>356</v>
      </c>
      <c r="H359" t="s">
        <v>7039</v>
      </c>
      <c r="I359" t="s">
        <v>7040</v>
      </c>
      <c r="J359" t="s">
        <v>7041</v>
      </c>
    </row>
    <row r="360" spans="6:10">
      <c r="F360" t="s">
        <v>7042</v>
      </c>
      <c r="G360">
        <v>357</v>
      </c>
      <c r="H360" t="s">
        <v>7043</v>
      </c>
      <c r="I360" t="s">
        <v>7044</v>
      </c>
      <c r="J360" t="s">
        <v>7045</v>
      </c>
    </row>
    <row r="361" spans="6:10">
      <c r="F361" t="s">
        <v>7046</v>
      </c>
      <c r="G361">
        <v>358</v>
      </c>
      <c r="H361" t="s">
        <v>7047</v>
      </c>
      <c r="I361" t="s">
        <v>7048</v>
      </c>
      <c r="J361" t="s">
        <v>7049</v>
      </c>
    </row>
    <row r="362" spans="6:10">
      <c r="F362" t="s">
        <v>7050</v>
      </c>
      <c r="G362">
        <v>359</v>
      </c>
      <c r="H362" t="s">
        <v>7051</v>
      </c>
      <c r="I362" t="s">
        <v>7052</v>
      </c>
      <c r="J362" t="s">
        <v>7053</v>
      </c>
    </row>
    <row r="363" spans="6:10">
      <c r="F363" t="s">
        <v>7054</v>
      </c>
      <c r="G363">
        <v>360</v>
      </c>
      <c r="H363" t="s">
        <v>7055</v>
      </c>
      <c r="I363" t="s">
        <v>7056</v>
      </c>
      <c r="J363" t="s">
        <v>7057</v>
      </c>
    </row>
    <row r="364" spans="6:10">
      <c r="F364" t="s">
        <v>7058</v>
      </c>
      <c r="G364">
        <v>361</v>
      </c>
      <c r="H364" t="s">
        <v>7059</v>
      </c>
      <c r="I364" t="s">
        <v>7060</v>
      </c>
      <c r="J364" t="s">
        <v>7061</v>
      </c>
    </row>
    <row r="365" spans="6:10">
      <c r="F365" t="s">
        <v>7062</v>
      </c>
      <c r="G365">
        <v>362</v>
      </c>
      <c r="H365" t="s">
        <v>7063</v>
      </c>
      <c r="I365" t="s">
        <v>7064</v>
      </c>
      <c r="J365" t="s">
        <v>7065</v>
      </c>
    </row>
    <row r="366" spans="6:10">
      <c r="F366" t="s">
        <v>7066</v>
      </c>
      <c r="G366">
        <v>363</v>
      </c>
      <c r="H366" t="s">
        <v>6416</v>
      </c>
      <c r="I366" t="s">
        <v>7067</v>
      </c>
      <c r="J366" t="s">
        <v>7068</v>
      </c>
    </row>
    <row r="367" spans="6:10">
      <c r="F367" t="s">
        <v>7069</v>
      </c>
      <c r="G367">
        <v>364</v>
      </c>
      <c r="H367" t="s">
        <v>7070</v>
      </c>
      <c r="I367" t="s">
        <v>7071</v>
      </c>
      <c r="J367" t="s">
        <v>7072</v>
      </c>
    </row>
    <row r="368" spans="6:10">
      <c r="F368" t="s">
        <v>7073</v>
      </c>
      <c r="G368">
        <v>365</v>
      </c>
      <c r="H368" t="s">
        <v>7074</v>
      </c>
      <c r="I368" t="s">
        <v>7075</v>
      </c>
      <c r="J368" t="s">
        <v>7076</v>
      </c>
    </row>
    <row r="369" spans="6:10">
      <c r="F369" t="s">
        <v>7077</v>
      </c>
      <c r="G369">
        <v>366</v>
      </c>
      <c r="H369" t="s">
        <v>7078</v>
      </c>
      <c r="I369" t="s">
        <v>7079</v>
      </c>
      <c r="J369" t="s">
        <v>7080</v>
      </c>
    </row>
    <row r="370" spans="6:10">
      <c r="F370" t="s">
        <v>7081</v>
      </c>
      <c r="G370">
        <v>367</v>
      </c>
      <c r="H370" t="s">
        <v>7082</v>
      </c>
      <c r="I370" t="s">
        <v>7083</v>
      </c>
      <c r="J370" t="s">
        <v>7084</v>
      </c>
    </row>
    <row r="371" spans="6:10">
      <c r="F371" t="s">
        <v>7085</v>
      </c>
      <c r="G371">
        <v>368</v>
      </c>
      <c r="H371" t="s">
        <v>7086</v>
      </c>
      <c r="I371" t="s">
        <v>7087</v>
      </c>
      <c r="J371" t="s">
        <v>7088</v>
      </c>
    </row>
    <row r="372" spans="6:10">
      <c r="F372" t="s">
        <v>7089</v>
      </c>
      <c r="G372">
        <v>369</v>
      </c>
      <c r="H372" t="s">
        <v>7090</v>
      </c>
      <c r="I372" t="s">
        <v>7091</v>
      </c>
      <c r="J372" t="s">
        <v>7092</v>
      </c>
    </row>
    <row r="373" spans="6:10">
      <c r="F373" t="s">
        <v>7093</v>
      </c>
      <c r="G373">
        <v>370</v>
      </c>
      <c r="H373" t="s">
        <v>7094</v>
      </c>
      <c r="I373" t="s">
        <v>7095</v>
      </c>
      <c r="J373" t="s">
        <v>7096</v>
      </c>
    </row>
    <row r="374" spans="6:10">
      <c r="F374" t="s">
        <v>7097</v>
      </c>
      <c r="G374">
        <v>371</v>
      </c>
      <c r="H374" t="s">
        <v>7098</v>
      </c>
      <c r="I374" t="s">
        <v>7098</v>
      </c>
      <c r="J374" t="s">
        <v>7099</v>
      </c>
    </row>
    <row r="375" spans="6:10">
      <c r="F375" t="s">
        <v>7100</v>
      </c>
      <c r="G375">
        <v>372</v>
      </c>
      <c r="H375" t="s">
        <v>7101</v>
      </c>
      <c r="I375" t="s">
        <v>7102</v>
      </c>
      <c r="J375" t="s">
        <v>7103</v>
      </c>
    </row>
    <row r="376" spans="6:10">
      <c r="F376" t="s">
        <v>7104</v>
      </c>
      <c r="G376">
        <v>373</v>
      </c>
      <c r="H376" t="s">
        <v>7105</v>
      </c>
      <c r="I376" t="s">
        <v>7106</v>
      </c>
      <c r="J376" t="s">
        <v>7107</v>
      </c>
    </row>
    <row r="377" spans="6:10">
      <c r="F377" t="s">
        <v>7108</v>
      </c>
      <c r="G377">
        <v>374</v>
      </c>
      <c r="H377" t="s">
        <v>7109</v>
      </c>
      <c r="I377" t="s">
        <v>7110</v>
      </c>
      <c r="J377" t="s">
        <v>7111</v>
      </c>
    </row>
    <row r="378" spans="6:10">
      <c r="F378" t="s">
        <v>7112</v>
      </c>
      <c r="G378">
        <v>375</v>
      </c>
      <c r="H378" t="s">
        <v>7113</v>
      </c>
      <c r="I378" t="s">
        <v>7114</v>
      </c>
      <c r="J378" t="s">
        <v>7115</v>
      </c>
    </row>
    <row r="379" spans="6:10">
      <c r="F379" t="s">
        <v>7116</v>
      </c>
      <c r="G379">
        <v>376</v>
      </c>
      <c r="H379" t="s">
        <v>7117</v>
      </c>
      <c r="I379" t="s">
        <v>7118</v>
      </c>
      <c r="J379" t="s">
        <v>7119</v>
      </c>
    </row>
    <row r="380" spans="6:10">
      <c r="F380" t="s">
        <v>7120</v>
      </c>
      <c r="G380">
        <v>377</v>
      </c>
      <c r="H380" t="s">
        <v>7121</v>
      </c>
      <c r="I380" t="s">
        <v>7122</v>
      </c>
      <c r="J380" t="s">
        <v>7123</v>
      </c>
    </row>
    <row r="381" spans="6:10">
      <c r="F381" t="s">
        <v>7124</v>
      </c>
      <c r="G381">
        <v>378</v>
      </c>
      <c r="H381" t="s">
        <v>7125</v>
      </c>
      <c r="I381" t="s">
        <v>7126</v>
      </c>
      <c r="J381" t="s">
        <v>7127</v>
      </c>
    </row>
    <row r="382" spans="6:10">
      <c r="F382" t="s">
        <v>7128</v>
      </c>
      <c r="G382">
        <v>379</v>
      </c>
      <c r="H382" t="s">
        <v>7129</v>
      </c>
      <c r="I382" t="s">
        <v>7130</v>
      </c>
      <c r="J382" t="s">
        <v>7131</v>
      </c>
    </row>
    <row r="383" spans="6:10">
      <c r="F383" t="s">
        <v>7132</v>
      </c>
      <c r="G383">
        <v>380</v>
      </c>
      <c r="H383" t="s">
        <v>7133</v>
      </c>
      <c r="I383" t="s">
        <v>7134</v>
      </c>
      <c r="J383" t="s">
        <v>7135</v>
      </c>
    </row>
    <row r="384" spans="6:10">
      <c r="F384" t="s">
        <v>7136</v>
      </c>
      <c r="G384">
        <v>381</v>
      </c>
      <c r="H384" t="s">
        <v>7137</v>
      </c>
      <c r="I384" t="s">
        <v>7138</v>
      </c>
      <c r="J384" t="s">
        <v>7139</v>
      </c>
    </row>
    <row r="385" spans="6:10">
      <c r="F385" t="s">
        <v>7140</v>
      </c>
      <c r="G385">
        <v>382</v>
      </c>
      <c r="H385" t="s">
        <v>7141</v>
      </c>
      <c r="I385" t="s">
        <v>7142</v>
      </c>
      <c r="J385" t="s">
        <v>7143</v>
      </c>
    </row>
    <row r="386" spans="6:10">
      <c r="F386" t="s">
        <v>7144</v>
      </c>
      <c r="G386">
        <v>383</v>
      </c>
      <c r="H386" t="s">
        <v>7145</v>
      </c>
      <c r="I386" t="s">
        <v>7146</v>
      </c>
      <c r="J386" t="s">
        <v>7147</v>
      </c>
    </row>
    <row r="387" spans="6:10">
      <c r="F387" t="s">
        <v>7148</v>
      </c>
      <c r="G387">
        <v>384</v>
      </c>
      <c r="H387" t="s">
        <v>7149</v>
      </c>
      <c r="I387" t="s">
        <v>7150</v>
      </c>
      <c r="J387" t="s">
        <v>7151</v>
      </c>
    </row>
    <row r="388" spans="6:10">
      <c r="F388" t="s">
        <v>7152</v>
      </c>
      <c r="G388">
        <v>385</v>
      </c>
      <c r="H388" t="s">
        <v>7153</v>
      </c>
      <c r="I388" t="s">
        <v>7154</v>
      </c>
      <c r="J388" t="s">
        <v>7155</v>
      </c>
    </row>
    <row r="389" spans="6:10">
      <c r="F389" t="s">
        <v>7156</v>
      </c>
      <c r="G389">
        <v>386</v>
      </c>
      <c r="H389" t="s">
        <v>7157</v>
      </c>
      <c r="I389" t="s">
        <v>7158</v>
      </c>
      <c r="J389" t="s">
        <v>7159</v>
      </c>
    </row>
    <row r="390" spans="6:10">
      <c r="F390" t="s">
        <v>7160</v>
      </c>
      <c r="G390">
        <v>387</v>
      </c>
      <c r="H390" t="s">
        <v>7161</v>
      </c>
      <c r="I390" t="s">
        <v>7162</v>
      </c>
      <c r="J390" t="s">
        <v>7163</v>
      </c>
    </row>
    <row r="391" spans="6:10">
      <c r="F391" t="s">
        <v>7164</v>
      </c>
      <c r="G391">
        <v>388</v>
      </c>
      <c r="H391" t="s">
        <v>7165</v>
      </c>
      <c r="I391" t="s">
        <v>7166</v>
      </c>
      <c r="J391" t="s">
        <v>7167</v>
      </c>
    </row>
    <row r="392" spans="6:10">
      <c r="F392" t="s">
        <v>7168</v>
      </c>
      <c r="G392">
        <v>389</v>
      </c>
      <c r="H392" t="s">
        <v>7169</v>
      </c>
      <c r="I392" t="s">
        <v>7169</v>
      </c>
      <c r="J392" t="s">
        <v>7170</v>
      </c>
    </row>
    <row r="393" spans="6:10">
      <c r="F393" t="s">
        <v>7171</v>
      </c>
      <c r="G393">
        <v>390</v>
      </c>
      <c r="H393" t="s">
        <v>7172</v>
      </c>
      <c r="I393" t="s">
        <v>7173</v>
      </c>
      <c r="J393" t="s">
        <v>7174</v>
      </c>
    </row>
    <row r="394" spans="6:10">
      <c r="F394" t="s">
        <v>7175</v>
      </c>
      <c r="G394">
        <v>391</v>
      </c>
      <c r="H394" t="s">
        <v>7176</v>
      </c>
      <c r="I394" t="s">
        <v>7177</v>
      </c>
      <c r="J394" t="s">
        <v>7178</v>
      </c>
    </row>
    <row r="395" spans="6:10">
      <c r="F395" t="s">
        <v>7179</v>
      </c>
      <c r="G395">
        <v>392</v>
      </c>
      <c r="H395" t="s">
        <v>7180</v>
      </c>
      <c r="I395" t="s">
        <v>7181</v>
      </c>
      <c r="J395" t="s">
        <v>7182</v>
      </c>
    </row>
    <row r="396" spans="6:10">
      <c r="F396" t="s">
        <v>7183</v>
      </c>
      <c r="G396">
        <v>393</v>
      </c>
      <c r="H396" t="s">
        <v>7184</v>
      </c>
      <c r="I396" t="s">
        <v>7185</v>
      </c>
      <c r="J396" t="s">
        <v>7186</v>
      </c>
    </row>
    <row r="397" spans="6:10">
      <c r="F397" t="s">
        <v>7187</v>
      </c>
      <c r="G397">
        <v>394</v>
      </c>
      <c r="H397" t="s">
        <v>7188</v>
      </c>
      <c r="I397" t="s">
        <v>7189</v>
      </c>
      <c r="J397" t="s">
        <v>7190</v>
      </c>
    </row>
    <row r="398" spans="6:10">
      <c r="F398" t="s">
        <v>7191</v>
      </c>
      <c r="G398">
        <v>395</v>
      </c>
      <c r="H398" t="s">
        <v>7192</v>
      </c>
      <c r="I398" t="s">
        <v>7193</v>
      </c>
      <c r="J398" t="s">
        <v>7194</v>
      </c>
    </row>
    <row r="399" spans="6:10">
      <c r="F399" t="s">
        <v>7195</v>
      </c>
      <c r="G399">
        <v>396</v>
      </c>
      <c r="H399" t="s">
        <v>7196</v>
      </c>
      <c r="I399" t="s">
        <v>7197</v>
      </c>
      <c r="J399" t="s">
        <v>7198</v>
      </c>
    </row>
    <row r="400" spans="6:10">
      <c r="F400" t="s">
        <v>7199</v>
      </c>
      <c r="G400">
        <v>397</v>
      </c>
      <c r="H400" t="s">
        <v>7200</v>
      </c>
      <c r="I400" t="s">
        <v>7201</v>
      </c>
      <c r="J400" t="s">
        <v>7202</v>
      </c>
    </row>
    <row r="401" spans="6:10">
      <c r="F401" t="s">
        <v>7203</v>
      </c>
      <c r="G401">
        <v>398</v>
      </c>
      <c r="H401" t="s">
        <v>7204</v>
      </c>
      <c r="I401" t="s">
        <v>7205</v>
      </c>
      <c r="J401" t="s">
        <v>7206</v>
      </c>
    </row>
    <row r="402" spans="6:10">
      <c r="F402" t="s">
        <v>7207</v>
      </c>
      <c r="G402">
        <v>399</v>
      </c>
      <c r="H402" t="s">
        <v>7208</v>
      </c>
      <c r="I402" t="s">
        <v>7209</v>
      </c>
      <c r="J402" t="s">
        <v>7210</v>
      </c>
    </row>
    <row r="403" spans="6:10">
      <c r="F403" t="s">
        <v>7211</v>
      </c>
      <c r="G403">
        <v>400</v>
      </c>
      <c r="H403" t="s">
        <v>7212</v>
      </c>
      <c r="I403" t="s">
        <v>7213</v>
      </c>
      <c r="J403" t="s">
        <v>7214</v>
      </c>
    </row>
    <row r="404" spans="6:10">
      <c r="F404" t="s">
        <v>7215</v>
      </c>
      <c r="G404">
        <v>401</v>
      </c>
      <c r="H404" t="s">
        <v>7216</v>
      </c>
      <c r="I404" t="s">
        <v>7217</v>
      </c>
      <c r="J404" t="s">
        <v>7218</v>
      </c>
    </row>
    <row r="405" spans="6:10">
      <c r="F405" t="s">
        <v>7219</v>
      </c>
      <c r="G405">
        <v>402</v>
      </c>
      <c r="H405" t="s">
        <v>1899</v>
      </c>
      <c r="I405" t="s">
        <v>1902</v>
      </c>
      <c r="J405" t="s">
        <v>7220</v>
      </c>
    </row>
    <row r="406" spans="6:10">
      <c r="F406" t="s">
        <v>7221</v>
      </c>
      <c r="G406">
        <v>403</v>
      </c>
      <c r="H406" t="s">
        <v>7222</v>
      </c>
      <c r="I406" t="s">
        <v>7223</v>
      </c>
      <c r="J406" t="s">
        <v>7224</v>
      </c>
    </row>
    <row r="407" spans="6:10">
      <c r="F407" t="s">
        <v>7225</v>
      </c>
      <c r="G407">
        <v>404</v>
      </c>
      <c r="H407" t="s">
        <v>7226</v>
      </c>
      <c r="I407" t="s">
        <v>7227</v>
      </c>
      <c r="J407" t="s">
        <v>7228</v>
      </c>
    </row>
    <row r="408" spans="6:10">
      <c r="F408" t="s">
        <v>7229</v>
      </c>
      <c r="G408">
        <v>405</v>
      </c>
      <c r="H408" t="s">
        <v>7230</v>
      </c>
      <c r="I408" t="s">
        <v>7230</v>
      </c>
      <c r="J408" t="s">
        <v>7231</v>
      </c>
    </row>
    <row r="409" spans="6:10">
      <c r="F409" t="s">
        <v>7232</v>
      </c>
      <c r="G409">
        <v>406</v>
      </c>
      <c r="H409" t="s">
        <v>7233</v>
      </c>
      <c r="I409" t="s">
        <v>7234</v>
      </c>
      <c r="J409" t="s">
        <v>7235</v>
      </c>
    </row>
    <row r="410" spans="6:10">
      <c r="F410" t="s">
        <v>7236</v>
      </c>
      <c r="G410">
        <v>407</v>
      </c>
      <c r="H410" t="s">
        <v>7237</v>
      </c>
      <c r="I410" t="s">
        <v>7238</v>
      </c>
      <c r="J410" t="s">
        <v>7239</v>
      </c>
    </row>
    <row r="411" spans="6:10">
      <c r="F411" t="s">
        <v>7240</v>
      </c>
      <c r="G411">
        <v>408</v>
      </c>
      <c r="H411" t="s">
        <v>7241</v>
      </c>
      <c r="I411" t="s">
        <v>7242</v>
      </c>
      <c r="J411" t="s">
        <v>7243</v>
      </c>
    </row>
    <row r="412" spans="6:10">
      <c r="F412" t="s">
        <v>7244</v>
      </c>
      <c r="G412">
        <v>409</v>
      </c>
      <c r="H412" t="s">
        <v>7245</v>
      </c>
      <c r="I412" t="s">
        <v>7246</v>
      </c>
      <c r="J412" t="s">
        <v>7247</v>
      </c>
    </row>
    <row r="413" spans="6:10">
      <c r="F413" t="s">
        <v>7248</v>
      </c>
      <c r="G413">
        <v>410</v>
      </c>
      <c r="H413" t="s">
        <v>7249</v>
      </c>
      <c r="I413" t="s">
        <v>7250</v>
      </c>
      <c r="J413" t="s">
        <v>7251</v>
      </c>
    </row>
    <row r="414" spans="6:10">
      <c r="F414" t="s">
        <v>7252</v>
      </c>
      <c r="G414">
        <v>411</v>
      </c>
      <c r="H414" t="s">
        <v>7253</v>
      </c>
      <c r="I414" t="s">
        <v>7254</v>
      </c>
      <c r="J414" t="s">
        <v>7255</v>
      </c>
    </row>
    <row r="415" spans="6:10">
      <c r="F415" t="s">
        <v>7256</v>
      </c>
      <c r="G415">
        <v>412</v>
      </c>
      <c r="H415" t="s">
        <v>7257</v>
      </c>
      <c r="I415" t="s">
        <v>7258</v>
      </c>
      <c r="J415" t="s">
        <v>7259</v>
      </c>
    </row>
    <row r="416" spans="6:10">
      <c r="F416" t="s">
        <v>7260</v>
      </c>
      <c r="G416">
        <v>413</v>
      </c>
      <c r="H416" t="s">
        <v>7261</v>
      </c>
      <c r="I416" t="s">
        <v>7262</v>
      </c>
      <c r="J416" t="s">
        <v>7263</v>
      </c>
    </row>
    <row r="417" spans="6:10">
      <c r="F417" t="s">
        <v>7264</v>
      </c>
      <c r="H417" t="s">
        <v>7265</v>
      </c>
      <c r="I417" t="s">
        <v>7266</v>
      </c>
      <c r="J417" t="s">
        <v>7267</v>
      </c>
    </row>
    <row r="418" spans="6:10">
      <c r="F418" t="s">
        <v>7268</v>
      </c>
      <c r="H418" t="s">
        <v>7269</v>
      </c>
      <c r="I418" t="s">
        <v>7270</v>
      </c>
      <c r="J418" t="s">
        <v>7271</v>
      </c>
    </row>
    <row r="419" spans="6:10">
      <c r="F419" t="s">
        <v>7272</v>
      </c>
      <c r="G419">
        <v>416</v>
      </c>
      <c r="H419" t="s">
        <v>7273</v>
      </c>
      <c r="I419" t="s">
        <v>7274</v>
      </c>
      <c r="J419" t="s">
        <v>7275</v>
      </c>
    </row>
    <row r="420" spans="6:10">
      <c r="F420" t="s">
        <v>7276</v>
      </c>
      <c r="G420">
        <v>417</v>
      </c>
      <c r="H420" t="s">
        <v>5258</v>
      </c>
      <c r="I420" t="s">
        <v>5259</v>
      </c>
      <c r="J420" t="s">
        <v>7277</v>
      </c>
    </row>
    <row r="421" spans="6:10">
      <c r="F421" t="s">
        <v>7278</v>
      </c>
      <c r="G421">
        <v>418</v>
      </c>
      <c r="H421" t="s">
        <v>7279</v>
      </c>
      <c r="I421" t="s">
        <v>7280</v>
      </c>
      <c r="J421" t="s">
        <v>7281</v>
      </c>
    </row>
    <row r="422" spans="6:10">
      <c r="F422" t="s">
        <v>7282</v>
      </c>
      <c r="G422">
        <v>419</v>
      </c>
      <c r="H422" t="s">
        <v>7283</v>
      </c>
      <c r="I422" t="s">
        <v>7283</v>
      </c>
      <c r="J422" t="s">
        <v>7284</v>
      </c>
    </row>
    <row r="423" spans="6:10">
      <c r="F423" t="s">
        <v>7285</v>
      </c>
      <c r="G423">
        <v>420</v>
      </c>
      <c r="H423" t="s">
        <v>7286</v>
      </c>
      <c r="I423" t="s">
        <v>7287</v>
      </c>
      <c r="J423" t="s">
        <v>7288</v>
      </c>
    </row>
    <row r="424" spans="6:10">
      <c r="F424" t="s">
        <v>7289</v>
      </c>
      <c r="G424">
        <v>421</v>
      </c>
      <c r="H424" t="s">
        <v>7290</v>
      </c>
      <c r="I424" t="s">
        <v>7291</v>
      </c>
      <c r="J424" t="s">
        <v>7292</v>
      </c>
    </row>
    <row r="425" spans="6:10">
      <c r="F425" t="s">
        <v>7293</v>
      </c>
      <c r="G425">
        <v>422</v>
      </c>
      <c r="H425" t="s">
        <v>7294</v>
      </c>
      <c r="I425" t="s">
        <v>7295</v>
      </c>
      <c r="J425" t="s">
        <v>7296</v>
      </c>
    </row>
    <row r="426" spans="6:10">
      <c r="F426" t="s">
        <v>7297</v>
      </c>
      <c r="G426">
        <v>423</v>
      </c>
      <c r="H426" t="s">
        <v>7298</v>
      </c>
      <c r="I426" t="s">
        <v>7299</v>
      </c>
      <c r="J426" t="s">
        <v>7300</v>
      </c>
    </row>
    <row r="427" spans="6:10">
      <c r="F427" t="s">
        <v>7301</v>
      </c>
      <c r="G427">
        <v>424</v>
      </c>
      <c r="H427" t="s">
        <v>7302</v>
      </c>
      <c r="I427" t="s">
        <v>7303</v>
      </c>
      <c r="J427" t="s">
        <v>7304</v>
      </c>
    </row>
    <row r="428" spans="6:10">
      <c r="F428" t="s">
        <v>7305</v>
      </c>
      <c r="G428">
        <v>425</v>
      </c>
      <c r="H428" t="s">
        <v>7306</v>
      </c>
      <c r="I428" t="s">
        <v>7307</v>
      </c>
      <c r="J428" t="s">
        <v>7308</v>
      </c>
    </row>
    <row r="429" spans="6:10">
      <c r="F429" t="s">
        <v>7309</v>
      </c>
      <c r="G429">
        <v>426</v>
      </c>
      <c r="H429" t="s">
        <v>7310</v>
      </c>
      <c r="I429" t="s">
        <v>7311</v>
      </c>
      <c r="J429" t="s">
        <v>7312</v>
      </c>
    </row>
    <row r="430" spans="6:10">
      <c r="F430" t="s">
        <v>7313</v>
      </c>
      <c r="G430">
        <v>427</v>
      </c>
      <c r="H430" t="s">
        <v>7314</v>
      </c>
      <c r="I430" t="s">
        <v>7315</v>
      </c>
      <c r="J430" t="s">
        <v>7316</v>
      </c>
    </row>
    <row r="431" spans="6:10">
      <c r="F431" t="s">
        <v>7317</v>
      </c>
      <c r="G431">
        <v>428</v>
      </c>
      <c r="H431" t="s">
        <v>7318</v>
      </c>
      <c r="I431" t="s">
        <v>7319</v>
      </c>
      <c r="J431" t="s">
        <v>7320</v>
      </c>
    </row>
    <row r="432" spans="6:10">
      <c r="F432" t="s">
        <v>7321</v>
      </c>
      <c r="G432">
        <v>429</v>
      </c>
      <c r="H432" t="s">
        <v>7322</v>
      </c>
      <c r="I432" t="s">
        <v>7323</v>
      </c>
      <c r="J432" t="s">
        <v>7324</v>
      </c>
    </row>
    <row r="433" spans="6:10">
      <c r="F433" t="s">
        <v>7325</v>
      </c>
      <c r="G433">
        <v>430</v>
      </c>
      <c r="H433" t="s">
        <v>7326</v>
      </c>
      <c r="I433" t="s">
        <v>7327</v>
      </c>
      <c r="J433" t="s">
        <v>7328</v>
      </c>
    </row>
    <row r="434" spans="6:10">
      <c r="F434" t="s">
        <v>7329</v>
      </c>
      <c r="G434">
        <v>431</v>
      </c>
      <c r="H434" t="s">
        <v>7330</v>
      </c>
      <c r="I434" t="s">
        <v>7331</v>
      </c>
      <c r="J434" t="s">
        <v>7332</v>
      </c>
    </row>
    <row r="435" spans="6:10">
      <c r="F435" t="s">
        <v>7333</v>
      </c>
      <c r="G435">
        <v>432</v>
      </c>
      <c r="H435" t="s">
        <v>7334</v>
      </c>
      <c r="I435" t="s">
        <v>7335</v>
      </c>
      <c r="J435" t="s">
        <v>7336</v>
      </c>
    </row>
    <row r="436" spans="6:10">
      <c r="F436" t="s">
        <v>7337</v>
      </c>
      <c r="G436">
        <v>433</v>
      </c>
      <c r="H436" t="s">
        <v>7338</v>
      </c>
      <c r="I436" t="s">
        <v>7339</v>
      </c>
      <c r="J436" t="s">
        <v>7340</v>
      </c>
    </row>
    <row r="437" spans="6:10">
      <c r="F437" t="s">
        <v>7341</v>
      </c>
      <c r="G437">
        <v>434</v>
      </c>
      <c r="H437" t="s">
        <v>7342</v>
      </c>
      <c r="I437" t="s">
        <v>7343</v>
      </c>
      <c r="J437" t="s">
        <v>7344</v>
      </c>
    </row>
    <row r="438" spans="6:10">
      <c r="F438" t="s">
        <v>7345</v>
      </c>
      <c r="G438">
        <v>435</v>
      </c>
      <c r="H438" t="s">
        <v>7346</v>
      </c>
      <c r="I438" t="s">
        <v>7347</v>
      </c>
      <c r="J438" t="s">
        <v>7348</v>
      </c>
    </row>
    <row r="439" spans="6:10">
      <c r="F439" t="s">
        <v>7349</v>
      </c>
      <c r="G439">
        <v>436</v>
      </c>
      <c r="H439" t="s">
        <v>2941</v>
      </c>
      <c r="I439" t="s">
        <v>2942</v>
      </c>
      <c r="J439" t="s">
        <v>7350</v>
      </c>
    </row>
    <row r="440" spans="6:10">
      <c r="F440" t="s">
        <v>7351</v>
      </c>
      <c r="G440">
        <v>437</v>
      </c>
      <c r="H440" t="s">
        <v>7352</v>
      </c>
      <c r="I440" t="s">
        <v>7353</v>
      </c>
      <c r="J440" t="s">
        <v>7354</v>
      </c>
    </row>
    <row r="441" spans="6:10">
      <c r="F441" t="s">
        <v>7355</v>
      </c>
      <c r="G441">
        <v>438</v>
      </c>
      <c r="H441" t="s">
        <v>7356</v>
      </c>
      <c r="I441" t="s">
        <v>7357</v>
      </c>
      <c r="J441" t="s">
        <v>7358</v>
      </c>
    </row>
    <row r="442" spans="6:10">
      <c r="F442" t="s">
        <v>7359</v>
      </c>
      <c r="G442">
        <v>439</v>
      </c>
      <c r="H442" t="s">
        <v>7360</v>
      </c>
      <c r="I442" t="s">
        <v>7361</v>
      </c>
      <c r="J442" t="s">
        <v>7362</v>
      </c>
    </row>
    <row r="443" spans="6:10">
      <c r="F443" t="s">
        <v>7363</v>
      </c>
      <c r="G443">
        <v>440</v>
      </c>
      <c r="H443" t="s">
        <v>7364</v>
      </c>
      <c r="I443" t="s">
        <v>7365</v>
      </c>
      <c r="J443" t="s">
        <v>7366</v>
      </c>
    </row>
    <row r="444" spans="6:10">
      <c r="F444" t="s">
        <v>7367</v>
      </c>
      <c r="G444">
        <v>441</v>
      </c>
      <c r="H444" t="s">
        <v>7368</v>
      </c>
      <c r="I444" t="s">
        <v>7369</v>
      </c>
      <c r="J444" t="s">
        <v>7370</v>
      </c>
    </row>
    <row r="445" spans="6:10">
      <c r="F445" t="s">
        <v>7371</v>
      </c>
      <c r="G445">
        <v>442</v>
      </c>
      <c r="H445" t="s">
        <v>7372</v>
      </c>
      <c r="I445" t="s">
        <v>7373</v>
      </c>
      <c r="J445" t="s">
        <v>7374</v>
      </c>
    </row>
    <row r="446" spans="6:10">
      <c r="F446" t="s">
        <v>7375</v>
      </c>
      <c r="G446">
        <v>443</v>
      </c>
      <c r="H446" t="s">
        <v>7376</v>
      </c>
      <c r="I446" t="s">
        <v>7377</v>
      </c>
      <c r="J446" t="s">
        <v>7378</v>
      </c>
    </row>
    <row r="447" spans="6:10">
      <c r="F447" t="s">
        <v>7379</v>
      </c>
      <c r="G447">
        <v>444</v>
      </c>
      <c r="H447" t="s">
        <v>7380</v>
      </c>
      <c r="I447" t="s">
        <v>7381</v>
      </c>
      <c r="J447" t="s">
        <v>7382</v>
      </c>
    </row>
    <row r="448" spans="6:10">
      <c r="F448" t="s">
        <v>7383</v>
      </c>
      <c r="G448">
        <v>445</v>
      </c>
      <c r="H448" t="s">
        <v>7384</v>
      </c>
      <c r="I448" t="s">
        <v>7385</v>
      </c>
      <c r="J448" t="s">
        <v>7386</v>
      </c>
    </row>
    <row r="449" spans="6:10">
      <c r="F449" t="s">
        <v>7387</v>
      </c>
      <c r="G449">
        <v>446</v>
      </c>
      <c r="H449" t="s">
        <v>7388</v>
      </c>
      <c r="I449" t="s">
        <v>7389</v>
      </c>
      <c r="J449" t="s">
        <v>7390</v>
      </c>
    </row>
    <row r="450" spans="6:10">
      <c r="F450" t="s">
        <v>7391</v>
      </c>
      <c r="G450">
        <v>447</v>
      </c>
      <c r="H450" t="s">
        <v>7392</v>
      </c>
      <c r="I450" t="s">
        <v>7393</v>
      </c>
      <c r="J450" t="s">
        <v>7394</v>
      </c>
    </row>
    <row r="451" spans="6:10">
      <c r="F451" t="s">
        <v>7395</v>
      </c>
      <c r="G451">
        <v>448</v>
      </c>
      <c r="H451" t="s">
        <v>7396</v>
      </c>
      <c r="I451" t="s">
        <v>7397</v>
      </c>
      <c r="J451" t="s">
        <v>7398</v>
      </c>
    </row>
    <row r="452" spans="6:10">
      <c r="F452" t="s">
        <v>7399</v>
      </c>
      <c r="G452">
        <v>449</v>
      </c>
      <c r="H452" t="s">
        <v>7400</v>
      </c>
      <c r="I452" t="s">
        <v>7401</v>
      </c>
      <c r="J452" t="s">
        <v>7402</v>
      </c>
    </row>
    <row r="453" spans="6:10">
      <c r="F453" t="s">
        <v>7403</v>
      </c>
      <c r="G453">
        <v>450</v>
      </c>
      <c r="H453" t="s">
        <v>7404</v>
      </c>
      <c r="I453" t="s">
        <v>7405</v>
      </c>
      <c r="J453" t="s">
        <v>7406</v>
      </c>
    </row>
    <row r="454" spans="6:10">
      <c r="F454" t="s">
        <v>7407</v>
      </c>
      <c r="G454">
        <v>451</v>
      </c>
      <c r="H454" t="s">
        <v>7408</v>
      </c>
      <c r="I454" t="s">
        <v>7409</v>
      </c>
      <c r="J454" t="s">
        <v>7410</v>
      </c>
    </row>
    <row r="455" spans="6:10">
      <c r="F455" t="s">
        <v>7411</v>
      </c>
      <c r="G455">
        <v>452</v>
      </c>
      <c r="H455" t="s">
        <v>7412</v>
      </c>
      <c r="I455" t="s">
        <v>7413</v>
      </c>
      <c r="J455" t="s">
        <v>7414</v>
      </c>
    </row>
    <row r="456" spans="6:10">
      <c r="F456" t="s">
        <v>7415</v>
      </c>
      <c r="G456">
        <v>453</v>
      </c>
      <c r="H456" t="s">
        <v>7416</v>
      </c>
      <c r="I456" t="s">
        <v>7417</v>
      </c>
      <c r="J456" t="s">
        <v>7418</v>
      </c>
    </row>
    <row r="457" spans="6:10">
      <c r="F457" t="s">
        <v>7419</v>
      </c>
      <c r="G457">
        <v>454</v>
      </c>
      <c r="H457" t="s">
        <v>7420</v>
      </c>
      <c r="I457" t="s">
        <v>7421</v>
      </c>
      <c r="J457" t="s">
        <v>7422</v>
      </c>
    </row>
    <row r="458" spans="6:10">
      <c r="F458" t="s">
        <v>7423</v>
      </c>
      <c r="G458">
        <v>455</v>
      </c>
      <c r="H458" t="s">
        <v>7424</v>
      </c>
      <c r="I458" t="s">
        <v>7425</v>
      </c>
      <c r="J458" t="s">
        <v>7426</v>
      </c>
    </row>
    <row r="459" spans="6:10">
      <c r="F459" t="s">
        <v>7427</v>
      </c>
      <c r="G459">
        <v>456</v>
      </c>
      <c r="H459" t="s">
        <v>7428</v>
      </c>
      <c r="I459" t="s">
        <v>7429</v>
      </c>
      <c r="J459" t="s">
        <v>7430</v>
      </c>
    </row>
    <row r="460" spans="6:10">
      <c r="F460" t="s">
        <v>7431</v>
      </c>
      <c r="G460">
        <v>457</v>
      </c>
      <c r="H460" t="s">
        <v>7432</v>
      </c>
      <c r="I460" t="s">
        <v>7433</v>
      </c>
      <c r="J460" t="s">
        <v>7434</v>
      </c>
    </row>
    <row r="461" spans="6:10">
      <c r="F461" t="s">
        <v>7435</v>
      </c>
      <c r="G461">
        <v>458</v>
      </c>
      <c r="H461" t="s">
        <v>7436</v>
      </c>
      <c r="I461" t="s">
        <v>7437</v>
      </c>
      <c r="J461" t="s">
        <v>7438</v>
      </c>
    </row>
    <row r="462" spans="6:10">
      <c r="F462" t="s">
        <v>7439</v>
      </c>
      <c r="G462">
        <v>459</v>
      </c>
      <c r="H462" t="s">
        <v>7440</v>
      </c>
      <c r="I462" t="s">
        <v>7440</v>
      </c>
      <c r="J462" t="s">
        <v>7441</v>
      </c>
    </row>
    <row r="463" spans="6:10">
      <c r="F463" t="s">
        <v>7442</v>
      </c>
      <c r="G463">
        <v>460</v>
      </c>
      <c r="H463" t="s">
        <v>7443</v>
      </c>
      <c r="I463" t="s">
        <v>7444</v>
      </c>
      <c r="J463" t="s">
        <v>7445</v>
      </c>
    </row>
    <row r="464" spans="6:10">
      <c r="F464" t="s">
        <v>7446</v>
      </c>
      <c r="G464">
        <v>461</v>
      </c>
      <c r="H464" t="s">
        <v>7447</v>
      </c>
      <c r="I464" t="s">
        <v>7448</v>
      </c>
      <c r="J464" t="s">
        <v>7449</v>
      </c>
    </row>
    <row r="465" spans="6:10">
      <c r="F465" t="s">
        <v>7450</v>
      </c>
      <c r="G465">
        <v>462</v>
      </c>
      <c r="H465" t="s">
        <v>7451</v>
      </c>
      <c r="I465" t="s">
        <v>7452</v>
      </c>
      <c r="J465" t="s">
        <v>7453</v>
      </c>
    </row>
    <row r="466" spans="6:10">
      <c r="F466" t="s">
        <v>7454</v>
      </c>
      <c r="G466">
        <v>463</v>
      </c>
      <c r="H466" t="s">
        <v>7455</v>
      </c>
      <c r="I466" t="s">
        <v>7456</v>
      </c>
      <c r="J466" t="s">
        <v>7457</v>
      </c>
    </row>
    <row r="467" spans="6:10">
      <c r="F467" t="s">
        <v>7458</v>
      </c>
      <c r="G467">
        <v>464</v>
      </c>
      <c r="H467" t="s">
        <v>7459</v>
      </c>
      <c r="I467" t="s">
        <v>7460</v>
      </c>
      <c r="J467" t="s">
        <v>7461</v>
      </c>
    </row>
    <row r="468" spans="6:10">
      <c r="F468" t="s">
        <v>7462</v>
      </c>
      <c r="G468">
        <v>465</v>
      </c>
      <c r="H468" t="s">
        <v>7463</v>
      </c>
      <c r="I468" t="s">
        <v>7464</v>
      </c>
      <c r="J468" t="s">
        <v>7465</v>
      </c>
    </row>
    <row r="469" spans="6:10">
      <c r="F469" t="s">
        <v>7466</v>
      </c>
      <c r="G469">
        <v>466</v>
      </c>
      <c r="H469" t="s">
        <v>7467</v>
      </c>
      <c r="I469" t="s">
        <v>7468</v>
      </c>
      <c r="J469" t="s">
        <v>7469</v>
      </c>
    </row>
    <row r="470" spans="6:10">
      <c r="F470" t="s">
        <v>7470</v>
      </c>
      <c r="G470">
        <v>467</v>
      </c>
      <c r="H470" t="s">
        <v>7471</v>
      </c>
      <c r="I470" t="s">
        <v>7472</v>
      </c>
      <c r="J470" t="s">
        <v>7473</v>
      </c>
    </row>
    <row r="471" spans="6:10">
      <c r="F471" t="s">
        <v>7474</v>
      </c>
      <c r="G471">
        <v>468</v>
      </c>
      <c r="H471" t="s">
        <v>7475</v>
      </c>
      <c r="I471" t="s">
        <v>7476</v>
      </c>
      <c r="J471" t="s">
        <v>7477</v>
      </c>
    </row>
    <row r="472" spans="6:10">
      <c r="F472" t="s">
        <v>7478</v>
      </c>
      <c r="G472">
        <v>469</v>
      </c>
      <c r="H472" t="s">
        <v>7479</v>
      </c>
      <c r="I472" t="s">
        <v>7480</v>
      </c>
      <c r="J472" t="s">
        <v>7481</v>
      </c>
    </row>
    <row r="473" spans="6:10">
      <c r="F473" t="s">
        <v>7482</v>
      </c>
      <c r="G473">
        <v>470</v>
      </c>
      <c r="H473" t="s">
        <v>7483</v>
      </c>
      <c r="I473" t="s">
        <v>7484</v>
      </c>
      <c r="J473" t="s">
        <v>7485</v>
      </c>
    </row>
    <row r="474" spans="6:10">
      <c r="F474" t="s">
        <v>7486</v>
      </c>
      <c r="G474">
        <v>471</v>
      </c>
      <c r="H474" t="s">
        <v>7487</v>
      </c>
      <c r="I474" t="s">
        <v>7488</v>
      </c>
      <c r="J474" t="s">
        <v>7489</v>
      </c>
    </row>
    <row r="475" spans="6:10">
      <c r="F475" t="s">
        <v>7490</v>
      </c>
      <c r="G475">
        <v>472</v>
      </c>
      <c r="H475" t="s">
        <v>7491</v>
      </c>
      <c r="I475" t="s">
        <v>7492</v>
      </c>
      <c r="J475" t="s">
        <v>7493</v>
      </c>
    </row>
    <row r="476" spans="6:10">
      <c r="F476" t="s">
        <v>7494</v>
      </c>
      <c r="G476">
        <v>473</v>
      </c>
      <c r="H476" t="s">
        <v>7495</v>
      </c>
      <c r="I476" t="s">
        <v>7496</v>
      </c>
      <c r="J476" t="s">
        <v>7497</v>
      </c>
    </row>
    <row r="477" spans="6:10">
      <c r="F477" t="s">
        <v>7498</v>
      </c>
      <c r="G477">
        <v>474</v>
      </c>
      <c r="H477" t="s">
        <v>7499</v>
      </c>
      <c r="I477" t="s">
        <v>7500</v>
      </c>
      <c r="J477" t="s">
        <v>7501</v>
      </c>
    </row>
    <row r="478" spans="6:10">
      <c r="F478" t="s">
        <v>7502</v>
      </c>
      <c r="G478">
        <v>475</v>
      </c>
      <c r="H478" t="s">
        <v>7503</v>
      </c>
      <c r="I478" t="s">
        <v>7504</v>
      </c>
      <c r="J478" t="s">
        <v>7505</v>
      </c>
    </row>
    <row r="479" spans="6:10">
      <c r="F479" t="s">
        <v>7506</v>
      </c>
      <c r="G479">
        <v>476</v>
      </c>
      <c r="H479" t="s">
        <v>7507</v>
      </c>
      <c r="I479" t="s">
        <v>7507</v>
      </c>
      <c r="J479" t="s">
        <v>7508</v>
      </c>
    </row>
    <row r="480" spans="6:10">
      <c r="F480" t="s">
        <v>7509</v>
      </c>
      <c r="G480">
        <v>477</v>
      </c>
      <c r="H480" t="s">
        <v>7510</v>
      </c>
      <c r="I480" t="s">
        <v>7511</v>
      </c>
      <c r="J480" t="s">
        <v>7512</v>
      </c>
    </row>
    <row r="481" spans="6:10">
      <c r="F481" t="s">
        <v>7513</v>
      </c>
      <c r="G481">
        <v>478</v>
      </c>
      <c r="H481" t="s">
        <v>7514</v>
      </c>
      <c r="I481" t="s">
        <v>7515</v>
      </c>
      <c r="J481" t="s">
        <v>7516</v>
      </c>
    </row>
    <row r="482" spans="6:10">
      <c r="F482" t="s">
        <v>7517</v>
      </c>
      <c r="G482">
        <v>479</v>
      </c>
      <c r="H482" t="s">
        <v>7518</v>
      </c>
      <c r="I482" t="s">
        <v>7519</v>
      </c>
      <c r="J482" t="s">
        <v>7520</v>
      </c>
    </row>
    <row r="483" spans="6:10">
      <c r="F483" t="s">
        <v>7521</v>
      </c>
      <c r="G483">
        <v>480</v>
      </c>
      <c r="H483" t="s">
        <v>7522</v>
      </c>
      <c r="I483" t="s">
        <v>7523</v>
      </c>
      <c r="J483" t="s">
        <v>7524</v>
      </c>
    </row>
    <row r="484" spans="6:10">
      <c r="F484" t="s">
        <v>7525</v>
      </c>
      <c r="G484">
        <v>481</v>
      </c>
      <c r="H484" t="s">
        <v>7526</v>
      </c>
      <c r="I484" t="s">
        <v>7527</v>
      </c>
      <c r="J484" t="s">
        <v>7528</v>
      </c>
    </row>
    <row r="485" spans="6:10">
      <c r="F485" t="s">
        <v>7529</v>
      </c>
      <c r="G485">
        <v>482</v>
      </c>
      <c r="H485" t="s">
        <v>7530</v>
      </c>
      <c r="I485" t="s">
        <v>7531</v>
      </c>
      <c r="J485" t="s">
        <v>7532</v>
      </c>
    </row>
    <row r="486" spans="6:10">
      <c r="F486" t="s">
        <v>7533</v>
      </c>
      <c r="G486">
        <v>483</v>
      </c>
      <c r="H486" t="s">
        <v>7534</v>
      </c>
      <c r="I486" t="s">
        <v>7535</v>
      </c>
      <c r="J486" t="s">
        <v>7536</v>
      </c>
    </row>
    <row r="487" spans="6:10">
      <c r="F487" t="s">
        <v>7537</v>
      </c>
      <c r="G487">
        <v>484</v>
      </c>
      <c r="H487" t="s">
        <v>7538</v>
      </c>
      <c r="I487" t="s">
        <v>7539</v>
      </c>
      <c r="J487" t="s">
        <v>7540</v>
      </c>
    </row>
    <row r="488" spans="6:10">
      <c r="F488" t="s">
        <v>7541</v>
      </c>
      <c r="G488">
        <v>485</v>
      </c>
      <c r="H488" t="s">
        <v>7542</v>
      </c>
      <c r="I488" t="s">
        <v>7543</v>
      </c>
      <c r="J488" t="s">
        <v>7544</v>
      </c>
    </row>
    <row r="489" spans="6:10">
      <c r="F489" t="s">
        <v>7545</v>
      </c>
      <c r="G489">
        <v>486</v>
      </c>
      <c r="H489" t="s">
        <v>7546</v>
      </c>
      <c r="I489" t="s">
        <v>7547</v>
      </c>
      <c r="J489" t="s">
        <v>7548</v>
      </c>
    </row>
    <row r="490" spans="6:10">
      <c r="F490" t="s">
        <v>7549</v>
      </c>
      <c r="G490">
        <v>487</v>
      </c>
      <c r="H490" t="s">
        <v>7550</v>
      </c>
      <c r="I490" t="s">
        <v>7551</v>
      </c>
      <c r="J490" t="s">
        <v>7552</v>
      </c>
    </row>
    <row r="491" spans="6:10">
      <c r="F491" t="s">
        <v>7553</v>
      </c>
      <c r="G491">
        <v>488</v>
      </c>
      <c r="H491" t="s">
        <v>7554</v>
      </c>
      <c r="I491" t="s">
        <v>7555</v>
      </c>
      <c r="J491" t="s">
        <v>7556</v>
      </c>
    </row>
    <row r="492" spans="6:10">
      <c r="F492" t="s">
        <v>7557</v>
      </c>
      <c r="G492">
        <v>489</v>
      </c>
      <c r="H492" t="s">
        <v>7558</v>
      </c>
      <c r="I492" t="s">
        <v>7559</v>
      </c>
      <c r="J492" t="s">
        <v>7560</v>
      </c>
    </row>
    <row r="493" spans="6:10">
      <c r="F493" t="s">
        <v>7561</v>
      </c>
      <c r="G493">
        <v>490</v>
      </c>
      <c r="H493" t="s">
        <v>7562</v>
      </c>
      <c r="I493" t="s">
        <v>7563</v>
      </c>
      <c r="J493" t="s">
        <v>7564</v>
      </c>
    </row>
    <row r="494" spans="6:10">
      <c r="F494" t="s">
        <v>7565</v>
      </c>
      <c r="G494">
        <v>491</v>
      </c>
      <c r="H494" t="s">
        <v>7566</v>
      </c>
      <c r="I494" t="s">
        <v>7567</v>
      </c>
      <c r="J494" t="s">
        <v>7568</v>
      </c>
    </row>
    <row r="495" spans="6:10">
      <c r="F495" t="s">
        <v>7569</v>
      </c>
      <c r="G495">
        <v>492</v>
      </c>
      <c r="H495" t="s">
        <v>7570</v>
      </c>
      <c r="I495" t="s">
        <v>7571</v>
      </c>
      <c r="J495" t="s">
        <v>7572</v>
      </c>
    </row>
    <row r="496" spans="6:10">
      <c r="F496" t="s">
        <v>7573</v>
      </c>
      <c r="G496">
        <v>493</v>
      </c>
      <c r="H496" t="s">
        <v>548</v>
      </c>
      <c r="I496" t="s">
        <v>7574</v>
      </c>
      <c r="J496" t="s">
        <v>7575</v>
      </c>
    </row>
    <row r="497" spans="6:10">
      <c r="F497" t="s">
        <v>7576</v>
      </c>
      <c r="G497">
        <v>494</v>
      </c>
      <c r="H497" t="s">
        <v>5490</v>
      </c>
      <c r="I497" t="s">
        <v>7577</v>
      </c>
      <c r="J497" t="s">
        <v>7578</v>
      </c>
    </row>
    <row r="498" spans="6:10">
      <c r="F498" t="s">
        <v>7579</v>
      </c>
      <c r="G498">
        <v>495</v>
      </c>
      <c r="H498" t="s">
        <v>7580</v>
      </c>
      <c r="I498" t="s">
        <v>7581</v>
      </c>
      <c r="J498" t="s">
        <v>7582</v>
      </c>
    </row>
    <row r="499" spans="6:10">
      <c r="F499" t="s">
        <v>7583</v>
      </c>
      <c r="G499">
        <v>496</v>
      </c>
      <c r="H499" t="s">
        <v>7584</v>
      </c>
      <c r="I499" t="s">
        <v>7584</v>
      </c>
      <c r="J499" t="s">
        <v>7585</v>
      </c>
    </row>
    <row r="500" spans="6:10">
      <c r="F500" t="s">
        <v>7586</v>
      </c>
      <c r="G500">
        <v>497</v>
      </c>
      <c r="H500" t="s">
        <v>7587</v>
      </c>
      <c r="I500" t="s">
        <v>7587</v>
      </c>
      <c r="J500" t="s">
        <v>7588</v>
      </c>
    </row>
    <row r="501" spans="6:10">
      <c r="F501" t="s">
        <v>7589</v>
      </c>
      <c r="G501">
        <v>498</v>
      </c>
      <c r="H501" t="s">
        <v>7590</v>
      </c>
      <c r="I501" t="s">
        <v>7591</v>
      </c>
      <c r="J501" t="s">
        <v>7592</v>
      </c>
    </row>
    <row r="502" spans="6:10">
      <c r="F502" t="s">
        <v>7593</v>
      </c>
      <c r="G502">
        <v>499</v>
      </c>
      <c r="H502" t="s">
        <v>7594</v>
      </c>
      <c r="I502" t="s">
        <v>7595</v>
      </c>
      <c r="J502" t="s">
        <v>7596</v>
      </c>
    </row>
    <row r="503" spans="6:10">
      <c r="F503" t="s">
        <v>7597</v>
      </c>
      <c r="G503">
        <v>500</v>
      </c>
      <c r="H503" t="s">
        <v>7598</v>
      </c>
      <c r="I503" t="s">
        <v>7599</v>
      </c>
      <c r="J503" t="s">
        <v>7600</v>
      </c>
    </row>
    <row r="504" spans="6:10">
      <c r="F504" t="s">
        <v>7601</v>
      </c>
      <c r="G504">
        <v>501</v>
      </c>
      <c r="H504" t="s">
        <v>7602</v>
      </c>
      <c r="I504" t="s">
        <v>7603</v>
      </c>
      <c r="J504" t="s">
        <v>7604</v>
      </c>
    </row>
    <row r="505" spans="6:10">
      <c r="F505" t="s">
        <v>7605</v>
      </c>
      <c r="G505">
        <v>502</v>
      </c>
      <c r="H505" t="s">
        <v>7606</v>
      </c>
      <c r="I505" t="s">
        <v>7607</v>
      </c>
      <c r="J505" t="s">
        <v>7608</v>
      </c>
    </row>
    <row r="506" spans="6:10">
      <c r="F506" t="s">
        <v>7609</v>
      </c>
      <c r="G506">
        <v>503</v>
      </c>
      <c r="H506" t="s">
        <v>7610</v>
      </c>
      <c r="I506" t="s">
        <v>7611</v>
      </c>
      <c r="J506" t="s">
        <v>7612</v>
      </c>
    </row>
    <row r="507" spans="6:10">
      <c r="F507" t="s">
        <v>7613</v>
      </c>
      <c r="G507">
        <v>504</v>
      </c>
      <c r="H507" t="s">
        <v>7614</v>
      </c>
      <c r="I507" t="s">
        <v>7614</v>
      </c>
      <c r="J507" t="s">
        <v>7615</v>
      </c>
    </row>
    <row r="508" spans="6:10">
      <c r="F508" t="s">
        <v>7616</v>
      </c>
      <c r="G508">
        <v>505</v>
      </c>
      <c r="H508" t="s">
        <v>7617</v>
      </c>
      <c r="I508" t="s">
        <v>7618</v>
      </c>
      <c r="J508" t="s">
        <v>7619</v>
      </c>
    </row>
    <row r="509" spans="6:10">
      <c r="F509" t="s">
        <v>7620</v>
      </c>
      <c r="G509">
        <v>506</v>
      </c>
      <c r="H509" t="s">
        <v>7621</v>
      </c>
      <c r="I509" t="s">
        <v>7622</v>
      </c>
      <c r="J509" t="s">
        <v>7623</v>
      </c>
    </row>
    <row r="510" spans="6:10">
      <c r="F510" t="s">
        <v>7624</v>
      </c>
      <c r="G510">
        <v>507</v>
      </c>
      <c r="H510" t="s">
        <v>7625</v>
      </c>
      <c r="I510" t="s">
        <v>7626</v>
      </c>
      <c r="J510" t="s">
        <v>7627</v>
      </c>
    </row>
    <row r="511" spans="6:10">
      <c r="F511" t="s">
        <v>7628</v>
      </c>
      <c r="G511">
        <v>508</v>
      </c>
      <c r="H511" t="s">
        <v>4663</v>
      </c>
      <c r="I511" t="s">
        <v>4664</v>
      </c>
      <c r="J511" t="s">
        <v>7629</v>
      </c>
    </row>
    <row r="512" spans="6:10">
      <c r="F512" t="s">
        <v>7630</v>
      </c>
      <c r="G512">
        <v>509</v>
      </c>
      <c r="H512" t="s">
        <v>7631</v>
      </c>
      <c r="I512" t="s">
        <v>7632</v>
      </c>
      <c r="J512" t="s">
        <v>7633</v>
      </c>
    </row>
    <row r="513" spans="6:10">
      <c r="F513" t="s">
        <v>7634</v>
      </c>
      <c r="G513">
        <v>510</v>
      </c>
      <c r="H513" t="s">
        <v>7635</v>
      </c>
      <c r="I513" t="s">
        <v>7636</v>
      </c>
      <c r="J513" t="s">
        <v>7637</v>
      </c>
    </row>
    <row r="514" spans="6:10">
      <c r="F514" t="s">
        <v>7638</v>
      </c>
      <c r="G514">
        <v>511</v>
      </c>
      <c r="H514" t="s">
        <v>5769</v>
      </c>
      <c r="I514" t="s">
        <v>5770</v>
      </c>
      <c r="J514" t="s">
        <v>7639</v>
      </c>
    </row>
    <row r="515" spans="6:10">
      <c r="F515" t="s">
        <v>7640</v>
      </c>
      <c r="G515">
        <v>512</v>
      </c>
      <c r="H515" t="s">
        <v>7641</v>
      </c>
      <c r="I515" t="s">
        <v>7642</v>
      </c>
      <c r="J515" t="s">
        <v>7643</v>
      </c>
    </row>
    <row r="516" spans="6:10">
      <c r="F516" t="s">
        <v>7644</v>
      </c>
      <c r="G516">
        <v>513</v>
      </c>
      <c r="H516" t="s">
        <v>7645</v>
      </c>
      <c r="I516" t="s">
        <v>7646</v>
      </c>
      <c r="J516" t="s">
        <v>7647</v>
      </c>
    </row>
    <row r="517" spans="6:10">
      <c r="F517" t="s">
        <v>7648</v>
      </c>
      <c r="G517">
        <v>514</v>
      </c>
      <c r="H517" t="s">
        <v>7649</v>
      </c>
      <c r="I517" t="s">
        <v>7650</v>
      </c>
      <c r="J517" t="s">
        <v>7651</v>
      </c>
    </row>
    <row r="518" spans="6:10">
      <c r="F518" t="s">
        <v>7652</v>
      </c>
      <c r="G518">
        <v>515</v>
      </c>
      <c r="H518" t="s">
        <v>7653</v>
      </c>
      <c r="I518" t="s">
        <v>7654</v>
      </c>
      <c r="J518" t="s">
        <v>7655</v>
      </c>
    </row>
    <row r="519" spans="6:10">
      <c r="F519" t="s">
        <v>7656</v>
      </c>
      <c r="G519">
        <v>516</v>
      </c>
      <c r="H519" t="s">
        <v>2050</v>
      </c>
      <c r="I519" t="s">
        <v>2051</v>
      </c>
      <c r="J519" t="s">
        <v>7657</v>
      </c>
    </row>
    <row r="520" spans="6:10">
      <c r="F520" t="s">
        <v>7658</v>
      </c>
      <c r="G520">
        <v>517</v>
      </c>
      <c r="H520" t="s">
        <v>7659</v>
      </c>
      <c r="I520" t="s">
        <v>7660</v>
      </c>
      <c r="J520" t="s">
        <v>7661</v>
      </c>
    </row>
    <row r="521" spans="6:10">
      <c r="F521" t="s">
        <v>7662</v>
      </c>
      <c r="G521">
        <v>518</v>
      </c>
      <c r="H521" t="s">
        <v>7663</v>
      </c>
      <c r="I521" t="s">
        <v>7664</v>
      </c>
      <c r="J521" t="s">
        <v>7665</v>
      </c>
    </row>
    <row r="522" spans="6:10">
      <c r="F522" t="s">
        <v>7666</v>
      </c>
      <c r="G522">
        <v>519</v>
      </c>
      <c r="H522" t="s">
        <v>738</v>
      </c>
      <c r="I522" t="s">
        <v>740</v>
      </c>
      <c r="J522" t="s">
        <v>7667</v>
      </c>
    </row>
    <row r="523" spans="6:10">
      <c r="F523" t="s">
        <v>7668</v>
      </c>
      <c r="G523">
        <v>520</v>
      </c>
      <c r="H523" t="s">
        <v>7669</v>
      </c>
      <c r="I523" t="s">
        <v>7670</v>
      </c>
      <c r="J523" t="s">
        <v>7671</v>
      </c>
    </row>
    <row r="524" spans="6:10">
      <c r="F524" t="s">
        <v>7672</v>
      </c>
      <c r="G524">
        <v>521</v>
      </c>
      <c r="H524" t="s">
        <v>7673</v>
      </c>
      <c r="I524" t="s">
        <v>7674</v>
      </c>
      <c r="J524" t="s">
        <v>7675</v>
      </c>
    </row>
    <row r="525" spans="6:10">
      <c r="F525" t="s">
        <v>7676</v>
      </c>
      <c r="G525">
        <v>522</v>
      </c>
      <c r="H525" t="s">
        <v>4255</v>
      </c>
      <c r="I525" t="s">
        <v>4256</v>
      </c>
      <c r="J525" t="s">
        <v>7677</v>
      </c>
    </row>
    <row r="526" spans="6:10">
      <c r="F526" t="s">
        <v>7678</v>
      </c>
      <c r="G526">
        <v>523</v>
      </c>
      <c r="H526" t="s">
        <v>1894</v>
      </c>
      <c r="I526" t="s">
        <v>1895</v>
      </c>
      <c r="J526" t="s">
        <v>7679</v>
      </c>
    </row>
    <row r="527" spans="6:10">
      <c r="F527" t="s">
        <v>7680</v>
      </c>
      <c r="G527">
        <v>524</v>
      </c>
      <c r="H527" t="s">
        <v>999</v>
      </c>
      <c r="I527" t="s">
        <v>1000</v>
      </c>
      <c r="J527" t="s">
        <v>7681</v>
      </c>
    </row>
    <row r="528" spans="6:10">
      <c r="F528" t="s">
        <v>7682</v>
      </c>
      <c r="G528">
        <v>525</v>
      </c>
      <c r="H528" t="s">
        <v>2594</v>
      </c>
      <c r="I528" t="s">
        <v>2595</v>
      </c>
      <c r="J528" t="s">
        <v>7683</v>
      </c>
    </row>
    <row r="529" spans="6:10">
      <c r="F529" t="s">
        <v>7684</v>
      </c>
      <c r="G529">
        <v>526</v>
      </c>
      <c r="H529" t="s">
        <v>602</v>
      </c>
      <c r="I529" t="s">
        <v>605</v>
      </c>
      <c r="J529" t="s">
        <v>7685</v>
      </c>
    </row>
    <row r="530" spans="6:10">
      <c r="F530" t="s">
        <v>7686</v>
      </c>
      <c r="G530">
        <v>527</v>
      </c>
      <c r="H530" t="s">
        <v>5927</v>
      </c>
      <c r="I530" t="s">
        <v>5928</v>
      </c>
      <c r="J530" t="s">
        <v>7687</v>
      </c>
    </row>
    <row r="531" spans="6:10">
      <c r="F531" t="s">
        <v>7688</v>
      </c>
      <c r="G531">
        <v>528</v>
      </c>
      <c r="H531" t="s">
        <v>548</v>
      </c>
      <c r="I531" t="s">
        <v>554</v>
      </c>
      <c r="J531" t="s">
        <v>7689</v>
      </c>
    </row>
    <row r="532" spans="6:10">
      <c r="F532" t="s">
        <v>7690</v>
      </c>
      <c r="G532">
        <v>529</v>
      </c>
      <c r="H532" t="s">
        <v>2720</v>
      </c>
      <c r="I532" t="s">
        <v>2721</v>
      </c>
      <c r="J532" t="s">
        <v>7691</v>
      </c>
    </row>
    <row r="533" spans="6:10">
      <c r="F533" t="s">
        <v>7692</v>
      </c>
      <c r="G533">
        <v>530</v>
      </c>
      <c r="H533" t="s">
        <v>4632</v>
      </c>
      <c r="I533" t="s">
        <v>4633</v>
      </c>
      <c r="J533" t="s">
        <v>7693</v>
      </c>
    </row>
    <row r="534" spans="6:10">
      <c r="F534" t="s">
        <v>7694</v>
      </c>
      <c r="G534">
        <v>531</v>
      </c>
      <c r="H534" t="s">
        <v>5820</v>
      </c>
      <c r="I534" t="s">
        <v>5821</v>
      </c>
      <c r="J534" t="s">
        <v>7695</v>
      </c>
    </row>
    <row r="535" spans="6:10">
      <c r="F535" t="s">
        <v>7696</v>
      </c>
      <c r="G535">
        <v>532</v>
      </c>
      <c r="H535" t="s">
        <v>600</v>
      </c>
      <c r="I535" t="s">
        <v>601</v>
      </c>
      <c r="J535" t="s">
        <v>7697</v>
      </c>
    </row>
    <row r="536" spans="6:10">
      <c r="F536" t="s">
        <v>7698</v>
      </c>
      <c r="G536">
        <v>533</v>
      </c>
      <c r="H536" t="s">
        <v>1285</v>
      </c>
      <c r="I536" t="s">
        <v>1286</v>
      </c>
      <c r="J536" t="s">
        <v>7699</v>
      </c>
    </row>
    <row r="537" spans="6:10">
      <c r="F537" t="s">
        <v>7700</v>
      </c>
      <c r="G537">
        <v>534</v>
      </c>
      <c r="H537" t="s">
        <v>3548</v>
      </c>
      <c r="I537" t="s">
        <v>3549</v>
      </c>
      <c r="J537" t="s">
        <v>7701</v>
      </c>
    </row>
    <row r="538" spans="6:10">
      <c r="F538" t="s">
        <v>7702</v>
      </c>
      <c r="G538">
        <v>535</v>
      </c>
      <c r="H538" t="s">
        <v>3391</v>
      </c>
      <c r="I538" t="s">
        <v>3392</v>
      </c>
      <c r="J538" t="s">
        <v>7703</v>
      </c>
    </row>
    <row r="539" spans="6:10">
      <c r="F539" t="s">
        <v>7704</v>
      </c>
      <c r="G539">
        <v>536</v>
      </c>
      <c r="H539" t="s">
        <v>1878</v>
      </c>
      <c r="I539" t="s">
        <v>1879</v>
      </c>
      <c r="J539" t="s">
        <v>7705</v>
      </c>
    </row>
    <row r="540" spans="6:10">
      <c r="F540" t="s">
        <v>7706</v>
      </c>
      <c r="G540">
        <v>537</v>
      </c>
      <c r="H540" t="s">
        <v>1864</v>
      </c>
      <c r="I540" t="s">
        <v>1865</v>
      </c>
      <c r="J540" t="s">
        <v>7707</v>
      </c>
    </row>
    <row r="541" spans="6:10">
      <c r="F541" t="s">
        <v>7708</v>
      </c>
      <c r="G541">
        <v>538</v>
      </c>
      <c r="H541" t="s">
        <v>450</v>
      </c>
      <c r="I541" t="s">
        <v>451</v>
      </c>
      <c r="J541" t="s">
        <v>7709</v>
      </c>
    </row>
    <row r="542" spans="6:10">
      <c r="F542" t="s">
        <v>7710</v>
      </c>
      <c r="G542">
        <v>539</v>
      </c>
      <c r="H542" t="s">
        <v>7711</v>
      </c>
      <c r="I542" t="s">
        <v>7712</v>
      </c>
      <c r="J542" t="s">
        <v>7713</v>
      </c>
    </row>
    <row r="543" spans="6:10">
      <c r="F543" t="s">
        <v>7714</v>
      </c>
      <c r="G543">
        <v>540</v>
      </c>
      <c r="H543" t="s">
        <v>7715</v>
      </c>
      <c r="I543" t="s">
        <v>7716</v>
      </c>
      <c r="J543" t="s">
        <v>7717</v>
      </c>
    </row>
    <row r="544" spans="6:10">
      <c r="F544" t="s">
        <v>7718</v>
      </c>
      <c r="G544">
        <v>541</v>
      </c>
      <c r="H544" t="s">
        <v>7719</v>
      </c>
      <c r="I544" t="s">
        <v>7720</v>
      </c>
      <c r="J544" t="s">
        <v>7721</v>
      </c>
    </row>
    <row r="545" spans="6:10">
      <c r="F545" t="s">
        <v>7722</v>
      </c>
      <c r="G545">
        <v>542</v>
      </c>
      <c r="H545" t="s">
        <v>7723</v>
      </c>
      <c r="I545" t="s">
        <v>7724</v>
      </c>
      <c r="J545" t="s">
        <v>7725</v>
      </c>
    </row>
    <row r="546" spans="6:10">
      <c r="F546" t="s">
        <v>7726</v>
      </c>
      <c r="G546">
        <v>543</v>
      </c>
      <c r="H546" t="s">
        <v>7727</v>
      </c>
      <c r="I546" t="s">
        <v>7728</v>
      </c>
      <c r="J546" t="s">
        <v>7729</v>
      </c>
    </row>
    <row r="547" spans="6:10">
      <c r="F547" t="s">
        <v>7730</v>
      </c>
      <c r="G547">
        <v>544</v>
      </c>
      <c r="H547" t="s">
        <v>7731</v>
      </c>
      <c r="I547" t="s">
        <v>7732</v>
      </c>
      <c r="J547" t="s">
        <v>7733</v>
      </c>
    </row>
    <row r="548" spans="6:10">
      <c r="F548" t="s">
        <v>7734</v>
      </c>
      <c r="G548">
        <v>545</v>
      </c>
      <c r="H548" t="s">
        <v>7735</v>
      </c>
      <c r="I548" t="s">
        <v>7736</v>
      </c>
      <c r="J548" t="s">
        <v>7737</v>
      </c>
    </row>
    <row r="549" spans="6:10">
      <c r="F549" t="s">
        <v>7738</v>
      </c>
      <c r="G549">
        <v>546</v>
      </c>
      <c r="H549" t="s">
        <v>7739</v>
      </c>
      <c r="I549" t="s">
        <v>7740</v>
      </c>
      <c r="J549" t="s">
        <v>7741</v>
      </c>
    </row>
    <row r="550" spans="6:10">
      <c r="F550" t="s">
        <v>7742</v>
      </c>
      <c r="G550">
        <v>547</v>
      </c>
      <c r="H550" t="s">
        <v>7743</v>
      </c>
      <c r="I550" t="s">
        <v>7744</v>
      </c>
      <c r="J550" t="s">
        <v>7745</v>
      </c>
    </row>
    <row r="551" spans="6:10">
      <c r="F551" t="s">
        <v>7746</v>
      </c>
      <c r="G551">
        <v>548</v>
      </c>
      <c r="H551" t="s">
        <v>7747</v>
      </c>
      <c r="I551" t="s">
        <v>7748</v>
      </c>
      <c r="J551" t="s">
        <v>7749</v>
      </c>
    </row>
    <row r="552" spans="6:10">
      <c r="F552" t="s">
        <v>7750</v>
      </c>
      <c r="G552">
        <v>549</v>
      </c>
      <c r="H552" t="s">
        <v>7751</v>
      </c>
      <c r="I552" t="s">
        <v>7752</v>
      </c>
      <c r="J552" t="s">
        <v>7753</v>
      </c>
    </row>
    <row r="553" spans="6:10">
      <c r="F553" t="s">
        <v>7754</v>
      </c>
      <c r="G553">
        <v>550</v>
      </c>
      <c r="H553" t="s">
        <v>4263</v>
      </c>
      <c r="I553" t="s">
        <v>4263</v>
      </c>
      <c r="J553" t="s">
        <v>7755</v>
      </c>
    </row>
    <row r="554" spans="6:10">
      <c r="F554" t="s">
        <v>7756</v>
      </c>
      <c r="G554">
        <v>551</v>
      </c>
      <c r="H554" t="s">
        <v>5881</v>
      </c>
      <c r="I554" t="s">
        <v>5882</v>
      </c>
      <c r="J554" t="s">
        <v>7757</v>
      </c>
    </row>
    <row r="555" spans="6:10">
      <c r="F555" t="s">
        <v>7758</v>
      </c>
      <c r="G555">
        <v>552</v>
      </c>
      <c r="H555" t="s">
        <v>7759</v>
      </c>
      <c r="I555" t="s">
        <v>7760</v>
      </c>
      <c r="J555" t="s">
        <v>7761</v>
      </c>
    </row>
    <row r="556" spans="6:10">
      <c r="F556" t="s">
        <v>7762</v>
      </c>
      <c r="G556">
        <v>553</v>
      </c>
      <c r="H556" t="s">
        <v>1608</v>
      </c>
      <c r="I556" t="s">
        <v>1609</v>
      </c>
      <c r="J556" t="s">
        <v>7763</v>
      </c>
    </row>
    <row r="557" spans="6:10">
      <c r="F557" t="s">
        <v>7764</v>
      </c>
      <c r="G557">
        <v>554</v>
      </c>
      <c r="H557" t="s">
        <v>7765</v>
      </c>
      <c r="I557" t="s">
        <v>7766</v>
      </c>
      <c r="J557" t="s">
        <v>7767</v>
      </c>
    </row>
    <row r="558" spans="6:10">
      <c r="F558" t="s">
        <v>7768</v>
      </c>
      <c r="G558">
        <v>555</v>
      </c>
      <c r="H558" t="s">
        <v>7769</v>
      </c>
      <c r="I558" t="s">
        <v>7770</v>
      </c>
      <c r="J558" t="s">
        <v>7771</v>
      </c>
    </row>
    <row r="559" spans="6:10">
      <c r="F559" t="s">
        <v>7772</v>
      </c>
      <c r="G559">
        <v>556</v>
      </c>
      <c r="H559" t="s">
        <v>3178</v>
      </c>
      <c r="I559" t="s">
        <v>834</v>
      </c>
      <c r="J559" t="s">
        <v>7773</v>
      </c>
    </row>
    <row r="560" spans="6:10">
      <c r="F560" t="s">
        <v>7774</v>
      </c>
      <c r="G560">
        <v>557</v>
      </c>
      <c r="H560" t="s">
        <v>3767</v>
      </c>
      <c r="I560" t="s">
        <v>3768</v>
      </c>
      <c r="J560" t="s">
        <v>7775</v>
      </c>
    </row>
    <row r="561" spans="6:10">
      <c r="F561" t="s">
        <v>7776</v>
      </c>
      <c r="G561">
        <v>558</v>
      </c>
      <c r="H561" t="s">
        <v>7777</v>
      </c>
      <c r="I561" t="s">
        <v>7777</v>
      </c>
      <c r="J561" t="s">
        <v>7778</v>
      </c>
    </row>
    <row r="562" spans="6:10">
      <c r="F562" t="s">
        <v>7779</v>
      </c>
      <c r="G562">
        <v>559</v>
      </c>
      <c r="H562" t="s">
        <v>490</v>
      </c>
      <c r="I562" t="s">
        <v>491</v>
      </c>
      <c r="J562" t="s">
        <v>7780</v>
      </c>
    </row>
    <row r="563" spans="6:10">
      <c r="F563" t="s">
        <v>7781</v>
      </c>
      <c r="G563">
        <v>560</v>
      </c>
      <c r="H563" t="s">
        <v>271</v>
      </c>
      <c r="I563" t="s">
        <v>272</v>
      </c>
      <c r="J563" t="s">
        <v>7782</v>
      </c>
    </row>
    <row r="564" spans="6:10">
      <c r="F564" t="s">
        <v>7783</v>
      </c>
      <c r="G564">
        <v>561</v>
      </c>
      <c r="H564" t="s">
        <v>3482</v>
      </c>
      <c r="I564" t="s">
        <v>3484</v>
      </c>
      <c r="J564" t="s">
        <v>7784</v>
      </c>
    </row>
    <row r="565" spans="6:10">
      <c r="F565" t="s">
        <v>7785</v>
      </c>
      <c r="G565">
        <v>562</v>
      </c>
      <c r="H565" t="s">
        <v>7786</v>
      </c>
      <c r="I565" t="s">
        <v>7787</v>
      </c>
      <c r="J565" t="s">
        <v>7788</v>
      </c>
    </row>
    <row r="566" spans="6:10">
      <c r="F566" t="s">
        <v>7789</v>
      </c>
      <c r="G566">
        <v>563</v>
      </c>
      <c r="H566" t="s">
        <v>2961</v>
      </c>
      <c r="I566" t="s">
        <v>2962</v>
      </c>
      <c r="J566" t="s">
        <v>7790</v>
      </c>
    </row>
    <row r="567" spans="6:10">
      <c r="F567" t="s">
        <v>7791</v>
      </c>
      <c r="G567">
        <v>564</v>
      </c>
      <c r="H567" t="s">
        <v>7792</v>
      </c>
      <c r="I567" t="s">
        <v>7793</v>
      </c>
      <c r="J567" t="s">
        <v>7794</v>
      </c>
    </row>
    <row r="568" spans="6:10">
      <c r="F568" t="s">
        <v>7795</v>
      </c>
      <c r="G568">
        <v>565</v>
      </c>
      <c r="H568" t="s">
        <v>7796</v>
      </c>
      <c r="I568" t="s">
        <v>7797</v>
      </c>
      <c r="J568" t="s">
        <v>7798</v>
      </c>
    </row>
    <row r="569" spans="6:10">
      <c r="F569" t="s">
        <v>7799</v>
      </c>
      <c r="G569">
        <v>566</v>
      </c>
      <c r="H569" t="s">
        <v>482</v>
      </c>
      <c r="I569" t="s">
        <v>483</v>
      </c>
      <c r="J569" t="s">
        <v>7800</v>
      </c>
    </row>
    <row r="570" spans="6:10">
      <c r="F570" t="s">
        <v>7801</v>
      </c>
      <c r="G570">
        <v>567</v>
      </c>
      <c r="H570" t="s">
        <v>7802</v>
      </c>
      <c r="I570" t="s">
        <v>7803</v>
      </c>
      <c r="J570" t="s">
        <v>7804</v>
      </c>
    </row>
    <row r="571" spans="6:10">
      <c r="F571" t="s">
        <v>7805</v>
      </c>
      <c r="G571">
        <v>568</v>
      </c>
      <c r="H571" t="s">
        <v>2959</v>
      </c>
      <c r="I571" t="s">
        <v>2960</v>
      </c>
      <c r="J571" t="s">
        <v>7806</v>
      </c>
    </row>
    <row r="572" spans="6:10">
      <c r="F572" t="s">
        <v>7807</v>
      </c>
      <c r="G572">
        <v>569</v>
      </c>
      <c r="H572" t="s">
        <v>2483</v>
      </c>
      <c r="I572" t="s">
        <v>2484</v>
      </c>
      <c r="J572" t="s">
        <v>7808</v>
      </c>
    </row>
    <row r="573" spans="6:10">
      <c r="F573" t="s">
        <v>7809</v>
      </c>
      <c r="G573">
        <v>570</v>
      </c>
      <c r="H573" t="s">
        <v>7810</v>
      </c>
      <c r="I573" t="s">
        <v>7811</v>
      </c>
      <c r="J573" t="s">
        <v>7812</v>
      </c>
    </row>
    <row r="574" spans="6:10">
      <c r="F574" t="s">
        <v>7813</v>
      </c>
      <c r="G574">
        <v>571</v>
      </c>
      <c r="H574" t="s">
        <v>7814</v>
      </c>
      <c r="I574" t="s">
        <v>7815</v>
      </c>
      <c r="J574" t="s">
        <v>7816</v>
      </c>
    </row>
    <row r="575" spans="6:10">
      <c r="F575" t="s">
        <v>7817</v>
      </c>
      <c r="G575">
        <v>572</v>
      </c>
      <c r="H575" t="s">
        <v>7818</v>
      </c>
      <c r="I575" t="s">
        <v>7819</v>
      </c>
      <c r="J575" t="s">
        <v>7820</v>
      </c>
    </row>
    <row r="576" spans="6:10">
      <c r="F576" t="s">
        <v>7821</v>
      </c>
      <c r="G576">
        <v>573</v>
      </c>
      <c r="H576" t="s">
        <v>7822</v>
      </c>
      <c r="I576" t="s">
        <v>7823</v>
      </c>
      <c r="J576" t="s">
        <v>7824</v>
      </c>
    </row>
    <row r="577" spans="6:10">
      <c r="F577" t="s">
        <v>7825</v>
      </c>
      <c r="G577">
        <v>574</v>
      </c>
      <c r="H577" t="s">
        <v>5182</v>
      </c>
      <c r="I577" t="s">
        <v>5183</v>
      </c>
      <c r="J577" t="s">
        <v>7826</v>
      </c>
    </row>
    <row r="578" spans="6:10">
      <c r="F578" t="s">
        <v>7827</v>
      </c>
      <c r="G578">
        <v>575</v>
      </c>
      <c r="H578" t="s">
        <v>7828</v>
      </c>
      <c r="I578" t="s">
        <v>7829</v>
      </c>
      <c r="J578" t="s">
        <v>7830</v>
      </c>
    </row>
    <row r="579" spans="6:10">
      <c r="F579" t="s">
        <v>7831</v>
      </c>
      <c r="G579">
        <v>576</v>
      </c>
      <c r="H579" t="s">
        <v>4937</v>
      </c>
      <c r="I579" t="s">
        <v>4938</v>
      </c>
      <c r="J579" t="s">
        <v>7832</v>
      </c>
    </row>
    <row r="580" spans="6:10">
      <c r="F580" t="s">
        <v>7833</v>
      </c>
      <c r="G580">
        <v>577</v>
      </c>
      <c r="H580" t="s">
        <v>2445</v>
      </c>
      <c r="I580" t="s">
        <v>2446</v>
      </c>
      <c r="J580" t="s">
        <v>7834</v>
      </c>
    </row>
    <row r="581" spans="6:10">
      <c r="F581" t="s">
        <v>7835</v>
      </c>
      <c r="G581">
        <v>578</v>
      </c>
      <c r="H581" t="s">
        <v>7836</v>
      </c>
      <c r="I581" t="s">
        <v>7837</v>
      </c>
      <c r="J581" t="s">
        <v>7838</v>
      </c>
    </row>
    <row r="582" spans="6:10">
      <c r="F582" t="s">
        <v>7839</v>
      </c>
      <c r="G582">
        <v>579</v>
      </c>
      <c r="H582" t="s">
        <v>7840</v>
      </c>
      <c r="I582" t="s">
        <v>7841</v>
      </c>
      <c r="J582" t="s">
        <v>7842</v>
      </c>
    </row>
    <row r="583" spans="6:10">
      <c r="F583" t="s">
        <v>7843</v>
      </c>
      <c r="G583">
        <v>580</v>
      </c>
      <c r="H583" t="s">
        <v>7844</v>
      </c>
      <c r="I583" t="s">
        <v>7844</v>
      </c>
      <c r="J583" t="s">
        <v>7845</v>
      </c>
    </row>
    <row r="584" spans="6:10">
      <c r="F584" t="s">
        <v>7846</v>
      </c>
      <c r="G584">
        <v>581</v>
      </c>
      <c r="H584" t="s">
        <v>494</v>
      </c>
      <c r="I584" t="s">
        <v>495</v>
      </c>
      <c r="J584" t="s">
        <v>7847</v>
      </c>
    </row>
    <row r="585" spans="6:10">
      <c r="F585" t="s">
        <v>7848</v>
      </c>
      <c r="G585">
        <v>582</v>
      </c>
      <c r="H585" t="s">
        <v>2880</v>
      </c>
      <c r="I585" t="s">
        <v>2881</v>
      </c>
      <c r="J585" t="s">
        <v>7849</v>
      </c>
    </row>
    <row r="586" spans="6:10">
      <c r="F586" t="s">
        <v>7850</v>
      </c>
      <c r="G586">
        <v>583</v>
      </c>
      <c r="H586" t="s">
        <v>4292</v>
      </c>
      <c r="I586" t="s">
        <v>4293</v>
      </c>
      <c r="J586" t="s">
        <v>7851</v>
      </c>
    </row>
    <row r="587" spans="6:10">
      <c r="F587" t="s">
        <v>7852</v>
      </c>
      <c r="G587">
        <v>584</v>
      </c>
      <c r="H587" t="s">
        <v>7853</v>
      </c>
      <c r="I587" t="s">
        <v>7854</v>
      </c>
      <c r="J587" t="s">
        <v>7855</v>
      </c>
    </row>
    <row r="588" spans="6:10">
      <c r="F588" t="s">
        <v>7856</v>
      </c>
      <c r="G588">
        <v>585</v>
      </c>
      <c r="H588" t="s">
        <v>5822</v>
      </c>
      <c r="I588" t="s">
        <v>5823</v>
      </c>
      <c r="J588" t="s">
        <v>7857</v>
      </c>
    </row>
    <row r="589" spans="6:10">
      <c r="F589" t="s">
        <v>7858</v>
      </c>
      <c r="G589">
        <v>586</v>
      </c>
      <c r="H589" t="s">
        <v>2818</v>
      </c>
      <c r="I589" t="s">
        <v>2821</v>
      </c>
      <c r="J589" t="s">
        <v>7859</v>
      </c>
    </row>
    <row r="590" spans="6:10">
      <c r="F590" t="s">
        <v>7860</v>
      </c>
      <c r="G590">
        <v>587</v>
      </c>
      <c r="H590" t="s">
        <v>7861</v>
      </c>
      <c r="I590" t="s">
        <v>7862</v>
      </c>
      <c r="J590" t="s">
        <v>7863</v>
      </c>
    </row>
    <row r="591" spans="6:10">
      <c r="F591" t="s">
        <v>7864</v>
      </c>
      <c r="G591">
        <v>588</v>
      </c>
      <c r="H591" t="s">
        <v>5146</v>
      </c>
      <c r="I591" t="s">
        <v>5147</v>
      </c>
      <c r="J591" t="s">
        <v>7865</v>
      </c>
    </row>
    <row r="592" spans="6:10">
      <c r="F592" t="s">
        <v>7866</v>
      </c>
      <c r="G592">
        <v>589</v>
      </c>
      <c r="H592" t="s">
        <v>7867</v>
      </c>
      <c r="I592" t="s">
        <v>7868</v>
      </c>
      <c r="J592" t="s">
        <v>7869</v>
      </c>
    </row>
    <row r="593" spans="6:10">
      <c r="F593" t="s">
        <v>7870</v>
      </c>
      <c r="G593">
        <v>590</v>
      </c>
      <c r="H593" t="s">
        <v>7871</v>
      </c>
      <c r="I593" t="s">
        <v>7872</v>
      </c>
      <c r="J593" t="s">
        <v>7873</v>
      </c>
    </row>
    <row r="594" spans="6:10">
      <c r="F594" t="s">
        <v>7874</v>
      </c>
      <c r="G594">
        <v>591</v>
      </c>
      <c r="H594" t="s">
        <v>7875</v>
      </c>
      <c r="I594" t="s">
        <v>7876</v>
      </c>
      <c r="J594" t="s">
        <v>7877</v>
      </c>
    </row>
    <row r="595" spans="6:10">
      <c r="F595" t="s">
        <v>7878</v>
      </c>
      <c r="G595">
        <v>592</v>
      </c>
      <c r="H595" t="s">
        <v>7879</v>
      </c>
      <c r="I595" t="s">
        <v>7880</v>
      </c>
      <c r="J595" t="s">
        <v>7881</v>
      </c>
    </row>
    <row r="596" spans="6:10">
      <c r="F596" t="s">
        <v>7882</v>
      </c>
      <c r="G596">
        <v>593</v>
      </c>
      <c r="H596" t="s">
        <v>2839</v>
      </c>
      <c r="I596" t="s">
        <v>2840</v>
      </c>
      <c r="J596" t="s">
        <v>7883</v>
      </c>
    </row>
    <row r="597" spans="6:10">
      <c r="F597" t="s">
        <v>7884</v>
      </c>
      <c r="G597">
        <v>594</v>
      </c>
      <c r="H597" t="s">
        <v>7885</v>
      </c>
      <c r="I597" t="s">
        <v>7886</v>
      </c>
      <c r="J597" t="s">
        <v>7887</v>
      </c>
    </row>
    <row r="598" spans="6:10">
      <c r="F598" t="s">
        <v>7888</v>
      </c>
      <c r="G598">
        <v>595</v>
      </c>
      <c r="H598" t="s">
        <v>7889</v>
      </c>
      <c r="I598" t="s">
        <v>7890</v>
      </c>
      <c r="J598" t="s">
        <v>7891</v>
      </c>
    </row>
    <row r="599" spans="6:10">
      <c r="F599" t="s">
        <v>7892</v>
      </c>
      <c r="G599">
        <v>596</v>
      </c>
      <c r="H599" t="s">
        <v>7893</v>
      </c>
      <c r="I599" t="s">
        <v>7894</v>
      </c>
      <c r="J599" t="s">
        <v>7895</v>
      </c>
    </row>
    <row r="600" spans="6:10">
      <c r="F600" t="s">
        <v>7896</v>
      </c>
      <c r="G600">
        <v>597</v>
      </c>
      <c r="H600" t="s">
        <v>5347</v>
      </c>
      <c r="I600" t="s">
        <v>5348</v>
      </c>
      <c r="J600" t="s">
        <v>7897</v>
      </c>
    </row>
    <row r="601" spans="6:10">
      <c r="F601" t="s">
        <v>7898</v>
      </c>
      <c r="G601">
        <v>598</v>
      </c>
      <c r="H601" t="s">
        <v>7899</v>
      </c>
      <c r="I601" t="s">
        <v>7900</v>
      </c>
      <c r="J601" t="s">
        <v>7901</v>
      </c>
    </row>
    <row r="602" spans="6:10">
      <c r="F602" t="s">
        <v>7902</v>
      </c>
      <c r="G602">
        <v>599</v>
      </c>
      <c r="H602" t="s">
        <v>7903</v>
      </c>
      <c r="I602" t="s">
        <v>7904</v>
      </c>
      <c r="J602" t="s">
        <v>7905</v>
      </c>
    </row>
    <row r="603" spans="6:10">
      <c r="F603" t="s">
        <v>7906</v>
      </c>
      <c r="G603">
        <v>600</v>
      </c>
      <c r="H603" t="s">
        <v>602</v>
      </c>
      <c r="I603" t="s">
        <v>606</v>
      </c>
      <c r="J603" t="s">
        <v>7907</v>
      </c>
    </row>
    <row r="604" spans="6:10">
      <c r="F604" t="s">
        <v>7908</v>
      </c>
      <c r="G604">
        <v>601</v>
      </c>
      <c r="H604" t="s">
        <v>7909</v>
      </c>
      <c r="I604" t="s">
        <v>7910</v>
      </c>
      <c r="J604" t="s">
        <v>7911</v>
      </c>
    </row>
    <row r="605" spans="6:10">
      <c r="F605" t="s">
        <v>7912</v>
      </c>
      <c r="G605">
        <v>602</v>
      </c>
      <c r="H605" t="s">
        <v>7913</v>
      </c>
      <c r="I605" t="s">
        <v>7914</v>
      </c>
      <c r="J605" t="s">
        <v>7915</v>
      </c>
    </row>
    <row r="606" spans="6:10">
      <c r="F606" t="s">
        <v>7916</v>
      </c>
      <c r="G606">
        <v>603</v>
      </c>
      <c r="H606" t="s">
        <v>2957</v>
      </c>
      <c r="I606" t="s">
        <v>2958</v>
      </c>
      <c r="J606" t="s">
        <v>7917</v>
      </c>
    </row>
    <row r="607" spans="6:10">
      <c r="F607" t="s">
        <v>7918</v>
      </c>
      <c r="G607">
        <v>604</v>
      </c>
      <c r="H607" t="s">
        <v>2634</v>
      </c>
      <c r="I607" t="s">
        <v>2635</v>
      </c>
      <c r="J607" t="s">
        <v>7919</v>
      </c>
    </row>
    <row r="608" spans="6:10">
      <c r="F608" t="s">
        <v>7920</v>
      </c>
      <c r="G608">
        <v>605</v>
      </c>
      <c r="H608" t="s">
        <v>4830</v>
      </c>
      <c r="I608" t="s">
        <v>4831</v>
      </c>
      <c r="J608" t="s">
        <v>7921</v>
      </c>
    </row>
    <row r="609" spans="6:10">
      <c r="F609" t="s">
        <v>7922</v>
      </c>
      <c r="G609">
        <v>606</v>
      </c>
      <c r="H609" t="s">
        <v>7923</v>
      </c>
      <c r="I609" t="s">
        <v>7924</v>
      </c>
      <c r="J609" t="s">
        <v>7925</v>
      </c>
    </row>
    <row r="610" spans="6:10">
      <c r="F610" t="s">
        <v>7926</v>
      </c>
      <c r="G610">
        <v>607</v>
      </c>
      <c r="H610" t="s">
        <v>2951</v>
      </c>
      <c r="I610" t="s">
        <v>2952</v>
      </c>
      <c r="J610" t="s">
        <v>7927</v>
      </c>
    </row>
    <row r="611" spans="6:10">
      <c r="F611" t="s">
        <v>7928</v>
      </c>
      <c r="G611">
        <v>608</v>
      </c>
      <c r="H611" t="s">
        <v>4982</v>
      </c>
      <c r="I611" t="s">
        <v>4984</v>
      </c>
      <c r="J611" t="s">
        <v>7929</v>
      </c>
    </row>
    <row r="612" spans="6:10">
      <c r="F612" t="s">
        <v>7930</v>
      </c>
      <c r="G612">
        <v>609</v>
      </c>
      <c r="H612" t="s">
        <v>3800</v>
      </c>
      <c r="I612" t="s">
        <v>3801</v>
      </c>
      <c r="J612" t="s">
        <v>7931</v>
      </c>
    </row>
    <row r="613" spans="6:10">
      <c r="F613" t="s">
        <v>7932</v>
      </c>
      <c r="G613">
        <v>610</v>
      </c>
      <c r="H613" t="s">
        <v>178</v>
      </c>
      <c r="I613" t="s">
        <v>179</v>
      </c>
      <c r="J613" t="s">
        <v>7933</v>
      </c>
    </row>
    <row r="614" spans="6:10">
      <c r="F614" t="s">
        <v>7934</v>
      </c>
      <c r="G614">
        <v>611</v>
      </c>
      <c r="H614" t="s">
        <v>1701</v>
      </c>
      <c r="I614" t="s">
        <v>1702</v>
      </c>
      <c r="J614" t="s">
        <v>7935</v>
      </c>
    </row>
    <row r="615" spans="6:10">
      <c r="F615" t="s">
        <v>7936</v>
      </c>
      <c r="G615">
        <v>612</v>
      </c>
      <c r="H615" t="s">
        <v>7937</v>
      </c>
      <c r="I615" t="s">
        <v>7938</v>
      </c>
      <c r="J615" t="s">
        <v>7939</v>
      </c>
    </row>
    <row r="616" spans="6:10">
      <c r="F616" t="s">
        <v>7940</v>
      </c>
      <c r="G616">
        <v>613</v>
      </c>
      <c r="H616" t="s">
        <v>969</v>
      </c>
      <c r="I616" t="s">
        <v>970</v>
      </c>
      <c r="J616" t="s">
        <v>7941</v>
      </c>
    </row>
    <row r="617" spans="6:10">
      <c r="F617" t="s">
        <v>7942</v>
      </c>
      <c r="G617">
        <v>614</v>
      </c>
      <c r="H617" t="s">
        <v>7943</v>
      </c>
      <c r="I617" t="s">
        <v>7944</v>
      </c>
      <c r="J617" t="s">
        <v>7945</v>
      </c>
    </row>
    <row r="618" spans="6:10">
      <c r="F618" t="s">
        <v>7946</v>
      </c>
      <c r="G618">
        <v>615</v>
      </c>
      <c r="H618" t="s">
        <v>2443</v>
      </c>
      <c r="I618" t="s">
        <v>2444</v>
      </c>
      <c r="J618" t="s">
        <v>7947</v>
      </c>
    </row>
    <row r="619" spans="6:10">
      <c r="F619" t="s">
        <v>7948</v>
      </c>
      <c r="G619">
        <v>616</v>
      </c>
      <c r="H619" t="s">
        <v>2786</v>
      </c>
      <c r="I619" t="s">
        <v>2787</v>
      </c>
      <c r="J619" t="s">
        <v>7949</v>
      </c>
    </row>
    <row r="620" spans="6:10">
      <c r="F620" t="s">
        <v>7950</v>
      </c>
      <c r="G620">
        <v>617</v>
      </c>
      <c r="H620" t="s">
        <v>7951</v>
      </c>
      <c r="I620" t="s">
        <v>7952</v>
      </c>
      <c r="J620" t="s">
        <v>7953</v>
      </c>
    </row>
    <row r="621" spans="6:10">
      <c r="F621" t="s">
        <v>7954</v>
      </c>
      <c r="G621">
        <v>618</v>
      </c>
      <c r="H621" t="s">
        <v>5953</v>
      </c>
      <c r="I621" t="s">
        <v>5954</v>
      </c>
      <c r="J621" t="s">
        <v>7955</v>
      </c>
    </row>
    <row r="622" spans="6:10">
      <c r="F622" t="s">
        <v>7956</v>
      </c>
      <c r="G622">
        <v>619</v>
      </c>
      <c r="H622" t="s">
        <v>5666</v>
      </c>
      <c r="I622" t="s">
        <v>5667</v>
      </c>
      <c r="J622" t="s">
        <v>7957</v>
      </c>
    </row>
    <row r="623" spans="6:10">
      <c r="F623" t="s">
        <v>7958</v>
      </c>
      <c r="G623">
        <v>620</v>
      </c>
      <c r="H623" t="s">
        <v>2030</v>
      </c>
      <c r="I623" t="s">
        <v>2031</v>
      </c>
      <c r="J623" t="s">
        <v>7959</v>
      </c>
    </row>
    <row r="624" spans="6:10">
      <c r="F624" t="s">
        <v>7960</v>
      </c>
      <c r="G624">
        <v>621</v>
      </c>
      <c r="H624" t="s">
        <v>5111</v>
      </c>
      <c r="I624" t="s">
        <v>5112</v>
      </c>
      <c r="J624" t="s">
        <v>7961</v>
      </c>
    </row>
    <row r="625" spans="6:10">
      <c r="F625" t="s">
        <v>7962</v>
      </c>
      <c r="G625">
        <v>622</v>
      </c>
      <c r="H625" t="s">
        <v>4754</v>
      </c>
      <c r="I625" t="s">
        <v>4755</v>
      </c>
      <c r="J625" t="s">
        <v>7963</v>
      </c>
    </row>
    <row r="626" spans="6:10">
      <c r="F626" t="s">
        <v>7964</v>
      </c>
      <c r="G626">
        <v>623</v>
      </c>
      <c r="H626" t="s">
        <v>7965</v>
      </c>
      <c r="I626" t="s">
        <v>7966</v>
      </c>
      <c r="J626" t="s">
        <v>7967</v>
      </c>
    </row>
    <row r="627" spans="6:10">
      <c r="F627" t="s">
        <v>7968</v>
      </c>
      <c r="G627">
        <v>624</v>
      </c>
      <c r="H627" t="s">
        <v>3784</v>
      </c>
      <c r="I627" t="s">
        <v>3785</v>
      </c>
      <c r="J627" t="s">
        <v>7969</v>
      </c>
    </row>
    <row r="628" spans="6:10">
      <c r="F628" t="s">
        <v>7970</v>
      </c>
      <c r="G628">
        <v>625</v>
      </c>
      <c r="H628" t="s">
        <v>614</v>
      </c>
      <c r="I628" t="s">
        <v>615</v>
      </c>
      <c r="J628" t="s">
        <v>7971</v>
      </c>
    </row>
    <row r="629" spans="6:10">
      <c r="F629" t="s">
        <v>7972</v>
      </c>
      <c r="G629">
        <v>626</v>
      </c>
      <c r="H629" t="s">
        <v>2338</v>
      </c>
      <c r="I629" t="s">
        <v>2339</v>
      </c>
      <c r="J629" t="s">
        <v>7973</v>
      </c>
    </row>
    <row r="630" spans="6:10">
      <c r="F630" t="s">
        <v>7974</v>
      </c>
      <c r="G630">
        <v>627</v>
      </c>
      <c r="H630" t="s">
        <v>2418</v>
      </c>
      <c r="I630" t="s">
        <v>2419</v>
      </c>
      <c r="J630" t="s">
        <v>7975</v>
      </c>
    </row>
    <row r="631" spans="6:10">
      <c r="F631" t="s">
        <v>7976</v>
      </c>
      <c r="G631">
        <v>628</v>
      </c>
      <c r="H631" t="s">
        <v>1401</v>
      </c>
      <c r="I631" t="s">
        <v>1402</v>
      </c>
      <c r="J631" t="s">
        <v>7977</v>
      </c>
    </row>
    <row r="632" spans="6:10">
      <c r="F632" t="s">
        <v>7978</v>
      </c>
      <c r="G632">
        <v>629</v>
      </c>
      <c r="H632" t="s">
        <v>2666</v>
      </c>
      <c r="I632" t="s">
        <v>2667</v>
      </c>
      <c r="J632" t="s">
        <v>7979</v>
      </c>
    </row>
    <row r="633" spans="6:10">
      <c r="F633" t="s">
        <v>7980</v>
      </c>
      <c r="G633">
        <v>630</v>
      </c>
      <c r="H633" t="s">
        <v>2890</v>
      </c>
      <c r="I633" t="s">
        <v>2891</v>
      </c>
      <c r="J633" t="s">
        <v>7981</v>
      </c>
    </row>
    <row r="634" spans="6:10">
      <c r="F634" t="s">
        <v>7982</v>
      </c>
      <c r="G634">
        <v>631</v>
      </c>
      <c r="H634" t="s">
        <v>3185</v>
      </c>
      <c r="I634" t="s">
        <v>3186</v>
      </c>
      <c r="J634" t="s">
        <v>7983</v>
      </c>
    </row>
    <row r="635" spans="6:10">
      <c r="F635" t="s">
        <v>7984</v>
      </c>
      <c r="G635">
        <v>632</v>
      </c>
      <c r="H635" t="s">
        <v>4870</v>
      </c>
      <c r="I635" t="s">
        <v>4871</v>
      </c>
      <c r="J635" t="s">
        <v>7985</v>
      </c>
    </row>
    <row r="636" spans="6:10">
      <c r="F636" t="s">
        <v>7986</v>
      </c>
      <c r="G636">
        <v>633</v>
      </c>
      <c r="H636" t="s">
        <v>4794</v>
      </c>
      <c r="I636" t="s">
        <v>4795</v>
      </c>
      <c r="J636" t="s">
        <v>7987</v>
      </c>
    </row>
    <row r="637" spans="6:10">
      <c r="F637" t="s">
        <v>7988</v>
      </c>
      <c r="G637">
        <v>634</v>
      </c>
      <c r="H637" t="s">
        <v>7989</v>
      </c>
      <c r="I637" t="s">
        <v>7990</v>
      </c>
      <c r="J637" t="s">
        <v>7991</v>
      </c>
    </row>
    <row r="638" spans="6:10">
      <c r="F638" t="s">
        <v>7992</v>
      </c>
      <c r="G638">
        <v>635</v>
      </c>
      <c r="H638" t="s">
        <v>7993</v>
      </c>
      <c r="I638" t="s">
        <v>7994</v>
      </c>
      <c r="J638" t="s">
        <v>7995</v>
      </c>
    </row>
    <row r="639" spans="6:10">
      <c r="F639" t="s">
        <v>7996</v>
      </c>
      <c r="G639">
        <v>636</v>
      </c>
      <c r="H639" t="s">
        <v>364</v>
      </c>
      <c r="I639" t="s">
        <v>365</v>
      </c>
      <c r="J639" t="s">
        <v>7997</v>
      </c>
    </row>
    <row r="640" spans="6:10">
      <c r="F640" t="s">
        <v>7998</v>
      </c>
      <c r="G640">
        <v>637</v>
      </c>
      <c r="H640" t="s">
        <v>7999</v>
      </c>
      <c r="I640" t="s">
        <v>8000</v>
      </c>
      <c r="J640" t="s">
        <v>8001</v>
      </c>
    </row>
    <row r="641" spans="6:10">
      <c r="F641" t="s">
        <v>8002</v>
      </c>
      <c r="G641">
        <v>638</v>
      </c>
      <c r="H641" t="s">
        <v>8003</v>
      </c>
      <c r="I641" t="s">
        <v>8004</v>
      </c>
      <c r="J641" t="s">
        <v>8005</v>
      </c>
    </row>
    <row r="642" spans="6:10">
      <c r="F642" t="s">
        <v>8006</v>
      </c>
      <c r="G642">
        <v>639</v>
      </c>
      <c r="H642" t="s">
        <v>548</v>
      </c>
      <c r="I642" t="s">
        <v>555</v>
      </c>
      <c r="J642" t="s">
        <v>8007</v>
      </c>
    </row>
    <row r="643" spans="6:10">
      <c r="F643" t="s">
        <v>8008</v>
      </c>
      <c r="G643">
        <v>640</v>
      </c>
      <c r="H643" t="s">
        <v>4141</v>
      </c>
      <c r="I643" t="s">
        <v>4142</v>
      </c>
      <c r="J643" t="s">
        <v>8009</v>
      </c>
    </row>
    <row r="644" spans="6:10">
      <c r="F644" t="s">
        <v>8010</v>
      </c>
      <c r="G644">
        <v>641</v>
      </c>
      <c r="H644" t="s">
        <v>4141</v>
      </c>
      <c r="I644" t="s">
        <v>4142</v>
      </c>
      <c r="J644" t="s">
        <v>8011</v>
      </c>
    </row>
    <row r="645" spans="6:10">
      <c r="F645" t="s">
        <v>8012</v>
      </c>
      <c r="G645">
        <v>642</v>
      </c>
      <c r="H645" t="s">
        <v>1528</v>
      </c>
      <c r="I645" t="s">
        <v>1529</v>
      </c>
      <c r="J645" t="s">
        <v>8013</v>
      </c>
    </row>
    <row r="646" spans="6:10">
      <c r="F646" t="s">
        <v>8014</v>
      </c>
      <c r="G646">
        <v>643</v>
      </c>
      <c r="H646" t="s">
        <v>1926</v>
      </c>
      <c r="I646" t="s">
        <v>1927</v>
      </c>
      <c r="J646" t="s">
        <v>8015</v>
      </c>
    </row>
    <row r="647" spans="6:10">
      <c r="F647" t="s">
        <v>8016</v>
      </c>
      <c r="G647">
        <v>644</v>
      </c>
      <c r="H647" t="s">
        <v>4706</v>
      </c>
      <c r="I647" t="s">
        <v>4707</v>
      </c>
      <c r="J647" t="s">
        <v>8017</v>
      </c>
    </row>
    <row r="648" spans="6:10">
      <c r="F648" t="s">
        <v>8018</v>
      </c>
      <c r="G648">
        <v>645</v>
      </c>
      <c r="H648" t="s">
        <v>5885</v>
      </c>
      <c r="I648" t="s">
        <v>5886</v>
      </c>
      <c r="J648" t="s">
        <v>8019</v>
      </c>
    </row>
    <row r="649" spans="6:10">
      <c r="F649" t="s">
        <v>8020</v>
      </c>
      <c r="G649">
        <v>646</v>
      </c>
      <c r="H649" t="s">
        <v>4441</v>
      </c>
      <c r="I649" t="s">
        <v>4442</v>
      </c>
      <c r="J649" t="s">
        <v>8021</v>
      </c>
    </row>
    <row r="650" spans="6:10">
      <c r="F650" t="s">
        <v>8022</v>
      </c>
      <c r="G650">
        <v>647</v>
      </c>
      <c r="H650" t="s">
        <v>1059</v>
      </c>
      <c r="I650" t="s">
        <v>1060</v>
      </c>
      <c r="J650" t="s">
        <v>8023</v>
      </c>
    </row>
    <row r="651" spans="6:10">
      <c r="F651" t="s">
        <v>8024</v>
      </c>
      <c r="G651">
        <v>648</v>
      </c>
      <c r="H651" t="s">
        <v>5773</v>
      </c>
      <c r="I651" t="s">
        <v>5774</v>
      </c>
      <c r="J651" t="s">
        <v>8025</v>
      </c>
    </row>
    <row r="652" spans="6:10">
      <c r="F652" t="s">
        <v>8026</v>
      </c>
      <c r="G652">
        <v>649</v>
      </c>
      <c r="H652" t="s">
        <v>5696</v>
      </c>
      <c r="I652" t="s">
        <v>5697</v>
      </c>
      <c r="J652" t="s">
        <v>8027</v>
      </c>
    </row>
    <row r="653" spans="6:10">
      <c r="F653" t="s">
        <v>8028</v>
      </c>
      <c r="G653">
        <v>650</v>
      </c>
      <c r="H653" t="s">
        <v>4736</v>
      </c>
      <c r="I653" t="s">
        <v>4737</v>
      </c>
      <c r="J653" t="s">
        <v>8029</v>
      </c>
    </row>
    <row r="654" spans="6:10">
      <c r="F654" t="s">
        <v>8030</v>
      </c>
      <c r="G654">
        <v>651</v>
      </c>
      <c r="H654" t="s">
        <v>2119</v>
      </c>
      <c r="I654" t="s">
        <v>2120</v>
      </c>
      <c r="J654" t="s">
        <v>8031</v>
      </c>
    </row>
    <row r="655" spans="6:10">
      <c r="F655" t="s">
        <v>8032</v>
      </c>
      <c r="G655">
        <v>652</v>
      </c>
      <c r="H655" t="s">
        <v>1530</v>
      </c>
      <c r="I655" t="s">
        <v>1531</v>
      </c>
      <c r="J655" t="s">
        <v>8033</v>
      </c>
    </row>
    <row r="656" spans="6:10">
      <c r="F656" t="s">
        <v>8034</v>
      </c>
      <c r="G656">
        <v>653</v>
      </c>
      <c r="H656" t="s">
        <v>8035</v>
      </c>
      <c r="I656" t="s">
        <v>8036</v>
      </c>
      <c r="J656" t="s">
        <v>8037</v>
      </c>
    </row>
    <row r="657" spans="6:10">
      <c r="F657" t="s">
        <v>8038</v>
      </c>
      <c r="G657">
        <v>654</v>
      </c>
      <c r="H657" t="s">
        <v>1506</v>
      </c>
      <c r="I657" t="s">
        <v>1507</v>
      </c>
      <c r="J657" t="s">
        <v>8039</v>
      </c>
    </row>
    <row r="658" spans="6:10">
      <c r="F658" t="s">
        <v>8040</v>
      </c>
      <c r="G658">
        <v>655</v>
      </c>
      <c r="H658" t="s">
        <v>859</v>
      </c>
      <c r="I658" t="s">
        <v>860</v>
      </c>
      <c r="J658" t="s">
        <v>8041</v>
      </c>
    </row>
    <row r="659" spans="6:10">
      <c r="F659" t="s">
        <v>8042</v>
      </c>
      <c r="G659">
        <v>656</v>
      </c>
      <c r="H659" t="s">
        <v>2816</v>
      </c>
      <c r="I659" t="s">
        <v>2817</v>
      </c>
      <c r="J659" t="s">
        <v>8043</v>
      </c>
    </row>
    <row r="660" spans="6:10">
      <c r="F660" t="s">
        <v>8044</v>
      </c>
      <c r="G660">
        <v>657</v>
      </c>
      <c r="H660" t="s">
        <v>2923</v>
      </c>
      <c r="I660" t="s">
        <v>2924</v>
      </c>
      <c r="J660" t="s">
        <v>8045</v>
      </c>
    </row>
    <row r="661" spans="6:10">
      <c r="F661" t="s">
        <v>8046</v>
      </c>
      <c r="G661">
        <v>658</v>
      </c>
      <c r="H661" t="s">
        <v>687</v>
      </c>
      <c r="I661" t="s">
        <v>688</v>
      </c>
      <c r="J661" t="s">
        <v>8047</v>
      </c>
    </row>
    <row r="662" spans="6:10">
      <c r="F662" t="s">
        <v>8048</v>
      </c>
      <c r="G662">
        <v>659</v>
      </c>
      <c r="H662" t="s">
        <v>2734</v>
      </c>
      <c r="I662" t="s">
        <v>2735</v>
      </c>
      <c r="J662" t="s">
        <v>8049</v>
      </c>
    </row>
    <row r="663" spans="6:10">
      <c r="F663" t="s">
        <v>8050</v>
      </c>
      <c r="G663">
        <v>660</v>
      </c>
      <c r="H663" t="s">
        <v>2404</v>
      </c>
      <c r="I663" t="s">
        <v>2405</v>
      </c>
      <c r="J663" t="s">
        <v>8051</v>
      </c>
    </row>
    <row r="664" spans="6:10">
      <c r="F664" t="s">
        <v>8052</v>
      </c>
      <c r="G664">
        <v>661</v>
      </c>
      <c r="H664" t="s">
        <v>8053</v>
      </c>
      <c r="I664" t="s">
        <v>8054</v>
      </c>
      <c r="J664" t="s">
        <v>8055</v>
      </c>
    </row>
    <row r="665" spans="6:10">
      <c r="F665" t="s">
        <v>8056</v>
      </c>
      <c r="G665">
        <v>662</v>
      </c>
      <c r="H665" t="s">
        <v>8057</v>
      </c>
      <c r="I665" t="s">
        <v>8058</v>
      </c>
      <c r="J665" t="s">
        <v>8059</v>
      </c>
    </row>
    <row r="666" spans="6:10">
      <c r="F666" t="s">
        <v>8060</v>
      </c>
      <c r="G666">
        <v>663</v>
      </c>
      <c r="H666" t="s">
        <v>8061</v>
      </c>
      <c r="I666" t="s">
        <v>8062</v>
      </c>
      <c r="J666" t="s">
        <v>8063</v>
      </c>
    </row>
    <row r="667" spans="6:10">
      <c r="F667" t="s">
        <v>8064</v>
      </c>
      <c r="G667">
        <v>664</v>
      </c>
      <c r="H667" t="s">
        <v>8065</v>
      </c>
      <c r="I667" t="s">
        <v>8066</v>
      </c>
      <c r="J667" t="s">
        <v>8067</v>
      </c>
    </row>
    <row r="668" spans="6:10">
      <c r="F668" t="s">
        <v>8068</v>
      </c>
      <c r="G668">
        <v>665</v>
      </c>
      <c r="H668" t="s">
        <v>7594</v>
      </c>
      <c r="I668" t="s">
        <v>8069</v>
      </c>
      <c r="J668" t="s">
        <v>8070</v>
      </c>
    </row>
    <row r="669" spans="6:10">
      <c r="F669" t="s">
        <v>8071</v>
      </c>
      <c r="G669">
        <v>666</v>
      </c>
      <c r="H669" t="s">
        <v>8072</v>
      </c>
      <c r="I669" t="s">
        <v>8073</v>
      </c>
      <c r="J669" t="s">
        <v>8074</v>
      </c>
    </row>
    <row r="670" spans="6:10">
      <c r="F670" t="s">
        <v>8075</v>
      </c>
      <c r="G670">
        <v>667</v>
      </c>
      <c r="H670" t="s">
        <v>8076</v>
      </c>
      <c r="I670" t="s">
        <v>8077</v>
      </c>
      <c r="J670" t="s">
        <v>8078</v>
      </c>
    </row>
    <row r="671" spans="6:10">
      <c r="F671" t="s">
        <v>8079</v>
      </c>
      <c r="G671">
        <v>668</v>
      </c>
      <c r="H671" t="s">
        <v>2609</v>
      </c>
      <c r="I671" t="s">
        <v>2610</v>
      </c>
      <c r="J671" t="s">
        <v>8080</v>
      </c>
    </row>
    <row r="672" spans="6:10">
      <c r="F672" t="s">
        <v>8081</v>
      </c>
      <c r="G672">
        <v>669</v>
      </c>
      <c r="H672" t="s">
        <v>4103</v>
      </c>
      <c r="I672" t="s">
        <v>4104</v>
      </c>
      <c r="J672" t="s">
        <v>8082</v>
      </c>
    </row>
    <row r="673" spans="6:10">
      <c r="F673" t="s">
        <v>8083</v>
      </c>
      <c r="G673">
        <v>670</v>
      </c>
      <c r="H673" t="s">
        <v>1468</v>
      </c>
      <c r="I673" t="s">
        <v>1469</v>
      </c>
      <c r="J673" t="s">
        <v>8084</v>
      </c>
    </row>
    <row r="674" spans="6:10">
      <c r="F674" t="s">
        <v>8085</v>
      </c>
      <c r="G674">
        <v>671</v>
      </c>
      <c r="H674" t="s">
        <v>3613</v>
      </c>
      <c r="I674" t="s">
        <v>3614</v>
      </c>
      <c r="J674" t="s">
        <v>8086</v>
      </c>
    </row>
    <row r="675" spans="6:10">
      <c r="F675" t="s">
        <v>8087</v>
      </c>
      <c r="G675">
        <v>672</v>
      </c>
      <c r="H675" t="s">
        <v>1330</v>
      </c>
      <c r="I675" t="s">
        <v>1331</v>
      </c>
      <c r="J675" t="s">
        <v>8088</v>
      </c>
    </row>
    <row r="676" spans="6:10">
      <c r="F676" t="s">
        <v>8089</v>
      </c>
      <c r="G676">
        <v>673</v>
      </c>
      <c r="H676" t="s">
        <v>1874</v>
      </c>
      <c r="I676" t="s">
        <v>1875</v>
      </c>
      <c r="J676" t="s">
        <v>8090</v>
      </c>
    </row>
    <row r="677" spans="6:10">
      <c r="F677" t="s">
        <v>8091</v>
      </c>
      <c r="G677">
        <v>674</v>
      </c>
      <c r="H677" t="s">
        <v>8092</v>
      </c>
      <c r="I677" t="s">
        <v>8093</v>
      </c>
      <c r="J677" t="s">
        <v>8094</v>
      </c>
    </row>
    <row r="678" spans="6:10">
      <c r="F678" t="s">
        <v>8095</v>
      </c>
      <c r="G678">
        <v>675</v>
      </c>
      <c r="H678" t="s">
        <v>5931</v>
      </c>
      <c r="I678" t="s">
        <v>5932</v>
      </c>
      <c r="J678" t="s">
        <v>8096</v>
      </c>
    </row>
    <row r="679" spans="6:10">
      <c r="F679" t="s">
        <v>8097</v>
      </c>
      <c r="G679">
        <v>676</v>
      </c>
      <c r="H679" t="s">
        <v>4953</v>
      </c>
      <c r="I679" t="s">
        <v>4954</v>
      </c>
      <c r="J679" t="s">
        <v>8098</v>
      </c>
    </row>
    <row r="680" spans="6:10">
      <c r="F680" t="s">
        <v>8099</v>
      </c>
      <c r="G680">
        <v>677</v>
      </c>
      <c r="H680" t="s">
        <v>5538</v>
      </c>
      <c r="I680" t="s">
        <v>5539</v>
      </c>
      <c r="J680" t="s">
        <v>8100</v>
      </c>
    </row>
    <row r="681" spans="6:10">
      <c r="F681" t="s">
        <v>8101</v>
      </c>
      <c r="G681">
        <v>678</v>
      </c>
      <c r="H681" t="s">
        <v>3008</v>
      </c>
      <c r="I681" t="s">
        <v>3009</v>
      </c>
      <c r="J681" t="s">
        <v>8102</v>
      </c>
    </row>
    <row r="682" spans="6:10">
      <c r="F682" t="s">
        <v>8103</v>
      </c>
      <c r="G682">
        <v>679</v>
      </c>
      <c r="H682" t="s">
        <v>2280</v>
      </c>
      <c r="I682" t="s">
        <v>2281</v>
      </c>
      <c r="J682" t="s">
        <v>8104</v>
      </c>
    </row>
    <row r="683" spans="6:10">
      <c r="F683" t="s">
        <v>8105</v>
      </c>
      <c r="G683">
        <v>680</v>
      </c>
      <c r="H683" t="s">
        <v>8106</v>
      </c>
      <c r="I683" t="s">
        <v>8107</v>
      </c>
      <c r="J683" t="s">
        <v>8108</v>
      </c>
    </row>
    <row r="684" spans="6:10">
      <c r="F684" t="s">
        <v>8109</v>
      </c>
      <c r="G684">
        <v>681</v>
      </c>
      <c r="H684" t="s">
        <v>779</v>
      </c>
      <c r="I684" t="s">
        <v>780</v>
      </c>
      <c r="J684" t="s">
        <v>8110</v>
      </c>
    </row>
    <row r="685" spans="6:10">
      <c r="F685" t="s">
        <v>8111</v>
      </c>
      <c r="G685">
        <v>682</v>
      </c>
      <c r="H685" t="s">
        <v>3575</v>
      </c>
      <c r="I685" t="s">
        <v>3576</v>
      </c>
      <c r="J685" t="s">
        <v>8112</v>
      </c>
    </row>
    <row r="686" spans="6:10">
      <c r="F686" t="s">
        <v>8113</v>
      </c>
      <c r="G686">
        <v>683</v>
      </c>
      <c r="H686" t="s">
        <v>2420</v>
      </c>
      <c r="I686" t="s">
        <v>2421</v>
      </c>
      <c r="J686" t="s">
        <v>8114</v>
      </c>
    </row>
    <row r="687" spans="6:10">
      <c r="F687" t="s">
        <v>8115</v>
      </c>
      <c r="G687">
        <v>684</v>
      </c>
      <c r="H687" t="s">
        <v>3029</v>
      </c>
      <c r="I687" t="s">
        <v>3030</v>
      </c>
      <c r="J687" t="s">
        <v>8116</v>
      </c>
    </row>
    <row r="688" spans="6:10">
      <c r="F688" t="s">
        <v>8117</v>
      </c>
      <c r="G688">
        <v>685</v>
      </c>
      <c r="H688" t="s">
        <v>4261</v>
      </c>
      <c r="I688" t="s">
        <v>4262</v>
      </c>
      <c r="J688" t="s">
        <v>8118</v>
      </c>
    </row>
    <row r="689" spans="6:10">
      <c r="F689" t="s">
        <v>8119</v>
      </c>
      <c r="G689">
        <v>686</v>
      </c>
      <c r="H689" t="s">
        <v>8120</v>
      </c>
      <c r="I689" t="s">
        <v>8121</v>
      </c>
      <c r="J689" t="s">
        <v>8122</v>
      </c>
    </row>
    <row r="690" spans="6:10">
      <c r="F690" t="s">
        <v>8123</v>
      </c>
      <c r="G690">
        <v>687</v>
      </c>
      <c r="H690" t="s">
        <v>8124</v>
      </c>
      <c r="I690" t="s">
        <v>8125</v>
      </c>
      <c r="J690" t="s">
        <v>8126</v>
      </c>
    </row>
    <row r="691" spans="6:10">
      <c r="F691" t="s">
        <v>8127</v>
      </c>
      <c r="G691">
        <v>688</v>
      </c>
      <c r="H691" t="s">
        <v>2931</v>
      </c>
      <c r="I691" t="s">
        <v>2932</v>
      </c>
      <c r="J691" t="s">
        <v>8128</v>
      </c>
    </row>
    <row r="692" spans="6:10">
      <c r="F692" t="s">
        <v>8129</v>
      </c>
      <c r="G692">
        <v>689</v>
      </c>
      <c r="H692" t="s">
        <v>8130</v>
      </c>
      <c r="I692" t="s">
        <v>8131</v>
      </c>
      <c r="J692" t="s">
        <v>8132</v>
      </c>
    </row>
    <row r="693" spans="6:10">
      <c r="F693" t="s">
        <v>8133</v>
      </c>
      <c r="G693">
        <v>690</v>
      </c>
      <c r="H693" t="s">
        <v>4473</v>
      </c>
      <c r="I693" t="s">
        <v>4474</v>
      </c>
      <c r="J693" t="s">
        <v>8134</v>
      </c>
    </row>
    <row r="694" spans="6:10">
      <c r="F694" t="s">
        <v>8135</v>
      </c>
      <c r="G694">
        <v>691</v>
      </c>
      <c r="H694" t="s">
        <v>3399</v>
      </c>
      <c r="I694" t="s">
        <v>3400</v>
      </c>
      <c r="J694" t="s">
        <v>8136</v>
      </c>
    </row>
    <row r="695" spans="6:10">
      <c r="F695" t="s">
        <v>8137</v>
      </c>
      <c r="G695">
        <v>692</v>
      </c>
      <c r="H695" t="s">
        <v>1744</v>
      </c>
      <c r="I695" t="s">
        <v>1745</v>
      </c>
      <c r="J695" t="s">
        <v>8138</v>
      </c>
    </row>
    <row r="696" spans="6:10">
      <c r="F696" t="s">
        <v>8139</v>
      </c>
      <c r="G696">
        <v>693</v>
      </c>
      <c r="H696" t="s">
        <v>6183</v>
      </c>
      <c r="I696" t="s">
        <v>6184</v>
      </c>
      <c r="J696" t="s">
        <v>8140</v>
      </c>
    </row>
    <row r="697" spans="6:10">
      <c r="F697" t="s">
        <v>8141</v>
      </c>
      <c r="G697">
        <v>694</v>
      </c>
      <c r="H697" t="s">
        <v>3005</v>
      </c>
      <c r="I697" t="s">
        <v>3006</v>
      </c>
      <c r="J697" t="s">
        <v>8142</v>
      </c>
    </row>
    <row r="698" spans="6:10">
      <c r="F698" t="s">
        <v>8143</v>
      </c>
      <c r="G698">
        <v>695</v>
      </c>
      <c r="H698" t="s">
        <v>2383</v>
      </c>
      <c r="I698" t="s">
        <v>2384</v>
      </c>
      <c r="J698" t="s">
        <v>8144</v>
      </c>
    </row>
    <row r="699" spans="6:10">
      <c r="F699" t="s">
        <v>8145</v>
      </c>
      <c r="G699">
        <v>696</v>
      </c>
      <c r="H699" t="s">
        <v>3012</v>
      </c>
      <c r="I699" t="s">
        <v>3013</v>
      </c>
      <c r="J699" t="s">
        <v>8146</v>
      </c>
    </row>
    <row r="700" spans="6:10">
      <c r="F700" t="s">
        <v>8147</v>
      </c>
      <c r="G700">
        <v>697</v>
      </c>
      <c r="H700" t="s">
        <v>924</v>
      </c>
      <c r="I700" t="s">
        <v>925</v>
      </c>
      <c r="J700" t="s">
        <v>8148</v>
      </c>
    </row>
    <row r="701" spans="6:10">
      <c r="F701" t="s">
        <v>8149</v>
      </c>
      <c r="G701">
        <v>698</v>
      </c>
      <c r="H701" t="s">
        <v>1005</v>
      </c>
      <c r="I701" t="s">
        <v>1006</v>
      </c>
      <c r="J701" t="s">
        <v>8150</v>
      </c>
    </row>
    <row r="702" spans="6:10">
      <c r="F702" t="s">
        <v>8151</v>
      </c>
      <c r="G702">
        <v>699</v>
      </c>
      <c r="H702" t="s">
        <v>61</v>
      </c>
      <c r="I702" t="s">
        <v>62</v>
      </c>
      <c r="J702" t="s">
        <v>8152</v>
      </c>
    </row>
    <row r="703" spans="6:10">
      <c r="F703" t="s">
        <v>8153</v>
      </c>
      <c r="G703">
        <v>700</v>
      </c>
      <c r="H703" t="s">
        <v>5162</v>
      </c>
      <c r="I703" t="s">
        <v>5150</v>
      </c>
      <c r="J703" t="s">
        <v>8154</v>
      </c>
    </row>
    <row r="704" spans="6:10">
      <c r="F704" t="s">
        <v>8155</v>
      </c>
      <c r="G704">
        <v>701</v>
      </c>
      <c r="H704" t="s">
        <v>3346</v>
      </c>
      <c r="I704" t="s">
        <v>3347</v>
      </c>
      <c r="J704" t="s">
        <v>8156</v>
      </c>
    </row>
    <row r="705" spans="6:10">
      <c r="F705" t="s">
        <v>8157</v>
      </c>
      <c r="G705">
        <v>702</v>
      </c>
      <c r="H705" t="s">
        <v>5357</v>
      </c>
      <c r="I705" t="s">
        <v>5358</v>
      </c>
      <c r="J705" t="s">
        <v>8158</v>
      </c>
    </row>
    <row r="706" spans="6:10">
      <c r="F706" t="s">
        <v>8159</v>
      </c>
      <c r="G706">
        <v>703</v>
      </c>
      <c r="H706" t="s">
        <v>463</v>
      </c>
      <c r="I706" t="s">
        <v>464</v>
      </c>
      <c r="J706" t="s">
        <v>8160</v>
      </c>
    </row>
    <row r="707" spans="6:10">
      <c r="F707" t="s">
        <v>8161</v>
      </c>
      <c r="G707">
        <v>704</v>
      </c>
      <c r="H707" t="s">
        <v>2920</v>
      </c>
      <c r="I707" t="s">
        <v>2922</v>
      </c>
      <c r="J707" t="s">
        <v>8162</v>
      </c>
    </row>
    <row r="708" spans="6:10">
      <c r="F708" t="s">
        <v>8163</v>
      </c>
      <c r="G708">
        <v>705</v>
      </c>
      <c r="H708" t="s">
        <v>4315</v>
      </c>
      <c r="I708" t="s">
        <v>4316</v>
      </c>
      <c r="J708" t="s">
        <v>8164</v>
      </c>
    </row>
    <row r="709" spans="6:10">
      <c r="F709" t="s">
        <v>8165</v>
      </c>
      <c r="G709">
        <v>706</v>
      </c>
      <c r="H709" t="s">
        <v>4215</v>
      </c>
      <c r="I709" t="s">
        <v>4216</v>
      </c>
      <c r="J709" t="s">
        <v>8166</v>
      </c>
    </row>
    <row r="710" spans="6:10">
      <c r="F710" t="s">
        <v>8167</v>
      </c>
      <c r="G710">
        <v>707</v>
      </c>
      <c r="H710" t="s">
        <v>5844</v>
      </c>
      <c r="I710" t="s">
        <v>5845</v>
      </c>
      <c r="J710" t="s">
        <v>8168</v>
      </c>
    </row>
    <row r="711" spans="6:10">
      <c r="F711" t="s">
        <v>8169</v>
      </c>
      <c r="G711">
        <v>708</v>
      </c>
      <c r="H711" t="s">
        <v>4310</v>
      </c>
      <c r="I711" t="s">
        <v>4311</v>
      </c>
      <c r="J711" t="s">
        <v>8170</v>
      </c>
    </row>
    <row r="712" spans="6:10">
      <c r="F712" t="s">
        <v>8171</v>
      </c>
      <c r="G712">
        <v>709</v>
      </c>
      <c r="H712" t="s">
        <v>8172</v>
      </c>
      <c r="I712" t="s">
        <v>8173</v>
      </c>
      <c r="J712" t="s">
        <v>8174</v>
      </c>
    </row>
    <row r="713" spans="6:10">
      <c r="F713" t="s">
        <v>8175</v>
      </c>
      <c r="G713">
        <v>710</v>
      </c>
      <c r="H713" t="s">
        <v>5976</v>
      </c>
      <c r="I713" t="s">
        <v>5977</v>
      </c>
      <c r="J713" t="s">
        <v>8176</v>
      </c>
    </row>
    <row r="714" spans="6:10">
      <c r="F714" t="s">
        <v>8177</v>
      </c>
      <c r="G714">
        <v>711</v>
      </c>
      <c r="H714" t="s">
        <v>4024</v>
      </c>
      <c r="I714" t="s">
        <v>4025</v>
      </c>
      <c r="J714" t="s">
        <v>8178</v>
      </c>
    </row>
    <row r="715" spans="6:10">
      <c r="F715" t="s">
        <v>8179</v>
      </c>
      <c r="G715">
        <v>712</v>
      </c>
      <c r="H715" t="s">
        <v>8180</v>
      </c>
      <c r="I715" t="s">
        <v>8181</v>
      </c>
      <c r="J715" t="s">
        <v>8182</v>
      </c>
    </row>
    <row r="716" spans="6:10">
      <c r="F716" t="s">
        <v>8183</v>
      </c>
      <c r="G716">
        <v>713</v>
      </c>
      <c r="H716" t="s">
        <v>8184</v>
      </c>
      <c r="I716" t="s">
        <v>8185</v>
      </c>
      <c r="J716" t="s">
        <v>8186</v>
      </c>
    </row>
    <row r="717" spans="6:10">
      <c r="F717" t="s">
        <v>8187</v>
      </c>
      <c r="G717">
        <v>714</v>
      </c>
      <c r="H717" t="s">
        <v>3453</v>
      </c>
      <c r="I717" t="s">
        <v>3454</v>
      </c>
      <c r="J717" t="s">
        <v>8188</v>
      </c>
    </row>
    <row r="718" spans="6:10">
      <c r="F718" t="s">
        <v>8189</v>
      </c>
      <c r="G718">
        <v>715</v>
      </c>
      <c r="H718" t="s">
        <v>664</v>
      </c>
      <c r="I718" t="s">
        <v>665</v>
      </c>
      <c r="J718" t="s">
        <v>8190</v>
      </c>
    </row>
    <row r="719" spans="6:10">
      <c r="F719" t="s">
        <v>8191</v>
      </c>
      <c r="G719">
        <v>716</v>
      </c>
      <c r="H719" t="s">
        <v>2571</v>
      </c>
      <c r="I719" t="s">
        <v>2572</v>
      </c>
      <c r="J719" t="s">
        <v>8192</v>
      </c>
    </row>
    <row r="720" spans="6:10">
      <c r="F720" t="s">
        <v>8193</v>
      </c>
      <c r="G720">
        <v>717</v>
      </c>
      <c r="H720" t="s">
        <v>8194</v>
      </c>
      <c r="I720" t="s">
        <v>8195</v>
      </c>
      <c r="J720" t="s">
        <v>8196</v>
      </c>
    </row>
    <row r="721" spans="6:10">
      <c r="F721" t="s">
        <v>8197</v>
      </c>
      <c r="G721">
        <v>718</v>
      </c>
      <c r="H721" t="s">
        <v>8198</v>
      </c>
      <c r="I721" t="s">
        <v>8199</v>
      </c>
      <c r="J721" t="s">
        <v>8200</v>
      </c>
    </row>
    <row r="722" spans="6:10">
      <c r="F722" t="s">
        <v>8201</v>
      </c>
      <c r="G722">
        <v>719</v>
      </c>
      <c r="H722" t="s">
        <v>4982</v>
      </c>
      <c r="I722" t="s">
        <v>4985</v>
      </c>
      <c r="J722" t="s">
        <v>8202</v>
      </c>
    </row>
    <row r="723" spans="6:10">
      <c r="F723" t="s">
        <v>8203</v>
      </c>
      <c r="G723">
        <v>720</v>
      </c>
      <c r="H723" t="s">
        <v>524</v>
      </c>
      <c r="I723" t="s">
        <v>525</v>
      </c>
      <c r="J723" t="s">
        <v>8204</v>
      </c>
    </row>
    <row r="724" spans="6:10">
      <c r="F724" t="s">
        <v>8205</v>
      </c>
      <c r="G724">
        <v>721</v>
      </c>
      <c r="H724" t="s">
        <v>8206</v>
      </c>
      <c r="I724" t="s">
        <v>8207</v>
      </c>
      <c r="J724" t="s">
        <v>8208</v>
      </c>
    </row>
    <row r="725" spans="6:10">
      <c r="F725" t="s">
        <v>8209</v>
      </c>
      <c r="G725">
        <v>722</v>
      </c>
      <c r="H725" t="s">
        <v>5891</v>
      </c>
      <c r="I725" t="s">
        <v>5892</v>
      </c>
      <c r="J725" t="s">
        <v>8210</v>
      </c>
    </row>
    <row r="726" spans="6:10">
      <c r="F726" t="s">
        <v>8211</v>
      </c>
      <c r="G726">
        <v>723</v>
      </c>
      <c r="H726" t="s">
        <v>5771</v>
      </c>
      <c r="I726" t="s">
        <v>5772</v>
      </c>
      <c r="J726" t="s">
        <v>8212</v>
      </c>
    </row>
    <row r="727" spans="6:10">
      <c r="F727" t="s">
        <v>8213</v>
      </c>
      <c r="G727">
        <v>724</v>
      </c>
      <c r="H727" t="s">
        <v>3139</v>
      </c>
      <c r="I727" t="s">
        <v>3140</v>
      </c>
      <c r="J727" t="s">
        <v>8214</v>
      </c>
    </row>
    <row r="728" spans="6:10">
      <c r="F728" t="s">
        <v>8215</v>
      </c>
      <c r="G728">
        <v>725</v>
      </c>
      <c r="H728" t="s">
        <v>1390</v>
      </c>
      <c r="I728" t="s">
        <v>1391</v>
      </c>
      <c r="J728" t="s">
        <v>8216</v>
      </c>
    </row>
    <row r="729" spans="6:10">
      <c r="F729" t="s">
        <v>8217</v>
      </c>
      <c r="G729">
        <v>726</v>
      </c>
      <c r="H729" t="s">
        <v>4437</v>
      </c>
      <c r="I729" t="s">
        <v>4438</v>
      </c>
      <c r="J729" t="s">
        <v>8218</v>
      </c>
    </row>
    <row r="730" spans="6:10">
      <c r="F730" t="s">
        <v>8219</v>
      </c>
      <c r="G730">
        <v>727</v>
      </c>
      <c r="H730" t="s">
        <v>5598</v>
      </c>
      <c r="I730" t="s">
        <v>5599</v>
      </c>
      <c r="J730" t="s">
        <v>8220</v>
      </c>
    </row>
    <row r="731" spans="6:10">
      <c r="F731" t="s">
        <v>8221</v>
      </c>
      <c r="G731">
        <v>728</v>
      </c>
      <c r="H731" t="s">
        <v>154</v>
      </c>
      <c r="I731" t="s">
        <v>155</v>
      </c>
      <c r="J731" t="s">
        <v>8222</v>
      </c>
    </row>
    <row r="732" spans="6:10">
      <c r="F732" t="s">
        <v>8223</v>
      </c>
      <c r="G732">
        <v>729</v>
      </c>
      <c r="H732" t="s">
        <v>548</v>
      </c>
      <c r="I732" t="s">
        <v>556</v>
      </c>
      <c r="J732" t="s">
        <v>8224</v>
      </c>
    </row>
    <row r="733" spans="6:10">
      <c r="F733" t="s">
        <v>8225</v>
      </c>
      <c r="G733">
        <v>730</v>
      </c>
      <c r="H733" t="s">
        <v>2730</v>
      </c>
      <c r="I733" t="s">
        <v>2731</v>
      </c>
      <c r="J733" t="s">
        <v>8226</v>
      </c>
    </row>
    <row r="734" spans="6:10">
      <c r="F734" t="s">
        <v>8227</v>
      </c>
      <c r="G734">
        <v>731</v>
      </c>
      <c r="H734" t="s">
        <v>5610</v>
      </c>
      <c r="I734" t="s">
        <v>5611</v>
      </c>
      <c r="J734" t="s">
        <v>8228</v>
      </c>
    </row>
    <row r="735" spans="6:10">
      <c r="F735" t="s">
        <v>8229</v>
      </c>
      <c r="G735">
        <v>732</v>
      </c>
      <c r="H735" t="s">
        <v>3152</v>
      </c>
      <c r="I735" t="s">
        <v>3153</v>
      </c>
      <c r="J735" t="s">
        <v>8230</v>
      </c>
    </row>
    <row r="736" spans="6:10">
      <c r="F736" t="s">
        <v>8231</v>
      </c>
      <c r="G736">
        <v>733</v>
      </c>
      <c r="H736" t="s">
        <v>8232</v>
      </c>
      <c r="I736" t="s">
        <v>8233</v>
      </c>
      <c r="J736" t="s">
        <v>8234</v>
      </c>
    </row>
    <row r="737" spans="6:10">
      <c r="F737" t="s">
        <v>8235</v>
      </c>
      <c r="G737">
        <v>734</v>
      </c>
      <c r="H737" t="s">
        <v>8236</v>
      </c>
      <c r="I737" t="s">
        <v>8237</v>
      </c>
      <c r="J737" t="s">
        <v>8238</v>
      </c>
    </row>
    <row r="738" spans="6:10">
      <c r="F738" t="s">
        <v>8239</v>
      </c>
      <c r="G738">
        <v>735</v>
      </c>
      <c r="H738" t="s">
        <v>1744</v>
      </c>
      <c r="I738" t="s">
        <v>1746</v>
      </c>
      <c r="J738" t="s">
        <v>8240</v>
      </c>
    </row>
    <row r="739" spans="6:10">
      <c r="F739" t="s">
        <v>8241</v>
      </c>
      <c r="G739">
        <v>736</v>
      </c>
      <c r="H739" t="s">
        <v>3628</v>
      </c>
      <c r="I739" t="s">
        <v>3629</v>
      </c>
      <c r="J739" t="s">
        <v>8242</v>
      </c>
    </row>
    <row r="740" spans="6:10">
      <c r="F740" t="s">
        <v>8243</v>
      </c>
      <c r="G740">
        <v>737</v>
      </c>
      <c r="H740" t="s">
        <v>5463</v>
      </c>
      <c r="I740" t="s">
        <v>5464</v>
      </c>
      <c r="J740" t="s">
        <v>8244</v>
      </c>
    </row>
    <row r="741" spans="6:10">
      <c r="F741" t="s">
        <v>8245</v>
      </c>
      <c r="G741">
        <v>738</v>
      </c>
      <c r="H741" t="s">
        <v>8246</v>
      </c>
      <c r="I741" t="s">
        <v>8247</v>
      </c>
      <c r="J741" t="s">
        <v>8248</v>
      </c>
    </row>
    <row r="742" spans="6:10">
      <c r="F742" t="s">
        <v>8249</v>
      </c>
      <c r="G742">
        <v>739</v>
      </c>
      <c r="H742" t="s">
        <v>3615</v>
      </c>
      <c r="I742" t="s">
        <v>3616</v>
      </c>
      <c r="J742" t="s">
        <v>8250</v>
      </c>
    </row>
    <row r="743" spans="6:10">
      <c r="F743" t="s">
        <v>8251</v>
      </c>
      <c r="G743">
        <v>740</v>
      </c>
      <c r="H743" t="s">
        <v>4827</v>
      </c>
      <c r="I743" t="s">
        <v>4828</v>
      </c>
      <c r="J743" t="s">
        <v>8252</v>
      </c>
    </row>
    <row r="744" spans="6:10">
      <c r="F744" t="s">
        <v>8253</v>
      </c>
      <c r="G744">
        <v>741</v>
      </c>
      <c r="H744" t="s">
        <v>2799</v>
      </c>
      <c r="I744" t="s">
        <v>2800</v>
      </c>
      <c r="J744" t="s">
        <v>8254</v>
      </c>
    </row>
    <row r="745" spans="6:10">
      <c r="F745" t="s">
        <v>8255</v>
      </c>
      <c r="G745">
        <v>742</v>
      </c>
      <c r="H745" t="s">
        <v>8256</v>
      </c>
      <c r="I745" t="s">
        <v>8257</v>
      </c>
      <c r="J745" t="s">
        <v>8258</v>
      </c>
    </row>
    <row r="746" spans="6:10">
      <c r="F746" t="s">
        <v>8259</v>
      </c>
      <c r="G746">
        <v>743</v>
      </c>
      <c r="H746" t="s">
        <v>8260</v>
      </c>
      <c r="I746" t="s">
        <v>8261</v>
      </c>
      <c r="J746" t="s">
        <v>8262</v>
      </c>
    </row>
    <row r="747" spans="6:10">
      <c r="F747" t="s">
        <v>8263</v>
      </c>
      <c r="G747">
        <v>744</v>
      </c>
      <c r="H747" t="s">
        <v>1876</v>
      </c>
      <c r="I747" t="s">
        <v>1877</v>
      </c>
      <c r="J747" t="s">
        <v>8264</v>
      </c>
    </row>
    <row r="748" spans="6:10">
      <c r="F748" t="s">
        <v>8265</v>
      </c>
      <c r="G748">
        <v>745</v>
      </c>
      <c r="H748" t="s">
        <v>3751</v>
      </c>
      <c r="I748" t="s">
        <v>3752</v>
      </c>
      <c r="J748" t="s">
        <v>8266</v>
      </c>
    </row>
    <row r="749" spans="6:10">
      <c r="F749" t="s">
        <v>8267</v>
      </c>
      <c r="G749">
        <v>746</v>
      </c>
      <c r="H749" t="s">
        <v>4571</v>
      </c>
      <c r="I749" t="s">
        <v>4572</v>
      </c>
      <c r="J749" t="s">
        <v>8268</v>
      </c>
    </row>
    <row r="750" spans="6:10">
      <c r="F750" t="s">
        <v>8269</v>
      </c>
      <c r="G750">
        <v>747</v>
      </c>
      <c r="H750" t="s">
        <v>8270</v>
      </c>
      <c r="I750" t="s">
        <v>8271</v>
      </c>
      <c r="J750" t="s">
        <v>8272</v>
      </c>
    </row>
    <row r="751" spans="6:10">
      <c r="F751" t="s">
        <v>8273</v>
      </c>
      <c r="G751">
        <v>748</v>
      </c>
      <c r="H751" t="s">
        <v>470</v>
      </c>
      <c r="I751" t="s">
        <v>471</v>
      </c>
      <c r="J751" t="s">
        <v>8274</v>
      </c>
    </row>
    <row r="752" spans="6:10">
      <c r="F752" t="s">
        <v>8275</v>
      </c>
      <c r="G752">
        <v>749</v>
      </c>
      <c r="H752" t="s">
        <v>1636</v>
      </c>
      <c r="I752" t="s">
        <v>1637</v>
      </c>
      <c r="J752" t="s">
        <v>8276</v>
      </c>
    </row>
    <row r="753" spans="6:10">
      <c r="F753" t="s">
        <v>8277</v>
      </c>
      <c r="G753">
        <v>750</v>
      </c>
      <c r="H753" t="s">
        <v>997</v>
      </c>
      <c r="I753" t="s">
        <v>998</v>
      </c>
      <c r="J753" t="s">
        <v>8278</v>
      </c>
    </row>
    <row r="754" spans="6:10">
      <c r="F754" t="s">
        <v>8279</v>
      </c>
      <c r="G754">
        <v>751</v>
      </c>
      <c r="H754" t="s">
        <v>5555</v>
      </c>
      <c r="I754" t="s">
        <v>5556</v>
      </c>
      <c r="J754" t="s">
        <v>8280</v>
      </c>
    </row>
    <row r="755" spans="6:10">
      <c r="F755" t="s">
        <v>8281</v>
      </c>
      <c r="G755">
        <v>752</v>
      </c>
      <c r="H755" t="s">
        <v>5879</v>
      </c>
      <c r="I755" t="s">
        <v>5880</v>
      </c>
      <c r="J755" t="s">
        <v>8282</v>
      </c>
    </row>
    <row r="756" spans="6:10">
      <c r="F756" t="s">
        <v>8283</v>
      </c>
      <c r="G756">
        <v>753</v>
      </c>
      <c r="H756" t="s">
        <v>261</v>
      </c>
      <c r="I756" t="s">
        <v>262</v>
      </c>
      <c r="J756" t="s">
        <v>8284</v>
      </c>
    </row>
    <row r="757" spans="6:10">
      <c r="F757" t="s">
        <v>8285</v>
      </c>
      <c r="G757">
        <v>754</v>
      </c>
      <c r="H757" t="s">
        <v>3229</v>
      </c>
      <c r="I757" t="s">
        <v>3230</v>
      </c>
      <c r="J757" t="s">
        <v>8286</v>
      </c>
    </row>
    <row r="758" spans="6:10">
      <c r="F758" t="s">
        <v>8287</v>
      </c>
      <c r="G758">
        <v>755</v>
      </c>
      <c r="H758" t="s">
        <v>8288</v>
      </c>
      <c r="I758" t="s">
        <v>8289</v>
      </c>
      <c r="J758" t="s">
        <v>8290</v>
      </c>
    </row>
    <row r="759" spans="6:10">
      <c r="F759" t="s">
        <v>8291</v>
      </c>
      <c r="G759">
        <v>756</v>
      </c>
      <c r="H759" t="s">
        <v>8292</v>
      </c>
      <c r="I759" t="s">
        <v>8293</v>
      </c>
      <c r="J759" t="s">
        <v>8294</v>
      </c>
    </row>
    <row r="760" spans="6:10">
      <c r="F760" t="s">
        <v>8295</v>
      </c>
      <c r="G760">
        <v>757</v>
      </c>
      <c r="H760" t="s">
        <v>2857</v>
      </c>
      <c r="I760" t="s">
        <v>2858</v>
      </c>
      <c r="J760" t="s">
        <v>8296</v>
      </c>
    </row>
    <row r="761" spans="6:10">
      <c r="F761" t="s">
        <v>8297</v>
      </c>
      <c r="G761">
        <v>758</v>
      </c>
      <c r="H761" t="s">
        <v>548</v>
      </c>
      <c r="I761" t="s">
        <v>557</v>
      </c>
      <c r="J761" t="s">
        <v>8298</v>
      </c>
    </row>
    <row r="762" spans="6:10">
      <c r="F762" t="s">
        <v>8299</v>
      </c>
      <c r="G762">
        <v>759</v>
      </c>
      <c r="H762" t="s">
        <v>6159</v>
      </c>
      <c r="I762" t="s">
        <v>6160</v>
      </c>
      <c r="J762" t="s">
        <v>8300</v>
      </c>
    </row>
    <row r="763" spans="6:10">
      <c r="F763" t="s">
        <v>8301</v>
      </c>
      <c r="G763">
        <v>760</v>
      </c>
      <c r="H763" t="s">
        <v>8302</v>
      </c>
      <c r="I763" t="s">
        <v>7079</v>
      </c>
      <c r="J763" t="s">
        <v>8303</v>
      </c>
    </row>
    <row r="764" spans="6:10">
      <c r="F764" t="s">
        <v>8304</v>
      </c>
      <c r="G764">
        <v>761</v>
      </c>
      <c r="H764" t="s">
        <v>8305</v>
      </c>
      <c r="I764" t="s">
        <v>8306</v>
      </c>
      <c r="J764" t="s">
        <v>8307</v>
      </c>
    </row>
    <row r="765" spans="6:10">
      <c r="F765" t="s">
        <v>8308</v>
      </c>
      <c r="G765">
        <v>762</v>
      </c>
      <c r="H765" t="s">
        <v>5237</v>
      </c>
      <c r="I765" t="s">
        <v>5238</v>
      </c>
      <c r="J765" t="s">
        <v>8309</v>
      </c>
    </row>
    <row r="766" spans="6:10">
      <c r="F766" t="s">
        <v>8310</v>
      </c>
      <c r="G766">
        <v>763</v>
      </c>
      <c r="H766" t="s">
        <v>8311</v>
      </c>
      <c r="I766" t="s">
        <v>8312</v>
      </c>
      <c r="J766" t="s">
        <v>8313</v>
      </c>
    </row>
    <row r="767" spans="6:10">
      <c r="F767" t="s">
        <v>8314</v>
      </c>
      <c r="G767">
        <v>764</v>
      </c>
      <c r="H767" t="s">
        <v>8315</v>
      </c>
      <c r="I767" t="s">
        <v>8316</v>
      </c>
      <c r="J767" t="s">
        <v>8317</v>
      </c>
    </row>
    <row r="768" spans="6:10">
      <c r="F768" t="s">
        <v>8318</v>
      </c>
      <c r="G768">
        <v>765</v>
      </c>
      <c r="H768" t="s">
        <v>2569</v>
      </c>
      <c r="I768" t="s">
        <v>2570</v>
      </c>
      <c r="J768" t="s">
        <v>8319</v>
      </c>
    </row>
    <row r="769" spans="6:10">
      <c r="F769" t="s">
        <v>8320</v>
      </c>
      <c r="G769">
        <v>766</v>
      </c>
      <c r="H769" t="s">
        <v>4089</v>
      </c>
      <c r="I769" t="s">
        <v>4090</v>
      </c>
      <c r="J769" t="s">
        <v>8321</v>
      </c>
    </row>
    <row r="770" spans="6:10">
      <c r="F770" t="s">
        <v>8322</v>
      </c>
      <c r="G770">
        <v>767</v>
      </c>
      <c r="H770" t="s">
        <v>2422</v>
      </c>
      <c r="I770" t="s">
        <v>2423</v>
      </c>
      <c r="J770" t="s">
        <v>8323</v>
      </c>
    </row>
    <row r="771" spans="6:10">
      <c r="F771" t="s">
        <v>8324</v>
      </c>
      <c r="G771">
        <v>768</v>
      </c>
      <c r="H771" t="s">
        <v>8325</v>
      </c>
      <c r="I771" t="s">
        <v>8326</v>
      </c>
      <c r="J771" t="s">
        <v>8327</v>
      </c>
    </row>
    <row r="772" spans="6:10">
      <c r="F772" t="s">
        <v>8328</v>
      </c>
      <c r="G772">
        <v>769</v>
      </c>
      <c r="H772" t="s">
        <v>5442</v>
      </c>
      <c r="I772" t="s">
        <v>5442</v>
      </c>
      <c r="J772" t="s">
        <v>8329</v>
      </c>
    </row>
    <row r="773" spans="6:10">
      <c r="F773" t="s">
        <v>8330</v>
      </c>
      <c r="G773">
        <v>770</v>
      </c>
      <c r="H773" t="s">
        <v>8331</v>
      </c>
      <c r="I773" t="s">
        <v>8332</v>
      </c>
      <c r="J773" t="s">
        <v>8333</v>
      </c>
    </row>
    <row r="774" spans="6:10">
      <c r="F774" t="s">
        <v>8334</v>
      </c>
      <c r="G774">
        <v>771</v>
      </c>
      <c r="H774" t="s">
        <v>4054</v>
      </c>
      <c r="I774" t="s">
        <v>4055</v>
      </c>
      <c r="J774" t="s">
        <v>8335</v>
      </c>
    </row>
    <row r="775" spans="6:10">
      <c r="F775" t="s">
        <v>8336</v>
      </c>
      <c r="G775">
        <v>772</v>
      </c>
      <c r="H775" t="s">
        <v>1848</v>
      </c>
      <c r="I775" t="s">
        <v>1849</v>
      </c>
      <c r="J775" t="s">
        <v>8337</v>
      </c>
    </row>
    <row r="776" spans="6:10">
      <c r="F776" t="s">
        <v>8338</v>
      </c>
      <c r="G776">
        <v>773</v>
      </c>
      <c r="H776" t="s">
        <v>8339</v>
      </c>
      <c r="I776" t="s">
        <v>8339</v>
      </c>
      <c r="J776" t="s">
        <v>8340</v>
      </c>
    </row>
    <row r="777" spans="6:10">
      <c r="F777" t="s">
        <v>8341</v>
      </c>
      <c r="G777">
        <v>774</v>
      </c>
      <c r="H777" t="s">
        <v>8342</v>
      </c>
      <c r="I777" t="s">
        <v>8343</v>
      </c>
      <c r="J777" t="s">
        <v>8344</v>
      </c>
    </row>
    <row r="778" spans="6:10">
      <c r="F778" t="s">
        <v>8345</v>
      </c>
      <c r="G778">
        <v>775</v>
      </c>
      <c r="H778" t="s">
        <v>5568</v>
      </c>
      <c r="I778" t="s">
        <v>5569</v>
      </c>
      <c r="J778" t="s">
        <v>8346</v>
      </c>
    </row>
    <row r="779" spans="6:10">
      <c r="F779" t="s">
        <v>8347</v>
      </c>
      <c r="G779">
        <v>776</v>
      </c>
      <c r="H779" t="s">
        <v>8348</v>
      </c>
      <c r="I779" t="s">
        <v>8349</v>
      </c>
      <c r="J779" t="s">
        <v>8350</v>
      </c>
    </row>
    <row r="780" spans="6:10">
      <c r="F780" t="s">
        <v>8351</v>
      </c>
      <c r="G780">
        <v>777</v>
      </c>
      <c r="H780" t="s">
        <v>8352</v>
      </c>
      <c r="I780" t="s">
        <v>8353</v>
      </c>
      <c r="J780" t="s">
        <v>8354</v>
      </c>
    </row>
    <row r="781" spans="6:10">
      <c r="F781" t="s">
        <v>8355</v>
      </c>
      <c r="G781">
        <v>778</v>
      </c>
      <c r="H781" t="s">
        <v>2708</v>
      </c>
      <c r="I781" t="s">
        <v>2709</v>
      </c>
      <c r="J781" t="s">
        <v>8356</v>
      </c>
    </row>
    <row r="782" spans="6:10">
      <c r="F782" t="s">
        <v>8357</v>
      </c>
      <c r="G782">
        <v>779</v>
      </c>
      <c r="H782" t="s">
        <v>3344</v>
      </c>
      <c r="I782" t="s">
        <v>3345</v>
      </c>
      <c r="J782" t="s">
        <v>8358</v>
      </c>
    </row>
    <row r="783" spans="6:10">
      <c r="F783" t="s">
        <v>8359</v>
      </c>
      <c r="G783">
        <v>780</v>
      </c>
      <c r="H783" t="s">
        <v>8360</v>
      </c>
      <c r="I783" t="s">
        <v>8361</v>
      </c>
      <c r="J783" t="s">
        <v>8362</v>
      </c>
    </row>
    <row r="784" spans="6:10">
      <c r="F784" t="s">
        <v>8363</v>
      </c>
      <c r="G784">
        <v>781</v>
      </c>
      <c r="H784" t="s">
        <v>8364</v>
      </c>
      <c r="I784" t="s">
        <v>8365</v>
      </c>
      <c r="J784" t="s">
        <v>8366</v>
      </c>
    </row>
    <row r="785" spans="6:10">
      <c r="F785" t="s">
        <v>8367</v>
      </c>
      <c r="G785">
        <v>782</v>
      </c>
      <c r="H785" t="s">
        <v>8368</v>
      </c>
      <c r="I785" t="s">
        <v>8369</v>
      </c>
      <c r="J785" t="s">
        <v>8370</v>
      </c>
    </row>
    <row r="786" spans="6:10">
      <c r="F786" t="s">
        <v>8371</v>
      </c>
      <c r="G786">
        <v>783</v>
      </c>
      <c r="H786" t="s">
        <v>1106</v>
      </c>
      <c r="I786" t="s">
        <v>1108</v>
      </c>
      <c r="J786" t="s">
        <v>8372</v>
      </c>
    </row>
    <row r="787" spans="6:10">
      <c r="F787" t="s">
        <v>8373</v>
      </c>
      <c r="G787">
        <v>784</v>
      </c>
      <c r="H787" t="s">
        <v>2199</v>
      </c>
      <c r="I787" t="s">
        <v>2200</v>
      </c>
      <c r="J787" t="s">
        <v>8374</v>
      </c>
    </row>
    <row r="788" spans="6:10">
      <c r="F788" t="s">
        <v>8375</v>
      </c>
      <c r="G788">
        <v>785</v>
      </c>
      <c r="H788" t="s">
        <v>2107</v>
      </c>
      <c r="I788" t="s">
        <v>2108</v>
      </c>
      <c r="J788" t="s">
        <v>8376</v>
      </c>
    </row>
    <row r="789" spans="6:10">
      <c r="F789" t="s">
        <v>8377</v>
      </c>
      <c r="G789">
        <v>786</v>
      </c>
      <c r="H789" t="s">
        <v>4539</v>
      </c>
      <c r="I789" t="s">
        <v>4540</v>
      </c>
      <c r="J789" t="s">
        <v>8378</v>
      </c>
    </row>
    <row r="790" spans="6:10">
      <c r="F790" t="s">
        <v>8379</v>
      </c>
      <c r="G790">
        <v>787</v>
      </c>
      <c r="H790" t="s">
        <v>763</v>
      </c>
      <c r="I790" t="s">
        <v>764</v>
      </c>
      <c r="J790" t="s">
        <v>8380</v>
      </c>
    </row>
    <row r="791" spans="6:10">
      <c r="F791" t="s">
        <v>8381</v>
      </c>
      <c r="G791">
        <v>788</v>
      </c>
      <c r="H791" t="s">
        <v>524</v>
      </c>
      <c r="I791" t="s">
        <v>526</v>
      </c>
      <c r="J791" t="s">
        <v>8382</v>
      </c>
    </row>
    <row r="792" spans="6:10">
      <c r="F792" t="s">
        <v>8383</v>
      </c>
      <c r="G792">
        <v>789</v>
      </c>
      <c r="H792" t="s">
        <v>1811</v>
      </c>
      <c r="I792" t="s">
        <v>1812</v>
      </c>
      <c r="J792" t="s">
        <v>8384</v>
      </c>
    </row>
    <row r="793" spans="6:10">
      <c r="F793" t="s">
        <v>8385</v>
      </c>
      <c r="G793">
        <v>790</v>
      </c>
      <c r="H793" t="s">
        <v>6416</v>
      </c>
      <c r="I793" t="s">
        <v>7067</v>
      </c>
      <c r="J793" t="s">
        <v>8386</v>
      </c>
    </row>
    <row r="794" spans="6:10">
      <c r="F794" t="s">
        <v>8387</v>
      </c>
      <c r="G794">
        <v>791</v>
      </c>
      <c r="H794" t="s">
        <v>8388</v>
      </c>
      <c r="I794" t="s">
        <v>8389</v>
      </c>
      <c r="J794" t="s">
        <v>8390</v>
      </c>
    </row>
    <row r="795" spans="6:10">
      <c r="F795" t="s">
        <v>8391</v>
      </c>
      <c r="G795">
        <v>792</v>
      </c>
      <c r="H795" t="s">
        <v>7098</v>
      </c>
      <c r="I795" t="s">
        <v>7098</v>
      </c>
      <c r="J795" t="s">
        <v>8392</v>
      </c>
    </row>
    <row r="796" spans="6:10">
      <c r="F796" t="s">
        <v>8393</v>
      </c>
      <c r="G796">
        <v>793</v>
      </c>
      <c r="H796" t="s">
        <v>3537</v>
      </c>
      <c r="I796" t="s">
        <v>3538</v>
      </c>
      <c r="J796" t="s">
        <v>8394</v>
      </c>
    </row>
    <row r="797" spans="6:10">
      <c r="F797" t="s">
        <v>8395</v>
      </c>
      <c r="G797">
        <v>794</v>
      </c>
      <c r="H797" t="s">
        <v>3902</v>
      </c>
      <c r="I797" t="s">
        <v>3902</v>
      </c>
      <c r="J797" t="s">
        <v>8396</v>
      </c>
    </row>
    <row r="798" spans="6:10">
      <c r="F798" t="s">
        <v>8397</v>
      </c>
      <c r="G798">
        <v>795</v>
      </c>
      <c r="H798" t="s">
        <v>2284</v>
      </c>
      <c r="I798" t="s">
        <v>471</v>
      </c>
      <c r="J798" t="s">
        <v>8398</v>
      </c>
    </row>
    <row r="799" spans="6:10">
      <c r="F799" t="s">
        <v>8399</v>
      </c>
      <c r="G799">
        <v>796</v>
      </c>
      <c r="H799" t="s">
        <v>3023</v>
      </c>
      <c r="I799" t="s">
        <v>3024</v>
      </c>
      <c r="J799" t="s">
        <v>8400</v>
      </c>
    </row>
    <row r="800" spans="6:10">
      <c r="F800" t="s">
        <v>8401</v>
      </c>
      <c r="G800">
        <v>797</v>
      </c>
      <c r="H800" t="s">
        <v>8402</v>
      </c>
      <c r="I800" t="s">
        <v>8403</v>
      </c>
      <c r="J800" t="s">
        <v>8404</v>
      </c>
    </row>
    <row r="801" spans="6:10">
      <c r="F801" t="s">
        <v>8405</v>
      </c>
      <c r="G801">
        <v>798</v>
      </c>
      <c r="H801" t="s">
        <v>8406</v>
      </c>
      <c r="I801" t="s">
        <v>8407</v>
      </c>
      <c r="J801" t="s">
        <v>8408</v>
      </c>
    </row>
    <row r="802" spans="6:10">
      <c r="F802" t="s">
        <v>8409</v>
      </c>
      <c r="G802">
        <v>799</v>
      </c>
      <c r="H802" t="s">
        <v>5490</v>
      </c>
      <c r="I802" t="s">
        <v>5492</v>
      </c>
      <c r="J802" t="s">
        <v>8410</v>
      </c>
    </row>
    <row r="803" spans="6:10">
      <c r="F803" t="s">
        <v>8411</v>
      </c>
      <c r="G803">
        <v>800</v>
      </c>
      <c r="H803" t="s">
        <v>1985</v>
      </c>
      <c r="I803" t="s">
        <v>1986</v>
      </c>
      <c r="J803" t="s">
        <v>8412</v>
      </c>
    </row>
    <row r="804" spans="6:10">
      <c r="F804" t="s">
        <v>8413</v>
      </c>
      <c r="G804">
        <v>801</v>
      </c>
      <c r="H804" t="s">
        <v>2632</v>
      </c>
      <c r="I804" t="s">
        <v>2633</v>
      </c>
      <c r="J804" t="s">
        <v>8414</v>
      </c>
    </row>
    <row r="805" spans="6:10">
      <c r="F805" t="s">
        <v>8415</v>
      </c>
      <c r="G805">
        <v>802</v>
      </c>
      <c r="H805" t="s">
        <v>3809</v>
      </c>
      <c r="I805" t="s">
        <v>3810</v>
      </c>
      <c r="J805" t="s">
        <v>8416</v>
      </c>
    </row>
    <row r="806" spans="6:10">
      <c r="F806" t="s">
        <v>8417</v>
      </c>
      <c r="G806">
        <v>803</v>
      </c>
      <c r="H806" t="s">
        <v>476</v>
      </c>
      <c r="I806" t="s">
        <v>477</v>
      </c>
      <c r="J806" t="s">
        <v>8418</v>
      </c>
    </row>
    <row r="807" spans="6:10">
      <c r="F807" t="s">
        <v>8419</v>
      </c>
      <c r="G807">
        <v>804</v>
      </c>
      <c r="H807" t="s">
        <v>8420</v>
      </c>
      <c r="I807" t="s">
        <v>7744</v>
      </c>
      <c r="J807" t="s">
        <v>8421</v>
      </c>
    </row>
    <row r="808" spans="6:10">
      <c r="F808" t="s">
        <v>8422</v>
      </c>
      <c r="G808">
        <v>805</v>
      </c>
      <c r="H808" t="s">
        <v>8423</v>
      </c>
      <c r="I808" t="s">
        <v>8424</v>
      </c>
      <c r="J808" t="s">
        <v>8425</v>
      </c>
    </row>
    <row r="809" spans="6:10">
      <c r="F809" t="s">
        <v>8426</v>
      </c>
      <c r="G809">
        <v>806</v>
      </c>
      <c r="H809" t="s">
        <v>8427</v>
      </c>
      <c r="I809" t="s">
        <v>8428</v>
      </c>
      <c r="J809" t="s">
        <v>8429</v>
      </c>
    </row>
    <row r="810" spans="6:10">
      <c r="F810" t="s">
        <v>8430</v>
      </c>
      <c r="G810">
        <v>807</v>
      </c>
      <c r="H810" t="s">
        <v>3609</v>
      </c>
      <c r="I810" t="s">
        <v>3610</v>
      </c>
      <c r="J810" t="s">
        <v>8431</v>
      </c>
    </row>
    <row r="811" spans="6:10">
      <c r="F811" t="s">
        <v>8432</v>
      </c>
      <c r="G811">
        <v>808</v>
      </c>
      <c r="H811" t="s">
        <v>8433</v>
      </c>
      <c r="I811" t="s">
        <v>8434</v>
      </c>
      <c r="J811" t="s">
        <v>8435</v>
      </c>
    </row>
    <row r="812" spans="6:10">
      <c r="F812" t="s">
        <v>8436</v>
      </c>
      <c r="G812">
        <v>809</v>
      </c>
      <c r="H812" t="s">
        <v>4149</v>
      </c>
      <c r="I812" t="s">
        <v>4150</v>
      </c>
      <c r="J812" t="s">
        <v>8437</v>
      </c>
    </row>
    <row r="813" spans="6:10">
      <c r="F813" t="s">
        <v>8438</v>
      </c>
      <c r="G813">
        <v>810</v>
      </c>
      <c r="H813" t="s">
        <v>3289</v>
      </c>
      <c r="I813" t="s">
        <v>3290</v>
      </c>
      <c r="J813" t="s">
        <v>8439</v>
      </c>
    </row>
    <row r="814" spans="6:10">
      <c r="F814" t="s">
        <v>8440</v>
      </c>
      <c r="G814">
        <v>811</v>
      </c>
      <c r="H814" t="s">
        <v>1336</v>
      </c>
      <c r="I814" t="s">
        <v>1337</v>
      </c>
      <c r="J814" t="s">
        <v>8441</v>
      </c>
    </row>
    <row r="815" spans="6:10">
      <c r="F815" t="s">
        <v>8442</v>
      </c>
      <c r="G815">
        <v>812</v>
      </c>
      <c r="H815" t="s">
        <v>1373</v>
      </c>
      <c r="I815" t="s">
        <v>1374</v>
      </c>
      <c r="J815" t="s">
        <v>8443</v>
      </c>
    </row>
    <row r="816" spans="6:10">
      <c r="F816" t="s">
        <v>8444</v>
      </c>
      <c r="G816">
        <v>813</v>
      </c>
      <c r="H816" t="s">
        <v>738</v>
      </c>
      <c r="I816" t="s">
        <v>741</v>
      </c>
      <c r="J816" t="s">
        <v>8445</v>
      </c>
    </row>
    <row r="817" spans="6:10">
      <c r="F817" t="s">
        <v>8446</v>
      </c>
      <c r="G817">
        <v>814</v>
      </c>
      <c r="H817" t="s">
        <v>4156</v>
      </c>
      <c r="I817" t="s">
        <v>4168</v>
      </c>
      <c r="J817" t="s">
        <v>8447</v>
      </c>
    </row>
    <row r="818" spans="6:10">
      <c r="F818" t="s">
        <v>8448</v>
      </c>
      <c r="G818">
        <v>815</v>
      </c>
      <c r="H818" t="s">
        <v>1508</v>
      </c>
      <c r="I818" t="s">
        <v>1509</v>
      </c>
      <c r="J818" t="s">
        <v>8449</v>
      </c>
    </row>
    <row r="819" spans="6:10">
      <c r="F819" t="s">
        <v>8450</v>
      </c>
      <c r="G819">
        <v>816</v>
      </c>
      <c r="H819" t="s">
        <v>1636</v>
      </c>
      <c r="I819" t="s">
        <v>1638</v>
      </c>
      <c r="J819" t="s">
        <v>8451</v>
      </c>
    </row>
    <row r="820" spans="6:10">
      <c r="F820" t="s">
        <v>8452</v>
      </c>
      <c r="G820">
        <v>817</v>
      </c>
      <c r="H820" t="s">
        <v>2917</v>
      </c>
      <c r="I820" t="s">
        <v>2918</v>
      </c>
      <c r="J820" t="s">
        <v>8453</v>
      </c>
    </row>
    <row r="821" spans="6:10">
      <c r="F821" t="s">
        <v>8454</v>
      </c>
      <c r="G821">
        <v>818</v>
      </c>
      <c r="H821" t="s">
        <v>8455</v>
      </c>
      <c r="I821" t="s">
        <v>8456</v>
      </c>
      <c r="J821" t="s">
        <v>8457</v>
      </c>
    </row>
    <row r="822" spans="6:10">
      <c r="F822" t="s">
        <v>8458</v>
      </c>
      <c r="G822">
        <v>819</v>
      </c>
      <c r="H822" t="s">
        <v>8459</v>
      </c>
      <c r="I822" t="s">
        <v>8460</v>
      </c>
      <c r="J822" t="s">
        <v>8461</v>
      </c>
    </row>
    <row r="823" spans="6:10">
      <c r="F823" t="s">
        <v>8462</v>
      </c>
      <c r="G823">
        <v>820</v>
      </c>
      <c r="H823" t="s">
        <v>5630</v>
      </c>
      <c r="I823" t="s">
        <v>8463</v>
      </c>
      <c r="J823" t="s">
        <v>8464</v>
      </c>
    </row>
    <row r="824" spans="6:10">
      <c r="F824" t="s">
        <v>8465</v>
      </c>
      <c r="G824">
        <v>821</v>
      </c>
      <c r="H824" t="s">
        <v>8466</v>
      </c>
      <c r="I824" t="s">
        <v>8467</v>
      </c>
      <c r="J824" t="s">
        <v>8468</v>
      </c>
    </row>
    <row r="825" spans="6:10">
      <c r="F825" t="s">
        <v>8469</v>
      </c>
      <c r="G825">
        <v>822</v>
      </c>
      <c r="H825" t="s">
        <v>8470</v>
      </c>
      <c r="I825" t="s">
        <v>8471</v>
      </c>
      <c r="J825" t="s">
        <v>8472</v>
      </c>
    </row>
    <row r="826" spans="6:10">
      <c r="F826" t="s">
        <v>8473</v>
      </c>
      <c r="G826">
        <v>823</v>
      </c>
      <c r="H826" t="s">
        <v>3311</v>
      </c>
      <c r="I826" t="s">
        <v>3312</v>
      </c>
      <c r="J826" t="s">
        <v>8474</v>
      </c>
    </row>
    <row r="827" spans="6:10">
      <c r="F827" t="s">
        <v>8475</v>
      </c>
      <c r="G827">
        <v>824</v>
      </c>
      <c r="H827" t="s">
        <v>2398</v>
      </c>
      <c r="I827" t="s">
        <v>2399</v>
      </c>
      <c r="J827" t="s">
        <v>8476</v>
      </c>
    </row>
    <row r="828" spans="6:10">
      <c r="F828" t="s">
        <v>8477</v>
      </c>
      <c r="G828">
        <v>825</v>
      </c>
      <c r="H828" t="s">
        <v>5674</v>
      </c>
      <c r="I828" t="s">
        <v>5675</v>
      </c>
      <c r="J828" t="s">
        <v>8478</v>
      </c>
    </row>
    <row r="829" spans="6:10">
      <c r="F829" t="s">
        <v>8479</v>
      </c>
      <c r="G829">
        <v>826</v>
      </c>
      <c r="H829" t="s">
        <v>1485</v>
      </c>
      <c r="I829" t="s">
        <v>1486</v>
      </c>
      <c r="J829" t="s">
        <v>8480</v>
      </c>
    </row>
    <row r="830" spans="6:10">
      <c r="F830" t="s">
        <v>8481</v>
      </c>
      <c r="G830">
        <v>827</v>
      </c>
      <c r="H830" t="s">
        <v>932</v>
      </c>
      <c r="I830" t="s">
        <v>933</v>
      </c>
      <c r="J830" t="s">
        <v>8482</v>
      </c>
    </row>
    <row r="831" spans="6:10">
      <c r="F831" t="s">
        <v>8483</v>
      </c>
      <c r="G831">
        <v>828</v>
      </c>
      <c r="H831" t="s">
        <v>4563</v>
      </c>
      <c r="I831" t="s">
        <v>4564</v>
      </c>
      <c r="J831" t="s">
        <v>8484</v>
      </c>
    </row>
    <row r="832" spans="6:10">
      <c r="F832" t="s">
        <v>8485</v>
      </c>
      <c r="G832">
        <v>829</v>
      </c>
      <c r="H832" t="s">
        <v>4515</v>
      </c>
      <c r="I832" t="s">
        <v>4516</v>
      </c>
      <c r="J832" t="s">
        <v>8486</v>
      </c>
    </row>
    <row r="833" spans="6:10">
      <c r="F833" t="s">
        <v>8487</v>
      </c>
      <c r="G833">
        <v>830</v>
      </c>
      <c r="H833" t="s">
        <v>8488</v>
      </c>
      <c r="I833" t="s">
        <v>8489</v>
      </c>
      <c r="J833" t="s">
        <v>8490</v>
      </c>
    </row>
    <row r="834" spans="6:10">
      <c r="F834" t="s">
        <v>8491</v>
      </c>
      <c r="G834">
        <v>831</v>
      </c>
      <c r="H834" t="s">
        <v>1340</v>
      </c>
      <c r="I834" t="s">
        <v>1341</v>
      </c>
      <c r="J834" t="s">
        <v>8492</v>
      </c>
    </row>
    <row r="835" spans="6:10">
      <c r="F835" t="s">
        <v>8493</v>
      </c>
      <c r="G835">
        <v>832</v>
      </c>
      <c r="H835" t="s">
        <v>8494</v>
      </c>
      <c r="I835" t="s">
        <v>8495</v>
      </c>
      <c r="J835" t="s">
        <v>8496</v>
      </c>
    </row>
    <row r="836" spans="6:10">
      <c r="F836" t="s">
        <v>8497</v>
      </c>
      <c r="G836">
        <v>833</v>
      </c>
      <c r="H836" t="s">
        <v>8498</v>
      </c>
      <c r="I836" t="s">
        <v>8499</v>
      </c>
      <c r="J836" t="s">
        <v>8500</v>
      </c>
    </row>
    <row r="837" spans="6:10">
      <c r="F837" t="s">
        <v>8501</v>
      </c>
      <c r="G837">
        <v>834</v>
      </c>
      <c r="H837" t="s">
        <v>8502</v>
      </c>
      <c r="I837" t="s">
        <v>8503</v>
      </c>
      <c r="J837" t="s">
        <v>8504</v>
      </c>
    </row>
    <row r="838" spans="6:10">
      <c r="F838" t="s">
        <v>8505</v>
      </c>
      <c r="G838">
        <v>835</v>
      </c>
      <c r="H838" t="s">
        <v>4156</v>
      </c>
      <c r="I838" t="s">
        <v>4169</v>
      </c>
      <c r="J838" t="s">
        <v>8506</v>
      </c>
    </row>
    <row r="839" spans="6:10">
      <c r="F839" t="s">
        <v>8507</v>
      </c>
      <c r="G839">
        <v>836</v>
      </c>
      <c r="H839" t="s">
        <v>8508</v>
      </c>
      <c r="I839" t="s">
        <v>8509</v>
      </c>
      <c r="J839" t="s">
        <v>8510</v>
      </c>
    </row>
    <row r="840" spans="6:10">
      <c r="F840" t="s">
        <v>8511</v>
      </c>
      <c r="G840">
        <v>837</v>
      </c>
      <c r="H840" t="s">
        <v>8120</v>
      </c>
      <c r="I840" t="s">
        <v>8120</v>
      </c>
      <c r="J840" t="s">
        <v>8512</v>
      </c>
    </row>
    <row r="841" spans="6:10">
      <c r="F841" t="s">
        <v>8513</v>
      </c>
      <c r="G841">
        <v>838</v>
      </c>
      <c r="H841" t="s">
        <v>5265</v>
      </c>
      <c r="I841" t="s">
        <v>5266</v>
      </c>
      <c r="J841" t="s">
        <v>8514</v>
      </c>
    </row>
    <row r="842" spans="6:10">
      <c r="F842" t="s">
        <v>8515</v>
      </c>
      <c r="G842">
        <v>839</v>
      </c>
      <c r="H842" t="s">
        <v>1191</v>
      </c>
      <c r="I842" t="s">
        <v>1192</v>
      </c>
      <c r="J842" t="s">
        <v>8516</v>
      </c>
    </row>
    <row r="843" spans="6:10">
      <c r="F843" t="s">
        <v>8517</v>
      </c>
      <c r="G843">
        <v>840</v>
      </c>
      <c r="H843" t="s">
        <v>8518</v>
      </c>
      <c r="I843" t="s">
        <v>8519</v>
      </c>
      <c r="J843" t="s">
        <v>8520</v>
      </c>
    </row>
    <row r="844" spans="6:10">
      <c r="F844" t="s">
        <v>8521</v>
      </c>
      <c r="G844">
        <v>841</v>
      </c>
      <c r="H844" t="s">
        <v>5901</v>
      </c>
      <c r="I844" t="s">
        <v>5902</v>
      </c>
      <c r="J844" t="s">
        <v>8522</v>
      </c>
    </row>
    <row r="845" spans="6:10">
      <c r="F845" t="s">
        <v>8523</v>
      </c>
      <c r="G845">
        <v>842</v>
      </c>
      <c r="H845" t="s">
        <v>1697</v>
      </c>
      <c r="I845" t="s">
        <v>1698</v>
      </c>
      <c r="J845" t="s">
        <v>8524</v>
      </c>
    </row>
    <row r="846" spans="6:10">
      <c r="F846" t="s">
        <v>8525</v>
      </c>
      <c r="G846">
        <v>843</v>
      </c>
      <c r="H846" t="s">
        <v>548</v>
      </c>
      <c r="I846" t="s">
        <v>558</v>
      </c>
      <c r="J846" t="s">
        <v>8526</v>
      </c>
    </row>
    <row r="847" spans="6:10">
      <c r="F847" t="s">
        <v>8527</v>
      </c>
      <c r="G847">
        <v>844</v>
      </c>
      <c r="H847" t="s">
        <v>500</v>
      </c>
      <c r="I847" t="s">
        <v>501</v>
      </c>
      <c r="J847" t="s">
        <v>8528</v>
      </c>
    </row>
    <row r="848" spans="6:10">
      <c r="F848" t="s">
        <v>8529</v>
      </c>
      <c r="G848">
        <v>845</v>
      </c>
      <c r="H848" t="s">
        <v>1899</v>
      </c>
      <c r="I848" t="s">
        <v>1903</v>
      </c>
      <c r="J848" t="s">
        <v>8530</v>
      </c>
    </row>
    <row r="849" spans="6:10">
      <c r="F849" t="s">
        <v>8531</v>
      </c>
      <c r="G849">
        <v>846</v>
      </c>
      <c r="H849" t="s">
        <v>629</v>
      </c>
      <c r="I849" t="s">
        <v>630</v>
      </c>
      <c r="J849" t="s">
        <v>8532</v>
      </c>
    </row>
    <row r="850" spans="6:10">
      <c r="F850" t="s">
        <v>8533</v>
      </c>
      <c r="G850">
        <v>847</v>
      </c>
      <c r="H850" t="s">
        <v>8534</v>
      </c>
      <c r="I850" t="s">
        <v>8535</v>
      </c>
      <c r="J850" t="s">
        <v>8536</v>
      </c>
    </row>
    <row r="851" spans="6:10">
      <c r="F851" t="s">
        <v>8537</v>
      </c>
      <c r="G851">
        <v>848</v>
      </c>
      <c r="H851" t="s">
        <v>548</v>
      </c>
      <c r="I851" t="s">
        <v>554</v>
      </c>
      <c r="J851" t="s">
        <v>8538</v>
      </c>
    </row>
    <row r="852" spans="6:10">
      <c r="F852" t="s">
        <v>8539</v>
      </c>
      <c r="G852">
        <v>849</v>
      </c>
      <c r="H852" t="s">
        <v>1908</v>
      </c>
      <c r="I852" t="s">
        <v>1909</v>
      </c>
      <c r="J852" t="s">
        <v>8540</v>
      </c>
    </row>
    <row r="853" spans="6:10">
      <c r="F853" t="s">
        <v>8541</v>
      </c>
      <c r="G853">
        <v>850</v>
      </c>
      <c r="H853" t="s">
        <v>257</v>
      </c>
      <c r="I853" t="s">
        <v>258</v>
      </c>
      <c r="J853" t="s">
        <v>8542</v>
      </c>
    </row>
    <row r="854" spans="6:10">
      <c r="F854" t="s">
        <v>8543</v>
      </c>
      <c r="G854">
        <v>851</v>
      </c>
      <c r="H854" t="s">
        <v>8544</v>
      </c>
      <c r="I854" t="s">
        <v>8545</v>
      </c>
      <c r="J854" t="s">
        <v>8546</v>
      </c>
    </row>
    <row r="855" spans="6:10">
      <c r="F855" t="s">
        <v>8547</v>
      </c>
      <c r="G855">
        <v>852</v>
      </c>
      <c r="H855" t="s">
        <v>4488</v>
      </c>
      <c r="I855" t="s">
        <v>4489</v>
      </c>
      <c r="J855" t="s">
        <v>8548</v>
      </c>
    </row>
    <row r="856" spans="6:10">
      <c r="F856" t="s">
        <v>8549</v>
      </c>
      <c r="G856">
        <v>853</v>
      </c>
      <c r="H856" t="s">
        <v>1950</v>
      </c>
      <c r="I856" t="s">
        <v>1951</v>
      </c>
      <c r="J856" t="s">
        <v>8550</v>
      </c>
    </row>
    <row r="857" spans="6:10">
      <c r="F857" t="s">
        <v>8551</v>
      </c>
      <c r="G857">
        <v>854</v>
      </c>
      <c r="H857" t="s">
        <v>5622</v>
      </c>
      <c r="I857" t="s">
        <v>5623</v>
      </c>
      <c r="J857" t="s">
        <v>8552</v>
      </c>
    </row>
    <row r="858" spans="6:10">
      <c r="F858" t="s">
        <v>8553</v>
      </c>
      <c r="G858">
        <v>855</v>
      </c>
      <c r="H858" t="s">
        <v>516</v>
      </c>
      <c r="I858" t="s">
        <v>517</v>
      </c>
      <c r="J858" t="s">
        <v>8554</v>
      </c>
    </row>
    <row r="859" spans="6:10">
      <c r="F859" t="s">
        <v>8555</v>
      </c>
      <c r="G859">
        <v>856</v>
      </c>
      <c r="H859" t="s">
        <v>2388</v>
      </c>
      <c r="I859" t="s">
        <v>2389</v>
      </c>
      <c r="J859" t="s">
        <v>8556</v>
      </c>
    </row>
    <row r="860" spans="6:10">
      <c r="F860" t="s">
        <v>8557</v>
      </c>
      <c r="G860">
        <v>857</v>
      </c>
      <c r="H860" t="s">
        <v>217</v>
      </c>
      <c r="I860" t="s">
        <v>218</v>
      </c>
      <c r="J860" t="s">
        <v>8558</v>
      </c>
    </row>
    <row r="861" spans="6:10">
      <c r="F861" t="s">
        <v>8559</v>
      </c>
      <c r="G861">
        <v>858</v>
      </c>
      <c r="H861" t="s">
        <v>5300</v>
      </c>
      <c r="I861" t="s">
        <v>5301</v>
      </c>
      <c r="J861" t="s">
        <v>8560</v>
      </c>
    </row>
    <row r="862" spans="6:10">
      <c r="F862" t="s">
        <v>8561</v>
      </c>
      <c r="G862">
        <v>859</v>
      </c>
      <c r="H862" t="s">
        <v>293</v>
      </c>
      <c r="I862" t="s">
        <v>294</v>
      </c>
      <c r="J862" t="s">
        <v>8562</v>
      </c>
    </row>
    <row r="863" spans="6:10">
      <c r="F863" t="s">
        <v>8563</v>
      </c>
      <c r="G863">
        <v>860</v>
      </c>
      <c r="H863" t="s">
        <v>4955</v>
      </c>
      <c r="I863" t="s">
        <v>4956</v>
      </c>
      <c r="J863" t="s">
        <v>8564</v>
      </c>
    </row>
    <row r="864" spans="6:10">
      <c r="F864" t="s">
        <v>8565</v>
      </c>
      <c r="G864">
        <v>861</v>
      </c>
      <c r="H864" t="s">
        <v>8566</v>
      </c>
      <c r="I864" t="s">
        <v>8567</v>
      </c>
      <c r="J864" t="s">
        <v>8568</v>
      </c>
    </row>
    <row r="865" spans="6:10">
      <c r="F865" t="s">
        <v>8569</v>
      </c>
      <c r="G865">
        <v>862</v>
      </c>
      <c r="H865" t="s">
        <v>5475</v>
      </c>
      <c r="I865" t="s">
        <v>5476</v>
      </c>
      <c r="J865" t="s">
        <v>8570</v>
      </c>
    </row>
    <row r="866" spans="6:10">
      <c r="F866" t="s">
        <v>8571</v>
      </c>
      <c r="G866">
        <v>863</v>
      </c>
      <c r="H866" t="s">
        <v>1338</v>
      </c>
      <c r="I866" t="s">
        <v>1339</v>
      </c>
      <c r="J866" t="s">
        <v>8572</v>
      </c>
    </row>
    <row r="867" spans="6:10">
      <c r="F867" t="s">
        <v>8573</v>
      </c>
      <c r="G867">
        <v>864</v>
      </c>
      <c r="H867" t="s">
        <v>1585</v>
      </c>
      <c r="I867" t="s">
        <v>1586</v>
      </c>
      <c r="J867" t="s">
        <v>8574</v>
      </c>
    </row>
    <row r="868" spans="6:10">
      <c r="F868" t="s">
        <v>8575</v>
      </c>
      <c r="G868">
        <v>865</v>
      </c>
      <c r="H868" t="s">
        <v>448</v>
      </c>
      <c r="I868" t="s">
        <v>449</v>
      </c>
      <c r="J868" t="s">
        <v>8576</v>
      </c>
    </row>
    <row r="869" spans="6:10">
      <c r="F869" t="s">
        <v>8577</v>
      </c>
      <c r="G869">
        <v>866</v>
      </c>
      <c r="H869" t="s">
        <v>3846</v>
      </c>
      <c r="I869" t="s">
        <v>3847</v>
      </c>
      <c r="J869" t="s">
        <v>8578</v>
      </c>
    </row>
    <row r="870" spans="6:10">
      <c r="F870" t="s">
        <v>8579</v>
      </c>
      <c r="G870">
        <v>867</v>
      </c>
      <c r="H870" t="s">
        <v>3516</v>
      </c>
      <c r="I870" t="s">
        <v>3517</v>
      </c>
      <c r="J870" t="s">
        <v>8580</v>
      </c>
    </row>
    <row r="871" spans="6:10">
      <c r="F871" t="s">
        <v>8581</v>
      </c>
      <c r="G871">
        <v>868</v>
      </c>
      <c r="H871" t="s">
        <v>1003</v>
      </c>
      <c r="I871" t="s">
        <v>1004</v>
      </c>
      <c r="J871" t="s">
        <v>8582</v>
      </c>
    </row>
    <row r="872" spans="6:10">
      <c r="F872" t="s">
        <v>8583</v>
      </c>
      <c r="G872">
        <v>869</v>
      </c>
      <c r="H872" t="s">
        <v>2189</v>
      </c>
      <c r="I872" t="s">
        <v>2190</v>
      </c>
      <c r="J872" t="s">
        <v>8584</v>
      </c>
    </row>
    <row r="873" spans="6:10">
      <c r="F873" t="s">
        <v>8585</v>
      </c>
      <c r="G873">
        <v>870</v>
      </c>
      <c r="H873" t="s">
        <v>1899</v>
      </c>
      <c r="I873" t="s">
        <v>1904</v>
      </c>
      <c r="J873" t="s">
        <v>8586</v>
      </c>
    </row>
    <row r="874" spans="6:10">
      <c r="F874" t="s">
        <v>8587</v>
      </c>
      <c r="G874">
        <v>871</v>
      </c>
      <c r="H874" t="s">
        <v>8588</v>
      </c>
      <c r="I874" t="s">
        <v>8589</v>
      </c>
      <c r="J874" t="s">
        <v>8590</v>
      </c>
    </row>
    <row r="875" spans="6:10">
      <c r="F875" t="s">
        <v>8591</v>
      </c>
      <c r="G875">
        <v>872</v>
      </c>
      <c r="H875" t="s">
        <v>5105</v>
      </c>
      <c r="I875" t="s">
        <v>5106</v>
      </c>
      <c r="J875" t="s">
        <v>8592</v>
      </c>
    </row>
    <row r="876" spans="6:10">
      <c r="F876" t="s">
        <v>8593</v>
      </c>
      <c r="G876">
        <v>873</v>
      </c>
      <c r="H876" t="s">
        <v>8594</v>
      </c>
      <c r="I876" t="s">
        <v>8595</v>
      </c>
      <c r="J876" t="s">
        <v>8596</v>
      </c>
    </row>
    <row r="877" spans="6:10">
      <c r="F877" t="s">
        <v>8597</v>
      </c>
      <c r="G877">
        <v>874</v>
      </c>
      <c r="H877" t="s">
        <v>3813</v>
      </c>
      <c r="I877" t="s">
        <v>3814</v>
      </c>
      <c r="J877" t="s">
        <v>8598</v>
      </c>
    </row>
    <row r="878" spans="6:10">
      <c r="F878" t="s">
        <v>8599</v>
      </c>
      <c r="G878">
        <v>875</v>
      </c>
      <c r="H878" t="s">
        <v>8600</v>
      </c>
      <c r="I878" t="s">
        <v>8601</v>
      </c>
      <c r="J878" t="s">
        <v>8602</v>
      </c>
    </row>
    <row r="879" spans="6:10">
      <c r="F879" t="s">
        <v>8603</v>
      </c>
      <c r="G879">
        <v>876</v>
      </c>
      <c r="H879" t="s">
        <v>4654</v>
      </c>
      <c r="I879" t="s">
        <v>4655</v>
      </c>
      <c r="J879" t="s">
        <v>8604</v>
      </c>
    </row>
    <row r="880" spans="6:10">
      <c r="F880" t="s">
        <v>8605</v>
      </c>
      <c r="G880">
        <v>877</v>
      </c>
      <c r="H880" t="s">
        <v>8606</v>
      </c>
      <c r="I880" t="s">
        <v>8607</v>
      </c>
      <c r="J880" t="s">
        <v>8608</v>
      </c>
    </row>
    <row r="881" spans="6:10">
      <c r="F881" t="s">
        <v>8609</v>
      </c>
      <c r="G881">
        <v>878</v>
      </c>
      <c r="H881" t="s">
        <v>4906</v>
      </c>
      <c r="I881" t="s">
        <v>4907</v>
      </c>
      <c r="J881" t="s">
        <v>8610</v>
      </c>
    </row>
    <row r="882" spans="6:10">
      <c r="F882" t="s">
        <v>8611</v>
      </c>
      <c r="G882">
        <v>879</v>
      </c>
      <c r="H882" t="s">
        <v>5590</v>
      </c>
      <c r="I882" t="s">
        <v>5591</v>
      </c>
      <c r="J882" t="s">
        <v>8612</v>
      </c>
    </row>
    <row r="883" spans="6:10">
      <c r="F883" t="s">
        <v>8613</v>
      </c>
      <c r="G883">
        <v>880</v>
      </c>
      <c r="H883" t="s">
        <v>1679</v>
      </c>
      <c r="I883" t="s">
        <v>1680</v>
      </c>
      <c r="J883" t="s">
        <v>8614</v>
      </c>
    </row>
    <row r="884" spans="6:10">
      <c r="F884" t="s">
        <v>8615</v>
      </c>
      <c r="G884">
        <v>881</v>
      </c>
      <c r="H884" t="s">
        <v>7005</v>
      </c>
      <c r="I884" t="s">
        <v>7006</v>
      </c>
      <c r="J884" t="s">
        <v>8616</v>
      </c>
    </row>
    <row r="885" spans="6:10">
      <c r="F885" t="s">
        <v>8617</v>
      </c>
      <c r="G885">
        <v>882</v>
      </c>
      <c r="H885" t="s">
        <v>1756</v>
      </c>
      <c r="I885" t="s">
        <v>1757</v>
      </c>
      <c r="J885" t="s">
        <v>8618</v>
      </c>
    </row>
    <row r="886" spans="6:10">
      <c r="F886" t="s">
        <v>8619</v>
      </c>
      <c r="G886">
        <v>883</v>
      </c>
      <c r="H886" t="s">
        <v>8620</v>
      </c>
      <c r="I886" t="s">
        <v>8621</v>
      </c>
      <c r="J886" t="s">
        <v>8622</v>
      </c>
    </row>
    <row r="887" spans="6:10">
      <c r="F887" t="s">
        <v>8623</v>
      </c>
      <c r="G887">
        <v>884</v>
      </c>
      <c r="H887" t="s">
        <v>8624</v>
      </c>
      <c r="I887" t="s">
        <v>8625</v>
      </c>
      <c r="J887" t="s">
        <v>8626</v>
      </c>
    </row>
    <row r="888" spans="6:10">
      <c r="F888" t="s">
        <v>8627</v>
      </c>
      <c r="G888">
        <v>885</v>
      </c>
      <c r="H888" t="s">
        <v>3773</v>
      </c>
      <c r="I888" t="s">
        <v>3774</v>
      </c>
      <c r="J888" t="s">
        <v>8628</v>
      </c>
    </row>
    <row r="889" spans="6:10">
      <c r="F889" t="s">
        <v>8629</v>
      </c>
      <c r="G889">
        <v>886</v>
      </c>
      <c r="H889" t="s">
        <v>5175</v>
      </c>
      <c r="I889" t="s">
        <v>5176</v>
      </c>
      <c r="J889" t="s">
        <v>8630</v>
      </c>
    </row>
    <row r="890" spans="6:10">
      <c r="F890" t="s">
        <v>8631</v>
      </c>
      <c r="G890">
        <v>887</v>
      </c>
      <c r="H890" t="s">
        <v>1432</v>
      </c>
      <c r="I890" t="s">
        <v>1433</v>
      </c>
      <c r="J890" t="s">
        <v>8632</v>
      </c>
    </row>
    <row r="891" spans="6:10">
      <c r="F891" t="s">
        <v>8633</v>
      </c>
      <c r="G891">
        <v>888</v>
      </c>
      <c r="H891" t="s">
        <v>8634</v>
      </c>
      <c r="I891" t="s">
        <v>8635</v>
      </c>
      <c r="J891" t="s">
        <v>8636</v>
      </c>
    </row>
    <row r="892" spans="6:10">
      <c r="F892" t="s">
        <v>8637</v>
      </c>
      <c r="G892">
        <v>889</v>
      </c>
      <c r="H892" t="s">
        <v>8638</v>
      </c>
      <c r="I892" t="s">
        <v>8639</v>
      </c>
      <c r="J892" t="s">
        <v>8640</v>
      </c>
    </row>
    <row r="893" spans="6:10">
      <c r="F893" t="s">
        <v>8641</v>
      </c>
      <c r="G893">
        <v>890</v>
      </c>
      <c r="H893" t="s">
        <v>2768</v>
      </c>
      <c r="I893" t="s">
        <v>2769</v>
      </c>
      <c r="J893" t="s">
        <v>8642</v>
      </c>
    </row>
    <row r="894" spans="6:10">
      <c r="F894" t="s">
        <v>8643</v>
      </c>
      <c r="G894">
        <v>891</v>
      </c>
      <c r="H894" t="s">
        <v>4423</v>
      </c>
      <c r="I894" t="s">
        <v>4424</v>
      </c>
      <c r="J894" t="s">
        <v>8644</v>
      </c>
    </row>
    <row r="895" spans="6:10">
      <c r="F895" t="s">
        <v>8645</v>
      </c>
      <c r="G895">
        <v>892</v>
      </c>
      <c r="H895" t="s">
        <v>3525</v>
      </c>
      <c r="I895" t="s">
        <v>3526</v>
      </c>
      <c r="J895" t="s">
        <v>8646</v>
      </c>
    </row>
    <row r="896" spans="6:10">
      <c r="F896" t="s">
        <v>8647</v>
      </c>
      <c r="G896">
        <v>893</v>
      </c>
      <c r="H896" t="s">
        <v>8648</v>
      </c>
      <c r="I896" t="s">
        <v>8649</v>
      </c>
      <c r="J896" t="s">
        <v>8650</v>
      </c>
    </row>
    <row r="897" spans="6:10">
      <c r="F897" t="s">
        <v>8651</v>
      </c>
      <c r="G897">
        <v>894</v>
      </c>
      <c r="H897" t="s">
        <v>8652</v>
      </c>
      <c r="I897" t="s">
        <v>8653</v>
      </c>
      <c r="J897" t="s">
        <v>8654</v>
      </c>
    </row>
    <row r="898" spans="6:10">
      <c r="F898" t="s">
        <v>8655</v>
      </c>
      <c r="G898">
        <v>895</v>
      </c>
      <c r="H898" t="s">
        <v>2228</v>
      </c>
      <c r="I898" t="s">
        <v>2229</v>
      </c>
      <c r="J898" t="s">
        <v>8656</v>
      </c>
    </row>
    <row r="899" spans="6:10">
      <c r="F899" t="s">
        <v>8657</v>
      </c>
      <c r="G899">
        <v>896</v>
      </c>
      <c r="H899" t="s">
        <v>8658</v>
      </c>
      <c r="I899" t="s">
        <v>8659</v>
      </c>
      <c r="J899" t="s">
        <v>8660</v>
      </c>
    </row>
    <row r="900" spans="6:10">
      <c r="F900" t="s">
        <v>8661</v>
      </c>
      <c r="G900">
        <v>897</v>
      </c>
      <c r="H900" t="s">
        <v>8662</v>
      </c>
      <c r="I900" t="s">
        <v>8663</v>
      </c>
      <c r="J900" t="s">
        <v>8664</v>
      </c>
    </row>
    <row r="901" spans="6:10">
      <c r="F901" t="s">
        <v>8665</v>
      </c>
      <c r="G901">
        <v>898</v>
      </c>
      <c r="H901" t="s">
        <v>3644</v>
      </c>
      <c r="I901" t="s">
        <v>3645</v>
      </c>
      <c r="J901" t="s">
        <v>8666</v>
      </c>
    </row>
    <row r="902" spans="6:10">
      <c r="F902" t="s">
        <v>8667</v>
      </c>
      <c r="G902">
        <v>899</v>
      </c>
      <c r="H902" t="s">
        <v>2402</v>
      </c>
      <c r="I902" t="s">
        <v>2403</v>
      </c>
      <c r="J902" t="s">
        <v>8668</v>
      </c>
    </row>
    <row r="903" spans="6:10">
      <c r="F903" t="s">
        <v>8669</v>
      </c>
      <c r="G903">
        <v>900</v>
      </c>
      <c r="H903" t="s">
        <v>5416</v>
      </c>
      <c r="I903" t="s">
        <v>5417</v>
      </c>
      <c r="J903" t="s">
        <v>8670</v>
      </c>
    </row>
    <row r="904" spans="6:10">
      <c r="F904" t="s">
        <v>8671</v>
      </c>
      <c r="G904">
        <v>901</v>
      </c>
      <c r="H904" t="s">
        <v>3350</v>
      </c>
      <c r="I904" t="s">
        <v>3351</v>
      </c>
      <c r="J904" t="s">
        <v>8672</v>
      </c>
    </row>
    <row r="905" spans="6:10">
      <c r="F905" t="s">
        <v>8673</v>
      </c>
      <c r="G905">
        <v>902</v>
      </c>
      <c r="H905" t="s">
        <v>2971</v>
      </c>
      <c r="I905" t="s">
        <v>2972</v>
      </c>
      <c r="J905" t="s">
        <v>8674</v>
      </c>
    </row>
    <row r="906" spans="6:10">
      <c r="F906" t="s">
        <v>8675</v>
      </c>
      <c r="G906">
        <v>903</v>
      </c>
      <c r="H906" t="s">
        <v>3500</v>
      </c>
      <c r="I906" t="s">
        <v>3501</v>
      </c>
      <c r="J906" t="s">
        <v>8676</v>
      </c>
    </row>
    <row r="907" spans="6:10">
      <c r="F907" t="s">
        <v>8677</v>
      </c>
      <c r="G907">
        <v>904</v>
      </c>
      <c r="H907" t="s">
        <v>1301</v>
      </c>
      <c r="I907" t="s">
        <v>1302</v>
      </c>
      <c r="J907" t="s">
        <v>8678</v>
      </c>
    </row>
    <row r="908" spans="6:10">
      <c r="F908" t="s">
        <v>8679</v>
      </c>
      <c r="G908">
        <v>905</v>
      </c>
      <c r="H908" t="s">
        <v>68</v>
      </c>
      <c r="I908" t="s">
        <v>69</v>
      </c>
      <c r="J908" t="s">
        <v>8680</v>
      </c>
    </row>
    <row r="909" spans="6:10">
      <c r="F909" t="s">
        <v>8681</v>
      </c>
      <c r="G909">
        <v>906</v>
      </c>
      <c r="H909" t="s">
        <v>8682</v>
      </c>
      <c r="I909" t="s">
        <v>8683</v>
      </c>
      <c r="J909" t="s">
        <v>8684</v>
      </c>
    </row>
    <row r="910" spans="6:10">
      <c r="F910" t="s">
        <v>8685</v>
      </c>
      <c r="G910">
        <v>907</v>
      </c>
      <c r="H910" t="s">
        <v>3031</v>
      </c>
      <c r="I910" t="s">
        <v>3032</v>
      </c>
      <c r="J910" t="s">
        <v>8686</v>
      </c>
    </row>
    <row r="911" spans="6:10">
      <c r="F911" t="s">
        <v>8687</v>
      </c>
      <c r="G911">
        <v>908</v>
      </c>
      <c r="H911" t="s">
        <v>8688</v>
      </c>
      <c r="I911" t="s">
        <v>8689</v>
      </c>
      <c r="J911" t="s">
        <v>8690</v>
      </c>
    </row>
    <row r="912" spans="6:10">
      <c r="F912" t="s">
        <v>8691</v>
      </c>
      <c r="G912">
        <v>909</v>
      </c>
      <c r="H912" t="s">
        <v>8692</v>
      </c>
      <c r="I912" t="s">
        <v>8693</v>
      </c>
      <c r="J912" t="s">
        <v>8694</v>
      </c>
    </row>
    <row r="913" spans="6:10">
      <c r="F913" t="s">
        <v>8695</v>
      </c>
      <c r="G913">
        <v>910</v>
      </c>
      <c r="H913" t="s">
        <v>2224</v>
      </c>
      <c r="I913" t="s">
        <v>2225</v>
      </c>
      <c r="J913" t="s">
        <v>8696</v>
      </c>
    </row>
    <row r="914" spans="6:10">
      <c r="F914" t="s">
        <v>8697</v>
      </c>
      <c r="G914">
        <v>911</v>
      </c>
      <c r="H914" t="s">
        <v>8698</v>
      </c>
      <c r="I914" t="s">
        <v>8699</v>
      </c>
      <c r="J914" t="s">
        <v>8700</v>
      </c>
    </row>
    <row r="915" spans="6:10">
      <c r="F915" t="s">
        <v>8701</v>
      </c>
      <c r="G915">
        <v>912</v>
      </c>
      <c r="H915" t="s">
        <v>4282</v>
      </c>
      <c r="I915" t="s">
        <v>4283</v>
      </c>
      <c r="J915" t="s">
        <v>8702</v>
      </c>
    </row>
    <row r="916" spans="6:10">
      <c r="F916" t="s">
        <v>8703</v>
      </c>
      <c r="G916">
        <v>913</v>
      </c>
      <c r="H916" t="s">
        <v>209</v>
      </c>
      <c r="I916" t="s">
        <v>210</v>
      </c>
      <c r="J916" t="s">
        <v>8704</v>
      </c>
    </row>
    <row r="917" spans="6:10">
      <c r="F917" t="s">
        <v>8705</v>
      </c>
      <c r="G917">
        <v>914</v>
      </c>
      <c r="H917" t="s">
        <v>926</v>
      </c>
      <c r="I917" t="s">
        <v>927</v>
      </c>
      <c r="J917" t="s">
        <v>8706</v>
      </c>
    </row>
    <row r="918" spans="6:10">
      <c r="F918" t="s">
        <v>8707</v>
      </c>
      <c r="G918">
        <v>915</v>
      </c>
      <c r="H918" t="s">
        <v>4876</v>
      </c>
      <c r="I918" t="s">
        <v>4877</v>
      </c>
      <c r="J918" t="s">
        <v>8708</v>
      </c>
    </row>
    <row r="919" spans="6:10">
      <c r="F919" t="s">
        <v>8709</v>
      </c>
      <c r="G919">
        <v>916</v>
      </c>
      <c r="H919" t="s">
        <v>8710</v>
      </c>
      <c r="I919" t="s">
        <v>8711</v>
      </c>
      <c r="J919" t="s">
        <v>8712</v>
      </c>
    </row>
    <row r="920" spans="6:10">
      <c r="F920" t="s">
        <v>8713</v>
      </c>
      <c r="G920">
        <v>917</v>
      </c>
      <c r="H920" t="s">
        <v>4886</v>
      </c>
      <c r="I920" t="s">
        <v>4887</v>
      </c>
      <c r="J920" t="s">
        <v>8714</v>
      </c>
    </row>
    <row r="921" spans="6:10">
      <c r="F921" t="s">
        <v>8715</v>
      </c>
      <c r="G921">
        <v>918</v>
      </c>
      <c r="H921" t="s">
        <v>3585</v>
      </c>
      <c r="I921" t="s">
        <v>3586</v>
      </c>
      <c r="J921" t="s">
        <v>8716</v>
      </c>
    </row>
    <row r="922" spans="6:10">
      <c r="F922" t="s">
        <v>8717</v>
      </c>
      <c r="G922">
        <v>919</v>
      </c>
      <c r="H922" t="s">
        <v>8718</v>
      </c>
      <c r="I922" t="s">
        <v>8719</v>
      </c>
      <c r="J922" t="s">
        <v>8720</v>
      </c>
    </row>
    <row r="923" spans="6:10">
      <c r="F923" t="s">
        <v>8721</v>
      </c>
      <c r="G923">
        <v>920</v>
      </c>
      <c r="H923" t="s">
        <v>5351</v>
      </c>
      <c r="I923" t="s">
        <v>5352</v>
      </c>
      <c r="J923" t="s">
        <v>8722</v>
      </c>
    </row>
    <row r="924" spans="6:10">
      <c r="F924" t="s">
        <v>8723</v>
      </c>
      <c r="G924">
        <v>921</v>
      </c>
      <c r="H924" t="s">
        <v>8724</v>
      </c>
      <c r="I924" t="s">
        <v>8725</v>
      </c>
      <c r="J924" t="s">
        <v>8726</v>
      </c>
    </row>
    <row r="925" spans="6:10">
      <c r="F925" t="s">
        <v>8727</v>
      </c>
      <c r="G925">
        <v>922</v>
      </c>
      <c r="H925" t="s">
        <v>8728</v>
      </c>
      <c r="I925" t="s">
        <v>8729</v>
      </c>
      <c r="J925" t="s">
        <v>8730</v>
      </c>
    </row>
    <row r="926" spans="6:10">
      <c r="F926" t="s">
        <v>8731</v>
      </c>
      <c r="G926">
        <v>923</v>
      </c>
      <c r="H926" t="s">
        <v>5260</v>
      </c>
      <c r="I926" t="s">
        <v>5261</v>
      </c>
      <c r="J926" t="s">
        <v>8732</v>
      </c>
    </row>
    <row r="927" spans="6:10">
      <c r="F927" t="s">
        <v>8733</v>
      </c>
      <c r="G927">
        <v>924</v>
      </c>
      <c r="H927" t="s">
        <v>4430</v>
      </c>
      <c r="I927" t="s">
        <v>4431</v>
      </c>
      <c r="J927" t="s">
        <v>8734</v>
      </c>
    </row>
    <row r="928" spans="6:10">
      <c r="F928" t="s">
        <v>8735</v>
      </c>
      <c r="G928">
        <v>925</v>
      </c>
      <c r="H928" t="s">
        <v>5608</v>
      </c>
      <c r="I928" t="s">
        <v>5609</v>
      </c>
      <c r="J928" t="s">
        <v>8736</v>
      </c>
    </row>
    <row r="929" spans="6:10">
      <c r="F929" t="s">
        <v>8737</v>
      </c>
      <c r="G929">
        <v>926</v>
      </c>
      <c r="H929" t="s">
        <v>8738</v>
      </c>
      <c r="I929" t="s">
        <v>8739</v>
      </c>
      <c r="J929" t="s">
        <v>8740</v>
      </c>
    </row>
    <row r="930" spans="6:10">
      <c r="F930" t="s">
        <v>8741</v>
      </c>
      <c r="G930">
        <v>927</v>
      </c>
      <c r="H930" t="s">
        <v>8742</v>
      </c>
      <c r="I930" t="s">
        <v>8743</v>
      </c>
      <c r="J930" t="s">
        <v>8744</v>
      </c>
    </row>
    <row r="931" spans="6:10">
      <c r="F931" t="s">
        <v>8745</v>
      </c>
      <c r="G931">
        <v>928</v>
      </c>
      <c r="H931" t="s">
        <v>8746</v>
      </c>
      <c r="I931" t="s">
        <v>8747</v>
      </c>
      <c r="J931" t="s">
        <v>8748</v>
      </c>
    </row>
    <row r="932" spans="6:10">
      <c r="F932" t="s">
        <v>8749</v>
      </c>
      <c r="G932">
        <v>929</v>
      </c>
      <c r="H932" t="s">
        <v>6123</v>
      </c>
      <c r="I932" t="s">
        <v>6124</v>
      </c>
      <c r="J932" t="s">
        <v>8750</v>
      </c>
    </row>
    <row r="933" spans="6:10">
      <c r="F933" t="s">
        <v>8751</v>
      </c>
      <c r="G933">
        <v>930</v>
      </c>
      <c r="H933" t="s">
        <v>5630</v>
      </c>
      <c r="I933" t="s">
        <v>5631</v>
      </c>
      <c r="J933" t="s">
        <v>8752</v>
      </c>
    </row>
    <row r="934" spans="6:10">
      <c r="F934" t="s">
        <v>8753</v>
      </c>
      <c r="G934">
        <v>931</v>
      </c>
      <c r="H934" t="s">
        <v>3828</v>
      </c>
      <c r="I934" t="s">
        <v>3829</v>
      </c>
      <c r="J934" t="s">
        <v>8754</v>
      </c>
    </row>
    <row r="935" spans="6:10">
      <c r="F935" t="s">
        <v>8755</v>
      </c>
      <c r="G935">
        <v>932</v>
      </c>
      <c r="H935" t="s">
        <v>1884</v>
      </c>
      <c r="I935" t="s">
        <v>1885</v>
      </c>
      <c r="J935" t="s">
        <v>8756</v>
      </c>
    </row>
    <row r="936" spans="6:10">
      <c r="F936" t="s">
        <v>8757</v>
      </c>
      <c r="G936">
        <v>933</v>
      </c>
      <c r="H936" t="s">
        <v>2577</v>
      </c>
      <c r="I936" t="s">
        <v>2578</v>
      </c>
      <c r="J936" t="s">
        <v>8758</v>
      </c>
    </row>
    <row r="937" spans="6:10">
      <c r="F937" t="s">
        <v>8759</v>
      </c>
      <c r="G937">
        <v>934</v>
      </c>
      <c r="H937" t="s">
        <v>5729</v>
      </c>
      <c r="I937" t="s">
        <v>5730</v>
      </c>
      <c r="J937" t="s">
        <v>8760</v>
      </c>
    </row>
    <row r="938" spans="6:10">
      <c r="F938" t="s">
        <v>8761</v>
      </c>
      <c r="G938">
        <v>935</v>
      </c>
      <c r="H938" t="s">
        <v>3654</v>
      </c>
      <c r="I938" t="s">
        <v>3655</v>
      </c>
      <c r="J938" t="s">
        <v>8762</v>
      </c>
    </row>
    <row r="939" spans="6:10">
      <c r="F939" t="s">
        <v>8763</v>
      </c>
      <c r="G939">
        <v>936</v>
      </c>
      <c r="H939" t="s">
        <v>3506</v>
      </c>
      <c r="I939" t="s">
        <v>3507</v>
      </c>
      <c r="J939" t="s">
        <v>8764</v>
      </c>
    </row>
    <row r="940" spans="6:10">
      <c r="F940" t="s">
        <v>8765</v>
      </c>
      <c r="G940">
        <v>937</v>
      </c>
      <c r="H940" t="s">
        <v>8766</v>
      </c>
      <c r="I940" t="s">
        <v>8767</v>
      </c>
      <c r="J940" t="s">
        <v>8768</v>
      </c>
    </row>
    <row r="941" spans="6:10">
      <c r="F941" t="s">
        <v>8769</v>
      </c>
      <c r="G941">
        <v>938</v>
      </c>
      <c r="H941" t="s">
        <v>2790</v>
      </c>
      <c r="I941" t="s">
        <v>2791</v>
      </c>
      <c r="J941" t="s">
        <v>8770</v>
      </c>
    </row>
    <row r="942" spans="6:10">
      <c r="F942" t="s">
        <v>8771</v>
      </c>
      <c r="G942">
        <v>939</v>
      </c>
      <c r="H942" t="s">
        <v>1454</v>
      </c>
      <c r="I942" t="s">
        <v>1455</v>
      </c>
      <c r="J942" t="s">
        <v>8772</v>
      </c>
    </row>
    <row r="943" spans="6:10">
      <c r="F943" t="s">
        <v>8773</v>
      </c>
      <c r="G943">
        <v>940</v>
      </c>
      <c r="H943" t="s">
        <v>5536</v>
      </c>
      <c r="I943" t="s">
        <v>5537</v>
      </c>
      <c r="J943" t="s">
        <v>8774</v>
      </c>
    </row>
    <row r="944" spans="6:10">
      <c r="F944" t="s">
        <v>8775</v>
      </c>
      <c r="G944">
        <v>941</v>
      </c>
      <c r="H944" t="s">
        <v>1596</v>
      </c>
      <c r="I944" t="s">
        <v>1597</v>
      </c>
      <c r="J944" t="s">
        <v>8776</v>
      </c>
    </row>
    <row r="945" spans="6:10">
      <c r="F945" t="s">
        <v>8777</v>
      </c>
      <c r="G945">
        <v>942</v>
      </c>
      <c r="H945" t="s">
        <v>6222</v>
      </c>
      <c r="I945" t="s">
        <v>6223</v>
      </c>
      <c r="J945" t="s">
        <v>8778</v>
      </c>
    </row>
    <row r="946" spans="6:10">
      <c r="F946" t="s">
        <v>8779</v>
      </c>
      <c r="G946">
        <v>943</v>
      </c>
      <c r="H946" t="s">
        <v>5124</v>
      </c>
      <c r="I946" t="s">
        <v>5126</v>
      </c>
      <c r="J946" t="s">
        <v>8780</v>
      </c>
    </row>
    <row r="947" spans="6:10">
      <c r="F947" t="s">
        <v>8781</v>
      </c>
      <c r="G947">
        <v>944</v>
      </c>
      <c r="H947" t="s">
        <v>8782</v>
      </c>
      <c r="I947" t="s">
        <v>8783</v>
      </c>
      <c r="J947" t="s">
        <v>8784</v>
      </c>
    </row>
    <row r="948" spans="6:10">
      <c r="F948" t="s">
        <v>8785</v>
      </c>
      <c r="G948">
        <v>945</v>
      </c>
      <c r="H948" t="s">
        <v>2218</v>
      </c>
      <c r="I948" t="s">
        <v>2219</v>
      </c>
      <c r="J948" t="s">
        <v>8786</v>
      </c>
    </row>
    <row r="949" spans="6:10">
      <c r="F949" t="s">
        <v>8787</v>
      </c>
      <c r="G949">
        <v>946</v>
      </c>
      <c r="H949" t="s">
        <v>8788</v>
      </c>
      <c r="I949" t="s">
        <v>8789</v>
      </c>
      <c r="J949" t="s">
        <v>8790</v>
      </c>
    </row>
    <row r="950" spans="6:10">
      <c r="F950" t="s">
        <v>8791</v>
      </c>
      <c r="G950">
        <v>947</v>
      </c>
      <c r="H950" t="s">
        <v>8792</v>
      </c>
      <c r="I950" t="s">
        <v>8793</v>
      </c>
      <c r="J950" t="s">
        <v>8794</v>
      </c>
    </row>
    <row r="951" spans="6:10">
      <c r="F951" t="s">
        <v>8795</v>
      </c>
      <c r="G951">
        <v>948</v>
      </c>
      <c r="H951" t="s">
        <v>8796</v>
      </c>
      <c r="I951" t="s">
        <v>8797</v>
      </c>
      <c r="J951" t="s">
        <v>8798</v>
      </c>
    </row>
    <row r="952" spans="6:10">
      <c r="F952" t="s">
        <v>8799</v>
      </c>
      <c r="G952">
        <v>949</v>
      </c>
      <c r="H952" t="s">
        <v>1452</v>
      </c>
      <c r="I952" t="s">
        <v>1453</v>
      </c>
      <c r="J952" t="s">
        <v>8800</v>
      </c>
    </row>
    <row r="953" spans="6:10">
      <c r="F953" t="s">
        <v>8801</v>
      </c>
      <c r="G953">
        <v>950</v>
      </c>
      <c r="H953" t="s">
        <v>3444</v>
      </c>
      <c r="I953" t="s">
        <v>3445</v>
      </c>
      <c r="J953" t="s">
        <v>8802</v>
      </c>
    </row>
    <row r="954" spans="6:10">
      <c r="F954" t="s">
        <v>8803</v>
      </c>
      <c r="G954">
        <v>951</v>
      </c>
      <c r="H954" t="s">
        <v>1383</v>
      </c>
      <c r="I954" t="s">
        <v>113</v>
      </c>
      <c r="J954" t="s">
        <v>8804</v>
      </c>
    </row>
    <row r="955" spans="6:10">
      <c r="F955" t="s">
        <v>8805</v>
      </c>
      <c r="G955">
        <v>952</v>
      </c>
      <c r="H955" t="s">
        <v>8806</v>
      </c>
      <c r="I955" t="s">
        <v>8807</v>
      </c>
      <c r="J955" t="s">
        <v>8808</v>
      </c>
    </row>
    <row r="956" spans="6:10">
      <c r="F956" t="s">
        <v>8809</v>
      </c>
      <c r="G956">
        <v>953</v>
      </c>
      <c r="H956" t="s">
        <v>652</v>
      </c>
      <c r="I956" t="s">
        <v>653</v>
      </c>
      <c r="J956" t="s">
        <v>8810</v>
      </c>
    </row>
    <row r="957" spans="6:10">
      <c r="F957" t="s">
        <v>8811</v>
      </c>
      <c r="G957">
        <v>954</v>
      </c>
      <c r="H957" t="s">
        <v>1326</v>
      </c>
      <c r="I957" t="s">
        <v>1327</v>
      </c>
      <c r="J957" t="s">
        <v>8812</v>
      </c>
    </row>
    <row r="958" spans="6:10">
      <c r="F958" t="s">
        <v>8813</v>
      </c>
      <c r="G958">
        <v>955</v>
      </c>
      <c r="H958" t="s">
        <v>3938</v>
      </c>
      <c r="I958" t="s">
        <v>3939</v>
      </c>
      <c r="J958" t="s">
        <v>8814</v>
      </c>
    </row>
    <row r="959" spans="6:10">
      <c r="F959" t="s">
        <v>8815</v>
      </c>
      <c r="G959">
        <v>956</v>
      </c>
      <c r="H959" t="s">
        <v>8816</v>
      </c>
      <c r="I959" t="s">
        <v>8817</v>
      </c>
      <c r="J959" t="s">
        <v>8818</v>
      </c>
    </row>
    <row r="960" spans="6:10">
      <c r="F960" t="s">
        <v>8819</v>
      </c>
      <c r="G960">
        <v>957</v>
      </c>
      <c r="H960" t="s">
        <v>4549</v>
      </c>
      <c r="I960" t="s">
        <v>4550</v>
      </c>
      <c r="J960" t="s">
        <v>8820</v>
      </c>
    </row>
    <row r="961" spans="6:10">
      <c r="F961" t="s">
        <v>8821</v>
      </c>
      <c r="G961">
        <v>958</v>
      </c>
      <c r="H961" t="s">
        <v>8822</v>
      </c>
      <c r="I961" t="s">
        <v>8823</v>
      </c>
      <c r="J961" t="s">
        <v>8824</v>
      </c>
    </row>
    <row r="962" spans="6:10">
      <c r="F962" t="s">
        <v>8825</v>
      </c>
      <c r="G962">
        <v>959</v>
      </c>
      <c r="H962" t="s">
        <v>3035</v>
      </c>
      <c r="I962" t="s">
        <v>3036</v>
      </c>
      <c r="J962" t="s">
        <v>8826</v>
      </c>
    </row>
    <row r="963" spans="6:10">
      <c r="F963" t="s">
        <v>8827</v>
      </c>
      <c r="G963">
        <v>960</v>
      </c>
      <c r="H963" t="s">
        <v>5060</v>
      </c>
      <c r="I963" t="s">
        <v>5061</v>
      </c>
      <c r="J963" t="s">
        <v>8828</v>
      </c>
    </row>
    <row r="964" spans="6:10">
      <c r="F964" t="s">
        <v>8829</v>
      </c>
      <c r="G964">
        <v>961</v>
      </c>
      <c r="H964" t="s">
        <v>8830</v>
      </c>
      <c r="I964" t="s">
        <v>8831</v>
      </c>
      <c r="J964" t="s">
        <v>8832</v>
      </c>
    </row>
    <row r="965" spans="6:10">
      <c r="F965" t="s">
        <v>8833</v>
      </c>
      <c r="G965">
        <v>962</v>
      </c>
      <c r="H965" t="s">
        <v>906</v>
      </c>
      <c r="I965" t="s">
        <v>907</v>
      </c>
      <c r="J965" t="s">
        <v>8834</v>
      </c>
    </row>
    <row r="966" spans="6:10">
      <c r="F966" t="s">
        <v>8835</v>
      </c>
      <c r="G966">
        <v>963</v>
      </c>
      <c r="H966" t="s">
        <v>2818</v>
      </c>
      <c r="I966" t="s">
        <v>2822</v>
      </c>
      <c r="J966" t="s">
        <v>8836</v>
      </c>
    </row>
    <row r="967" spans="6:10">
      <c r="F967" t="s">
        <v>8837</v>
      </c>
      <c r="G967">
        <v>964</v>
      </c>
      <c r="H967" t="s">
        <v>8838</v>
      </c>
      <c r="I967" t="s">
        <v>8839</v>
      </c>
      <c r="J967" t="s">
        <v>8840</v>
      </c>
    </row>
    <row r="968" spans="6:10">
      <c r="F968" t="s">
        <v>8841</v>
      </c>
      <c r="G968">
        <v>965</v>
      </c>
      <c r="H968" t="s">
        <v>8842</v>
      </c>
      <c r="I968" t="s">
        <v>8843</v>
      </c>
      <c r="J968" t="s">
        <v>8844</v>
      </c>
    </row>
    <row r="969" spans="6:10">
      <c r="F969" t="s">
        <v>8845</v>
      </c>
      <c r="G969">
        <v>966</v>
      </c>
      <c r="H969" t="s">
        <v>548</v>
      </c>
      <c r="I969" t="s">
        <v>559</v>
      </c>
      <c r="J969" t="s">
        <v>8846</v>
      </c>
    </row>
    <row r="970" spans="6:10">
      <c r="F970" t="s">
        <v>8847</v>
      </c>
      <c r="G970">
        <v>967</v>
      </c>
      <c r="H970" t="s">
        <v>8848</v>
      </c>
      <c r="I970" t="s">
        <v>8849</v>
      </c>
      <c r="J970" t="s">
        <v>8850</v>
      </c>
    </row>
    <row r="971" spans="6:10">
      <c r="F971" t="s">
        <v>8851</v>
      </c>
      <c r="G971">
        <v>968</v>
      </c>
      <c r="H971" t="s">
        <v>5197</v>
      </c>
      <c r="I971" t="s">
        <v>5198</v>
      </c>
      <c r="J971" t="s">
        <v>8852</v>
      </c>
    </row>
    <row r="972" spans="6:10">
      <c r="F972" t="s">
        <v>8853</v>
      </c>
      <c r="G972">
        <v>969</v>
      </c>
      <c r="H972" t="s">
        <v>2841</v>
      </c>
      <c r="I972" t="s">
        <v>2842</v>
      </c>
      <c r="J972" t="s">
        <v>8854</v>
      </c>
    </row>
    <row r="973" spans="6:10">
      <c r="F973" t="s">
        <v>8855</v>
      </c>
      <c r="G973">
        <v>970</v>
      </c>
      <c r="H973" t="s">
        <v>8856</v>
      </c>
      <c r="I973" t="s">
        <v>8857</v>
      </c>
      <c r="J973" t="s">
        <v>8858</v>
      </c>
    </row>
    <row r="974" spans="6:10">
      <c r="F974" t="s">
        <v>8859</v>
      </c>
      <c r="G974">
        <v>971</v>
      </c>
      <c r="H974" t="s">
        <v>2766</v>
      </c>
      <c r="I974" t="s">
        <v>2767</v>
      </c>
      <c r="J974" t="s">
        <v>8860</v>
      </c>
    </row>
    <row r="975" spans="6:10">
      <c r="F975" t="s">
        <v>8861</v>
      </c>
      <c r="G975">
        <v>972</v>
      </c>
      <c r="H975" t="s">
        <v>8862</v>
      </c>
      <c r="I975" t="s">
        <v>8863</v>
      </c>
      <c r="J975" t="s">
        <v>8864</v>
      </c>
    </row>
    <row r="976" spans="6:10">
      <c r="F976" t="s">
        <v>8865</v>
      </c>
      <c r="G976">
        <v>973</v>
      </c>
      <c r="H976" t="s">
        <v>4815</v>
      </c>
      <c r="I976" t="s">
        <v>4816</v>
      </c>
      <c r="J976" t="s">
        <v>8866</v>
      </c>
    </row>
    <row r="977" spans="6:10">
      <c r="F977" t="s">
        <v>8867</v>
      </c>
      <c r="G977">
        <v>974</v>
      </c>
      <c r="H977" t="s">
        <v>8868</v>
      </c>
      <c r="I977" t="s">
        <v>8869</v>
      </c>
      <c r="J977" t="s">
        <v>8870</v>
      </c>
    </row>
    <row r="978" spans="6:10">
      <c r="F978" t="s">
        <v>8871</v>
      </c>
      <c r="G978">
        <v>975</v>
      </c>
      <c r="H978" t="s">
        <v>8872</v>
      </c>
      <c r="I978" t="s">
        <v>8873</v>
      </c>
      <c r="J978" t="s">
        <v>8874</v>
      </c>
    </row>
    <row r="979" spans="6:10">
      <c r="F979" t="s">
        <v>8875</v>
      </c>
      <c r="G979">
        <v>976</v>
      </c>
      <c r="H979" t="s">
        <v>2557</v>
      </c>
      <c r="I979" t="s">
        <v>2558</v>
      </c>
      <c r="J979" t="s">
        <v>8876</v>
      </c>
    </row>
    <row r="980" spans="6:10">
      <c r="F980" t="s">
        <v>8877</v>
      </c>
      <c r="G980">
        <v>977</v>
      </c>
      <c r="H980" t="s">
        <v>8878</v>
      </c>
      <c r="I980" t="s">
        <v>8879</v>
      </c>
      <c r="J980" t="s">
        <v>8880</v>
      </c>
    </row>
    <row r="981" spans="6:10">
      <c r="F981" t="s">
        <v>8881</v>
      </c>
      <c r="G981">
        <v>978</v>
      </c>
      <c r="H981" t="s">
        <v>8882</v>
      </c>
      <c r="I981" t="s">
        <v>8883</v>
      </c>
      <c r="J981" t="s">
        <v>8884</v>
      </c>
    </row>
    <row r="982" spans="6:10">
      <c r="F982" t="s">
        <v>8885</v>
      </c>
      <c r="G982">
        <v>979</v>
      </c>
      <c r="H982" t="s">
        <v>122</v>
      </c>
      <c r="I982" t="s">
        <v>123</v>
      </c>
      <c r="J982" t="s">
        <v>8886</v>
      </c>
    </row>
    <row r="983" spans="6:10">
      <c r="F983" t="s">
        <v>8887</v>
      </c>
      <c r="G983">
        <v>980</v>
      </c>
      <c r="H983" t="s">
        <v>8888</v>
      </c>
      <c r="I983" t="s">
        <v>8889</v>
      </c>
      <c r="J983" t="s">
        <v>8890</v>
      </c>
    </row>
    <row r="984" spans="6:10">
      <c r="F984" t="s">
        <v>8891</v>
      </c>
      <c r="G984">
        <v>981</v>
      </c>
      <c r="H984" t="s">
        <v>5943</v>
      </c>
      <c r="I984" t="s">
        <v>5944</v>
      </c>
      <c r="J984" t="s">
        <v>8892</v>
      </c>
    </row>
    <row r="985" spans="6:10">
      <c r="F985" t="s">
        <v>8893</v>
      </c>
      <c r="G985">
        <v>982</v>
      </c>
      <c r="H985" t="s">
        <v>8894</v>
      </c>
      <c r="I985" t="s">
        <v>8895</v>
      </c>
      <c r="J985" t="s">
        <v>8896</v>
      </c>
    </row>
    <row r="986" spans="6:10">
      <c r="F986" t="s">
        <v>8897</v>
      </c>
      <c r="G986">
        <v>983</v>
      </c>
      <c r="H986" t="s">
        <v>3777</v>
      </c>
      <c r="I986" t="s">
        <v>3778</v>
      </c>
      <c r="J986" t="s">
        <v>8898</v>
      </c>
    </row>
    <row r="987" spans="6:10">
      <c r="F987" t="s">
        <v>8899</v>
      </c>
      <c r="G987">
        <v>984</v>
      </c>
      <c r="H987" t="s">
        <v>1316</v>
      </c>
      <c r="I987" t="s">
        <v>1317</v>
      </c>
      <c r="J987" t="s">
        <v>8900</v>
      </c>
    </row>
    <row r="988" spans="6:10">
      <c r="F988" t="s">
        <v>8901</v>
      </c>
      <c r="G988">
        <v>985</v>
      </c>
      <c r="H988" t="s">
        <v>8902</v>
      </c>
      <c r="I988" t="s">
        <v>8903</v>
      </c>
      <c r="J988" t="s">
        <v>8904</v>
      </c>
    </row>
    <row r="989" spans="6:10">
      <c r="F989" t="s">
        <v>8905</v>
      </c>
      <c r="G989">
        <v>986</v>
      </c>
      <c r="H989" t="s">
        <v>2853</v>
      </c>
      <c r="I989" t="s">
        <v>2854</v>
      </c>
      <c r="J989" t="s">
        <v>8906</v>
      </c>
    </row>
    <row r="990" spans="6:10">
      <c r="F990" t="s">
        <v>8907</v>
      </c>
      <c r="G990">
        <v>987</v>
      </c>
      <c r="H990" t="s">
        <v>773</v>
      </c>
      <c r="I990" t="s">
        <v>774</v>
      </c>
      <c r="J990" t="s">
        <v>8908</v>
      </c>
    </row>
    <row r="991" spans="6:10">
      <c r="F991" t="s">
        <v>8909</v>
      </c>
      <c r="G991">
        <v>988</v>
      </c>
      <c r="H991" t="s">
        <v>8910</v>
      </c>
      <c r="I991" t="s">
        <v>8911</v>
      </c>
      <c r="J991" t="s">
        <v>8912</v>
      </c>
    </row>
    <row r="992" spans="6:10">
      <c r="F992" t="s">
        <v>8913</v>
      </c>
      <c r="G992">
        <v>989</v>
      </c>
      <c r="H992" t="s">
        <v>4976</v>
      </c>
      <c r="I992" t="s">
        <v>4977</v>
      </c>
      <c r="J992" t="s">
        <v>8914</v>
      </c>
    </row>
    <row r="993" spans="6:10">
      <c r="F993" t="s">
        <v>8915</v>
      </c>
      <c r="G993">
        <v>990</v>
      </c>
      <c r="H993" t="s">
        <v>2818</v>
      </c>
      <c r="I993" t="s">
        <v>2823</v>
      </c>
      <c r="J993" t="s">
        <v>8916</v>
      </c>
    </row>
    <row r="994" spans="6:10">
      <c r="F994" t="s">
        <v>8917</v>
      </c>
      <c r="G994">
        <v>991</v>
      </c>
      <c r="H994" t="s">
        <v>5493</v>
      </c>
      <c r="I994" t="s">
        <v>5494</v>
      </c>
      <c r="J994" t="s">
        <v>8918</v>
      </c>
    </row>
    <row r="995" spans="6:10">
      <c r="F995" t="s">
        <v>8919</v>
      </c>
      <c r="G995">
        <v>992</v>
      </c>
      <c r="H995" t="s">
        <v>2213</v>
      </c>
      <c r="I995" t="s">
        <v>2214</v>
      </c>
      <c r="J995" t="s">
        <v>8920</v>
      </c>
    </row>
    <row r="996" spans="6:10">
      <c r="F996" t="s">
        <v>8921</v>
      </c>
      <c r="G996">
        <v>993</v>
      </c>
      <c r="H996" t="s">
        <v>2841</v>
      </c>
      <c r="I996" t="s">
        <v>2843</v>
      </c>
      <c r="J996" t="s">
        <v>8922</v>
      </c>
    </row>
    <row r="997" spans="6:10">
      <c r="F997" t="s">
        <v>8923</v>
      </c>
      <c r="G997">
        <v>994</v>
      </c>
      <c r="H997" t="s">
        <v>8924</v>
      </c>
      <c r="I997" t="s">
        <v>8925</v>
      </c>
      <c r="J997" t="s">
        <v>8926</v>
      </c>
    </row>
    <row r="998" spans="6:10">
      <c r="F998" t="s">
        <v>8927</v>
      </c>
      <c r="G998">
        <v>995</v>
      </c>
      <c r="H998" t="s">
        <v>4947</v>
      </c>
      <c r="I998" t="s">
        <v>4948</v>
      </c>
      <c r="J998" t="s">
        <v>8928</v>
      </c>
    </row>
    <row r="999" spans="6:10">
      <c r="F999" t="s">
        <v>8929</v>
      </c>
      <c r="G999">
        <v>996</v>
      </c>
      <c r="H999" t="s">
        <v>8930</v>
      </c>
      <c r="I999" t="s">
        <v>8931</v>
      </c>
      <c r="J999" t="s">
        <v>8932</v>
      </c>
    </row>
    <row r="1000" spans="6:10">
      <c r="F1000" t="s">
        <v>8933</v>
      </c>
      <c r="G1000">
        <v>997</v>
      </c>
      <c r="H1000" t="s">
        <v>8934</v>
      </c>
      <c r="I1000" t="s">
        <v>8935</v>
      </c>
      <c r="J1000" t="s">
        <v>8936</v>
      </c>
    </row>
    <row r="1001" spans="6:10">
      <c r="F1001" t="s">
        <v>8937</v>
      </c>
      <c r="G1001">
        <v>998</v>
      </c>
      <c r="H1001" t="s">
        <v>8938</v>
      </c>
      <c r="I1001" t="s">
        <v>8939</v>
      </c>
      <c r="J1001" t="s">
        <v>8940</v>
      </c>
    </row>
    <row r="1002" spans="6:10">
      <c r="F1002" t="s">
        <v>8941</v>
      </c>
      <c r="G1002">
        <v>999</v>
      </c>
      <c r="H1002" t="s">
        <v>4748</v>
      </c>
      <c r="I1002" t="s">
        <v>4749</v>
      </c>
      <c r="J1002" t="s">
        <v>8942</v>
      </c>
    </row>
    <row r="1003" spans="6:10">
      <c r="F1003" t="s">
        <v>8943</v>
      </c>
      <c r="G1003">
        <v>1000</v>
      </c>
      <c r="H1003" t="s">
        <v>2662</v>
      </c>
      <c r="I1003" t="s">
        <v>2663</v>
      </c>
      <c r="J1003" t="s">
        <v>8944</v>
      </c>
    </row>
    <row r="1004" spans="6:10">
      <c r="F1004" t="s">
        <v>8945</v>
      </c>
      <c r="G1004">
        <v>1001</v>
      </c>
      <c r="H1004" t="s">
        <v>1111</v>
      </c>
      <c r="I1004" t="s">
        <v>1112</v>
      </c>
      <c r="J1004" t="s">
        <v>8946</v>
      </c>
    </row>
    <row r="1005" spans="6:10">
      <c r="F1005" t="s">
        <v>8947</v>
      </c>
      <c r="G1005">
        <v>1002</v>
      </c>
      <c r="H1005" t="s">
        <v>8948</v>
      </c>
      <c r="I1005" t="s">
        <v>8949</v>
      </c>
      <c r="J1005" t="s">
        <v>8950</v>
      </c>
    </row>
    <row r="1006" spans="6:10">
      <c r="F1006" t="s">
        <v>8951</v>
      </c>
      <c r="G1006">
        <v>1003</v>
      </c>
      <c r="H1006" t="s">
        <v>4547</v>
      </c>
      <c r="I1006" t="s">
        <v>4548</v>
      </c>
      <c r="J1006" t="s">
        <v>8952</v>
      </c>
    </row>
    <row r="1007" spans="6:10">
      <c r="F1007" t="s">
        <v>8953</v>
      </c>
      <c r="G1007">
        <v>1004</v>
      </c>
      <c r="H1007" t="s">
        <v>548</v>
      </c>
      <c r="I1007" t="s">
        <v>560</v>
      </c>
      <c r="J1007" t="s">
        <v>8954</v>
      </c>
    </row>
    <row r="1008" spans="6:10">
      <c r="F1008" t="s">
        <v>8955</v>
      </c>
      <c r="G1008">
        <v>1005</v>
      </c>
      <c r="H1008" t="s">
        <v>8956</v>
      </c>
      <c r="I1008" t="s">
        <v>8957</v>
      </c>
      <c r="J1008" t="s">
        <v>8958</v>
      </c>
    </row>
    <row r="1009" spans="6:10">
      <c r="F1009" t="s">
        <v>8959</v>
      </c>
      <c r="G1009">
        <v>1006</v>
      </c>
      <c r="H1009" t="s">
        <v>8960</v>
      </c>
      <c r="I1009" t="s">
        <v>8961</v>
      </c>
      <c r="J1009" t="s">
        <v>8962</v>
      </c>
    </row>
    <row r="1010" spans="6:10">
      <c r="F1010" t="s">
        <v>8963</v>
      </c>
      <c r="G1010">
        <v>1007</v>
      </c>
      <c r="H1010" t="s">
        <v>1673</v>
      </c>
      <c r="I1010" t="s">
        <v>1674</v>
      </c>
      <c r="J1010" t="s">
        <v>8964</v>
      </c>
    </row>
    <row r="1011" spans="6:10">
      <c r="F1011" t="s">
        <v>8965</v>
      </c>
      <c r="G1011">
        <v>1008</v>
      </c>
      <c r="H1011" t="s">
        <v>4935</v>
      </c>
      <c r="I1011" t="s">
        <v>174</v>
      </c>
      <c r="J1011" t="s">
        <v>8966</v>
      </c>
    </row>
    <row r="1012" spans="6:10">
      <c r="F1012" t="s">
        <v>8967</v>
      </c>
      <c r="G1012">
        <v>1009</v>
      </c>
      <c r="H1012" t="s">
        <v>72</v>
      </c>
      <c r="I1012" t="s">
        <v>73</v>
      </c>
      <c r="J1012" t="s">
        <v>8968</v>
      </c>
    </row>
    <row r="1013" spans="6:10">
      <c r="F1013" t="s">
        <v>8969</v>
      </c>
      <c r="G1013">
        <v>1010</v>
      </c>
      <c r="H1013" t="s">
        <v>817</v>
      </c>
      <c r="I1013" t="s">
        <v>819</v>
      </c>
      <c r="J1013" t="s">
        <v>8970</v>
      </c>
    </row>
    <row r="1014" spans="6:10">
      <c r="F1014" t="s">
        <v>8971</v>
      </c>
      <c r="G1014">
        <v>1011</v>
      </c>
      <c r="H1014" t="s">
        <v>5107</v>
      </c>
      <c r="I1014" t="s">
        <v>5108</v>
      </c>
      <c r="J1014" t="s">
        <v>8972</v>
      </c>
    </row>
    <row r="1015" spans="6:10">
      <c r="F1015" t="s">
        <v>8973</v>
      </c>
      <c r="G1015">
        <v>1012</v>
      </c>
      <c r="H1015" t="s">
        <v>8974</v>
      </c>
      <c r="I1015" t="s">
        <v>8975</v>
      </c>
      <c r="J1015" t="s">
        <v>8976</v>
      </c>
    </row>
    <row r="1016" spans="6:10">
      <c r="F1016" t="s">
        <v>8977</v>
      </c>
      <c r="G1016">
        <v>1013</v>
      </c>
      <c r="H1016" t="s">
        <v>5324</v>
      </c>
      <c r="I1016" t="s">
        <v>5325</v>
      </c>
      <c r="J1016" t="s">
        <v>8978</v>
      </c>
    </row>
    <row r="1017" spans="6:10">
      <c r="F1017" t="s">
        <v>8979</v>
      </c>
      <c r="G1017">
        <v>1014</v>
      </c>
      <c r="H1017" t="s">
        <v>702</v>
      </c>
      <c r="I1017" t="s">
        <v>703</v>
      </c>
      <c r="J1017" t="s">
        <v>8980</v>
      </c>
    </row>
    <row r="1018" spans="6:10">
      <c r="F1018" t="s">
        <v>8981</v>
      </c>
      <c r="G1018">
        <v>1015</v>
      </c>
      <c r="H1018" t="s">
        <v>8982</v>
      </c>
      <c r="I1018" t="s">
        <v>8983</v>
      </c>
      <c r="J1018" t="s">
        <v>8984</v>
      </c>
    </row>
    <row r="1019" spans="6:10">
      <c r="F1019" t="s">
        <v>8985</v>
      </c>
      <c r="G1019">
        <v>1016</v>
      </c>
      <c r="H1019" t="s">
        <v>8986</v>
      </c>
      <c r="I1019" t="s">
        <v>8987</v>
      </c>
      <c r="J1019" t="s">
        <v>8988</v>
      </c>
    </row>
    <row r="1020" spans="6:10">
      <c r="F1020" t="s">
        <v>8989</v>
      </c>
      <c r="G1020">
        <v>1017</v>
      </c>
      <c r="H1020" t="s">
        <v>496</v>
      </c>
      <c r="I1020" t="s">
        <v>497</v>
      </c>
      <c r="J1020" t="s">
        <v>8990</v>
      </c>
    </row>
    <row r="1021" spans="6:10">
      <c r="F1021" t="s">
        <v>8991</v>
      </c>
      <c r="G1021">
        <v>1018</v>
      </c>
      <c r="H1021" t="s">
        <v>6097</v>
      </c>
      <c r="I1021" t="s">
        <v>6098</v>
      </c>
      <c r="J1021" t="s">
        <v>8992</v>
      </c>
    </row>
    <row r="1022" spans="6:10">
      <c r="F1022" t="s">
        <v>8993</v>
      </c>
      <c r="G1022">
        <v>1019</v>
      </c>
      <c r="H1022" t="s">
        <v>4924</v>
      </c>
      <c r="I1022" t="s">
        <v>4925</v>
      </c>
      <c r="J1022" t="s">
        <v>8994</v>
      </c>
    </row>
    <row r="1023" spans="6:10">
      <c r="F1023" t="s">
        <v>8995</v>
      </c>
      <c r="G1023">
        <v>1020</v>
      </c>
      <c r="H1023" t="s">
        <v>8996</v>
      </c>
      <c r="I1023" t="s">
        <v>8997</v>
      </c>
      <c r="J1023" t="s">
        <v>8998</v>
      </c>
    </row>
    <row r="1024" spans="6:10">
      <c r="F1024" t="s">
        <v>8999</v>
      </c>
      <c r="G1024">
        <v>1021</v>
      </c>
      <c r="H1024" t="s">
        <v>1332</v>
      </c>
      <c r="I1024" t="s">
        <v>1333</v>
      </c>
      <c r="J1024" t="s">
        <v>9000</v>
      </c>
    </row>
    <row r="1025" spans="6:10">
      <c r="F1025" t="s">
        <v>9001</v>
      </c>
      <c r="G1025">
        <v>1022</v>
      </c>
      <c r="H1025" t="s">
        <v>9002</v>
      </c>
      <c r="I1025" t="s">
        <v>9003</v>
      </c>
      <c r="J1025" t="s">
        <v>9004</v>
      </c>
    </row>
    <row r="1026" spans="6:10">
      <c r="F1026" t="s">
        <v>9005</v>
      </c>
      <c r="G1026">
        <v>1023</v>
      </c>
      <c r="H1026" t="s">
        <v>849</v>
      </c>
      <c r="I1026" t="s">
        <v>850</v>
      </c>
      <c r="J1026" t="s">
        <v>9006</v>
      </c>
    </row>
    <row r="1027" spans="6:10">
      <c r="F1027" t="s">
        <v>9007</v>
      </c>
      <c r="G1027">
        <v>1024</v>
      </c>
      <c r="H1027" t="s">
        <v>9008</v>
      </c>
      <c r="I1027" t="s">
        <v>9009</v>
      </c>
      <c r="J1027" t="s">
        <v>9010</v>
      </c>
    </row>
    <row r="1028" spans="6:10">
      <c r="F1028" t="s">
        <v>9011</v>
      </c>
      <c r="G1028">
        <v>1025</v>
      </c>
      <c r="H1028" t="s">
        <v>5641</v>
      </c>
      <c r="I1028" t="s">
        <v>5642</v>
      </c>
      <c r="J1028" t="s">
        <v>9012</v>
      </c>
    </row>
    <row r="1029" spans="6:10">
      <c r="F1029" t="s">
        <v>9013</v>
      </c>
      <c r="G1029">
        <v>1026</v>
      </c>
      <c r="H1029" t="s">
        <v>5908</v>
      </c>
      <c r="I1029" t="s">
        <v>5909</v>
      </c>
      <c r="J1029" t="s">
        <v>9014</v>
      </c>
    </row>
    <row r="1030" spans="6:10">
      <c r="F1030" t="s">
        <v>9015</v>
      </c>
      <c r="G1030">
        <v>1027</v>
      </c>
      <c r="H1030" t="s">
        <v>64</v>
      </c>
      <c r="I1030" t="s">
        <v>65</v>
      </c>
      <c r="J1030" t="s">
        <v>9016</v>
      </c>
    </row>
    <row r="1031" spans="6:10">
      <c r="F1031" t="s">
        <v>9017</v>
      </c>
      <c r="G1031">
        <v>1028</v>
      </c>
      <c r="H1031" t="s">
        <v>2762</v>
      </c>
      <c r="I1031" t="s">
        <v>2763</v>
      </c>
      <c r="J1031" t="s">
        <v>9018</v>
      </c>
    </row>
    <row r="1032" spans="6:10">
      <c r="F1032" t="s">
        <v>9019</v>
      </c>
      <c r="G1032">
        <v>1029</v>
      </c>
      <c r="H1032" t="s">
        <v>9020</v>
      </c>
      <c r="I1032" t="s">
        <v>9021</v>
      </c>
      <c r="J1032" t="s">
        <v>9022</v>
      </c>
    </row>
    <row r="1033" spans="6:10">
      <c r="F1033" t="s">
        <v>9023</v>
      </c>
      <c r="G1033">
        <v>1030</v>
      </c>
      <c r="H1033" t="s">
        <v>9024</v>
      </c>
      <c r="I1033" t="s">
        <v>9025</v>
      </c>
      <c r="J1033" t="s">
        <v>9026</v>
      </c>
    </row>
    <row r="1034" spans="6:10">
      <c r="F1034" t="s">
        <v>9027</v>
      </c>
      <c r="G1034">
        <v>1031</v>
      </c>
      <c r="H1034" t="s">
        <v>4284</v>
      </c>
      <c r="I1034" t="s">
        <v>4285</v>
      </c>
      <c r="J1034" t="s">
        <v>9028</v>
      </c>
    </row>
    <row r="1035" spans="6:10">
      <c r="F1035" t="s">
        <v>9029</v>
      </c>
      <c r="G1035">
        <v>1032</v>
      </c>
      <c r="H1035" t="s">
        <v>9030</v>
      </c>
      <c r="I1035" t="s">
        <v>9031</v>
      </c>
      <c r="J1035" t="s">
        <v>9032</v>
      </c>
    </row>
    <row r="1036" spans="6:10">
      <c r="F1036" t="s">
        <v>9033</v>
      </c>
      <c r="G1036">
        <v>1033</v>
      </c>
      <c r="H1036" t="s">
        <v>4569</v>
      </c>
      <c r="I1036" t="s">
        <v>4570</v>
      </c>
      <c r="J1036" t="s">
        <v>9034</v>
      </c>
    </row>
    <row r="1037" spans="6:10">
      <c r="F1037" t="s">
        <v>9035</v>
      </c>
      <c r="G1037">
        <v>1034</v>
      </c>
      <c r="H1037" t="s">
        <v>1858</v>
      </c>
      <c r="I1037" t="s">
        <v>1859</v>
      </c>
      <c r="J1037" t="s">
        <v>9036</v>
      </c>
    </row>
    <row r="1038" spans="6:10">
      <c r="F1038" t="s">
        <v>9037</v>
      </c>
      <c r="G1038">
        <v>1035</v>
      </c>
      <c r="H1038" t="s">
        <v>2179</v>
      </c>
      <c r="I1038" t="s">
        <v>2180</v>
      </c>
      <c r="J1038" t="s">
        <v>9038</v>
      </c>
    </row>
    <row r="1039" spans="6:10">
      <c r="F1039" t="s">
        <v>9039</v>
      </c>
      <c r="G1039">
        <v>1036</v>
      </c>
      <c r="H1039" t="s">
        <v>4676</v>
      </c>
      <c r="I1039" t="s">
        <v>4677</v>
      </c>
      <c r="J1039" t="s">
        <v>9040</v>
      </c>
    </row>
    <row r="1040" spans="6:10">
      <c r="F1040" t="s">
        <v>9041</v>
      </c>
      <c r="G1040">
        <v>1037</v>
      </c>
      <c r="H1040" t="s">
        <v>3949</v>
      </c>
      <c r="I1040" t="s">
        <v>3950</v>
      </c>
      <c r="J1040" t="s">
        <v>9042</v>
      </c>
    </row>
    <row r="1041" spans="6:10">
      <c r="F1041" t="s">
        <v>9043</v>
      </c>
      <c r="G1041">
        <v>1038</v>
      </c>
      <c r="H1041" t="s">
        <v>607</v>
      </c>
      <c r="I1041" t="s">
        <v>608</v>
      </c>
      <c r="J1041" t="s">
        <v>9044</v>
      </c>
    </row>
    <row r="1042" spans="6:10">
      <c r="F1042" t="s">
        <v>9045</v>
      </c>
      <c r="G1042">
        <v>1039</v>
      </c>
      <c r="H1042" t="s">
        <v>9046</v>
      </c>
      <c r="I1042" t="s">
        <v>9047</v>
      </c>
      <c r="J1042" t="s">
        <v>9048</v>
      </c>
    </row>
    <row r="1043" spans="6:10">
      <c r="F1043" t="s">
        <v>9049</v>
      </c>
      <c r="G1043">
        <v>1040</v>
      </c>
      <c r="H1043" t="s">
        <v>1449</v>
      </c>
      <c r="I1043" t="s">
        <v>1450</v>
      </c>
      <c r="J1043" t="s">
        <v>9050</v>
      </c>
    </row>
    <row r="1044" spans="6:10">
      <c r="F1044" t="s">
        <v>9051</v>
      </c>
      <c r="G1044">
        <v>1041</v>
      </c>
      <c r="H1044" t="s">
        <v>9052</v>
      </c>
      <c r="I1044" t="s">
        <v>9053</v>
      </c>
      <c r="J1044" t="s">
        <v>9054</v>
      </c>
    </row>
    <row r="1045" spans="6:10">
      <c r="F1045" t="s">
        <v>9055</v>
      </c>
      <c r="G1045">
        <v>1042</v>
      </c>
      <c r="H1045" t="s">
        <v>3796</v>
      </c>
      <c r="I1045" t="s">
        <v>3797</v>
      </c>
      <c r="J1045" t="s">
        <v>9056</v>
      </c>
    </row>
    <row r="1046" spans="6:10">
      <c r="F1046" t="s">
        <v>9057</v>
      </c>
      <c r="G1046">
        <v>1043</v>
      </c>
      <c r="H1046" t="s">
        <v>2728</v>
      </c>
      <c r="I1046" t="s">
        <v>2729</v>
      </c>
      <c r="J1046" t="s">
        <v>9058</v>
      </c>
    </row>
    <row r="1047" spans="6:10">
      <c r="F1047" t="s">
        <v>9059</v>
      </c>
      <c r="G1047">
        <v>1044</v>
      </c>
      <c r="H1047" t="s">
        <v>9046</v>
      </c>
      <c r="I1047" t="s">
        <v>9060</v>
      </c>
      <c r="J1047" t="s">
        <v>9061</v>
      </c>
    </row>
    <row r="1048" spans="6:10">
      <c r="F1048" t="s">
        <v>9062</v>
      </c>
      <c r="G1048">
        <v>1045</v>
      </c>
      <c r="H1048" t="s">
        <v>5319</v>
      </c>
      <c r="I1048" t="s">
        <v>5320</v>
      </c>
      <c r="J1048" t="s">
        <v>9063</v>
      </c>
    </row>
    <row r="1049" spans="6:10">
      <c r="F1049" t="s">
        <v>9064</v>
      </c>
      <c r="G1049">
        <v>1046</v>
      </c>
      <c r="H1049" t="s">
        <v>5132</v>
      </c>
      <c r="I1049" t="s">
        <v>5133</v>
      </c>
      <c r="J1049" t="s">
        <v>9065</v>
      </c>
    </row>
    <row r="1050" spans="6:10">
      <c r="F1050" t="s">
        <v>9066</v>
      </c>
      <c r="G1050">
        <v>1047</v>
      </c>
      <c r="H1050" t="s">
        <v>9067</v>
      </c>
      <c r="I1050" t="s">
        <v>9068</v>
      </c>
      <c r="J1050" t="s">
        <v>9069</v>
      </c>
    </row>
    <row r="1051" spans="6:10">
      <c r="F1051" t="s">
        <v>9070</v>
      </c>
      <c r="G1051">
        <v>1048</v>
      </c>
      <c r="H1051" t="s">
        <v>3970</v>
      </c>
      <c r="I1051" t="s">
        <v>3971</v>
      </c>
      <c r="J1051" t="s">
        <v>9071</v>
      </c>
    </row>
    <row r="1052" spans="6:10">
      <c r="F1052" t="s">
        <v>9072</v>
      </c>
      <c r="G1052">
        <v>1049</v>
      </c>
      <c r="H1052" t="s">
        <v>9073</v>
      </c>
      <c r="I1052" t="s">
        <v>9074</v>
      </c>
      <c r="J1052" t="s">
        <v>9075</v>
      </c>
    </row>
    <row r="1053" spans="6:10">
      <c r="F1053" t="s">
        <v>9076</v>
      </c>
      <c r="G1053">
        <v>1050</v>
      </c>
      <c r="H1053" t="s">
        <v>3047</v>
      </c>
      <c r="I1053" t="s">
        <v>3048</v>
      </c>
      <c r="J1053" t="s">
        <v>9077</v>
      </c>
    </row>
    <row r="1054" spans="6:10">
      <c r="F1054" t="s">
        <v>9078</v>
      </c>
      <c r="G1054">
        <v>1051</v>
      </c>
      <c r="H1054" t="s">
        <v>4939</v>
      </c>
      <c r="I1054" t="s">
        <v>4940</v>
      </c>
      <c r="J1054" t="s">
        <v>9079</v>
      </c>
    </row>
    <row r="1055" spans="6:10">
      <c r="F1055" t="s">
        <v>9080</v>
      </c>
      <c r="G1055">
        <v>1052</v>
      </c>
      <c r="H1055" t="s">
        <v>531</v>
      </c>
      <c r="I1055" t="s">
        <v>532</v>
      </c>
      <c r="J1055" t="s">
        <v>9081</v>
      </c>
    </row>
    <row r="1056" spans="6:10">
      <c r="F1056" t="s">
        <v>9082</v>
      </c>
      <c r="G1056">
        <v>1053</v>
      </c>
      <c r="H1056" t="s">
        <v>1610</v>
      </c>
      <c r="I1056" t="s">
        <v>1611</v>
      </c>
      <c r="J1056" t="s">
        <v>9083</v>
      </c>
    </row>
    <row r="1057" spans="6:10">
      <c r="F1057" t="s">
        <v>9084</v>
      </c>
      <c r="G1057">
        <v>1054</v>
      </c>
      <c r="H1057" t="s">
        <v>5469</v>
      </c>
      <c r="I1057" t="s">
        <v>5470</v>
      </c>
      <c r="J1057" t="s">
        <v>9085</v>
      </c>
    </row>
    <row r="1058" spans="6:10">
      <c r="F1058" t="s">
        <v>9086</v>
      </c>
      <c r="G1058">
        <v>1055</v>
      </c>
      <c r="H1058" t="s">
        <v>3607</v>
      </c>
      <c r="I1058" t="s">
        <v>3608</v>
      </c>
      <c r="J1058" t="s">
        <v>9087</v>
      </c>
    </row>
    <row r="1059" spans="6:10">
      <c r="F1059" t="s">
        <v>9088</v>
      </c>
      <c r="G1059">
        <v>1056</v>
      </c>
      <c r="H1059" t="s">
        <v>9089</v>
      </c>
      <c r="I1059" t="s">
        <v>9090</v>
      </c>
      <c r="J1059" t="s">
        <v>9091</v>
      </c>
    </row>
    <row r="1060" spans="6:10">
      <c r="F1060" t="s">
        <v>9092</v>
      </c>
      <c r="G1060">
        <v>1057</v>
      </c>
      <c r="H1060" t="s">
        <v>9093</v>
      </c>
      <c r="I1060" t="s">
        <v>9094</v>
      </c>
      <c r="J1060" t="s">
        <v>9095</v>
      </c>
    </row>
    <row r="1061" spans="6:10">
      <c r="F1061" t="s">
        <v>9096</v>
      </c>
      <c r="G1061">
        <v>1058</v>
      </c>
      <c r="H1061" t="s">
        <v>1703</v>
      </c>
      <c r="I1061" t="s">
        <v>1704</v>
      </c>
      <c r="J1061" t="s">
        <v>9097</v>
      </c>
    </row>
    <row r="1062" spans="6:10">
      <c r="F1062" t="s">
        <v>9098</v>
      </c>
      <c r="G1062">
        <v>1059</v>
      </c>
      <c r="H1062" t="s">
        <v>9099</v>
      </c>
      <c r="I1062" t="s">
        <v>9100</v>
      </c>
      <c r="J1062" t="s">
        <v>9101</v>
      </c>
    </row>
    <row r="1063" spans="6:10">
      <c r="F1063" t="s">
        <v>9102</v>
      </c>
      <c r="G1063">
        <v>1060</v>
      </c>
      <c r="H1063" t="s">
        <v>9103</v>
      </c>
      <c r="I1063" t="s">
        <v>9104</v>
      </c>
      <c r="J1063" t="s">
        <v>9105</v>
      </c>
    </row>
    <row r="1064" spans="6:10">
      <c r="F1064" t="s">
        <v>9106</v>
      </c>
      <c r="G1064">
        <v>1061</v>
      </c>
      <c r="H1064" t="s">
        <v>4481</v>
      </c>
      <c r="I1064" t="s">
        <v>2823</v>
      </c>
      <c r="J1064" t="s">
        <v>9107</v>
      </c>
    </row>
    <row r="1065" spans="6:10">
      <c r="F1065" t="s">
        <v>9108</v>
      </c>
      <c r="G1065">
        <v>1062</v>
      </c>
      <c r="H1065" t="s">
        <v>2736</v>
      </c>
      <c r="I1065" t="s">
        <v>2737</v>
      </c>
      <c r="J1065" t="s">
        <v>9109</v>
      </c>
    </row>
    <row r="1066" spans="6:10">
      <c r="F1066" t="s">
        <v>9110</v>
      </c>
      <c r="G1066">
        <v>1063</v>
      </c>
      <c r="H1066" t="s">
        <v>4565</v>
      </c>
      <c r="I1066" t="s">
        <v>4566</v>
      </c>
      <c r="J1066" t="s">
        <v>9111</v>
      </c>
    </row>
    <row r="1067" spans="6:10">
      <c r="F1067" t="s">
        <v>9112</v>
      </c>
      <c r="G1067">
        <v>1064</v>
      </c>
      <c r="H1067" t="s">
        <v>1464</v>
      </c>
      <c r="I1067" t="s">
        <v>1465</v>
      </c>
      <c r="J1067" t="s">
        <v>9113</v>
      </c>
    </row>
    <row r="1068" spans="6:10">
      <c r="F1068" t="s">
        <v>9114</v>
      </c>
      <c r="G1068">
        <v>1065</v>
      </c>
      <c r="H1068" t="s">
        <v>1807</v>
      </c>
      <c r="I1068" t="s">
        <v>1808</v>
      </c>
      <c r="J1068" t="s">
        <v>9115</v>
      </c>
    </row>
    <row r="1069" spans="6:10">
      <c r="F1069" t="s">
        <v>9116</v>
      </c>
      <c r="G1069">
        <v>1066</v>
      </c>
      <c r="H1069" t="s">
        <v>2909</v>
      </c>
      <c r="I1069" t="s">
        <v>2909</v>
      </c>
      <c r="J1069" t="s">
        <v>9117</v>
      </c>
    </row>
    <row r="1070" spans="6:10">
      <c r="F1070" t="s">
        <v>9118</v>
      </c>
      <c r="G1070">
        <v>1067</v>
      </c>
      <c r="H1070" t="s">
        <v>9119</v>
      </c>
      <c r="I1070" t="s">
        <v>9120</v>
      </c>
      <c r="J1070" t="s">
        <v>9121</v>
      </c>
    </row>
    <row r="1071" spans="6:10">
      <c r="F1071" t="s">
        <v>9122</v>
      </c>
      <c r="G1071">
        <v>1068</v>
      </c>
      <c r="H1071" t="s">
        <v>9123</v>
      </c>
      <c r="I1071" t="s">
        <v>9124</v>
      </c>
      <c r="J1071" t="s">
        <v>9125</v>
      </c>
    </row>
    <row r="1072" spans="6:10">
      <c r="F1072" t="s">
        <v>9126</v>
      </c>
      <c r="G1072">
        <v>1069</v>
      </c>
      <c r="H1072" t="s">
        <v>9127</v>
      </c>
      <c r="I1072" t="s">
        <v>9128</v>
      </c>
      <c r="J1072" t="s">
        <v>9129</v>
      </c>
    </row>
    <row r="1073" spans="6:10">
      <c r="F1073" t="s">
        <v>9130</v>
      </c>
      <c r="G1073">
        <v>1070</v>
      </c>
      <c r="H1073" t="s">
        <v>9131</v>
      </c>
      <c r="I1073" t="s">
        <v>9132</v>
      </c>
      <c r="J1073" t="s">
        <v>9133</v>
      </c>
    </row>
    <row r="1074" spans="6:10">
      <c r="F1074" t="s">
        <v>9134</v>
      </c>
      <c r="G1074">
        <v>1071</v>
      </c>
      <c r="H1074" t="s">
        <v>4319</v>
      </c>
      <c r="I1074" t="s">
        <v>4320</v>
      </c>
      <c r="J1074" t="s">
        <v>9135</v>
      </c>
    </row>
    <row r="1075" spans="6:10">
      <c r="F1075" t="s">
        <v>9136</v>
      </c>
      <c r="G1075">
        <v>1072</v>
      </c>
      <c r="H1075" t="s">
        <v>5767</v>
      </c>
      <c r="I1075" t="s">
        <v>5768</v>
      </c>
      <c r="J1075" t="s">
        <v>9137</v>
      </c>
    </row>
    <row r="1076" spans="6:10">
      <c r="F1076" t="s">
        <v>9138</v>
      </c>
      <c r="G1076">
        <v>1073</v>
      </c>
      <c r="H1076" t="s">
        <v>3033</v>
      </c>
      <c r="I1076" t="s">
        <v>3034</v>
      </c>
      <c r="J1076" t="s">
        <v>9139</v>
      </c>
    </row>
    <row r="1077" spans="6:10">
      <c r="F1077" t="s">
        <v>9140</v>
      </c>
      <c r="G1077">
        <v>1074</v>
      </c>
      <c r="H1077" t="s">
        <v>9141</v>
      </c>
      <c r="I1077" t="s">
        <v>9142</v>
      </c>
      <c r="J1077" t="s">
        <v>9143</v>
      </c>
    </row>
    <row r="1078" spans="6:10">
      <c r="F1078" t="s">
        <v>9144</v>
      </c>
      <c r="G1078">
        <v>1075</v>
      </c>
      <c r="H1078" t="s">
        <v>1924</v>
      </c>
      <c r="I1078" t="s">
        <v>1925</v>
      </c>
      <c r="J1078" t="s">
        <v>9145</v>
      </c>
    </row>
    <row r="1079" spans="6:10">
      <c r="F1079" t="s">
        <v>9146</v>
      </c>
      <c r="G1079">
        <v>1076</v>
      </c>
      <c r="H1079" t="s">
        <v>9147</v>
      </c>
      <c r="I1079" t="s">
        <v>9148</v>
      </c>
      <c r="J1079" t="s">
        <v>9149</v>
      </c>
    </row>
    <row r="1080" spans="6:10">
      <c r="F1080" t="s">
        <v>9150</v>
      </c>
      <c r="G1080">
        <v>1077</v>
      </c>
      <c r="H1080" t="s">
        <v>5540</v>
      </c>
      <c r="I1080" t="s">
        <v>5541</v>
      </c>
      <c r="J1080" t="s">
        <v>9151</v>
      </c>
    </row>
    <row r="1081" spans="6:10">
      <c r="F1081" t="s">
        <v>9152</v>
      </c>
      <c r="G1081">
        <v>1078</v>
      </c>
      <c r="H1081" t="s">
        <v>9153</v>
      </c>
      <c r="I1081" t="s">
        <v>9154</v>
      </c>
      <c r="J1081" t="s">
        <v>9155</v>
      </c>
    </row>
    <row r="1082" spans="6:10">
      <c r="F1082" t="s">
        <v>9156</v>
      </c>
      <c r="G1082">
        <v>1079</v>
      </c>
      <c r="H1082" t="s">
        <v>1149</v>
      </c>
      <c r="I1082" t="s">
        <v>1150</v>
      </c>
      <c r="J1082" t="s">
        <v>9157</v>
      </c>
    </row>
    <row r="1083" spans="6:10">
      <c r="F1083" t="s">
        <v>9158</v>
      </c>
      <c r="G1083">
        <v>1080</v>
      </c>
      <c r="H1083" t="s">
        <v>4561</v>
      </c>
      <c r="I1083" t="s">
        <v>4562</v>
      </c>
      <c r="J1083" t="s">
        <v>9159</v>
      </c>
    </row>
    <row r="1084" spans="6:10">
      <c r="F1084" t="s">
        <v>9160</v>
      </c>
      <c r="G1084">
        <v>1081</v>
      </c>
      <c r="H1084" t="s">
        <v>3844</v>
      </c>
      <c r="I1084" t="s">
        <v>3845</v>
      </c>
      <c r="J1084" t="s">
        <v>9161</v>
      </c>
    </row>
    <row r="1085" spans="6:10">
      <c r="F1085" t="s">
        <v>9162</v>
      </c>
      <c r="G1085">
        <v>1082</v>
      </c>
      <c r="H1085" t="s">
        <v>3362</v>
      </c>
      <c r="I1085" t="s">
        <v>3363</v>
      </c>
      <c r="J1085" t="s">
        <v>9163</v>
      </c>
    </row>
    <row r="1086" spans="6:10">
      <c r="F1086" t="s">
        <v>9164</v>
      </c>
      <c r="G1086">
        <v>1083</v>
      </c>
      <c r="H1086" t="s">
        <v>4930</v>
      </c>
      <c r="I1086" t="s">
        <v>4869</v>
      </c>
      <c r="J1086" t="s">
        <v>9165</v>
      </c>
    </row>
    <row r="1087" spans="6:10">
      <c r="F1087" t="s">
        <v>9166</v>
      </c>
      <c r="G1087">
        <v>1084</v>
      </c>
      <c r="H1087" t="s">
        <v>9167</v>
      </c>
      <c r="I1087" t="s">
        <v>9168</v>
      </c>
      <c r="J1087" t="s">
        <v>9169</v>
      </c>
    </row>
    <row r="1088" spans="6:10">
      <c r="F1088" t="s">
        <v>9170</v>
      </c>
      <c r="G1088">
        <v>1085</v>
      </c>
      <c r="H1088" t="s">
        <v>4726</v>
      </c>
      <c r="I1088" t="s">
        <v>4727</v>
      </c>
      <c r="J1088" t="s">
        <v>9171</v>
      </c>
    </row>
    <row r="1089" spans="6:10">
      <c r="F1089" t="s">
        <v>9172</v>
      </c>
      <c r="G1089">
        <v>1086</v>
      </c>
      <c r="H1089" t="s">
        <v>3403</v>
      </c>
      <c r="I1089" t="s">
        <v>3404</v>
      </c>
      <c r="J1089" t="s">
        <v>9173</v>
      </c>
    </row>
    <row r="1090" spans="6:10">
      <c r="F1090" t="s">
        <v>9174</v>
      </c>
      <c r="G1090">
        <v>1087</v>
      </c>
      <c r="H1090" t="s">
        <v>2181</v>
      </c>
      <c r="I1090" t="s">
        <v>2182</v>
      </c>
      <c r="J1090" t="s">
        <v>9175</v>
      </c>
    </row>
    <row r="1091" spans="6:10">
      <c r="F1091" t="s">
        <v>9176</v>
      </c>
      <c r="G1091">
        <v>1088</v>
      </c>
      <c r="H1091" t="s">
        <v>1462</v>
      </c>
      <c r="I1091" t="s">
        <v>1463</v>
      </c>
      <c r="J1091" t="s">
        <v>9177</v>
      </c>
    </row>
    <row r="1092" spans="6:10">
      <c r="F1092" t="s">
        <v>9178</v>
      </c>
      <c r="G1092">
        <v>1089</v>
      </c>
      <c r="H1092" t="s">
        <v>5285</v>
      </c>
      <c r="I1092" t="s">
        <v>5286</v>
      </c>
      <c r="J1092" t="s">
        <v>9179</v>
      </c>
    </row>
    <row r="1093" spans="6:10">
      <c r="F1093" t="s">
        <v>9180</v>
      </c>
      <c r="G1093">
        <v>1090</v>
      </c>
      <c r="H1093" t="s">
        <v>9181</v>
      </c>
      <c r="I1093" t="s">
        <v>9182</v>
      </c>
      <c r="J1093" t="s">
        <v>9183</v>
      </c>
    </row>
    <row r="1094" spans="6:10">
      <c r="F1094" t="s">
        <v>9184</v>
      </c>
      <c r="G1094">
        <v>1091</v>
      </c>
      <c r="H1094" t="s">
        <v>3107</v>
      </c>
      <c r="I1094" t="s">
        <v>3108</v>
      </c>
      <c r="J1094" t="s">
        <v>9185</v>
      </c>
    </row>
    <row r="1095" spans="6:10">
      <c r="F1095" t="s">
        <v>9186</v>
      </c>
      <c r="G1095">
        <v>1092</v>
      </c>
      <c r="H1095" t="s">
        <v>152</v>
      </c>
      <c r="I1095" t="s">
        <v>153</v>
      </c>
      <c r="J1095" t="s">
        <v>9187</v>
      </c>
    </row>
    <row r="1096" spans="6:10">
      <c r="F1096" t="s">
        <v>9188</v>
      </c>
      <c r="G1096">
        <v>1093</v>
      </c>
      <c r="H1096" t="s">
        <v>1768</v>
      </c>
      <c r="I1096" t="s">
        <v>1769</v>
      </c>
      <c r="J1096" t="s">
        <v>9189</v>
      </c>
    </row>
    <row r="1097" spans="6:10">
      <c r="F1097" t="s">
        <v>9190</v>
      </c>
      <c r="G1097">
        <v>1094</v>
      </c>
      <c r="H1097" t="s">
        <v>685</v>
      </c>
      <c r="I1097" t="s">
        <v>686</v>
      </c>
      <c r="J1097" t="s">
        <v>9191</v>
      </c>
    </row>
    <row r="1098" spans="6:10">
      <c r="F1098" t="s">
        <v>9192</v>
      </c>
      <c r="G1098">
        <v>1095</v>
      </c>
      <c r="H1098" t="s">
        <v>2855</v>
      </c>
      <c r="I1098" t="s">
        <v>2856</v>
      </c>
      <c r="J1098" t="s">
        <v>9193</v>
      </c>
    </row>
    <row r="1099" spans="6:10">
      <c r="F1099" t="s">
        <v>9194</v>
      </c>
      <c r="G1099">
        <v>1096</v>
      </c>
      <c r="H1099" t="s">
        <v>1717</v>
      </c>
      <c r="I1099" t="s">
        <v>1718</v>
      </c>
      <c r="J1099" t="s">
        <v>9195</v>
      </c>
    </row>
    <row r="1100" spans="6:10">
      <c r="F1100" t="s">
        <v>9196</v>
      </c>
      <c r="G1100">
        <v>1097</v>
      </c>
      <c r="H1100" t="s">
        <v>9197</v>
      </c>
      <c r="I1100" t="s">
        <v>9198</v>
      </c>
      <c r="J1100" t="s">
        <v>9199</v>
      </c>
    </row>
    <row r="1101" spans="6:10">
      <c r="F1101" t="s">
        <v>9200</v>
      </c>
      <c r="G1101">
        <v>1098</v>
      </c>
      <c r="H1101" t="s">
        <v>478</v>
      </c>
      <c r="I1101" t="s">
        <v>479</v>
      </c>
      <c r="J1101" t="s">
        <v>9201</v>
      </c>
    </row>
    <row r="1102" spans="6:10">
      <c r="F1102" t="s">
        <v>9202</v>
      </c>
      <c r="G1102">
        <v>1099</v>
      </c>
      <c r="H1102" t="s">
        <v>4231</v>
      </c>
      <c r="I1102" t="s">
        <v>4232</v>
      </c>
      <c r="J1102" t="s">
        <v>9203</v>
      </c>
    </row>
    <row r="1103" spans="6:10">
      <c r="F1103" t="s">
        <v>9204</v>
      </c>
      <c r="G1103">
        <v>1100</v>
      </c>
      <c r="H1103" t="s">
        <v>5190</v>
      </c>
      <c r="I1103" t="s">
        <v>5191</v>
      </c>
      <c r="J1103" t="s">
        <v>9205</v>
      </c>
    </row>
    <row r="1104" spans="6:10">
      <c r="F1104" t="s">
        <v>9206</v>
      </c>
      <c r="G1104">
        <v>1101</v>
      </c>
      <c r="H1104" t="s">
        <v>2694</v>
      </c>
      <c r="I1104" t="s">
        <v>2695</v>
      </c>
      <c r="J1104" t="s">
        <v>9207</v>
      </c>
    </row>
    <row r="1105" spans="6:10">
      <c r="F1105" t="s">
        <v>9208</v>
      </c>
      <c r="G1105">
        <v>1102</v>
      </c>
      <c r="H1105" t="s">
        <v>828</v>
      </c>
      <c r="I1105" t="s">
        <v>829</v>
      </c>
      <c r="J1105" t="s">
        <v>9209</v>
      </c>
    </row>
    <row r="1106" spans="6:10">
      <c r="F1106" t="s">
        <v>9210</v>
      </c>
      <c r="G1106">
        <v>1103</v>
      </c>
      <c r="H1106" t="s">
        <v>9211</v>
      </c>
      <c r="I1106" t="s">
        <v>9212</v>
      </c>
      <c r="J1106" t="s">
        <v>9213</v>
      </c>
    </row>
    <row r="1107" spans="6:10">
      <c r="F1107" t="s">
        <v>9214</v>
      </c>
      <c r="G1107">
        <v>1104</v>
      </c>
      <c r="H1107" t="s">
        <v>1308</v>
      </c>
      <c r="I1107" t="s">
        <v>1309</v>
      </c>
      <c r="J1107" t="s">
        <v>9215</v>
      </c>
    </row>
    <row r="1108" spans="6:10">
      <c r="F1108" t="s">
        <v>9216</v>
      </c>
      <c r="G1108">
        <v>1105</v>
      </c>
      <c r="H1108" t="s">
        <v>5534</v>
      </c>
      <c r="I1108" t="s">
        <v>5535</v>
      </c>
      <c r="J1108" t="s">
        <v>9217</v>
      </c>
    </row>
    <row r="1109" spans="6:10">
      <c r="F1109" t="s">
        <v>9218</v>
      </c>
      <c r="G1109">
        <v>1106</v>
      </c>
      <c r="H1109" t="s">
        <v>9219</v>
      </c>
      <c r="I1109" t="s">
        <v>9220</v>
      </c>
      <c r="J1109" t="s">
        <v>9221</v>
      </c>
    </row>
    <row r="1110" spans="6:10">
      <c r="F1110" t="s">
        <v>9222</v>
      </c>
      <c r="G1110">
        <v>1107</v>
      </c>
      <c r="H1110" t="s">
        <v>9223</v>
      </c>
      <c r="I1110" t="s">
        <v>9224</v>
      </c>
      <c r="J1110" t="s">
        <v>9225</v>
      </c>
    </row>
    <row r="1111" spans="6:10">
      <c r="F1111" t="s">
        <v>9226</v>
      </c>
      <c r="G1111">
        <v>1108</v>
      </c>
      <c r="H1111" t="s">
        <v>9227</v>
      </c>
      <c r="I1111" t="s">
        <v>9228</v>
      </c>
      <c r="J1111" t="s">
        <v>9229</v>
      </c>
    </row>
    <row r="1112" spans="6:10">
      <c r="F1112" t="s">
        <v>9230</v>
      </c>
      <c r="G1112">
        <v>1109</v>
      </c>
      <c r="H1112" t="s">
        <v>813</v>
      </c>
      <c r="I1112" t="s">
        <v>814</v>
      </c>
      <c r="J1112" t="s">
        <v>9231</v>
      </c>
    </row>
    <row r="1113" spans="6:10">
      <c r="F1113" t="s">
        <v>9232</v>
      </c>
      <c r="G1113">
        <v>1110</v>
      </c>
      <c r="H1113" t="s">
        <v>4519</v>
      </c>
      <c r="I1113" t="s">
        <v>4520</v>
      </c>
      <c r="J1113" t="s">
        <v>9233</v>
      </c>
    </row>
    <row r="1114" spans="6:10">
      <c r="F1114" t="s">
        <v>9234</v>
      </c>
      <c r="G1114">
        <v>1111</v>
      </c>
      <c r="H1114" t="s">
        <v>9235</v>
      </c>
      <c r="I1114" t="s">
        <v>9236</v>
      </c>
      <c r="J1114" t="s">
        <v>9237</v>
      </c>
    </row>
    <row r="1115" spans="6:10">
      <c r="F1115" t="s">
        <v>9238</v>
      </c>
      <c r="G1115">
        <v>1112</v>
      </c>
      <c r="H1115" t="s">
        <v>5734</v>
      </c>
      <c r="I1115" t="s">
        <v>23587</v>
      </c>
      <c r="J1115" t="s">
        <v>9239</v>
      </c>
    </row>
    <row r="1116" spans="6:10">
      <c r="F1116" t="s">
        <v>9240</v>
      </c>
      <c r="G1116">
        <v>1113</v>
      </c>
      <c r="H1116" t="s">
        <v>4821</v>
      </c>
      <c r="I1116" t="s">
        <v>4822</v>
      </c>
      <c r="J1116" t="s">
        <v>9241</v>
      </c>
    </row>
    <row r="1117" spans="6:10">
      <c r="F1117" t="s">
        <v>9242</v>
      </c>
      <c r="G1117">
        <v>1114</v>
      </c>
      <c r="H1117" t="s">
        <v>9243</v>
      </c>
      <c r="I1117" t="s">
        <v>9244</v>
      </c>
      <c r="J1117" t="s">
        <v>9245</v>
      </c>
    </row>
    <row r="1118" spans="6:10">
      <c r="F1118" t="s">
        <v>9246</v>
      </c>
      <c r="G1118">
        <v>1115</v>
      </c>
      <c r="H1118" t="s">
        <v>5634</v>
      </c>
      <c r="I1118" t="s">
        <v>540</v>
      </c>
      <c r="J1118" t="s">
        <v>9247</v>
      </c>
    </row>
    <row r="1119" spans="6:10">
      <c r="F1119" t="s">
        <v>9248</v>
      </c>
      <c r="G1119">
        <v>1116</v>
      </c>
      <c r="H1119" t="s">
        <v>6114</v>
      </c>
      <c r="I1119" t="s">
        <v>6115</v>
      </c>
      <c r="J1119" t="s">
        <v>9249</v>
      </c>
    </row>
    <row r="1120" spans="6:10">
      <c r="F1120" t="s">
        <v>9250</v>
      </c>
      <c r="G1120">
        <v>1117</v>
      </c>
      <c r="H1120" t="s">
        <v>3611</v>
      </c>
      <c r="I1120" t="s">
        <v>3612</v>
      </c>
      <c r="J1120" t="s">
        <v>9251</v>
      </c>
    </row>
    <row r="1121" spans="6:10">
      <c r="F1121" t="s">
        <v>9252</v>
      </c>
      <c r="G1121">
        <v>1118</v>
      </c>
      <c r="H1121" t="s">
        <v>4200</v>
      </c>
      <c r="I1121" t="s">
        <v>4201</v>
      </c>
      <c r="J1121" t="s">
        <v>9253</v>
      </c>
    </row>
    <row r="1122" spans="6:10">
      <c r="F1122" t="s">
        <v>9254</v>
      </c>
      <c r="G1122">
        <v>1119</v>
      </c>
      <c r="H1122" t="s">
        <v>5572</v>
      </c>
      <c r="I1122" t="s">
        <v>5573</v>
      </c>
      <c r="J1122" t="s">
        <v>9255</v>
      </c>
    </row>
    <row r="1123" spans="6:10">
      <c r="F1123" t="s">
        <v>9256</v>
      </c>
      <c r="G1123">
        <v>1120</v>
      </c>
      <c r="H1123" t="s">
        <v>9257</v>
      </c>
      <c r="I1123" t="s">
        <v>9258</v>
      </c>
      <c r="J1123" t="s">
        <v>9259</v>
      </c>
    </row>
    <row r="1124" spans="6:10">
      <c r="F1124" t="s">
        <v>9260</v>
      </c>
      <c r="G1124">
        <v>1121</v>
      </c>
      <c r="H1124" t="s">
        <v>3512</v>
      </c>
      <c r="I1124" t="s">
        <v>3513</v>
      </c>
      <c r="J1124" t="s">
        <v>9261</v>
      </c>
    </row>
    <row r="1125" spans="6:10">
      <c r="F1125" t="s">
        <v>9262</v>
      </c>
      <c r="G1125">
        <v>1122</v>
      </c>
      <c r="H1125" t="s">
        <v>4637</v>
      </c>
      <c r="I1125" t="s">
        <v>4638</v>
      </c>
      <c r="J1125" t="s">
        <v>9263</v>
      </c>
    </row>
    <row r="1126" spans="6:10">
      <c r="F1126" t="s">
        <v>9264</v>
      </c>
      <c r="G1126">
        <v>1123</v>
      </c>
      <c r="H1126" t="s">
        <v>4041</v>
      </c>
      <c r="I1126" t="s">
        <v>4042</v>
      </c>
      <c r="J1126" t="s">
        <v>9265</v>
      </c>
    </row>
    <row r="1127" spans="6:10">
      <c r="F1127" t="s">
        <v>9266</v>
      </c>
      <c r="G1127">
        <v>1124</v>
      </c>
      <c r="H1127" t="s">
        <v>3727</v>
      </c>
      <c r="I1127" t="s">
        <v>3728</v>
      </c>
      <c r="J1127" t="s">
        <v>9267</v>
      </c>
    </row>
    <row r="1128" spans="6:10">
      <c r="F1128" t="s">
        <v>9268</v>
      </c>
      <c r="G1128">
        <v>1125</v>
      </c>
      <c r="H1128" t="s">
        <v>9269</v>
      </c>
      <c r="I1128" t="s">
        <v>9270</v>
      </c>
      <c r="J1128" t="s">
        <v>9271</v>
      </c>
    </row>
    <row r="1129" spans="6:10">
      <c r="F1129" t="s">
        <v>9272</v>
      </c>
      <c r="G1129">
        <v>1126</v>
      </c>
      <c r="H1129" t="s">
        <v>1822</v>
      </c>
      <c r="I1129" t="s">
        <v>1823</v>
      </c>
      <c r="J1129" t="s">
        <v>9273</v>
      </c>
    </row>
    <row r="1130" spans="6:10">
      <c r="F1130" t="s">
        <v>9274</v>
      </c>
      <c r="G1130">
        <v>1127</v>
      </c>
      <c r="H1130" t="s">
        <v>9275</v>
      </c>
      <c r="I1130" t="s">
        <v>9276</v>
      </c>
      <c r="J1130" t="s">
        <v>9277</v>
      </c>
    </row>
    <row r="1131" spans="6:10">
      <c r="F1131" t="s">
        <v>9278</v>
      </c>
      <c r="G1131">
        <v>1128</v>
      </c>
      <c r="H1131" t="s">
        <v>6193</v>
      </c>
      <c r="I1131" t="s">
        <v>6194</v>
      </c>
      <c r="J1131" t="s">
        <v>9279</v>
      </c>
    </row>
    <row r="1132" spans="6:10">
      <c r="F1132" t="s">
        <v>9280</v>
      </c>
      <c r="G1132">
        <v>1129</v>
      </c>
      <c r="H1132" t="s">
        <v>4702</v>
      </c>
      <c r="I1132" t="s">
        <v>4703</v>
      </c>
      <c r="J1132" t="s">
        <v>9281</v>
      </c>
    </row>
    <row r="1133" spans="6:10">
      <c r="F1133" t="s">
        <v>9282</v>
      </c>
      <c r="G1133">
        <v>1130</v>
      </c>
      <c r="H1133" t="s">
        <v>1842</v>
      </c>
      <c r="I1133" t="s">
        <v>1843</v>
      </c>
      <c r="J1133" t="s">
        <v>9283</v>
      </c>
    </row>
    <row r="1134" spans="6:10">
      <c r="F1134" t="s">
        <v>9284</v>
      </c>
      <c r="G1134">
        <v>1131</v>
      </c>
      <c r="H1134" t="s">
        <v>4156</v>
      </c>
      <c r="I1134" t="s">
        <v>2572</v>
      </c>
      <c r="J1134" t="s">
        <v>9285</v>
      </c>
    </row>
    <row r="1135" spans="6:10">
      <c r="F1135" t="s">
        <v>9286</v>
      </c>
      <c r="G1135">
        <v>1132</v>
      </c>
      <c r="H1135" t="s">
        <v>1324</v>
      </c>
      <c r="I1135" t="s">
        <v>1325</v>
      </c>
      <c r="J1135" t="s">
        <v>9287</v>
      </c>
    </row>
    <row r="1136" spans="6:10">
      <c r="F1136" t="s">
        <v>9288</v>
      </c>
      <c r="G1136">
        <v>1133</v>
      </c>
      <c r="H1136" t="s">
        <v>9289</v>
      </c>
      <c r="I1136" t="s">
        <v>9290</v>
      </c>
      <c r="J1136" t="s">
        <v>9291</v>
      </c>
    </row>
    <row r="1137" spans="6:10">
      <c r="F1137" t="s">
        <v>9292</v>
      </c>
      <c r="G1137">
        <v>1134</v>
      </c>
      <c r="H1137" t="s">
        <v>9293</v>
      </c>
      <c r="I1137" t="s">
        <v>9294</v>
      </c>
      <c r="J1137" t="s">
        <v>9295</v>
      </c>
    </row>
    <row r="1138" spans="6:10">
      <c r="F1138" t="s">
        <v>9296</v>
      </c>
      <c r="G1138">
        <v>1135</v>
      </c>
      <c r="H1138" t="s">
        <v>9297</v>
      </c>
      <c r="I1138" t="s">
        <v>9298</v>
      </c>
      <c r="J1138" t="s">
        <v>9299</v>
      </c>
    </row>
    <row r="1139" spans="6:10">
      <c r="F1139" t="s">
        <v>9300</v>
      </c>
      <c r="G1139">
        <v>1136</v>
      </c>
      <c r="H1139" t="s">
        <v>2493</v>
      </c>
      <c r="I1139" t="s">
        <v>2494</v>
      </c>
      <c r="J1139" t="s">
        <v>9301</v>
      </c>
    </row>
    <row r="1140" spans="6:10">
      <c r="F1140" t="s">
        <v>9302</v>
      </c>
      <c r="G1140">
        <v>1137</v>
      </c>
      <c r="H1140" t="s">
        <v>5512</v>
      </c>
      <c r="I1140" t="s">
        <v>5513</v>
      </c>
      <c r="J1140" t="s">
        <v>9303</v>
      </c>
    </row>
    <row r="1141" spans="6:10">
      <c r="F1141" t="s">
        <v>9304</v>
      </c>
      <c r="G1141">
        <v>1138</v>
      </c>
      <c r="H1141" t="s">
        <v>9305</v>
      </c>
      <c r="I1141" t="s">
        <v>9306</v>
      </c>
      <c r="J1141" t="s">
        <v>9307</v>
      </c>
    </row>
    <row r="1142" spans="6:10">
      <c r="F1142" t="s">
        <v>9308</v>
      </c>
      <c r="G1142">
        <v>1139</v>
      </c>
      <c r="H1142" t="s">
        <v>9309</v>
      </c>
      <c r="I1142" t="s">
        <v>9310</v>
      </c>
      <c r="J1142" t="s">
        <v>9311</v>
      </c>
    </row>
    <row r="1143" spans="6:10">
      <c r="F1143" t="s">
        <v>9312</v>
      </c>
      <c r="G1143">
        <v>1140</v>
      </c>
      <c r="H1143" t="s">
        <v>4884</v>
      </c>
      <c r="I1143" t="s">
        <v>4885</v>
      </c>
      <c r="J1143" t="s">
        <v>9313</v>
      </c>
    </row>
    <row r="1144" spans="6:10">
      <c r="F1144" t="s">
        <v>9314</v>
      </c>
      <c r="G1144">
        <v>1141</v>
      </c>
      <c r="H1144" t="s">
        <v>9315</v>
      </c>
      <c r="I1144" t="s">
        <v>9316</v>
      </c>
      <c r="J1144" t="s">
        <v>9317</v>
      </c>
    </row>
    <row r="1145" spans="6:10">
      <c r="F1145" t="s">
        <v>9318</v>
      </c>
      <c r="G1145">
        <v>1142</v>
      </c>
      <c r="H1145" t="s">
        <v>3482</v>
      </c>
      <c r="I1145" t="s">
        <v>3485</v>
      </c>
      <c r="J1145" t="s">
        <v>9319</v>
      </c>
    </row>
    <row r="1146" spans="6:10">
      <c r="F1146" t="s">
        <v>9320</v>
      </c>
      <c r="G1146">
        <v>1143</v>
      </c>
      <c r="H1146" t="s">
        <v>9321</v>
      </c>
      <c r="I1146" t="s">
        <v>9322</v>
      </c>
      <c r="J1146" t="s">
        <v>9323</v>
      </c>
    </row>
    <row r="1147" spans="6:10">
      <c r="F1147" t="s">
        <v>9324</v>
      </c>
      <c r="G1147">
        <v>1144</v>
      </c>
      <c r="H1147" t="s">
        <v>9325</v>
      </c>
      <c r="I1147" t="s">
        <v>9326</v>
      </c>
      <c r="J1147" t="s">
        <v>9327</v>
      </c>
    </row>
    <row r="1148" spans="6:10">
      <c r="F1148" t="s">
        <v>9328</v>
      </c>
      <c r="G1148">
        <v>1145</v>
      </c>
      <c r="H1148" t="s">
        <v>9329</v>
      </c>
      <c r="I1148" t="s">
        <v>9330</v>
      </c>
      <c r="J1148" t="s">
        <v>9331</v>
      </c>
    </row>
    <row r="1149" spans="6:10">
      <c r="F1149" t="s">
        <v>9332</v>
      </c>
      <c r="G1149">
        <v>1146</v>
      </c>
      <c r="H1149" t="s">
        <v>1846</v>
      </c>
      <c r="I1149" t="s">
        <v>1847</v>
      </c>
      <c r="J1149" t="s">
        <v>9333</v>
      </c>
    </row>
    <row r="1150" spans="6:10">
      <c r="F1150" t="s">
        <v>9334</v>
      </c>
      <c r="G1150">
        <v>1147</v>
      </c>
      <c r="H1150" t="s">
        <v>9335</v>
      </c>
      <c r="I1150" t="s">
        <v>9336</v>
      </c>
      <c r="J1150" t="s">
        <v>9337</v>
      </c>
    </row>
    <row r="1151" spans="6:10">
      <c r="F1151" t="s">
        <v>9338</v>
      </c>
      <c r="G1151">
        <v>1148</v>
      </c>
      <c r="H1151" t="s">
        <v>4110</v>
      </c>
      <c r="I1151" t="s">
        <v>4111</v>
      </c>
      <c r="J1151" t="s">
        <v>9339</v>
      </c>
    </row>
    <row r="1152" spans="6:10">
      <c r="F1152" t="s">
        <v>9340</v>
      </c>
      <c r="G1152">
        <v>1149</v>
      </c>
      <c r="H1152" t="s">
        <v>9341</v>
      </c>
      <c r="I1152" t="s">
        <v>9342</v>
      </c>
      <c r="J1152" t="s">
        <v>9343</v>
      </c>
    </row>
    <row r="1153" spans="6:10">
      <c r="F1153" t="s">
        <v>9344</v>
      </c>
      <c r="G1153">
        <v>1150</v>
      </c>
      <c r="H1153" t="s">
        <v>9345</v>
      </c>
      <c r="I1153" t="s">
        <v>9346</v>
      </c>
      <c r="J1153" t="s">
        <v>9347</v>
      </c>
    </row>
    <row r="1154" spans="6:10">
      <c r="F1154" t="s">
        <v>9348</v>
      </c>
      <c r="G1154">
        <v>1151</v>
      </c>
      <c r="H1154" t="s">
        <v>5254</v>
      </c>
      <c r="I1154" t="s">
        <v>5255</v>
      </c>
      <c r="J1154" t="s">
        <v>9349</v>
      </c>
    </row>
    <row r="1155" spans="6:10">
      <c r="F1155" t="s">
        <v>9350</v>
      </c>
      <c r="G1155">
        <v>1152</v>
      </c>
      <c r="H1155" t="s">
        <v>2894</v>
      </c>
      <c r="I1155" t="s">
        <v>655</v>
      </c>
      <c r="J1155" t="s">
        <v>9351</v>
      </c>
    </row>
    <row r="1156" spans="6:10">
      <c r="F1156" t="s">
        <v>9352</v>
      </c>
      <c r="G1156">
        <v>1153</v>
      </c>
      <c r="H1156" t="s">
        <v>3782</v>
      </c>
      <c r="I1156" t="s">
        <v>3783</v>
      </c>
      <c r="J1156" t="s">
        <v>9353</v>
      </c>
    </row>
    <row r="1157" spans="6:10">
      <c r="F1157" t="s">
        <v>9354</v>
      </c>
      <c r="G1157">
        <v>1154</v>
      </c>
      <c r="H1157" t="s">
        <v>3010</v>
      </c>
      <c r="I1157" t="s">
        <v>3011</v>
      </c>
      <c r="J1157" t="s">
        <v>9355</v>
      </c>
    </row>
    <row r="1158" spans="6:10">
      <c r="F1158" t="s">
        <v>9356</v>
      </c>
      <c r="G1158">
        <v>1155</v>
      </c>
      <c r="H1158" t="s">
        <v>9357</v>
      </c>
      <c r="I1158" t="s">
        <v>9358</v>
      </c>
      <c r="J1158" t="s">
        <v>9359</v>
      </c>
    </row>
    <row r="1159" spans="6:10">
      <c r="F1159" t="s">
        <v>9360</v>
      </c>
      <c r="G1159">
        <v>1156</v>
      </c>
      <c r="H1159" t="s">
        <v>9361</v>
      </c>
      <c r="I1159" t="s">
        <v>9362</v>
      </c>
      <c r="J1159" t="s">
        <v>9363</v>
      </c>
    </row>
    <row r="1160" spans="6:10">
      <c r="F1160" t="s">
        <v>9364</v>
      </c>
      <c r="G1160">
        <v>1157</v>
      </c>
      <c r="H1160" t="s">
        <v>9365</v>
      </c>
      <c r="I1160" t="s">
        <v>9366</v>
      </c>
      <c r="J1160" t="s">
        <v>9367</v>
      </c>
    </row>
    <row r="1161" spans="6:10">
      <c r="F1161" t="s">
        <v>9368</v>
      </c>
      <c r="G1161">
        <v>1158</v>
      </c>
      <c r="H1161" t="s">
        <v>2841</v>
      </c>
      <c r="I1161" t="s">
        <v>2844</v>
      </c>
      <c r="J1161" t="s">
        <v>9369</v>
      </c>
    </row>
    <row r="1162" spans="6:10">
      <c r="F1162" t="s">
        <v>9370</v>
      </c>
      <c r="G1162">
        <v>1159</v>
      </c>
      <c r="H1162" t="s">
        <v>9371</v>
      </c>
      <c r="I1162" t="s">
        <v>9372</v>
      </c>
      <c r="J1162" t="s">
        <v>9373</v>
      </c>
    </row>
    <row r="1163" spans="6:10">
      <c r="F1163" t="s">
        <v>9374</v>
      </c>
      <c r="G1163">
        <v>1160</v>
      </c>
      <c r="H1163" t="s">
        <v>2215</v>
      </c>
      <c r="I1163" t="s">
        <v>2216</v>
      </c>
      <c r="J1163" t="s">
        <v>9375</v>
      </c>
    </row>
    <row r="1164" spans="6:10">
      <c r="F1164" t="s">
        <v>9376</v>
      </c>
      <c r="G1164">
        <v>1161</v>
      </c>
      <c r="H1164" t="s">
        <v>642</v>
      </c>
      <c r="I1164" t="s">
        <v>643</v>
      </c>
      <c r="J1164" t="s">
        <v>9377</v>
      </c>
    </row>
    <row r="1165" spans="6:10">
      <c r="F1165" t="s">
        <v>9378</v>
      </c>
      <c r="G1165">
        <v>1162</v>
      </c>
      <c r="H1165" t="s">
        <v>2740</v>
      </c>
      <c r="I1165" t="s">
        <v>2741</v>
      </c>
      <c r="J1165" t="s">
        <v>9379</v>
      </c>
    </row>
    <row r="1166" spans="6:10">
      <c r="F1166" t="s">
        <v>9380</v>
      </c>
      <c r="G1166">
        <v>1163</v>
      </c>
      <c r="H1166" t="s">
        <v>9381</v>
      </c>
      <c r="I1166" t="s">
        <v>9381</v>
      </c>
      <c r="J1166" t="s">
        <v>9382</v>
      </c>
    </row>
    <row r="1167" spans="6:10">
      <c r="F1167" t="s">
        <v>9383</v>
      </c>
      <c r="G1167">
        <v>1164</v>
      </c>
      <c r="H1167" t="s">
        <v>9384</v>
      </c>
      <c r="I1167" t="s">
        <v>9385</v>
      </c>
      <c r="J1167" t="s">
        <v>9386</v>
      </c>
    </row>
    <row r="1168" spans="6:10">
      <c r="F1168" t="s">
        <v>9387</v>
      </c>
      <c r="G1168">
        <v>1165</v>
      </c>
      <c r="H1168" t="s">
        <v>5124</v>
      </c>
      <c r="I1168" t="s">
        <v>5127</v>
      </c>
      <c r="J1168" t="s">
        <v>9388</v>
      </c>
    </row>
    <row r="1169" spans="6:10">
      <c r="F1169" t="s">
        <v>9389</v>
      </c>
      <c r="G1169">
        <v>1166</v>
      </c>
      <c r="H1169" t="s">
        <v>4559</v>
      </c>
      <c r="I1169" t="s">
        <v>4560</v>
      </c>
      <c r="J1169" t="s">
        <v>9390</v>
      </c>
    </row>
    <row r="1170" spans="6:10">
      <c r="F1170" t="s">
        <v>9391</v>
      </c>
      <c r="G1170">
        <v>1167</v>
      </c>
      <c r="H1170" t="s">
        <v>9392</v>
      </c>
      <c r="I1170" t="s">
        <v>9393</v>
      </c>
      <c r="J1170" t="s">
        <v>9394</v>
      </c>
    </row>
    <row r="1171" spans="6:10">
      <c r="F1171" t="s">
        <v>9395</v>
      </c>
      <c r="G1171">
        <v>1168</v>
      </c>
      <c r="H1171" t="s">
        <v>5657</v>
      </c>
      <c r="I1171" t="s">
        <v>5658</v>
      </c>
      <c r="J1171" t="s">
        <v>9396</v>
      </c>
    </row>
    <row r="1172" spans="6:10">
      <c r="F1172" t="s">
        <v>9397</v>
      </c>
      <c r="G1172">
        <v>1169</v>
      </c>
      <c r="H1172" t="s">
        <v>2724</v>
      </c>
      <c r="I1172" t="s">
        <v>2725</v>
      </c>
      <c r="J1172" t="s">
        <v>9398</v>
      </c>
    </row>
    <row r="1173" spans="6:10">
      <c r="F1173" t="s">
        <v>9399</v>
      </c>
      <c r="G1173">
        <v>1170</v>
      </c>
      <c r="H1173" t="s">
        <v>2917</v>
      </c>
      <c r="I1173" t="s">
        <v>2919</v>
      </c>
      <c r="J1173" t="s">
        <v>9400</v>
      </c>
    </row>
    <row r="1174" spans="6:10">
      <c r="F1174" t="s">
        <v>9401</v>
      </c>
      <c r="G1174">
        <v>1171</v>
      </c>
      <c r="H1174" t="s">
        <v>4557</v>
      </c>
      <c r="I1174" t="s">
        <v>4558</v>
      </c>
      <c r="J1174" t="s">
        <v>9402</v>
      </c>
    </row>
    <row r="1175" spans="6:10">
      <c r="F1175" t="s">
        <v>9403</v>
      </c>
      <c r="G1175">
        <v>1172</v>
      </c>
      <c r="H1175" t="s">
        <v>2563</v>
      </c>
      <c r="I1175" t="s">
        <v>2565</v>
      </c>
      <c r="J1175" t="s">
        <v>9404</v>
      </c>
    </row>
    <row r="1176" spans="6:10">
      <c r="F1176" t="s">
        <v>9405</v>
      </c>
      <c r="G1176">
        <v>1173</v>
      </c>
      <c r="H1176" t="s">
        <v>9406</v>
      </c>
      <c r="I1176" t="s">
        <v>9407</v>
      </c>
      <c r="J1176" t="s">
        <v>9408</v>
      </c>
    </row>
    <row r="1177" spans="6:10">
      <c r="F1177" t="s">
        <v>9409</v>
      </c>
      <c r="G1177">
        <v>1174</v>
      </c>
      <c r="H1177" t="s">
        <v>3383</v>
      </c>
      <c r="I1177" t="s">
        <v>3384</v>
      </c>
      <c r="J1177" t="s">
        <v>9410</v>
      </c>
    </row>
    <row r="1178" spans="6:10">
      <c r="F1178" t="s">
        <v>9411</v>
      </c>
      <c r="G1178">
        <v>1175</v>
      </c>
      <c r="H1178" t="s">
        <v>213</v>
      </c>
      <c r="I1178" t="s">
        <v>214</v>
      </c>
      <c r="J1178" t="s">
        <v>9412</v>
      </c>
    </row>
    <row r="1179" spans="6:10">
      <c r="F1179" t="s">
        <v>9413</v>
      </c>
      <c r="G1179">
        <v>1176</v>
      </c>
      <c r="H1179" t="s">
        <v>4151</v>
      </c>
      <c r="I1179" t="s">
        <v>4152</v>
      </c>
      <c r="J1179" t="s">
        <v>9414</v>
      </c>
    </row>
    <row r="1180" spans="6:10">
      <c r="F1180" t="s">
        <v>9415</v>
      </c>
      <c r="G1180">
        <v>1177</v>
      </c>
      <c r="H1180" t="s">
        <v>548</v>
      </c>
      <c r="I1180" t="s">
        <v>561</v>
      </c>
      <c r="J1180" t="s">
        <v>9416</v>
      </c>
    </row>
    <row r="1181" spans="6:10">
      <c r="F1181" t="s">
        <v>9417</v>
      </c>
      <c r="G1181">
        <v>1178</v>
      </c>
      <c r="H1181" t="s">
        <v>2955</v>
      </c>
      <c r="I1181" t="s">
        <v>2956</v>
      </c>
      <c r="J1181" t="s">
        <v>9418</v>
      </c>
    </row>
    <row r="1182" spans="6:10">
      <c r="F1182" t="s">
        <v>9419</v>
      </c>
      <c r="G1182">
        <v>1179</v>
      </c>
      <c r="H1182" t="s">
        <v>1135</v>
      </c>
      <c r="I1182" t="s">
        <v>1135</v>
      </c>
      <c r="J1182" t="s">
        <v>9420</v>
      </c>
    </row>
    <row r="1183" spans="6:10">
      <c r="F1183" t="s">
        <v>9421</v>
      </c>
      <c r="G1183">
        <v>1180</v>
      </c>
      <c r="H1183" t="s">
        <v>9422</v>
      </c>
      <c r="I1183" t="s">
        <v>9423</v>
      </c>
      <c r="J1183" t="s">
        <v>9424</v>
      </c>
    </row>
    <row r="1184" spans="6:10">
      <c r="F1184" t="s">
        <v>9425</v>
      </c>
      <c r="G1184">
        <v>1181</v>
      </c>
      <c r="H1184" t="s">
        <v>9426</v>
      </c>
      <c r="I1184" t="s">
        <v>9427</v>
      </c>
      <c r="J1184" t="s">
        <v>9428</v>
      </c>
    </row>
    <row r="1185" spans="6:10">
      <c r="F1185" t="s">
        <v>9429</v>
      </c>
      <c r="G1185">
        <v>1182</v>
      </c>
      <c r="H1185" t="s">
        <v>9430</v>
      </c>
      <c r="I1185" t="s">
        <v>9431</v>
      </c>
      <c r="J1185" t="s">
        <v>9432</v>
      </c>
    </row>
    <row r="1186" spans="6:10">
      <c r="F1186" t="s">
        <v>9433</v>
      </c>
      <c r="G1186">
        <v>1183</v>
      </c>
      <c r="H1186" t="s">
        <v>687</v>
      </c>
      <c r="I1186" t="s">
        <v>689</v>
      </c>
      <c r="J1186" t="s">
        <v>9434</v>
      </c>
    </row>
    <row r="1187" spans="6:10">
      <c r="F1187" t="s">
        <v>9435</v>
      </c>
      <c r="G1187">
        <v>1184</v>
      </c>
      <c r="H1187" t="s">
        <v>536</v>
      </c>
      <c r="I1187" t="s">
        <v>537</v>
      </c>
      <c r="J1187" t="s">
        <v>9436</v>
      </c>
    </row>
    <row r="1188" spans="6:10">
      <c r="F1188" t="s">
        <v>9437</v>
      </c>
      <c r="G1188">
        <v>1185</v>
      </c>
      <c r="H1188" t="s">
        <v>1320</v>
      </c>
      <c r="I1188" t="s">
        <v>1321</v>
      </c>
      <c r="J1188" t="s">
        <v>9438</v>
      </c>
    </row>
    <row r="1189" spans="6:10">
      <c r="F1189" t="s">
        <v>9439</v>
      </c>
      <c r="G1189">
        <v>1186</v>
      </c>
      <c r="H1189" t="s">
        <v>1622</v>
      </c>
      <c r="I1189" t="s">
        <v>1630</v>
      </c>
      <c r="J1189" t="s">
        <v>9440</v>
      </c>
    </row>
    <row r="1190" spans="6:10">
      <c r="F1190" t="s">
        <v>9441</v>
      </c>
      <c r="G1190">
        <v>1187</v>
      </c>
      <c r="H1190" t="s">
        <v>548</v>
      </c>
      <c r="I1190" t="s">
        <v>562</v>
      </c>
      <c r="J1190" t="s">
        <v>9442</v>
      </c>
    </row>
    <row r="1191" spans="6:10">
      <c r="F1191" t="s">
        <v>9443</v>
      </c>
      <c r="G1191">
        <v>1188</v>
      </c>
      <c r="H1191" t="s">
        <v>9444</v>
      </c>
      <c r="I1191" t="s">
        <v>9445</v>
      </c>
      <c r="J1191" t="s">
        <v>9446</v>
      </c>
    </row>
    <row r="1192" spans="6:10">
      <c r="F1192" t="s">
        <v>9447</v>
      </c>
      <c r="G1192">
        <v>1189</v>
      </c>
      <c r="H1192" t="s">
        <v>4693</v>
      </c>
      <c r="I1192" t="s">
        <v>4694</v>
      </c>
      <c r="J1192" t="s">
        <v>9448</v>
      </c>
    </row>
    <row r="1193" spans="6:10">
      <c r="F1193" t="s">
        <v>9449</v>
      </c>
      <c r="G1193">
        <v>1190</v>
      </c>
      <c r="H1193" t="s">
        <v>9450</v>
      </c>
      <c r="I1193" t="s">
        <v>9451</v>
      </c>
      <c r="J1193" t="s">
        <v>9452</v>
      </c>
    </row>
    <row r="1194" spans="6:10">
      <c r="F1194" t="s">
        <v>9453</v>
      </c>
      <c r="G1194">
        <v>1191</v>
      </c>
      <c r="H1194" t="s">
        <v>9454</v>
      </c>
      <c r="I1194" t="s">
        <v>9455</v>
      </c>
      <c r="J1194" t="s">
        <v>9456</v>
      </c>
    </row>
    <row r="1195" spans="6:10">
      <c r="F1195" t="s">
        <v>9457</v>
      </c>
      <c r="G1195">
        <v>1192</v>
      </c>
      <c r="H1195" t="s">
        <v>9458</v>
      </c>
      <c r="I1195" t="s">
        <v>9459</v>
      </c>
      <c r="J1195" t="s">
        <v>9460</v>
      </c>
    </row>
    <row r="1196" spans="6:10">
      <c r="F1196" t="s">
        <v>9461</v>
      </c>
      <c r="G1196">
        <v>1193</v>
      </c>
      <c r="H1196" t="s">
        <v>9462</v>
      </c>
      <c r="I1196" t="s">
        <v>9463</v>
      </c>
      <c r="J1196" t="s">
        <v>9464</v>
      </c>
    </row>
    <row r="1197" spans="6:10">
      <c r="F1197" t="s">
        <v>9465</v>
      </c>
      <c r="G1197">
        <v>1194</v>
      </c>
      <c r="H1197" t="s">
        <v>4092</v>
      </c>
      <c r="I1197" t="s">
        <v>4093</v>
      </c>
      <c r="J1197" t="s">
        <v>9466</v>
      </c>
    </row>
    <row r="1198" spans="6:10">
      <c r="F1198" t="s">
        <v>9467</v>
      </c>
      <c r="G1198">
        <v>1195</v>
      </c>
      <c r="H1198" t="s">
        <v>9468</v>
      </c>
      <c r="I1198" t="s">
        <v>9469</v>
      </c>
      <c r="J1198" t="s">
        <v>9470</v>
      </c>
    </row>
    <row r="1199" spans="6:10">
      <c r="F1199" t="s">
        <v>9471</v>
      </c>
      <c r="G1199">
        <v>1196</v>
      </c>
      <c r="H1199" t="s">
        <v>2682</v>
      </c>
      <c r="I1199" t="s">
        <v>2683</v>
      </c>
      <c r="J1199" t="s">
        <v>9472</v>
      </c>
    </row>
    <row r="1200" spans="6:10">
      <c r="F1200" t="s">
        <v>9473</v>
      </c>
      <c r="G1200">
        <v>1197</v>
      </c>
      <c r="H1200" t="s">
        <v>9474</v>
      </c>
      <c r="I1200" t="s">
        <v>9475</v>
      </c>
      <c r="J1200" t="s">
        <v>9476</v>
      </c>
    </row>
    <row r="1201" spans="6:10">
      <c r="F1201" t="s">
        <v>9477</v>
      </c>
      <c r="G1201">
        <v>1198</v>
      </c>
      <c r="H1201" t="s">
        <v>9478</v>
      </c>
      <c r="I1201" t="s">
        <v>9479</v>
      </c>
      <c r="J1201" t="s">
        <v>9480</v>
      </c>
    </row>
    <row r="1202" spans="6:10">
      <c r="F1202" t="s">
        <v>9481</v>
      </c>
      <c r="G1202">
        <v>1199</v>
      </c>
      <c r="H1202" t="s">
        <v>3759</v>
      </c>
      <c r="I1202" t="s">
        <v>3760</v>
      </c>
      <c r="J1202" t="s">
        <v>9482</v>
      </c>
    </row>
    <row r="1203" spans="6:10">
      <c r="F1203" t="s">
        <v>9483</v>
      </c>
      <c r="G1203">
        <v>1200</v>
      </c>
      <c r="H1203" t="s">
        <v>5124</v>
      </c>
      <c r="I1203" t="s">
        <v>5128</v>
      </c>
      <c r="J1203" t="s">
        <v>9484</v>
      </c>
    </row>
    <row r="1204" spans="6:10">
      <c r="F1204" t="s">
        <v>9485</v>
      </c>
      <c r="G1204">
        <v>1201</v>
      </c>
      <c r="H1204" t="s">
        <v>4427</v>
      </c>
      <c r="I1204" t="s">
        <v>4428</v>
      </c>
      <c r="J1204" t="s">
        <v>9486</v>
      </c>
    </row>
    <row r="1205" spans="6:10">
      <c r="F1205" t="s">
        <v>9487</v>
      </c>
      <c r="G1205">
        <v>1202</v>
      </c>
      <c r="H1205" t="s">
        <v>9488</v>
      </c>
      <c r="I1205" t="s">
        <v>9489</v>
      </c>
      <c r="J1205" t="s">
        <v>9490</v>
      </c>
    </row>
    <row r="1206" spans="6:10">
      <c r="F1206" t="s">
        <v>9491</v>
      </c>
      <c r="G1206">
        <v>1203</v>
      </c>
      <c r="H1206" t="s">
        <v>5910</v>
      </c>
      <c r="I1206" t="s">
        <v>5911</v>
      </c>
      <c r="J1206" t="s">
        <v>9492</v>
      </c>
    </row>
    <row r="1207" spans="6:10">
      <c r="F1207" t="s">
        <v>9493</v>
      </c>
      <c r="G1207">
        <v>1204</v>
      </c>
      <c r="H1207" t="s">
        <v>2704</v>
      </c>
      <c r="I1207" t="s">
        <v>2705</v>
      </c>
      <c r="J1207" t="s">
        <v>9494</v>
      </c>
    </row>
    <row r="1208" spans="6:10">
      <c r="F1208" t="s">
        <v>9495</v>
      </c>
      <c r="G1208">
        <v>1205</v>
      </c>
      <c r="H1208" t="s">
        <v>2892</v>
      </c>
      <c r="I1208" t="s">
        <v>2893</v>
      </c>
      <c r="J1208" t="s">
        <v>9496</v>
      </c>
    </row>
    <row r="1209" spans="6:10">
      <c r="F1209" t="s">
        <v>9497</v>
      </c>
      <c r="G1209">
        <v>1206</v>
      </c>
      <c r="H1209" t="s">
        <v>2841</v>
      </c>
      <c r="I1209" t="s">
        <v>2845</v>
      </c>
      <c r="J1209" t="s">
        <v>9498</v>
      </c>
    </row>
    <row r="1210" spans="6:10">
      <c r="F1210" t="s">
        <v>9499</v>
      </c>
      <c r="G1210">
        <v>1207</v>
      </c>
      <c r="H1210" t="s">
        <v>9500</v>
      </c>
      <c r="I1210" t="s">
        <v>9501</v>
      </c>
      <c r="J1210" t="s">
        <v>9502</v>
      </c>
    </row>
    <row r="1211" spans="6:10">
      <c r="F1211" t="s">
        <v>9503</v>
      </c>
      <c r="G1211">
        <v>1208</v>
      </c>
      <c r="H1211" t="s">
        <v>2066</v>
      </c>
      <c r="I1211" t="s">
        <v>2067</v>
      </c>
      <c r="J1211" t="s">
        <v>9504</v>
      </c>
    </row>
    <row r="1212" spans="6:10">
      <c r="F1212" t="s">
        <v>9505</v>
      </c>
      <c r="G1212">
        <v>1209</v>
      </c>
      <c r="H1212" t="s">
        <v>5773</v>
      </c>
      <c r="I1212" t="s">
        <v>5774</v>
      </c>
      <c r="J1212" t="s">
        <v>9506</v>
      </c>
    </row>
    <row r="1213" spans="6:10">
      <c r="F1213" t="s">
        <v>9507</v>
      </c>
      <c r="G1213">
        <v>1210</v>
      </c>
      <c r="H1213" t="s">
        <v>9508</v>
      </c>
      <c r="I1213" t="s">
        <v>9509</v>
      </c>
      <c r="J1213" t="s">
        <v>9510</v>
      </c>
    </row>
    <row r="1214" spans="6:10">
      <c r="F1214" t="s">
        <v>9511</v>
      </c>
      <c r="G1214">
        <v>1211</v>
      </c>
      <c r="H1214" t="s">
        <v>9512</v>
      </c>
      <c r="I1214" t="s">
        <v>9513</v>
      </c>
      <c r="J1214" t="s">
        <v>9514</v>
      </c>
    </row>
    <row r="1215" spans="6:10">
      <c r="F1215" t="s">
        <v>9515</v>
      </c>
      <c r="G1215">
        <v>1212</v>
      </c>
      <c r="H1215" t="s">
        <v>3061</v>
      </c>
      <c r="I1215" t="s">
        <v>3062</v>
      </c>
      <c r="J1215" t="s">
        <v>9516</v>
      </c>
    </row>
    <row r="1216" spans="6:10">
      <c r="F1216" t="s">
        <v>9517</v>
      </c>
      <c r="G1216">
        <v>1213</v>
      </c>
      <c r="H1216" t="s">
        <v>4912</v>
      </c>
      <c r="I1216" t="s">
        <v>4913</v>
      </c>
      <c r="J1216" t="s">
        <v>9518</v>
      </c>
    </row>
    <row r="1217" spans="6:10">
      <c r="F1217" t="s">
        <v>9519</v>
      </c>
      <c r="G1217">
        <v>1214</v>
      </c>
      <c r="H1217" t="s">
        <v>548</v>
      </c>
      <c r="I1217" t="s">
        <v>563</v>
      </c>
      <c r="J1217" t="s">
        <v>9520</v>
      </c>
    </row>
    <row r="1218" spans="6:10">
      <c r="F1218" t="s">
        <v>9521</v>
      </c>
      <c r="G1218">
        <v>1215</v>
      </c>
      <c r="H1218" t="s">
        <v>9522</v>
      </c>
      <c r="I1218" t="s">
        <v>9523</v>
      </c>
      <c r="J1218" t="s">
        <v>9524</v>
      </c>
    </row>
    <row r="1219" spans="6:10">
      <c r="F1219" t="s">
        <v>9525</v>
      </c>
      <c r="G1219">
        <v>1216</v>
      </c>
      <c r="H1219" t="s">
        <v>9526</v>
      </c>
      <c r="I1219" t="s">
        <v>9527</v>
      </c>
      <c r="J1219" t="s">
        <v>9528</v>
      </c>
    </row>
    <row r="1220" spans="6:10">
      <c r="F1220" t="s">
        <v>9529</v>
      </c>
      <c r="G1220">
        <v>1217</v>
      </c>
      <c r="H1220" t="s">
        <v>9530</v>
      </c>
      <c r="I1220" t="s">
        <v>9531</v>
      </c>
      <c r="J1220" t="s">
        <v>9532</v>
      </c>
    </row>
    <row r="1221" spans="6:10">
      <c r="F1221" t="s">
        <v>9533</v>
      </c>
      <c r="G1221">
        <v>1218</v>
      </c>
      <c r="H1221" t="s">
        <v>5124</v>
      </c>
      <c r="I1221" t="s">
        <v>513</v>
      </c>
      <c r="J1221" t="s">
        <v>9534</v>
      </c>
    </row>
    <row r="1222" spans="6:10">
      <c r="F1222" t="s">
        <v>9535</v>
      </c>
      <c r="G1222">
        <v>1219</v>
      </c>
      <c r="H1222" t="s">
        <v>5941</v>
      </c>
      <c r="I1222" t="s">
        <v>5942</v>
      </c>
      <c r="J1222" t="s">
        <v>9536</v>
      </c>
    </row>
    <row r="1223" spans="6:10">
      <c r="F1223" t="s">
        <v>9537</v>
      </c>
      <c r="G1223">
        <v>1220</v>
      </c>
      <c r="H1223" t="s">
        <v>9538</v>
      </c>
      <c r="I1223" t="s">
        <v>9539</v>
      </c>
      <c r="J1223" t="s">
        <v>9540</v>
      </c>
    </row>
    <row r="1224" spans="6:10">
      <c r="F1224" t="s">
        <v>9541</v>
      </c>
      <c r="G1224">
        <v>1221</v>
      </c>
      <c r="H1224" t="s">
        <v>918</v>
      </c>
      <c r="I1224" t="s">
        <v>919</v>
      </c>
      <c r="J1224" t="s">
        <v>9542</v>
      </c>
    </row>
    <row r="1225" spans="6:10">
      <c r="F1225" t="s">
        <v>9543</v>
      </c>
      <c r="G1225">
        <v>1222</v>
      </c>
      <c r="H1225" t="s">
        <v>9544</v>
      </c>
      <c r="I1225" t="s">
        <v>9545</v>
      </c>
      <c r="J1225" t="s">
        <v>9546</v>
      </c>
    </row>
    <row r="1226" spans="6:10">
      <c r="F1226" t="s">
        <v>9547</v>
      </c>
      <c r="G1226">
        <v>1223</v>
      </c>
      <c r="H1226" t="s">
        <v>9548</v>
      </c>
      <c r="I1226" t="s">
        <v>9549</v>
      </c>
      <c r="J1226" t="s">
        <v>9550</v>
      </c>
    </row>
    <row r="1227" spans="6:10">
      <c r="F1227" t="s">
        <v>9551</v>
      </c>
      <c r="G1227">
        <v>1224</v>
      </c>
      <c r="H1227" t="s">
        <v>9552</v>
      </c>
      <c r="I1227" t="s">
        <v>9553</v>
      </c>
      <c r="J1227" t="s">
        <v>9554</v>
      </c>
    </row>
    <row r="1228" spans="6:10">
      <c r="F1228" t="s">
        <v>9555</v>
      </c>
      <c r="G1228">
        <v>1225</v>
      </c>
      <c r="H1228" t="s">
        <v>5868</v>
      </c>
      <c r="I1228" t="s">
        <v>5869</v>
      </c>
      <c r="J1228" t="s">
        <v>9556</v>
      </c>
    </row>
    <row r="1229" spans="6:10">
      <c r="F1229" t="s">
        <v>9557</v>
      </c>
      <c r="G1229">
        <v>1226</v>
      </c>
      <c r="H1229" t="s">
        <v>5229</v>
      </c>
      <c r="I1229" t="s">
        <v>5230</v>
      </c>
      <c r="J1229" t="s">
        <v>9558</v>
      </c>
    </row>
    <row r="1230" spans="6:10">
      <c r="F1230" t="s">
        <v>9559</v>
      </c>
      <c r="G1230">
        <v>1227</v>
      </c>
      <c r="H1230" t="s">
        <v>9560</v>
      </c>
      <c r="I1230" t="s">
        <v>9561</v>
      </c>
      <c r="J1230" t="s">
        <v>9562</v>
      </c>
    </row>
    <row r="1231" spans="6:10">
      <c r="F1231" t="s">
        <v>9563</v>
      </c>
      <c r="G1231">
        <v>1228</v>
      </c>
      <c r="H1231" t="s">
        <v>9564</v>
      </c>
      <c r="I1231" t="s">
        <v>9565</v>
      </c>
      <c r="J1231" t="s">
        <v>9566</v>
      </c>
    </row>
    <row r="1232" spans="6:10">
      <c r="F1232" t="s">
        <v>9567</v>
      </c>
      <c r="G1232">
        <v>1229</v>
      </c>
      <c r="H1232" t="s">
        <v>9568</v>
      </c>
      <c r="I1232" t="s">
        <v>9569</v>
      </c>
      <c r="J1232" t="s">
        <v>9570</v>
      </c>
    </row>
    <row r="1233" spans="6:10">
      <c r="F1233" t="s">
        <v>9571</v>
      </c>
      <c r="G1233">
        <v>1230</v>
      </c>
      <c r="H1233" t="s">
        <v>5923</v>
      </c>
      <c r="I1233" t="s">
        <v>5924</v>
      </c>
      <c r="J1233" t="s">
        <v>9572</v>
      </c>
    </row>
    <row r="1234" spans="6:10">
      <c r="F1234" t="s">
        <v>9573</v>
      </c>
      <c r="G1234">
        <v>1231</v>
      </c>
      <c r="H1234" t="s">
        <v>9574</v>
      </c>
      <c r="I1234" t="s">
        <v>9575</v>
      </c>
      <c r="J1234" t="s">
        <v>9576</v>
      </c>
    </row>
    <row r="1235" spans="6:10">
      <c r="F1235" t="s">
        <v>9577</v>
      </c>
      <c r="G1235">
        <v>1232</v>
      </c>
      <c r="H1235" t="s">
        <v>1472</v>
      </c>
      <c r="I1235" t="s">
        <v>1473</v>
      </c>
      <c r="J1235" t="s">
        <v>9578</v>
      </c>
    </row>
    <row r="1236" spans="6:10">
      <c r="F1236" t="s">
        <v>9579</v>
      </c>
      <c r="G1236">
        <v>1233</v>
      </c>
      <c r="H1236" t="s">
        <v>5016</v>
      </c>
      <c r="I1236" t="s">
        <v>5017</v>
      </c>
      <c r="J1236" t="s">
        <v>9580</v>
      </c>
    </row>
    <row r="1237" spans="6:10">
      <c r="F1237" t="s">
        <v>9581</v>
      </c>
      <c r="G1237">
        <v>1234</v>
      </c>
      <c r="H1237" t="s">
        <v>1318</v>
      </c>
      <c r="I1237" t="s">
        <v>1319</v>
      </c>
      <c r="J1237" t="s">
        <v>9582</v>
      </c>
    </row>
    <row r="1238" spans="6:10">
      <c r="F1238" t="s">
        <v>9583</v>
      </c>
      <c r="G1238">
        <v>1235</v>
      </c>
      <c r="H1238" t="s">
        <v>9584</v>
      </c>
      <c r="I1238" t="s">
        <v>9585</v>
      </c>
      <c r="J1238" t="s">
        <v>9586</v>
      </c>
    </row>
    <row r="1239" spans="6:10">
      <c r="F1239" t="s">
        <v>9587</v>
      </c>
      <c r="G1239">
        <v>1236</v>
      </c>
      <c r="H1239" t="s">
        <v>548</v>
      </c>
      <c r="I1239" t="s">
        <v>564</v>
      </c>
      <c r="J1239" t="s">
        <v>9588</v>
      </c>
    </row>
    <row r="1240" spans="6:10">
      <c r="F1240" t="s">
        <v>9589</v>
      </c>
      <c r="G1240">
        <v>1237</v>
      </c>
      <c r="H1240" t="s">
        <v>5319</v>
      </c>
      <c r="I1240" t="s">
        <v>5321</v>
      </c>
      <c r="J1240" t="s">
        <v>9590</v>
      </c>
    </row>
    <row r="1241" spans="6:10">
      <c r="F1241" t="s">
        <v>9591</v>
      </c>
      <c r="G1241">
        <v>1238</v>
      </c>
      <c r="H1241" t="s">
        <v>3823</v>
      </c>
      <c r="I1241" t="s">
        <v>3824</v>
      </c>
      <c r="J1241" t="s">
        <v>9592</v>
      </c>
    </row>
    <row r="1242" spans="6:10">
      <c r="F1242" t="s">
        <v>9593</v>
      </c>
      <c r="G1242">
        <v>1239</v>
      </c>
      <c r="H1242" t="s">
        <v>2963</v>
      </c>
      <c r="I1242" t="s">
        <v>2964</v>
      </c>
      <c r="J1242" t="s">
        <v>9594</v>
      </c>
    </row>
    <row r="1243" spans="6:10">
      <c r="F1243" t="s">
        <v>9595</v>
      </c>
      <c r="G1243">
        <v>1240</v>
      </c>
      <c r="H1243" t="s">
        <v>9596</v>
      </c>
      <c r="I1243" t="s">
        <v>9597</v>
      </c>
      <c r="J1243" t="s">
        <v>9598</v>
      </c>
    </row>
    <row r="1244" spans="6:10">
      <c r="F1244" t="s">
        <v>9599</v>
      </c>
      <c r="G1244">
        <v>1241</v>
      </c>
      <c r="H1244" t="s">
        <v>9600</v>
      </c>
      <c r="I1244" t="s">
        <v>9601</v>
      </c>
      <c r="J1244" t="s">
        <v>9602</v>
      </c>
    </row>
    <row r="1245" spans="6:10">
      <c r="F1245" t="s">
        <v>9603</v>
      </c>
      <c r="G1245">
        <v>1242</v>
      </c>
      <c r="H1245" t="s">
        <v>4242</v>
      </c>
      <c r="I1245" t="s">
        <v>4243</v>
      </c>
      <c r="J1245" t="s">
        <v>9604</v>
      </c>
    </row>
    <row r="1246" spans="6:10">
      <c r="F1246" t="s">
        <v>9605</v>
      </c>
      <c r="G1246">
        <v>1243</v>
      </c>
      <c r="H1246" t="s">
        <v>2113</v>
      </c>
      <c r="I1246" t="s">
        <v>2114</v>
      </c>
      <c r="J1246" t="s">
        <v>9606</v>
      </c>
    </row>
    <row r="1247" spans="6:10">
      <c r="F1247" t="s">
        <v>9607</v>
      </c>
      <c r="G1247">
        <v>1244</v>
      </c>
      <c r="H1247" t="s">
        <v>9608</v>
      </c>
      <c r="I1247" t="s">
        <v>9609</v>
      </c>
      <c r="J1247" t="s">
        <v>9610</v>
      </c>
    </row>
    <row r="1248" spans="6:10">
      <c r="F1248" t="s">
        <v>9611</v>
      </c>
      <c r="G1248">
        <v>1245</v>
      </c>
      <c r="H1248" t="s">
        <v>9612</v>
      </c>
      <c r="I1248" t="s">
        <v>9613</v>
      </c>
      <c r="J1248" t="s">
        <v>9614</v>
      </c>
    </row>
    <row r="1249" spans="6:10">
      <c r="F1249" t="s">
        <v>9615</v>
      </c>
      <c r="G1249">
        <v>1246</v>
      </c>
      <c r="H1249" t="s">
        <v>9616</v>
      </c>
      <c r="I1249" t="s">
        <v>9617</v>
      </c>
      <c r="J1249" t="s">
        <v>9618</v>
      </c>
    </row>
    <row r="1250" spans="6:10">
      <c r="F1250" t="s">
        <v>9619</v>
      </c>
      <c r="G1250">
        <v>1247</v>
      </c>
      <c r="H1250" t="s">
        <v>4397</v>
      </c>
      <c r="I1250" t="s">
        <v>4398</v>
      </c>
      <c r="J1250" t="s">
        <v>9620</v>
      </c>
    </row>
    <row r="1251" spans="6:10">
      <c r="F1251" t="s">
        <v>9621</v>
      </c>
      <c r="G1251">
        <v>1248</v>
      </c>
      <c r="H1251" t="s">
        <v>9622</v>
      </c>
      <c r="I1251" t="s">
        <v>9623</v>
      </c>
      <c r="J1251" t="s">
        <v>9624</v>
      </c>
    </row>
    <row r="1252" spans="6:10">
      <c r="F1252" t="s">
        <v>9625</v>
      </c>
      <c r="G1252">
        <v>1249</v>
      </c>
      <c r="H1252" t="s">
        <v>9626</v>
      </c>
      <c r="I1252" t="s">
        <v>9627</v>
      </c>
      <c r="J1252" t="s">
        <v>9628</v>
      </c>
    </row>
    <row r="1253" spans="6:10">
      <c r="F1253" t="s">
        <v>9629</v>
      </c>
      <c r="G1253">
        <v>1250</v>
      </c>
      <c r="H1253" t="s">
        <v>34</v>
      </c>
      <c r="I1253" t="s">
        <v>35</v>
      </c>
      <c r="J1253" t="s">
        <v>9630</v>
      </c>
    </row>
    <row r="1254" spans="6:10">
      <c r="F1254" t="s">
        <v>9631</v>
      </c>
      <c r="G1254">
        <v>1251</v>
      </c>
      <c r="H1254" t="s">
        <v>4933</v>
      </c>
      <c r="I1254" t="s">
        <v>4934</v>
      </c>
      <c r="J1254" t="s">
        <v>9632</v>
      </c>
    </row>
    <row r="1255" spans="6:10">
      <c r="F1255" t="s">
        <v>9633</v>
      </c>
      <c r="G1255">
        <v>1252</v>
      </c>
      <c r="H1255" t="s">
        <v>4790</v>
      </c>
      <c r="I1255" t="s">
        <v>4791</v>
      </c>
      <c r="J1255" t="s">
        <v>9634</v>
      </c>
    </row>
    <row r="1256" spans="6:10">
      <c r="F1256" t="s">
        <v>9635</v>
      </c>
      <c r="G1256">
        <v>1253</v>
      </c>
      <c r="H1256" t="s">
        <v>791</v>
      </c>
      <c r="I1256" t="s">
        <v>792</v>
      </c>
      <c r="J1256" t="s">
        <v>9636</v>
      </c>
    </row>
    <row r="1257" spans="6:10">
      <c r="F1257" t="s">
        <v>9637</v>
      </c>
      <c r="G1257">
        <v>1254</v>
      </c>
      <c r="H1257" t="s">
        <v>3171</v>
      </c>
      <c r="I1257" t="s">
        <v>3172</v>
      </c>
      <c r="J1257" t="s">
        <v>9638</v>
      </c>
    </row>
    <row r="1258" spans="6:10">
      <c r="F1258" t="s">
        <v>9639</v>
      </c>
      <c r="G1258">
        <v>1255</v>
      </c>
      <c r="H1258" t="s">
        <v>1209</v>
      </c>
      <c r="I1258" t="s">
        <v>1210</v>
      </c>
      <c r="J1258" t="s">
        <v>9640</v>
      </c>
    </row>
    <row r="1259" spans="6:10">
      <c r="F1259" t="s">
        <v>9641</v>
      </c>
      <c r="G1259">
        <v>1256</v>
      </c>
      <c r="H1259" t="s">
        <v>9642</v>
      </c>
      <c r="I1259" t="s">
        <v>9643</v>
      </c>
      <c r="J1259" t="s">
        <v>9644</v>
      </c>
    </row>
    <row r="1260" spans="6:10">
      <c r="F1260" t="s">
        <v>9645</v>
      </c>
      <c r="G1260">
        <v>1257</v>
      </c>
      <c r="H1260" t="s">
        <v>3941</v>
      </c>
      <c r="I1260" t="s">
        <v>3942</v>
      </c>
      <c r="J1260" t="s">
        <v>9646</v>
      </c>
    </row>
    <row r="1261" spans="6:10">
      <c r="F1261" t="s">
        <v>9647</v>
      </c>
      <c r="G1261">
        <v>1258</v>
      </c>
      <c r="H1261" t="s">
        <v>5018</v>
      </c>
      <c r="I1261" t="s">
        <v>5019</v>
      </c>
      <c r="J1261" t="s">
        <v>9648</v>
      </c>
    </row>
    <row r="1262" spans="6:10">
      <c r="F1262" t="s">
        <v>9649</v>
      </c>
      <c r="G1262">
        <v>1259</v>
      </c>
      <c r="H1262" t="s">
        <v>865</v>
      </c>
      <c r="I1262" t="s">
        <v>866</v>
      </c>
      <c r="J1262" t="s">
        <v>9650</v>
      </c>
    </row>
    <row r="1263" spans="6:10">
      <c r="F1263" t="s">
        <v>9651</v>
      </c>
      <c r="G1263">
        <v>1260</v>
      </c>
      <c r="H1263" t="s">
        <v>5227</v>
      </c>
      <c r="I1263" t="s">
        <v>5228</v>
      </c>
      <c r="J1263" t="s">
        <v>9652</v>
      </c>
    </row>
    <row r="1264" spans="6:10">
      <c r="F1264" t="s">
        <v>9653</v>
      </c>
      <c r="G1264">
        <v>1261</v>
      </c>
      <c r="H1264" t="s">
        <v>9654</v>
      </c>
      <c r="I1264" t="s">
        <v>7361</v>
      </c>
      <c r="J1264" t="s">
        <v>9655</v>
      </c>
    </row>
    <row r="1265" spans="6:10">
      <c r="F1265" t="s">
        <v>9656</v>
      </c>
      <c r="G1265">
        <v>1262</v>
      </c>
      <c r="H1265" t="s">
        <v>9657</v>
      </c>
      <c r="I1265" t="s">
        <v>9658</v>
      </c>
      <c r="J1265" t="s">
        <v>9659</v>
      </c>
    </row>
    <row r="1266" spans="6:10">
      <c r="F1266" t="s">
        <v>9660</v>
      </c>
      <c r="G1266">
        <v>1263</v>
      </c>
      <c r="H1266" t="s">
        <v>9661</v>
      </c>
      <c r="I1266" t="s">
        <v>9662</v>
      </c>
      <c r="J1266" t="s">
        <v>9663</v>
      </c>
    </row>
    <row r="1267" spans="6:10">
      <c r="F1267" t="s">
        <v>9664</v>
      </c>
      <c r="G1267">
        <v>1264</v>
      </c>
      <c r="H1267" t="s">
        <v>5676</v>
      </c>
      <c r="I1267" t="s">
        <v>5677</v>
      </c>
      <c r="J1267" t="s">
        <v>9665</v>
      </c>
    </row>
    <row r="1268" spans="6:10">
      <c r="F1268" t="s">
        <v>9666</v>
      </c>
      <c r="G1268">
        <v>1265</v>
      </c>
      <c r="H1268" t="s">
        <v>9667</v>
      </c>
      <c r="I1268" t="s">
        <v>9668</v>
      </c>
      <c r="J1268" t="s">
        <v>9669</v>
      </c>
    </row>
    <row r="1269" spans="6:10">
      <c r="F1269" t="s">
        <v>9670</v>
      </c>
      <c r="G1269">
        <v>1266</v>
      </c>
      <c r="H1269" t="s">
        <v>9671</v>
      </c>
      <c r="I1269" t="s">
        <v>9672</v>
      </c>
      <c r="J1269" t="s">
        <v>9673</v>
      </c>
    </row>
    <row r="1270" spans="6:10">
      <c r="F1270" t="s">
        <v>9674</v>
      </c>
      <c r="G1270">
        <v>1267</v>
      </c>
      <c r="H1270" t="s">
        <v>9675</v>
      </c>
      <c r="I1270" t="s">
        <v>9676</v>
      </c>
      <c r="J1270" t="s">
        <v>9677</v>
      </c>
    </row>
    <row r="1271" spans="6:10">
      <c r="F1271" t="s">
        <v>9678</v>
      </c>
      <c r="G1271">
        <v>1268</v>
      </c>
      <c r="H1271" t="s">
        <v>912</v>
      </c>
      <c r="I1271" t="s">
        <v>913</v>
      </c>
      <c r="J1271" t="s">
        <v>9679</v>
      </c>
    </row>
    <row r="1272" spans="6:10">
      <c r="F1272" t="s">
        <v>9680</v>
      </c>
      <c r="G1272">
        <v>1269</v>
      </c>
      <c r="H1272" t="s">
        <v>1258</v>
      </c>
      <c r="I1272" t="s">
        <v>1259</v>
      </c>
      <c r="J1272" t="s">
        <v>9681</v>
      </c>
    </row>
    <row r="1273" spans="6:10">
      <c r="F1273" t="s">
        <v>9682</v>
      </c>
      <c r="G1273">
        <v>1270</v>
      </c>
      <c r="H1273" t="s">
        <v>2496</v>
      </c>
      <c r="I1273" t="s">
        <v>2497</v>
      </c>
      <c r="J1273" t="s">
        <v>9683</v>
      </c>
    </row>
    <row r="1274" spans="6:10">
      <c r="F1274" t="s">
        <v>9684</v>
      </c>
      <c r="G1274">
        <v>1271</v>
      </c>
      <c r="H1274" t="s">
        <v>2424</v>
      </c>
      <c r="I1274" t="s">
        <v>2425</v>
      </c>
      <c r="J1274" t="s">
        <v>9685</v>
      </c>
    </row>
    <row r="1275" spans="6:10">
      <c r="F1275" t="s">
        <v>9686</v>
      </c>
      <c r="G1275">
        <v>1272</v>
      </c>
      <c r="H1275" t="s">
        <v>1681</v>
      </c>
      <c r="I1275" t="s">
        <v>1682</v>
      </c>
      <c r="J1275" t="s">
        <v>9687</v>
      </c>
    </row>
    <row r="1276" spans="6:10">
      <c r="F1276" t="s">
        <v>9688</v>
      </c>
      <c r="G1276">
        <v>1273</v>
      </c>
      <c r="H1276" t="s">
        <v>2963</v>
      </c>
      <c r="I1276" t="s">
        <v>2965</v>
      </c>
      <c r="J1276" t="s">
        <v>9689</v>
      </c>
    </row>
    <row r="1277" spans="6:10">
      <c r="F1277" t="s">
        <v>9690</v>
      </c>
      <c r="G1277">
        <v>1274</v>
      </c>
      <c r="H1277" t="s">
        <v>2782</v>
      </c>
      <c r="I1277" t="s">
        <v>2783</v>
      </c>
      <c r="J1277" t="s">
        <v>9691</v>
      </c>
    </row>
    <row r="1278" spans="6:10">
      <c r="F1278" t="s">
        <v>9692</v>
      </c>
      <c r="G1278">
        <v>1275</v>
      </c>
      <c r="H1278" t="s">
        <v>9693</v>
      </c>
      <c r="I1278" t="s">
        <v>9694</v>
      </c>
      <c r="J1278" t="s">
        <v>9695</v>
      </c>
    </row>
    <row r="1279" spans="6:10">
      <c r="F1279" t="s">
        <v>9696</v>
      </c>
      <c r="G1279">
        <v>1276</v>
      </c>
      <c r="H1279" t="s">
        <v>9697</v>
      </c>
      <c r="I1279" t="s">
        <v>9698</v>
      </c>
      <c r="J1279" t="s">
        <v>9699</v>
      </c>
    </row>
    <row r="1280" spans="6:10">
      <c r="F1280" t="s">
        <v>9700</v>
      </c>
      <c r="G1280">
        <v>1277</v>
      </c>
      <c r="H1280" t="s">
        <v>2616</v>
      </c>
      <c r="I1280" t="s">
        <v>2617</v>
      </c>
      <c r="J1280" t="s">
        <v>9701</v>
      </c>
    </row>
    <row r="1281" spans="6:10">
      <c r="F1281" t="s">
        <v>9702</v>
      </c>
      <c r="G1281">
        <v>1278</v>
      </c>
      <c r="H1281" t="s">
        <v>5830</v>
      </c>
      <c r="I1281" t="s">
        <v>5831</v>
      </c>
      <c r="J1281" t="s">
        <v>9703</v>
      </c>
    </row>
    <row r="1282" spans="6:10">
      <c r="F1282" t="s">
        <v>9704</v>
      </c>
      <c r="G1282">
        <v>1279</v>
      </c>
      <c r="H1282" t="s">
        <v>9705</v>
      </c>
      <c r="I1282" t="s">
        <v>9706</v>
      </c>
      <c r="J1282" t="s">
        <v>9707</v>
      </c>
    </row>
    <row r="1283" spans="6:10">
      <c r="F1283" t="s">
        <v>9708</v>
      </c>
      <c r="G1283">
        <v>1280</v>
      </c>
      <c r="H1283" t="s">
        <v>420</v>
      </c>
      <c r="I1283" t="s">
        <v>421</v>
      </c>
      <c r="J1283" t="s">
        <v>9709</v>
      </c>
    </row>
    <row r="1284" spans="6:10">
      <c r="F1284" t="s">
        <v>9710</v>
      </c>
      <c r="G1284">
        <v>1281</v>
      </c>
      <c r="H1284" t="s">
        <v>4565</v>
      </c>
      <c r="I1284" t="s">
        <v>4567</v>
      </c>
      <c r="J1284" t="s">
        <v>9711</v>
      </c>
    </row>
    <row r="1285" spans="6:10">
      <c r="F1285" t="s">
        <v>9712</v>
      </c>
      <c r="G1285">
        <v>1282</v>
      </c>
      <c r="H1285" t="s">
        <v>9713</v>
      </c>
      <c r="I1285" t="s">
        <v>9714</v>
      </c>
      <c r="J1285" t="s">
        <v>9715</v>
      </c>
    </row>
    <row r="1286" spans="6:10">
      <c r="F1286" t="s">
        <v>9716</v>
      </c>
      <c r="G1286">
        <v>1283</v>
      </c>
      <c r="H1286" t="s">
        <v>1222</v>
      </c>
      <c r="I1286" t="s">
        <v>1223</v>
      </c>
      <c r="J1286" t="s">
        <v>9717</v>
      </c>
    </row>
    <row r="1287" spans="6:10">
      <c r="F1287" t="s">
        <v>9718</v>
      </c>
      <c r="G1287">
        <v>1284</v>
      </c>
      <c r="H1287" t="s">
        <v>5349</v>
      </c>
      <c r="I1287" t="s">
        <v>5350</v>
      </c>
      <c r="J1287" t="s">
        <v>9719</v>
      </c>
    </row>
    <row r="1288" spans="6:10">
      <c r="F1288" t="s">
        <v>9720</v>
      </c>
      <c r="G1288">
        <v>1285</v>
      </c>
      <c r="H1288" t="s">
        <v>548</v>
      </c>
      <c r="I1288" t="s">
        <v>565</v>
      </c>
      <c r="J1288" t="s">
        <v>9721</v>
      </c>
    </row>
    <row r="1289" spans="6:10">
      <c r="F1289" t="s">
        <v>9722</v>
      </c>
      <c r="G1289">
        <v>1286</v>
      </c>
      <c r="H1289" t="s">
        <v>548</v>
      </c>
      <c r="I1289" t="s">
        <v>566</v>
      </c>
      <c r="J1289" t="s">
        <v>9723</v>
      </c>
    </row>
    <row r="1290" spans="6:10">
      <c r="F1290" t="s">
        <v>9724</v>
      </c>
      <c r="G1290">
        <v>1287</v>
      </c>
      <c r="H1290" t="s">
        <v>2141</v>
      </c>
      <c r="I1290" t="s">
        <v>2142</v>
      </c>
      <c r="J1290" t="s">
        <v>9725</v>
      </c>
    </row>
    <row r="1291" spans="6:10">
      <c r="F1291" t="s">
        <v>9726</v>
      </c>
      <c r="G1291">
        <v>1288</v>
      </c>
      <c r="H1291" t="s">
        <v>4323</v>
      </c>
      <c r="I1291" t="s">
        <v>4324</v>
      </c>
      <c r="J1291" t="s">
        <v>9727</v>
      </c>
    </row>
    <row r="1292" spans="6:10">
      <c r="F1292" t="s">
        <v>9728</v>
      </c>
      <c r="G1292">
        <v>1289</v>
      </c>
      <c r="H1292" t="s">
        <v>9729</v>
      </c>
      <c r="I1292" t="s">
        <v>9730</v>
      </c>
      <c r="J1292" t="s">
        <v>9731</v>
      </c>
    </row>
    <row r="1293" spans="6:10">
      <c r="F1293" t="s">
        <v>9732</v>
      </c>
      <c r="G1293">
        <v>1290</v>
      </c>
      <c r="H1293" t="s">
        <v>5279</v>
      </c>
      <c r="I1293" t="s">
        <v>5280</v>
      </c>
      <c r="J1293" t="s">
        <v>9733</v>
      </c>
    </row>
    <row r="1294" spans="6:10">
      <c r="F1294" t="s">
        <v>9734</v>
      </c>
      <c r="G1294">
        <v>1291</v>
      </c>
      <c r="H1294" t="s">
        <v>9735</v>
      </c>
      <c r="I1294" t="s">
        <v>9736</v>
      </c>
      <c r="J1294" t="s">
        <v>9737</v>
      </c>
    </row>
    <row r="1295" spans="6:10">
      <c r="F1295" t="s">
        <v>9738</v>
      </c>
      <c r="G1295">
        <v>1292</v>
      </c>
      <c r="H1295" t="s">
        <v>2841</v>
      </c>
      <c r="I1295" t="s">
        <v>2846</v>
      </c>
      <c r="J1295" t="s">
        <v>9739</v>
      </c>
    </row>
    <row r="1296" spans="6:10">
      <c r="F1296" t="s">
        <v>9740</v>
      </c>
      <c r="G1296">
        <v>1293</v>
      </c>
      <c r="H1296" t="s">
        <v>9741</v>
      </c>
      <c r="I1296" t="s">
        <v>9742</v>
      </c>
      <c r="J1296" t="s">
        <v>9743</v>
      </c>
    </row>
    <row r="1297" spans="6:10">
      <c r="F1297" t="s">
        <v>9744</v>
      </c>
      <c r="G1297">
        <v>1294</v>
      </c>
      <c r="H1297" t="s">
        <v>5440</v>
      </c>
      <c r="I1297" t="s">
        <v>4093</v>
      </c>
      <c r="J1297" t="s">
        <v>9745</v>
      </c>
    </row>
    <row r="1298" spans="6:10">
      <c r="F1298" t="s">
        <v>9746</v>
      </c>
      <c r="G1298">
        <v>1295</v>
      </c>
      <c r="H1298" t="s">
        <v>548</v>
      </c>
      <c r="I1298" t="s">
        <v>567</v>
      </c>
      <c r="J1298" t="s">
        <v>9747</v>
      </c>
    </row>
    <row r="1299" spans="6:10">
      <c r="F1299" t="s">
        <v>9748</v>
      </c>
      <c r="G1299">
        <v>1296</v>
      </c>
      <c r="H1299" t="s">
        <v>3393</v>
      </c>
      <c r="I1299" t="s">
        <v>3394</v>
      </c>
      <c r="J1299" t="s">
        <v>9749</v>
      </c>
    </row>
    <row r="1300" spans="6:10">
      <c r="F1300" t="s">
        <v>9750</v>
      </c>
      <c r="G1300">
        <v>1297</v>
      </c>
      <c r="H1300" t="s">
        <v>2849</v>
      </c>
      <c r="I1300" t="s">
        <v>2850</v>
      </c>
      <c r="J1300" t="s">
        <v>9751</v>
      </c>
    </row>
    <row r="1301" spans="6:10">
      <c r="F1301" t="s">
        <v>9752</v>
      </c>
      <c r="G1301">
        <v>1298</v>
      </c>
      <c r="H1301" t="s">
        <v>1322</v>
      </c>
      <c r="I1301" t="s">
        <v>1323</v>
      </c>
      <c r="J1301" t="s">
        <v>9753</v>
      </c>
    </row>
    <row r="1302" spans="6:10">
      <c r="F1302" t="s">
        <v>9754</v>
      </c>
      <c r="G1302">
        <v>1299</v>
      </c>
      <c r="H1302" t="s">
        <v>9755</v>
      </c>
      <c r="I1302" t="s">
        <v>9756</v>
      </c>
      <c r="J1302" t="s">
        <v>9757</v>
      </c>
    </row>
    <row r="1303" spans="6:10">
      <c r="F1303" t="s">
        <v>9758</v>
      </c>
      <c r="G1303">
        <v>1300</v>
      </c>
      <c r="H1303" t="s">
        <v>2722</v>
      </c>
      <c r="I1303" t="s">
        <v>2723</v>
      </c>
      <c r="J1303" t="s">
        <v>9759</v>
      </c>
    </row>
    <row r="1304" spans="6:10">
      <c r="F1304" t="s">
        <v>9760</v>
      </c>
      <c r="G1304">
        <v>1301</v>
      </c>
      <c r="H1304" t="s">
        <v>4832</v>
      </c>
      <c r="I1304" t="s">
        <v>4833</v>
      </c>
      <c r="J1304" t="s">
        <v>9761</v>
      </c>
    </row>
    <row r="1305" spans="6:10">
      <c r="F1305" t="s">
        <v>9762</v>
      </c>
      <c r="G1305">
        <v>1302</v>
      </c>
      <c r="H1305" t="s">
        <v>548</v>
      </c>
      <c r="I1305" t="s">
        <v>568</v>
      </c>
      <c r="J1305" t="s">
        <v>9763</v>
      </c>
    </row>
    <row r="1306" spans="6:10">
      <c r="F1306" t="s">
        <v>9764</v>
      </c>
      <c r="G1306">
        <v>1303</v>
      </c>
      <c r="H1306" t="s">
        <v>4756</v>
      </c>
      <c r="I1306" t="s">
        <v>4757</v>
      </c>
      <c r="J1306" t="s">
        <v>9765</v>
      </c>
    </row>
    <row r="1307" spans="6:10">
      <c r="F1307" t="s">
        <v>9766</v>
      </c>
      <c r="G1307">
        <v>1304</v>
      </c>
      <c r="H1307" t="s">
        <v>1744</v>
      </c>
      <c r="I1307" t="s">
        <v>1747</v>
      </c>
      <c r="J1307" t="s">
        <v>9767</v>
      </c>
    </row>
    <row r="1308" spans="6:10">
      <c r="F1308" t="s">
        <v>9768</v>
      </c>
      <c r="G1308">
        <v>1305</v>
      </c>
      <c r="H1308" t="s">
        <v>4589</v>
      </c>
      <c r="I1308" t="s">
        <v>4590</v>
      </c>
      <c r="J1308" t="s">
        <v>9769</v>
      </c>
    </row>
    <row r="1309" spans="6:10">
      <c r="F1309" t="s">
        <v>9770</v>
      </c>
      <c r="G1309">
        <v>1306</v>
      </c>
      <c r="H1309" t="s">
        <v>9771</v>
      </c>
      <c r="I1309" t="s">
        <v>9772</v>
      </c>
      <c r="J1309" t="s">
        <v>9773</v>
      </c>
    </row>
    <row r="1310" spans="6:10">
      <c r="F1310" t="s">
        <v>9774</v>
      </c>
      <c r="G1310">
        <v>1307</v>
      </c>
      <c r="H1310" t="s">
        <v>2612</v>
      </c>
      <c r="I1310" t="s">
        <v>2613</v>
      </c>
      <c r="J1310" t="s">
        <v>9775</v>
      </c>
    </row>
    <row r="1311" spans="6:10">
      <c r="F1311" t="s">
        <v>9776</v>
      </c>
      <c r="G1311">
        <v>1308</v>
      </c>
      <c r="H1311" t="s">
        <v>2040</v>
      </c>
      <c r="I1311" t="s">
        <v>2041</v>
      </c>
      <c r="J1311" t="s">
        <v>9777</v>
      </c>
    </row>
    <row r="1312" spans="6:10">
      <c r="F1312" t="s">
        <v>9778</v>
      </c>
      <c r="G1312">
        <v>1309</v>
      </c>
      <c r="H1312" t="s">
        <v>9779</v>
      </c>
      <c r="I1312" t="s">
        <v>9780</v>
      </c>
      <c r="J1312" t="s">
        <v>9781</v>
      </c>
    </row>
    <row r="1313" spans="6:10">
      <c r="F1313" t="s">
        <v>9782</v>
      </c>
      <c r="G1313">
        <v>1310</v>
      </c>
      <c r="H1313" t="s">
        <v>548</v>
      </c>
      <c r="I1313" t="s">
        <v>569</v>
      </c>
      <c r="J1313" t="s">
        <v>9783</v>
      </c>
    </row>
    <row r="1314" spans="6:10">
      <c r="F1314" t="s">
        <v>9784</v>
      </c>
      <c r="G1314">
        <v>1311</v>
      </c>
      <c r="H1314" t="s">
        <v>548</v>
      </c>
      <c r="I1314" t="s">
        <v>570</v>
      </c>
      <c r="J1314" t="s">
        <v>9785</v>
      </c>
    </row>
    <row r="1315" spans="6:10">
      <c r="F1315" t="s">
        <v>9786</v>
      </c>
      <c r="G1315">
        <v>1312</v>
      </c>
      <c r="H1315" t="s">
        <v>9787</v>
      </c>
      <c r="I1315" t="s">
        <v>9788</v>
      </c>
      <c r="J1315" t="s">
        <v>9789</v>
      </c>
    </row>
    <row r="1316" spans="6:10">
      <c r="F1316" t="s">
        <v>9790</v>
      </c>
      <c r="G1316">
        <v>1313</v>
      </c>
      <c r="H1316" t="s">
        <v>4811</v>
      </c>
      <c r="I1316" t="s">
        <v>4812</v>
      </c>
      <c r="J1316" t="s">
        <v>9791</v>
      </c>
    </row>
    <row r="1317" spans="6:10">
      <c r="F1317" t="s">
        <v>9792</v>
      </c>
      <c r="G1317">
        <v>1314</v>
      </c>
      <c r="H1317" t="s">
        <v>9793</v>
      </c>
      <c r="I1317" t="s">
        <v>9794</v>
      </c>
      <c r="J1317" t="s">
        <v>9795</v>
      </c>
    </row>
    <row r="1318" spans="6:10">
      <c r="F1318" t="s">
        <v>9796</v>
      </c>
      <c r="G1318">
        <v>1315</v>
      </c>
      <c r="H1318" t="s">
        <v>5453</v>
      </c>
      <c r="I1318" t="s">
        <v>5454</v>
      </c>
      <c r="J1318" t="s">
        <v>9797</v>
      </c>
    </row>
    <row r="1319" spans="6:10">
      <c r="F1319" t="s">
        <v>9798</v>
      </c>
      <c r="G1319">
        <v>1316</v>
      </c>
      <c r="H1319" t="s">
        <v>9799</v>
      </c>
      <c r="I1319" t="s">
        <v>9800</v>
      </c>
      <c r="J1319" t="s">
        <v>9801</v>
      </c>
    </row>
    <row r="1320" spans="6:10">
      <c r="F1320" t="s">
        <v>9802</v>
      </c>
      <c r="G1320">
        <v>1317</v>
      </c>
      <c r="H1320" t="s">
        <v>1916</v>
      </c>
      <c r="I1320" t="s">
        <v>1917</v>
      </c>
      <c r="J1320" t="s">
        <v>9803</v>
      </c>
    </row>
    <row r="1321" spans="6:10">
      <c r="F1321" t="s">
        <v>9804</v>
      </c>
      <c r="G1321">
        <v>1318</v>
      </c>
      <c r="H1321" t="s">
        <v>3552</v>
      </c>
      <c r="I1321" t="s">
        <v>3553</v>
      </c>
      <c r="J1321" t="s">
        <v>9805</v>
      </c>
    </row>
    <row r="1322" spans="6:10">
      <c r="F1322" t="s">
        <v>9806</v>
      </c>
      <c r="G1322">
        <v>1319</v>
      </c>
      <c r="H1322" t="s">
        <v>4908</v>
      </c>
      <c r="I1322" t="s">
        <v>4909</v>
      </c>
      <c r="J1322" t="s">
        <v>9807</v>
      </c>
    </row>
    <row r="1323" spans="6:10">
      <c r="F1323" t="s">
        <v>9808</v>
      </c>
      <c r="G1323">
        <v>1320</v>
      </c>
      <c r="H1323" t="s">
        <v>1399</v>
      </c>
      <c r="I1323" t="s">
        <v>1400</v>
      </c>
      <c r="J1323" t="s">
        <v>9809</v>
      </c>
    </row>
    <row r="1324" spans="6:10">
      <c r="F1324" t="s">
        <v>9810</v>
      </c>
      <c r="G1324">
        <v>1321</v>
      </c>
      <c r="H1324" t="s">
        <v>2805</v>
      </c>
      <c r="I1324" t="s">
        <v>2806</v>
      </c>
      <c r="J1324" t="s">
        <v>9811</v>
      </c>
    </row>
    <row r="1325" spans="6:10">
      <c r="F1325" t="s">
        <v>9812</v>
      </c>
      <c r="G1325">
        <v>1322</v>
      </c>
      <c r="H1325" t="s">
        <v>1436</v>
      </c>
      <c r="I1325" t="s">
        <v>1437</v>
      </c>
      <c r="J1325" t="s">
        <v>9813</v>
      </c>
    </row>
    <row r="1326" spans="6:10">
      <c r="F1326" t="s">
        <v>9814</v>
      </c>
      <c r="G1326">
        <v>1323</v>
      </c>
      <c r="H1326" t="s">
        <v>4894</v>
      </c>
      <c r="I1326" t="s">
        <v>4895</v>
      </c>
      <c r="J1326" t="s">
        <v>9815</v>
      </c>
    </row>
    <row r="1327" spans="6:10">
      <c r="F1327" t="s">
        <v>9816</v>
      </c>
      <c r="G1327">
        <v>1324</v>
      </c>
      <c r="H1327" t="s">
        <v>9817</v>
      </c>
      <c r="I1327" t="s">
        <v>9818</v>
      </c>
      <c r="J1327" t="s">
        <v>9819</v>
      </c>
    </row>
    <row r="1328" spans="6:10">
      <c r="F1328" t="s">
        <v>9820</v>
      </c>
      <c r="G1328">
        <v>1325</v>
      </c>
      <c r="H1328" t="s">
        <v>9821</v>
      </c>
      <c r="I1328" t="s">
        <v>2505</v>
      </c>
      <c r="J1328" t="s">
        <v>9822</v>
      </c>
    </row>
    <row r="1329" spans="6:10">
      <c r="F1329" t="s">
        <v>9823</v>
      </c>
      <c r="G1329">
        <v>1326</v>
      </c>
      <c r="H1329" t="s">
        <v>2712</v>
      </c>
      <c r="I1329" t="s">
        <v>2713</v>
      </c>
      <c r="J1329" t="s">
        <v>9824</v>
      </c>
    </row>
    <row r="1330" spans="6:10">
      <c r="F1330" t="s">
        <v>9825</v>
      </c>
      <c r="G1330">
        <v>1327</v>
      </c>
      <c r="H1330" t="s">
        <v>4796</v>
      </c>
      <c r="I1330" t="s">
        <v>4797</v>
      </c>
      <c r="J1330" t="s">
        <v>9826</v>
      </c>
    </row>
    <row r="1331" spans="6:10">
      <c r="F1331" t="s">
        <v>9827</v>
      </c>
      <c r="G1331">
        <v>1328</v>
      </c>
      <c r="H1331" t="s">
        <v>2297</v>
      </c>
      <c r="I1331" t="s">
        <v>2298</v>
      </c>
      <c r="J1331" t="s">
        <v>9828</v>
      </c>
    </row>
    <row r="1332" spans="6:10">
      <c r="F1332" t="s">
        <v>9829</v>
      </c>
      <c r="G1332">
        <v>1329</v>
      </c>
      <c r="H1332" t="s">
        <v>9830</v>
      </c>
      <c r="I1332" t="s">
        <v>9831</v>
      </c>
      <c r="J1332" t="s">
        <v>9832</v>
      </c>
    </row>
    <row r="1333" spans="6:10">
      <c r="F1333" t="s">
        <v>9833</v>
      </c>
      <c r="G1333">
        <v>1330</v>
      </c>
      <c r="H1333" t="s">
        <v>598</v>
      </c>
      <c r="I1333" t="s">
        <v>599</v>
      </c>
      <c r="J1333" t="s">
        <v>9834</v>
      </c>
    </row>
    <row r="1334" spans="6:10">
      <c r="F1334" t="s">
        <v>9835</v>
      </c>
      <c r="G1334">
        <v>1331</v>
      </c>
      <c r="H1334" t="s">
        <v>3191</v>
      </c>
      <c r="I1334" t="s">
        <v>3192</v>
      </c>
      <c r="J1334" t="s">
        <v>9836</v>
      </c>
    </row>
    <row r="1335" spans="6:10">
      <c r="F1335" t="s">
        <v>9837</v>
      </c>
      <c r="G1335">
        <v>1332</v>
      </c>
      <c r="H1335" t="s">
        <v>5488</v>
      </c>
      <c r="I1335" t="s">
        <v>5489</v>
      </c>
      <c r="J1335" t="s">
        <v>9838</v>
      </c>
    </row>
    <row r="1336" spans="6:10">
      <c r="F1336" t="s">
        <v>9839</v>
      </c>
      <c r="G1336">
        <v>1333</v>
      </c>
      <c r="H1336" t="s">
        <v>5842</v>
      </c>
      <c r="I1336" t="s">
        <v>5843</v>
      </c>
      <c r="J1336" t="s">
        <v>9840</v>
      </c>
    </row>
    <row r="1337" spans="6:10">
      <c r="F1337" t="s">
        <v>9841</v>
      </c>
      <c r="G1337">
        <v>1334</v>
      </c>
      <c r="H1337" t="s">
        <v>5570</v>
      </c>
      <c r="I1337" t="s">
        <v>5571</v>
      </c>
      <c r="J1337" t="s">
        <v>9842</v>
      </c>
    </row>
    <row r="1338" spans="6:10">
      <c r="F1338" t="s">
        <v>9843</v>
      </c>
      <c r="G1338">
        <v>1335</v>
      </c>
      <c r="H1338" t="s">
        <v>9844</v>
      </c>
      <c r="I1338" t="s">
        <v>9845</v>
      </c>
      <c r="J1338" t="s">
        <v>9846</v>
      </c>
    </row>
    <row r="1339" spans="6:10">
      <c r="F1339" t="s">
        <v>9847</v>
      </c>
      <c r="G1339">
        <v>1336</v>
      </c>
      <c r="H1339" t="s">
        <v>1910</v>
      </c>
      <c r="I1339" t="s">
        <v>1911</v>
      </c>
      <c r="J1339" t="s">
        <v>9848</v>
      </c>
    </row>
    <row r="1340" spans="6:10">
      <c r="F1340" t="s">
        <v>9849</v>
      </c>
      <c r="G1340">
        <v>1337</v>
      </c>
      <c r="H1340" t="s">
        <v>1910</v>
      </c>
      <c r="I1340" t="s">
        <v>1912</v>
      </c>
      <c r="J1340" t="s">
        <v>9850</v>
      </c>
    </row>
    <row r="1341" spans="6:10">
      <c r="F1341" t="s">
        <v>9851</v>
      </c>
      <c r="G1341">
        <v>1338</v>
      </c>
      <c r="H1341" t="s">
        <v>1910</v>
      </c>
      <c r="I1341" t="s">
        <v>1913</v>
      </c>
      <c r="J1341" t="s">
        <v>9852</v>
      </c>
    </row>
    <row r="1342" spans="6:10">
      <c r="F1342" t="s">
        <v>9853</v>
      </c>
      <c r="G1342">
        <v>1339</v>
      </c>
      <c r="H1342" t="s">
        <v>1910</v>
      </c>
      <c r="I1342" t="s">
        <v>1914</v>
      </c>
      <c r="J1342" t="s">
        <v>9854</v>
      </c>
    </row>
    <row r="1343" spans="6:10">
      <c r="F1343" t="s">
        <v>9855</v>
      </c>
      <c r="G1343">
        <v>1340</v>
      </c>
      <c r="H1343" t="s">
        <v>1910</v>
      </c>
      <c r="I1343" t="s">
        <v>1915</v>
      </c>
      <c r="J1343" t="s">
        <v>9856</v>
      </c>
    </row>
    <row r="1344" spans="6:10">
      <c r="F1344" t="s">
        <v>9857</v>
      </c>
      <c r="G1344">
        <v>1341</v>
      </c>
      <c r="H1344" t="s">
        <v>9858</v>
      </c>
      <c r="I1344" t="s">
        <v>9859</v>
      </c>
      <c r="J1344" t="s">
        <v>9860</v>
      </c>
    </row>
    <row r="1345" spans="6:10">
      <c r="F1345" t="s">
        <v>9861</v>
      </c>
      <c r="G1345">
        <v>1342</v>
      </c>
      <c r="H1345" t="s">
        <v>9862</v>
      </c>
      <c r="I1345" t="s">
        <v>9863</v>
      </c>
      <c r="J1345" t="s">
        <v>9864</v>
      </c>
    </row>
    <row r="1346" spans="6:10">
      <c r="F1346" t="s">
        <v>9865</v>
      </c>
      <c r="G1346">
        <v>1343</v>
      </c>
      <c r="H1346" t="s">
        <v>9866</v>
      </c>
      <c r="I1346" t="s">
        <v>9867</v>
      </c>
      <c r="J1346" t="s">
        <v>9868</v>
      </c>
    </row>
    <row r="1347" spans="6:10">
      <c r="F1347" t="s">
        <v>9869</v>
      </c>
      <c r="G1347">
        <v>1344</v>
      </c>
      <c r="H1347" t="s">
        <v>6226</v>
      </c>
      <c r="I1347" t="s">
        <v>6227</v>
      </c>
      <c r="J1347" t="s">
        <v>9870</v>
      </c>
    </row>
    <row r="1348" spans="6:10">
      <c r="F1348" t="s">
        <v>9871</v>
      </c>
      <c r="G1348">
        <v>1345</v>
      </c>
      <c r="H1348" t="s">
        <v>9872</v>
      </c>
      <c r="I1348" t="s">
        <v>9873</v>
      </c>
      <c r="J1348" t="s">
        <v>9874</v>
      </c>
    </row>
    <row r="1349" spans="6:10">
      <c r="F1349" t="s">
        <v>9875</v>
      </c>
      <c r="G1349">
        <v>1346</v>
      </c>
      <c r="H1349" t="s">
        <v>9876</v>
      </c>
      <c r="I1349" t="s">
        <v>9877</v>
      </c>
      <c r="J1349" t="s">
        <v>9878</v>
      </c>
    </row>
    <row r="1350" spans="6:10">
      <c r="F1350" t="s">
        <v>9879</v>
      </c>
      <c r="G1350">
        <v>1347</v>
      </c>
      <c r="H1350" t="s">
        <v>2299</v>
      </c>
      <c r="I1350" t="s">
        <v>2300</v>
      </c>
      <c r="J1350" t="s">
        <v>9880</v>
      </c>
    </row>
    <row r="1351" spans="6:10">
      <c r="F1351" t="s">
        <v>9881</v>
      </c>
      <c r="G1351">
        <v>1348</v>
      </c>
      <c r="H1351" t="s">
        <v>1189</v>
      </c>
      <c r="I1351" t="s">
        <v>1190</v>
      </c>
      <c r="J1351" t="s">
        <v>9882</v>
      </c>
    </row>
    <row r="1352" spans="6:10">
      <c r="F1352" t="s">
        <v>9883</v>
      </c>
      <c r="G1352">
        <v>1349</v>
      </c>
      <c r="H1352" t="s">
        <v>752</v>
      </c>
      <c r="I1352" t="s">
        <v>753</v>
      </c>
      <c r="J1352" t="s">
        <v>9884</v>
      </c>
    </row>
    <row r="1353" spans="6:10">
      <c r="F1353" t="s">
        <v>9885</v>
      </c>
      <c r="G1353">
        <v>1350</v>
      </c>
      <c r="H1353" t="s">
        <v>9886</v>
      </c>
      <c r="I1353" t="s">
        <v>9887</v>
      </c>
      <c r="J1353" t="s">
        <v>9888</v>
      </c>
    </row>
    <row r="1354" spans="6:10">
      <c r="F1354" t="s">
        <v>9889</v>
      </c>
      <c r="G1354">
        <v>1351</v>
      </c>
      <c r="H1354" t="s">
        <v>9890</v>
      </c>
      <c r="I1354" t="s">
        <v>9891</v>
      </c>
      <c r="J1354" t="s">
        <v>9892</v>
      </c>
    </row>
    <row r="1355" spans="6:10">
      <c r="F1355" t="s">
        <v>9893</v>
      </c>
      <c r="G1355">
        <v>1352</v>
      </c>
      <c r="H1355" t="s">
        <v>5193</v>
      </c>
      <c r="I1355" t="s">
        <v>5194</v>
      </c>
      <c r="J1355" t="s">
        <v>9894</v>
      </c>
    </row>
    <row r="1356" spans="6:10">
      <c r="F1356" t="s">
        <v>9895</v>
      </c>
      <c r="G1356">
        <v>1353</v>
      </c>
      <c r="H1356" t="s">
        <v>506</v>
      </c>
      <c r="I1356" t="s">
        <v>507</v>
      </c>
      <c r="J1356" t="s">
        <v>9896</v>
      </c>
    </row>
    <row r="1357" spans="6:10">
      <c r="F1357" t="s">
        <v>9897</v>
      </c>
      <c r="G1357">
        <v>1354</v>
      </c>
      <c r="H1357" t="s">
        <v>9898</v>
      </c>
      <c r="I1357" t="s">
        <v>9898</v>
      </c>
      <c r="J1357" t="s">
        <v>9899</v>
      </c>
    </row>
    <row r="1358" spans="6:10">
      <c r="F1358" t="s">
        <v>9900</v>
      </c>
      <c r="G1358">
        <v>1355</v>
      </c>
      <c r="H1358" t="s">
        <v>4509</v>
      </c>
      <c r="I1358" t="s">
        <v>4510</v>
      </c>
      <c r="J1358" t="s">
        <v>9901</v>
      </c>
    </row>
    <row r="1359" spans="6:10">
      <c r="F1359" t="s">
        <v>9902</v>
      </c>
      <c r="G1359">
        <v>1356</v>
      </c>
      <c r="H1359" t="s">
        <v>9903</v>
      </c>
      <c r="I1359" t="s">
        <v>9904</v>
      </c>
      <c r="J1359" t="s">
        <v>9905</v>
      </c>
    </row>
    <row r="1360" spans="6:10">
      <c r="F1360" t="s">
        <v>9906</v>
      </c>
      <c r="G1360">
        <v>1357</v>
      </c>
      <c r="H1360" t="s">
        <v>9907</v>
      </c>
      <c r="I1360" t="s">
        <v>9908</v>
      </c>
      <c r="J1360" t="s">
        <v>9909</v>
      </c>
    </row>
    <row r="1361" spans="6:10">
      <c r="F1361" t="s">
        <v>9910</v>
      </c>
      <c r="G1361">
        <v>1358</v>
      </c>
      <c r="H1361" t="s">
        <v>1053</v>
      </c>
      <c r="I1361" t="s">
        <v>1054</v>
      </c>
      <c r="J1361" t="s">
        <v>9911</v>
      </c>
    </row>
    <row r="1362" spans="6:10">
      <c r="F1362" t="s">
        <v>9912</v>
      </c>
      <c r="G1362">
        <v>1359</v>
      </c>
      <c r="H1362" t="s">
        <v>5576</v>
      </c>
      <c r="I1362" t="s">
        <v>5577</v>
      </c>
      <c r="J1362" t="s">
        <v>9913</v>
      </c>
    </row>
    <row r="1363" spans="6:10">
      <c r="F1363" t="s">
        <v>9914</v>
      </c>
      <c r="G1363">
        <v>1360</v>
      </c>
      <c r="H1363" t="s">
        <v>3903</v>
      </c>
      <c r="I1363" t="s">
        <v>3904</v>
      </c>
      <c r="J1363" t="s">
        <v>9915</v>
      </c>
    </row>
    <row r="1364" spans="6:10">
      <c r="F1364" t="s">
        <v>9916</v>
      </c>
      <c r="G1364">
        <v>1361</v>
      </c>
      <c r="H1364" t="s">
        <v>6210</v>
      </c>
      <c r="I1364" t="s">
        <v>6211</v>
      </c>
      <c r="J1364" t="s">
        <v>9917</v>
      </c>
    </row>
    <row r="1365" spans="6:10">
      <c r="F1365" t="s">
        <v>9918</v>
      </c>
      <c r="G1365">
        <v>1362</v>
      </c>
      <c r="H1365" t="s">
        <v>273</v>
      </c>
      <c r="I1365" t="s">
        <v>274</v>
      </c>
      <c r="J1365" t="s">
        <v>9919</v>
      </c>
    </row>
    <row r="1366" spans="6:10">
      <c r="F1366" t="s">
        <v>9920</v>
      </c>
      <c r="G1366">
        <v>1363</v>
      </c>
      <c r="H1366" t="s">
        <v>1778</v>
      </c>
      <c r="I1366" t="s">
        <v>1779</v>
      </c>
      <c r="J1366" t="s">
        <v>9921</v>
      </c>
    </row>
    <row r="1367" spans="6:10">
      <c r="F1367" t="s">
        <v>9922</v>
      </c>
      <c r="G1367">
        <v>1364</v>
      </c>
      <c r="H1367" t="s">
        <v>3817</v>
      </c>
      <c r="I1367" t="s">
        <v>3818</v>
      </c>
      <c r="J1367" t="s">
        <v>9923</v>
      </c>
    </row>
    <row r="1368" spans="6:10">
      <c r="F1368" t="s">
        <v>9924</v>
      </c>
      <c r="G1368">
        <v>1365</v>
      </c>
      <c r="H1368" t="s">
        <v>4776</v>
      </c>
      <c r="I1368" t="s">
        <v>4777</v>
      </c>
      <c r="J1368" t="s">
        <v>9925</v>
      </c>
    </row>
    <row r="1369" spans="6:10">
      <c r="F1369" t="s">
        <v>9926</v>
      </c>
      <c r="G1369">
        <v>1366</v>
      </c>
      <c r="H1369" t="s">
        <v>4101</v>
      </c>
      <c r="I1369" t="s">
        <v>4102</v>
      </c>
      <c r="J1369" t="s">
        <v>9927</v>
      </c>
    </row>
    <row r="1370" spans="6:10">
      <c r="F1370" t="s">
        <v>9928</v>
      </c>
      <c r="G1370">
        <v>1367</v>
      </c>
      <c r="H1370" t="s">
        <v>9929</v>
      </c>
      <c r="I1370" t="s">
        <v>9929</v>
      </c>
      <c r="J1370" t="s">
        <v>9930</v>
      </c>
    </row>
    <row r="1371" spans="6:10">
      <c r="F1371" t="s">
        <v>9931</v>
      </c>
      <c r="G1371">
        <v>1368</v>
      </c>
      <c r="H1371" t="s">
        <v>413</v>
      </c>
      <c r="I1371" t="s">
        <v>414</v>
      </c>
      <c r="J1371" t="s">
        <v>9932</v>
      </c>
    </row>
    <row r="1372" spans="6:10">
      <c r="F1372" t="s">
        <v>9933</v>
      </c>
      <c r="G1372">
        <v>1369</v>
      </c>
      <c r="H1372" t="s">
        <v>465</v>
      </c>
      <c r="I1372" t="s">
        <v>466</v>
      </c>
      <c r="J1372" t="s">
        <v>9934</v>
      </c>
    </row>
    <row r="1373" spans="6:10">
      <c r="F1373" t="s">
        <v>9935</v>
      </c>
      <c r="G1373">
        <v>1370</v>
      </c>
      <c r="H1373" t="s">
        <v>961</v>
      </c>
      <c r="I1373" t="s">
        <v>962</v>
      </c>
      <c r="J1373" t="s">
        <v>9936</v>
      </c>
    </row>
    <row r="1374" spans="6:10">
      <c r="F1374" t="s">
        <v>9937</v>
      </c>
      <c r="G1374">
        <v>1371</v>
      </c>
      <c r="H1374" t="s">
        <v>1548</v>
      </c>
      <c r="I1374" t="s">
        <v>1549</v>
      </c>
      <c r="J1374" t="s">
        <v>9938</v>
      </c>
    </row>
    <row r="1375" spans="6:10">
      <c r="F1375" t="s">
        <v>9939</v>
      </c>
      <c r="G1375">
        <v>1372</v>
      </c>
      <c r="H1375" t="s">
        <v>1559</v>
      </c>
      <c r="I1375" t="s">
        <v>1560</v>
      </c>
      <c r="J1375" t="s">
        <v>9940</v>
      </c>
    </row>
    <row r="1376" spans="6:10">
      <c r="F1376" t="s">
        <v>9941</v>
      </c>
      <c r="G1376">
        <v>1373</v>
      </c>
      <c r="H1376" t="s">
        <v>1663</v>
      </c>
      <c r="I1376" t="s">
        <v>1664</v>
      </c>
      <c r="J1376" t="s">
        <v>9942</v>
      </c>
    </row>
    <row r="1377" spans="6:10">
      <c r="F1377" t="s">
        <v>9943</v>
      </c>
      <c r="G1377">
        <v>1374</v>
      </c>
      <c r="H1377" t="s">
        <v>1675</v>
      </c>
      <c r="I1377" t="s">
        <v>1676</v>
      </c>
      <c r="J1377" t="s">
        <v>9944</v>
      </c>
    </row>
    <row r="1378" spans="6:10">
      <c r="F1378" t="s">
        <v>9945</v>
      </c>
      <c r="G1378">
        <v>1375</v>
      </c>
      <c r="H1378" t="s">
        <v>3447</v>
      </c>
      <c r="I1378" t="s">
        <v>3448</v>
      </c>
      <c r="J1378" t="s">
        <v>9946</v>
      </c>
    </row>
    <row r="1379" spans="6:10">
      <c r="F1379" t="s">
        <v>9947</v>
      </c>
      <c r="G1379">
        <v>1376</v>
      </c>
      <c r="H1379" t="s">
        <v>9948</v>
      </c>
      <c r="I1379" t="s">
        <v>9949</v>
      </c>
      <c r="J1379" t="s">
        <v>9950</v>
      </c>
    </row>
    <row r="1380" spans="6:10">
      <c r="F1380" t="s">
        <v>9951</v>
      </c>
      <c r="G1380">
        <v>1377</v>
      </c>
      <c r="H1380" t="s">
        <v>1715</v>
      </c>
      <c r="I1380" t="s">
        <v>1716</v>
      </c>
      <c r="J1380" t="s">
        <v>9952</v>
      </c>
    </row>
    <row r="1381" spans="6:10">
      <c r="F1381" t="s">
        <v>9953</v>
      </c>
      <c r="G1381">
        <v>1378</v>
      </c>
      <c r="H1381" t="s">
        <v>1991</v>
      </c>
      <c r="I1381" t="s">
        <v>1992</v>
      </c>
      <c r="J1381" t="s">
        <v>9954</v>
      </c>
    </row>
    <row r="1382" spans="6:10">
      <c r="F1382" t="s">
        <v>9955</v>
      </c>
      <c r="G1382">
        <v>1379</v>
      </c>
      <c r="H1382" t="s">
        <v>2053</v>
      </c>
      <c r="I1382" t="s">
        <v>2054</v>
      </c>
      <c r="J1382" t="s">
        <v>9956</v>
      </c>
    </row>
    <row r="1383" spans="6:10">
      <c r="F1383" t="s">
        <v>9957</v>
      </c>
      <c r="G1383">
        <v>1380</v>
      </c>
      <c r="H1383" t="s">
        <v>2145</v>
      </c>
      <c r="I1383" t="s">
        <v>2146</v>
      </c>
      <c r="J1383" t="s">
        <v>9958</v>
      </c>
    </row>
    <row r="1384" spans="6:10">
      <c r="F1384" t="s">
        <v>9959</v>
      </c>
      <c r="G1384">
        <v>1381</v>
      </c>
      <c r="H1384" t="s">
        <v>2306</v>
      </c>
      <c r="I1384" t="s">
        <v>2307</v>
      </c>
      <c r="J1384" t="s">
        <v>9960</v>
      </c>
    </row>
    <row r="1385" spans="6:10">
      <c r="F1385" t="s">
        <v>9961</v>
      </c>
      <c r="G1385">
        <v>1382</v>
      </c>
      <c r="H1385" t="s">
        <v>2541</v>
      </c>
      <c r="I1385" t="s">
        <v>2542</v>
      </c>
      <c r="J1385" t="s">
        <v>9962</v>
      </c>
    </row>
    <row r="1386" spans="6:10">
      <c r="F1386" t="s">
        <v>9963</v>
      </c>
      <c r="G1386">
        <v>1383</v>
      </c>
      <c r="H1386" t="s">
        <v>2994</v>
      </c>
      <c r="I1386" t="s">
        <v>2995</v>
      </c>
      <c r="J1386" t="s">
        <v>9964</v>
      </c>
    </row>
    <row r="1387" spans="6:10">
      <c r="F1387" t="s">
        <v>9965</v>
      </c>
      <c r="G1387">
        <v>1384</v>
      </c>
      <c r="H1387" t="s">
        <v>3063</v>
      </c>
      <c r="I1387" t="s">
        <v>3064</v>
      </c>
      <c r="J1387" t="s">
        <v>9966</v>
      </c>
    </row>
    <row r="1388" spans="6:10">
      <c r="F1388" t="s">
        <v>9967</v>
      </c>
      <c r="G1388">
        <v>1385</v>
      </c>
      <c r="H1388" t="s">
        <v>9968</v>
      </c>
      <c r="I1388" t="s">
        <v>9969</v>
      </c>
      <c r="J1388" t="s">
        <v>9970</v>
      </c>
    </row>
    <row r="1389" spans="6:10">
      <c r="F1389" t="s">
        <v>9971</v>
      </c>
      <c r="G1389">
        <v>1386</v>
      </c>
      <c r="H1389" t="s">
        <v>3158</v>
      </c>
      <c r="I1389" t="s">
        <v>3159</v>
      </c>
      <c r="J1389" t="s">
        <v>9972</v>
      </c>
    </row>
    <row r="1390" spans="6:10">
      <c r="F1390" t="s">
        <v>9973</v>
      </c>
      <c r="G1390">
        <v>1387</v>
      </c>
      <c r="H1390" t="s">
        <v>3162</v>
      </c>
      <c r="I1390" t="s">
        <v>3163</v>
      </c>
      <c r="J1390" t="s">
        <v>9974</v>
      </c>
    </row>
    <row r="1391" spans="6:10">
      <c r="F1391" t="s">
        <v>9975</v>
      </c>
      <c r="G1391">
        <v>1388</v>
      </c>
      <c r="H1391" t="s">
        <v>3169</v>
      </c>
      <c r="I1391" t="s">
        <v>3170</v>
      </c>
      <c r="J1391" t="s">
        <v>9976</v>
      </c>
    </row>
    <row r="1392" spans="6:10">
      <c r="F1392" t="s">
        <v>9977</v>
      </c>
      <c r="G1392">
        <v>1389</v>
      </c>
      <c r="H1392" t="s">
        <v>3708</v>
      </c>
      <c r="I1392" t="s">
        <v>3709</v>
      </c>
      <c r="J1392" t="s">
        <v>9978</v>
      </c>
    </row>
    <row r="1393" spans="6:10">
      <c r="F1393" t="s">
        <v>9979</v>
      </c>
      <c r="G1393">
        <v>1390</v>
      </c>
      <c r="H1393" t="s">
        <v>3974</v>
      </c>
      <c r="I1393" t="s">
        <v>3975</v>
      </c>
      <c r="J1393" t="s">
        <v>9980</v>
      </c>
    </row>
    <row r="1394" spans="6:10">
      <c r="F1394" t="s">
        <v>9981</v>
      </c>
      <c r="G1394">
        <v>1391</v>
      </c>
      <c r="H1394" t="s">
        <v>4029</v>
      </c>
      <c r="I1394" t="s">
        <v>4030</v>
      </c>
      <c r="J1394" t="s">
        <v>9982</v>
      </c>
    </row>
    <row r="1395" spans="6:10">
      <c r="F1395" t="s">
        <v>9983</v>
      </c>
      <c r="G1395">
        <v>1392</v>
      </c>
      <c r="H1395" t="s">
        <v>4063</v>
      </c>
      <c r="I1395" t="s">
        <v>4064</v>
      </c>
      <c r="J1395" t="s">
        <v>9984</v>
      </c>
    </row>
    <row r="1396" spans="6:10">
      <c r="F1396" t="s">
        <v>9985</v>
      </c>
      <c r="G1396">
        <v>1393</v>
      </c>
      <c r="H1396" t="s">
        <v>4087</v>
      </c>
      <c r="I1396" t="s">
        <v>4088</v>
      </c>
      <c r="J1396" t="s">
        <v>9986</v>
      </c>
    </row>
    <row r="1397" spans="6:10">
      <c r="F1397" t="s">
        <v>9987</v>
      </c>
      <c r="G1397">
        <v>1394</v>
      </c>
      <c r="H1397" t="s">
        <v>9988</v>
      </c>
      <c r="I1397" t="s">
        <v>9989</v>
      </c>
      <c r="J1397" t="s">
        <v>9990</v>
      </c>
    </row>
    <row r="1398" spans="6:10">
      <c r="F1398" t="s">
        <v>9991</v>
      </c>
      <c r="G1398">
        <v>1395</v>
      </c>
      <c r="H1398" t="s">
        <v>4139</v>
      </c>
      <c r="I1398" t="s">
        <v>4140</v>
      </c>
      <c r="J1398" t="s">
        <v>9992</v>
      </c>
    </row>
    <row r="1399" spans="6:10">
      <c r="F1399" t="s">
        <v>9993</v>
      </c>
      <c r="G1399">
        <v>1396</v>
      </c>
      <c r="H1399" t="s">
        <v>4387</v>
      </c>
      <c r="I1399" t="s">
        <v>4388</v>
      </c>
      <c r="J1399" t="s">
        <v>9994</v>
      </c>
    </row>
    <row r="1400" spans="6:10">
      <c r="F1400" t="s">
        <v>9995</v>
      </c>
      <c r="G1400">
        <v>1397</v>
      </c>
      <c r="H1400" t="s">
        <v>4408</v>
      </c>
      <c r="I1400" t="s">
        <v>4409</v>
      </c>
      <c r="J1400" t="s">
        <v>9996</v>
      </c>
    </row>
    <row r="1401" spans="6:10">
      <c r="F1401" t="s">
        <v>9997</v>
      </c>
      <c r="G1401">
        <v>1398</v>
      </c>
      <c r="H1401" t="s">
        <v>4639</v>
      </c>
      <c r="I1401" t="s">
        <v>4640</v>
      </c>
      <c r="J1401" t="s">
        <v>9998</v>
      </c>
    </row>
    <row r="1402" spans="6:10">
      <c r="F1402" t="s">
        <v>9999</v>
      </c>
      <c r="G1402">
        <v>1399</v>
      </c>
      <c r="H1402" t="s">
        <v>5143</v>
      </c>
      <c r="I1402" t="s">
        <v>5144</v>
      </c>
      <c r="J1402" t="s">
        <v>10000</v>
      </c>
    </row>
    <row r="1403" spans="6:10">
      <c r="F1403" t="s">
        <v>10001</v>
      </c>
      <c r="G1403">
        <v>1400</v>
      </c>
      <c r="H1403" t="s">
        <v>10002</v>
      </c>
      <c r="I1403" t="s">
        <v>10003</v>
      </c>
      <c r="J1403" t="s">
        <v>10004</v>
      </c>
    </row>
    <row r="1404" spans="6:10">
      <c r="F1404" t="s">
        <v>10005</v>
      </c>
      <c r="G1404">
        <v>1401</v>
      </c>
      <c r="H1404" t="s">
        <v>5201</v>
      </c>
      <c r="I1404" t="s">
        <v>5202</v>
      </c>
      <c r="J1404" t="s">
        <v>10006</v>
      </c>
    </row>
    <row r="1405" spans="6:10">
      <c r="F1405" t="s">
        <v>10007</v>
      </c>
      <c r="G1405">
        <v>1402</v>
      </c>
      <c r="H1405" t="s">
        <v>5221</v>
      </c>
      <c r="I1405" t="s">
        <v>5222</v>
      </c>
      <c r="J1405" t="s">
        <v>10008</v>
      </c>
    </row>
    <row r="1406" spans="6:10">
      <c r="F1406" t="s">
        <v>10009</v>
      </c>
      <c r="G1406">
        <v>1403</v>
      </c>
      <c r="H1406" t="s">
        <v>5271</v>
      </c>
      <c r="I1406" t="s">
        <v>5272</v>
      </c>
      <c r="J1406" t="s">
        <v>10010</v>
      </c>
    </row>
    <row r="1407" spans="6:10">
      <c r="F1407" t="s">
        <v>10011</v>
      </c>
      <c r="G1407">
        <v>1404</v>
      </c>
      <c r="H1407" t="s">
        <v>5339</v>
      </c>
      <c r="I1407" t="s">
        <v>5340</v>
      </c>
      <c r="J1407" t="s">
        <v>10012</v>
      </c>
    </row>
    <row r="1408" spans="6:10">
      <c r="F1408" t="s">
        <v>10013</v>
      </c>
      <c r="G1408">
        <v>1405</v>
      </c>
      <c r="H1408" t="s">
        <v>5390</v>
      </c>
      <c r="I1408" t="s">
        <v>5391</v>
      </c>
      <c r="J1408" t="s">
        <v>10014</v>
      </c>
    </row>
    <row r="1409" spans="6:10">
      <c r="F1409" t="s">
        <v>10015</v>
      </c>
      <c r="G1409">
        <v>1406</v>
      </c>
      <c r="H1409" t="s">
        <v>5418</v>
      </c>
      <c r="I1409" t="s">
        <v>5419</v>
      </c>
      <c r="J1409" t="s">
        <v>10016</v>
      </c>
    </row>
    <row r="1410" spans="6:10">
      <c r="F1410" t="s">
        <v>10017</v>
      </c>
      <c r="G1410">
        <v>1407</v>
      </c>
      <c r="H1410" t="s">
        <v>5862</v>
      </c>
      <c r="I1410" t="s">
        <v>5863</v>
      </c>
      <c r="J1410" t="s">
        <v>10018</v>
      </c>
    </row>
    <row r="1411" spans="6:10">
      <c r="F1411" t="s">
        <v>10019</v>
      </c>
      <c r="G1411">
        <v>1408</v>
      </c>
      <c r="H1411" t="s">
        <v>6100</v>
      </c>
      <c r="I1411" t="s">
        <v>6101</v>
      </c>
      <c r="J1411" t="s">
        <v>10020</v>
      </c>
    </row>
    <row r="1412" spans="6:10">
      <c r="F1412" t="s">
        <v>10021</v>
      </c>
      <c r="G1412">
        <v>1409</v>
      </c>
      <c r="H1412" t="s">
        <v>6172</v>
      </c>
      <c r="I1412" t="s">
        <v>6173</v>
      </c>
      <c r="J1412" t="s">
        <v>10022</v>
      </c>
    </row>
    <row r="1413" spans="6:10">
      <c r="F1413" t="s">
        <v>10023</v>
      </c>
      <c r="G1413">
        <v>1410</v>
      </c>
      <c r="H1413" t="s">
        <v>4250</v>
      </c>
      <c r="I1413" t="s">
        <v>4251</v>
      </c>
      <c r="J1413" t="s">
        <v>10024</v>
      </c>
    </row>
    <row r="1414" spans="6:10">
      <c r="F1414" t="s">
        <v>10025</v>
      </c>
      <c r="G1414">
        <v>1411</v>
      </c>
      <c r="H1414" t="s">
        <v>10026</v>
      </c>
      <c r="I1414" t="s">
        <v>10027</v>
      </c>
      <c r="J1414" t="s">
        <v>10028</v>
      </c>
    </row>
    <row r="1415" spans="6:10">
      <c r="F1415" t="s">
        <v>10029</v>
      </c>
      <c r="G1415">
        <v>1412</v>
      </c>
      <c r="H1415" t="s">
        <v>4439</v>
      </c>
      <c r="I1415" t="s">
        <v>4440</v>
      </c>
      <c r="J1415" t="s">
        <v>10030</v>
      </c>
    </row>
    <row r="1416" spans="6:10">
      <c r="F1416" t="s">
        <v>10031</v>
      </c>
      <c r="G1416">
        <v>1413</v>
      </c>
      <c r="H1416" t="s">
        <v>5337</v>
      </c>
      <c r="I1416" t="s">
        <v>5338</v>
      </c>
      <c r="J1416" t="s">
        <v>10032</v>
      </c>
    </row>
    <row r="1417" spans="6:10">
      <c r="F1417" t="s">
        <v>10033</v>
      </c>
      <c r="G1417">
        <v>1414</v>
      </c>
      <c r="H1417" t="s">
        <v>508</v>
      </c>
      <c r="I1417" t="s">
        <v>509</v>
      </c>
      <c r="J1417" t="s">
        <v>10034</v>
      </c>
    </row>
    <row r="1418" spans="6:10">
      <c r="F1418" t="s">
        <v>10035</v>
      </c>
      <c r="G1418">
        <v>1415</v>
      </c>
      <c r="H1418" t="s">
        <v>3527</v>
      </c>
      <c r="I1418" t="s">
        <v>3528</v>
      </c>
      <c r="J1418" t="s">
        <v>10036</v>
      </c>
    </row>
    <row r="1419" spans="6:10">
      <c r="F1419" t="s">
        <v>10037</v>
      </c>
      <c r="G1419">
        <v>1416</v>
      </c>
      <c r="H1419" t="s">
        <v>10038</v>
      </c>
      <c r="I1419" t="s">
        <v>10039</v>
      </c>
      <c r="J1419" t="s">
        <v>10040</v>
      </c>
    </row>
    <row r="1420" spans="6:10">
      <c r="F1420" t="s">
        <v>10041</v>
      </c>
      <c r="G1420">
        <v>1417</v>
      </c>
      <c r="H1420" t="s">
        <v>548</v>
      </c>
      <c r="I1420" t="s">
        <v>571</v>
      </c>
      <c r="J1420" t="s">
        <v>10042</v>
      </c>
    </row>
    <row r="1421" spans="6:10">
      <c r="F1421" t="s">
        <v>10043</v>
      </c>
      <c r="G1421">
        <v>1418</v>
      </c>
      <c r="H1421" t="s">
        <v>3875</v>
      </c>
      <c r="I1421" t="s">
        <v>3876</v>
      </c>
      <c r="J1421" t="s">
        <v>10044</v>
      </c>
    </row>
    <row r="1422" spans="6:10">
      <c r="F1422" t="s">
        <v>10045</v>
      </c>
      <c r="G1422">
        <v>1419</v>
      </c>
      <c r="H1422" t="s">
        <v>5581</v>
      </c>
      <c r="I1422" t="s">
        <v>5582</v>
      </c>
      <c r="J1422" t="s">
        <v>10046</v>
      </c>
    </row>
    <row r="1423" spans="6:10">
      <c r="F1423" t="s">
        <v>10047</v>
      </c>
      <c r="G1423">
        <v>1420</v>
      </c>
      <c r="H1423" t="s">
        <v>3166</v>
      </c>
      <c r="I1423" t="s">
        <v>146</v>
      </c>
      <c r="J1423" t="s">
        <v>10048</v>
      </c>
    </row>
    <row r="1424" spans="6:10">
      <c r="F1424" t="s">
        <v>10049</v>
      </c>
      <c r="G1424">
        <v>1421</v>
      </c>
      <c r="H1424" t="s">
        <v>2291</v>
      </c>
      <c r="I1424" t="s">
        <v>2292</v>
      </c>
      <c r="J1424" t="s">
        <v>10050</v>
      </c>
    </row>
    <row r="1425" spans="6:10">
      <c r="F1425" t="s">
        <v>10051</v>
      </c>
      <c r="G1425">
        <v>1422</v>
      </c>
      <c r="H1425" t="s">
        <v>832</v>
      </c>
      <c r="I1425" t="s">
        <v>834</v>
      </c>
      <c r="J1425" t="s">
        <v>10052</v>
      </c>
    </row>
    <row r="1426" spans="6:10">
      <c r="F1426" t="s">
        <v>10053</v>
      </c>
      <c r="G1426">
        <v>1423</v>
      </c>
      <c r="H1426" t="s">
        <v>10054</v>
      </c>
      <c r="I1426" t="s">
        <v>10055</v>
      </c>
      <c r="J1426" t="s">
        <v>10056</v>
      </c>
    </row>
    <row r="1427" spans="6:10">
      <c r="F1427" t="s">
        <v>10057</v>
      </c>
      <c r="G1427">
        <v>1424</v>
      </c>
      <c r="H1427" t="s">
        <v>908</v>
      </c>
      <c r="I1427" t="s">
        <v>909</v>
      </c>
      <c r="J1427" t="s">
        <v>10058</v>
      </c>
    </row>
    <row r="1428" spans="6:10">
      <c r="F1428" t="s">
        <v>10059</v>
      </c>
      <c r="G1428">
        <v>1425</v>
      </c>
      <c r="H1428" t="s">
        <v>2788</v>
      </c>
      <c r="I1428" t="s">
        <v>2789</v>
      </c>
      <c r="J1428" t="s">
        <v>10060</v>
      </c>
    </row>
    <row r="1429" spans="6:10">
      <c r="F1429" t="s">
        <v>10061</v>
      </c>
      <c r="G1429">
        <v>1426</v>
      </c>
      <c r="H1429" t="s">
        <v>4286</v>
      </c>
      <c r="I1429" t="s">
        <v>4287</v>
      </c>
      <c r="J1429" t="s">
        <v>10062</v>
      </c>
    </row>
    <row r="1430" spans="6:10">
      <c r="F1430" t="s">
        <v>10063</v>
      </c>
      <c r="G1430">
        <v>1427</v>
      </c>
      <c r="H1430" t="s">
        <v>10064</v>
      </c>
      <c r="I1430" t="s">
        <v>10065</v>
      </c>
      <c r="J1430" t="s">
        <v>10066</v>
      </c>
    </row>
    <row r="1431" spans="6:10">
      <c r="F1431" t="s">
        <v>10067</v>
      </c>
      <c r="G1431">
        <v>1428</v>
      </c>
      <c r="H1431" t="s">
        <v>10068</v>
      </c>
      <c r="I1431" t="s">
        <v>10069</v>
      </c>
      <c r="J1431" t="s">
        <v>10070</v>
      </c>
    </row>
    <row r="1432" spans="6:10">
      <c r="F1432" t="s">
        <v>10071</v>
      </c>
      <c r="G1432">
        <v>1429</v>
      </c>
      <c r="H1432" t="s">
        <v>173</v>
      </c>
      <c r="I1432" t="s">
        <v>174</v>
      </c>
      <c r="J1432" t="s">
        <v>10072</v>
      </c>
    </row>
    <row r="1433" spans="6:10">
      <c r="F1433" t="s">
        <v>10073</v>
      </c>
      <c r="G1433">
        <v>1430</v>
      </c>
      <c r="H1433" t="s">
        <v>10074</v>
      </c>
      <c r="I1433" t="s">
        <v>10075</v>
      </c>
      <c r="J1433" t="s">
        <v>10076</v>
      </c>
    </row>
    <row r="1434" spans="6:10">
      <c r="F1434" t="s">
        <v>10077</v>
      </c>
      <c r="G1434">
        <v>1431</v>
      </c>
      <c r="H1434" t="s">
        <v>6208</v>
      </c>
      <c r="I1434" t="s">
        <v>6209</v>
      </c>
      <c r="J1434" t="s">
        <v>10078</v>
      </c>
    </row>
    <row r="1435" spans="6:10">
      <c r="F1435" t="s">
        <v>10079</v>
      </c>
      <c r="G1435">
        <v>1432</v>
      </c>
      <c r="H1435" t="s">
        <v>255</v>
      </c>
      <c r="I1435" t="s">
        <v>256</v>
      </c>
      <c r="J1435" t="s">
        <v>10080</v>
      </c>
    </row>
    <row r="1436" spans="6:10">
      <c r="F1436" t="s">
        <v>10081</v>
      </c>
      <c r="G1436">
        <v>1433</v>
      </c>
      <c r="H1436" t="s">
        <v>3027</v>
      </c>
      <c r="I1436" t="s">
        <v>3028</v>
      </c>
      <c r="J1436" t="s">
        <v>10082</v>
      </c>
    </row>
    <row r="1437" spans="6:10">
      <c r="F1437" t="s">
        <v>10083</v>
      </c>
      <c r="G1437">
        <v>1434</v>
      </c>
      <c r="H1437" t="s">
        <v>1342</v>
      </c>
      <c r="I1437" t="s">
        <v>1343</v>
      </c>
      <c r="J1437" t="s">
        <v>10084</v>
      </c>
    </row>
    <row r="1438" spans="6:10">
      <c r="F1438" t="s">
        <v>10085</v>
      </c>
      <c r="G1438">
        <v>1435</v>
      </c>
      <c r="H1438" t="s">
        <v>5062</v>
      </c>
      <c r="I1438" t="s">
        <v>5063</v>
      </c>
      <c r="J1438" t="s">
        <v>10086</v>
      </c>
    </row>
    <row r="1439" spans="6:10">
      <c r="F1439" t="s">
        <v>10087</v>
      </c>
      <c r="G1439">
        <v>1436</v>
      </c>
      <c r="H1439" t="s">
        <v>2491</v>
      </c>
      <c r="I1439" t="s">
        <v>2492</v>
      </c>
      <c r="J1439" t="s">
        <v>10088</v>
      </c>
    </row>
    <row r="1440" spans="6:10">
      <c r="F1440" t="s">
        <v>10089</v>
      </c>
      <c r="G1440">
        <v>1437</v>
      </c>
      <c r="H1440" t="s">
        <v>4750</v>
      </c>
      <c r="I1440" t="s">
        <v>3018</v>
      </c>
      <c r="J1440" t="s">
        <v>10090</v>
      </c>
    </row>
    <row r="1441" spans="6:10">
      <c r="F1441" t="s">
        <v>10091</v>
      </c>
      <c r="G1441">
        <v>1438</v>
      </c>
      <c r="H1441" t="s">
        <v>3381</v>
      </c>
      <c r="I1441" t="s">
        <v>3382</v>
      </c>
      <c r="J1441" t="s">
        <v>10092</v>
      </c>
    </row>
    <row r="1442" spans="6:10">
      <c r="F1442" t="s">
        <v>10093</v>
      </c>
      <c r="G1442">
        <v>1439</v>
      </c>
      <c r="H1442" t="s">
        <v>5828</v>
      </c>
      <c r="I1442" t="s">
        <v>5829</v>
      </c>
      <c r="J1442" t="s">
        <v>10094</v>
      </c>
    </row>
    <row r="1443" spans="6:10">
      <c r="F1443" t="s">
        <v>10095</v>
      </c>
      <c r="G1443">
        <v>1440</v>
      </c>
      <c r="H1443" t="s">
        <v>49</v>
      </c>
      <c r="I1443" t="s">
        <v>50</v>
      </c>
      <c r="J1443" t="s">
        <v>10096</v>
      </c>
    </row>
    <row r="1444" spans="6:10">
      <c r="F1444" t="s">
        <v>10097</v>
      </c>
      <c r="G1444">
        <v>1441</v>
      </c>
      <c r="H1444" t="s">
        <v>5542</v>
      </c>
      <c r="I1444" t="s">
        <v>5543</v>
      </c>
      <c r="J1444" t="s">
        <v>10098</v>
      </c>
    </row>
    <row r="1445" spans="6:10">
      <c r="F1445" t="s">
        <v>10099</v>
      </c>
      <c r="G1445">
        <v>1442</v>
      </c>
      <c r="H1445" t="s">
        <v>1691</v>
      </c>
      <c r="I1445" t="s">
        <v>1692</v>
      </c>
      <c r="J1445" t="s">
        <v>10100</v>
      </c>
    </row>
    <row r="1446" spans="6:10">
      <c r="F1446" t="s">
        <v>10101</v>
      </c>
      <c r="G1446">
        <v>1443</v>
      </c>
      <c r="H1446" t="s">
        <v>1754</v>
      </c>
      <c r="I1446" t="s">
        <v>1755</v>
      </c>
      <c r="J1446" t="s">
        <v>10102</v>
      </c>
    </row>
    <row r="1447" spans="6:10">
      <c r="F1447" t="s">
        <v>10103</v>
      </c>
      <c r="G1447">
        <v>1444</v>
      </c>
      <c r="H1447" t="s">
        <v>1546</v>
      </c>
      <c r="I1447" t="s">
        <v>1547</v>
      </c>
      <c r="J1447" t="s">
        <v>10104</v>
      </c>
    </row>
    <row r="1448" spans="6:10">
      <c r="F1448" t="s">
        <v>10105</v>
      </c>
      <c r="G1448">
        <v>1445</v>
      </c>
      <c r="H1448" t="s">
        <v>4302</v>
      </c>
      <c r="I1448" t="s">
        <v>4303</v>
      </c>
      <c r="J1448" t="s">
        <v>10106</v>
      </c>
    </row>
    <row r="1449" spans="6:10">
      <c r="F1449" t="s">
        <v>10107</v>
      </c>
      <c r="G1449">
        <v>1446</v>
      </c>
      <c r="H1449" t="s">
        <v>10108</v>
      </c>
      <c r="I1449" t="s">
        <v>10108</v>
      </c>
      <c r="J1449" t="s">
        <v>10109</v>
      </c>
    </row>
    <row r="1450" spans="6:10">
      <c r="F1450" t="s">
        <v>10110</v>
      </c>
      <c r="G1450">
        <v>1447</v>
      </c>
      <c r="H1450" t="s">
        <v>5207</v>
      </c>
      <c r="I1450" t="s">
        <v>5208</v>
      </c>
      <c r="J1450" t="s">
        <v>10111</v>
      </c>
    </row>
    <row r="1451" spans="6:10">
      <c r="F1451" t="s">
        <v>10112</v>
      </c>
      <c r="G1451">
        <v>1448</v>
      </c>
      <c r="H1451" t="s">
        <v>10113</v>
      </c>
      <c r="I1451" t="s">
        <v>10114</v>
      </c>
      <c r="J1451" t="s">
        <v>10115</v>
      </c>
    </row>
    <row r="1452" spans="6:10">
      <c r="F1452" t="s">
        <v>10116</v>
      </c>
      <c r="G1452">
        <v>1449</v>
      </c>
      <c r="H1452" t="s">
        <v>2485</v>
      </c>
      <c r="I1452" t="s">
        <v>2486</v>
      </c>
      <c r="J1452" t="s">
        <v>10117</v>
      </c>
    </row>
    <row r="1453" spans="6:10">
      <c r="F1453" t="s">
        <v>10118</v>
      </c>
      <c r="G1453">
        <v>1450</v>
      </c>
      <c r="H1453" t="s">
        <v>4299</v>
      </c>
      <c r="I1453" t="s">
        <v>4300</v>
      </c>
      <c r="J1453" t="s">
        <v>10119</v>
      </c>
    </row>
    <row r="1454" spans="6:10">
      <c r="F1454" t="s">
        <v>10120</v>
      </c>
      <c r="G1454">
        <v>1451</v>
      </c>
      <c r="H1454" t="s">
        <v>1187</v>
      </c>
      <c r="I1454" t="s">
        <v>1188</v>
      </c>
      <c r="J1454" t="s">
        <v>10121</v>
      </c>
    </row>
    <row r="1455" spans="6:10">
      <c r="F1455" t="s">
        <v>10122</v>
      </c>
      <c r="G1455">
        <v>1452</v>
      </c>
      <c r="H1455" t="s">
        <v>2441</v>
      </c>
      <c r="I1455" t="s">
        <v>2442</v>
      </c>
      <c r="J1455" t="s">
        <v>10123</v>
      </c>
    </row>
    <row r="1456" spans="6:10">
      <c r="F1456" t="s">
        <v>10124</v>
      </c>
      <c r="G1456">
        <v>1453</v>
      </c>
      <c r="H1456" t="s">
        <v>2439</v>
      </c>
      <c r="I1456" t="s">
        <v>2440</v>
      </c>
      <c r="J1456" t="s">
        <v>10125</v>
      </c>
    </row>
    <row r="1457" spans="6:10">
      <c r="F1457" t="s">
        <v>10126</v>
      </c>
      <c r="G1457">
        <v>1454</v>
      </c>
      <c r="H1457" t="s">
        <v>3905</v>
      </c>
      <c r="I1457" t="s">
        <v>3906</v>
      </c>
      <c r="J1457" t="s">
        <v>10127</v>
      </c>
    </row>
    <row r="1458" spans="6:10">
      <c r="F1458" t="s">
        <v>10128</v>
      </c>
      <c r="G1458">
        <v>1455</v>
      </c>
      <c r="H1458" t="s">
        <v>5009</v>
      </c>
      <c r="I1458" t="s">
        <v>5010</v>
      </c>
      <c r="J1458" t="s">
        <v>10129</v>
      </c>
    </row>
    <row r="1459" spans="6:10">
      <c r="F1459" t="s">
        <v>10130</v>
      </c>
      <c r="G1459">
        <v>1456</v>
      </c>
      <c r="H1459" t="s">
        <v>376</v>
      </c>
      <c r="I1459" t="s">
        <v>377</v>
      </c>
      <c r="J1459" t="s">
        <v>10131</v>
      </c>
    </row>
    <row r="1460" spans="6:10">
      <c r="F1460" t="s">
        <v>10132</v>
      </c>
      <c r="G1460">
        <v>1457</v>
      </c>
      <c r="H1460" t="s">
        <v>3193</v>
      </c>
      <c r="I1460" t="s">
        <v>3194</v>
      </c>
      <c r="J1460" t="s">
        <v>10133</v>
      </c>
    </row>
    <row r="1461" spans="6:10">
      <c r="F1461" t="s">
        <v>10134</v>
      </c>
      <c r="G1461">
        <v>1458</v>
      </c>
      <c r="H1461" t="s">
        <v>427</v>
      </c>
      <c r="I1461" t="s">
        <v>428</v>
      </c>
      <c r="J1461" t="s">
        <v>10135</v>
      </c>
    </row>
    <row r="1462" spans="6:10">
      <c r="F1462" t="s">
        <v>10136</v>
      </c>
      <c r="G1462">
        <v>1459</v>
      </c>
      <c r="H1462" t="s">
        <v>1788</v>
      </c>
      <c r="I1462" t="s">
        <v>1789</v>
      </c>
      <c r="J1462" t="s">
        <v>10137</v>
      </c>
    </row>
    <row r="1463" spans="6:10">
      <c r="F1463" t="s">
        <v>10138</v>
      </c>
      <c r="G1463">
        <v>1460</v>
      </c>
      <c r="H1463" t="s">
        <v>10139</v>
      </c>
      <c r="I1463" t="s">
        <v>10140</v>
      </c>
      <c r="J1463" t="s">
        <v>10141</v>
      </c>
    </row>
    <row r="1464" spans="6:10">
      <c r="F1464" t="s">
        <v>10142</v>
      </c>
      <c r="G1464">
        <v>1461</v>
      </c>
      <c r="H1464" t="s">
        <v>785</v>
      </c>
      <c r="I1464" t="s">
        <v>786</v>
      </c>
      <c r="J1464" t="s">
        <v>10143</v>
      </c>
    </row>
    <row r="1465" spans="6:10">
      <c r="F1465" t="s">
        <v>10144</v>
      </c>
      <c r="G1465">
        <v>1462</v>
      </c>
      <c r="H1465" t="s">
        <v>5184</v>
      </c>
      <c r="I1465" t="s">
        <v>5185</v>
      </c>
      <c r="J1465" t="s">
        <v>10145</v>
      </c>
    </row>
    <row r="1466" spans="6:10">
      <c r="F1466" t="s">
        <v>10146</v>
      </c>
      <c r="G1466">
        <v>1463</v>
      </c>
      <c r="H1466" t="s">
        <v>116</v>
      </c>
      <c r="I1466" t="s">
        <v>117</v>
      </c>
      <c r="J1466" t="s">
        <v>10147</v>
      </c>
    </row>
    <row r="1467" spans="6:10">
      <c r="F1467" t="s">
        <v>10148</v>
      </c>
      <c r="G1467">
        <v>1464</v>
      </c>
      <c r="H1467" t="s">
        <v>10149</v>
      </c>
      <c r="I1467" t="s">
        <v>10150</v>
      </c>
      <c r="J1467" t="s">
        <v>10151</v>
      </c>
    </row>
    <row r="1468" spans="6:10">
      <c r="F1468" t="s">
        <v>10152</v>
      </c>
      <c r="G1468">
        <v>1465</v>
      </c>
      <c r="H1468" t="s">
        <v>646</v>
      </c>
      <c r="I1468" t="s">
        <v>647</v>
      </c>
      <c r="J1468" t="s">
        <v>10153</v>
      </c>
    </row>
    <row r="1469" spans="6:10">
      <c r="F1469" t="s">
        <v>10154</v>
      </c>
      <c r="G1469">
        <v>1466</v>
      </c>
      <c r="H1469" t="s">
        <v>1197</v>
      </c>
      <c r="I1469" t="s">
        <v>1198</v>
      </c>
      <c r="J1469" t="s">
        <v>10155</v>
      </c>
    </row>
    <row r="1470" spans="6:10">
      <c r="F1470" t="s">
        <v>10156</v>
      </c>
      <c r="G1470">
        <v>1467</v>
      </c>
      <c r="H1470" t="s">
        <v>4846</v>
      </c>
      <c r="I1470" t="s">
        <v>4847</v>
      </c>
      <c r="J1470" t="s">
        <v>10157</v>
      </c>
    </row>
    <row r="1471" spans="6:10">
      <c r="F1471" t="s">
        <v>10158</v>
      </c>
      <c r="G1471">
        <v>1468</v>
      </c>
      <c r="H1471" t="s">
        <v>3093</v>
      </c>
      <c r="I1471" t="s">
        <v>3094</v>
      </c>
      <c r="J1471" t="s">
        <v>10159</v>
      </c>
    </row>
    <row r="1472" spans="6:10">
      <c r="F1472" t="s">
        <v>10160</v>
      </c>
      <c r="G1472">
        <v>1469</v>
      </c>
      <c r="H1472" t="s">
        <v>1133</v>
      </c>
      <c r="I1472" t="s">
        <v>1134</v>
      </c>
      <c r="J1472" t="s">
        <v>10161</v>
      </c>
    </row>
    <row r="1473" spans="6:10">
      <c r="F1473" t="s">
        <v>10162</v>
      </c>
      <c r="G1473">
        <v>1470</v>
      </c>
      <c r="H1473" t="s">
        <v>4880</v>
      </c>
      <c r="I1473" t="s">
        <v>4881</v>
      </c>
      <c r="J1473" t="s">
        <v>10163</v>
      </c>
    </row>
    <row r="1474" spans="6:10">
      <c r="F1474" t="s">
        <v>10164</v>
      </c>
      <c r="G1474">
        <v>1471</v>
      </c>
      <c r="H1474" t="s">
        <v>2772</v>
      </c>
      <c r="I1474" t="s">
        <v>2773</v>
      </c>
      <c r="J1474" t="s">
        <v>10165</v>
      </c>
    </row>
    <row r="1475" spans="6:10">
      <c r="F1475" t="s">
        <v>10166</v>
      </c>
      <c r="G1475">
        <v>1472</v>
      </c>
      <c r="H1475" t="s">
        <v>3765</v>
      </c>
      <c r="I1475" t="s">
        <v>3766</v>
      </c>
      <c r="J1475" t="s">
        <v>10167</v>
      </c>
    </row>
    <row r="1476" spans="6:10">
      <c r="F1476" t="s">
        <v>10168</v>
      </c>
      <c r="G1476">
        <v>1473</v>
      </c>
      <c r="H1476" t="s">
        <v>38</v>
      </c>
      <c r="I1476" t="s">
        <v>39</v>
      </c>
      <c r="J1476" t="s">
        <v>10169</v>
      </c>
    </row>
    <row r="1477" spans="6:10">
      <c r="F1477" t="s">
        <v>10170</v>
      </c>
      <c r="G1477">
        <v>1474</v>
      </c>
      <c r="H1477" t="s">
        <v>4922</v>
      </c>
      <c r="I1477" t="s">
        <v>4923</v>
      </c>
      <c r="J1477" t="s">
        <v>10171</v>
      </c>
    </row>
    <row r="1478" spans="6:10">
      <c r="F1478" t="s">
        <v>10172</v>
      </c>
      <c r="G1478">
        <v>1475</v>
      </c>
      <c r="H1478" t="s">
        <v>3467</v>
      </c>
      <c r="I1478" t="s">
        <v>3468</v>
      </c>
      <c r="J1478" t="s">
        <v>10173</v>
      </c>
    </row>
    <row r="1479" spans="6:10">
      <c r="F1479" t="s">
        <v>10174</v>
      </c>
      <c r="G1479">
        <v>1476</v>
      </c>
      <c r="H1479" t="s">
        <v>2929</v>
      </c>
      <c r="I1479" t="s">
        <v>2930</v>
      </c>
      <c r="J1479" t="s">
        <v>10175</v>
      </c>
    </row>
    <row r="1480" spans="6:10">
      <c r="F1480" t="s">
        <v>10176</v>
      </c>
      <c r="G1480">
        <v>1477</v>
      </c>
      <c r="H1480" t="s">
        <v>1181</v>
      </c>
      <c r="I1480" t="s">
        <v>1182</v>
      </c>
      <c r="J1480" t="s">
        <v>10177</v>
      </c>
    </row>
    <row r="1481" spans="6:10">
      <c r="F1481" t="s">
        <v>10178</v>
      </c>
      <c r="G1481">
        <v>1478</v>
      </c>
      <c r="H1481" t="s">
        <v>1162</v>
      </c>
      <c r="I1481" t="s">
        <v>1163</v>
      </c>
      <c r="J1481" t="s">
        <v>10179</v>
      </c>
    </row>
    <row r="1482" spans="6:10">
      <c r="F1482" t="s">
        <v>10180</v>
      </c>
      <c r="G1482">
        <v>1479</v>
      </c>
      <c r="H1482" t="s">
        <v>922</v>
      </c>
      <c r="I1482" t="s">
        <v>923</v>
      </c>
      <c r="J1482" t="s">
        <v>10181</v>
      </c>
    </row>
    <row r="1483" spans="6:10">
      <c r="F1483" t="s">
        <v>10182</v>
      </c>
      <c r="G1483">
        <v>1480</v>
      </c>
      <c r="H1483" t="s">
        <v>6148</v>
      </c>
      <c r="I1483" t="s">
        <v>6149</v>
      </c>
      <c r="J1483" t="s">
        <v>10183</v>
      </c>
    </row>
    <row r="1484" spans="6:10">
      <c r="F1484" t="s">
        <v>10184</v>
      </c>
      <c r="G1484">
        <v>1481</v>
      </c>
      <c r="H1484" t="s">
        <v>4066</v>
      </c>
      <c r="I1484" t="s">
        <v>4067</v>
      </c>
      <c r="J1484" t="s">
        <v>10185</v>
      </c>
    </row>
    <row r="1485" spans="6:10">
      <c r="F1485" t="s">
        <v>10186</v>
      </c>
      <c r="G1485">
        <v>1482</v>
      </c>
      <c r="H1485" t="s">
        <v>5396</v>
      </c>
      <c r="I1485" t="s">
        <v>5397</v>
      </c>
      <c r="J1485" t="s">
        <v>10187</v>
      </c>
    </row>
    <row r="1486" spans="6:10">
      <c r="F1486" t="s">
        <v>10188</v>
      </c>
      <c r="G1486">
        <v>1483</v>
      </c>
      <c r="H1486" t="s">
        <v>10189</v>
      </c>
      <c r="I1486" t="s">
        <v>10190</v>
      </c>
      <c r="J1486" t="s">
        <v>10191</v>
      </c>
    </row>
    <row r="1487" spans="6:10">
      <c r="F1487" t="s">
        <v>10192</v>
      </c>
      <c r="G1487">
        <v>1484</v>
      </c>
      <c r="H1487" t="s">
        <v>6047</v>
      </c>
      <c r="I1487" t="s">
        <v>6048</v>
      </c>
      <c r="J1487" t="s">
        <v>10193</v>
      </c>
    </row>
    <row r="1488" spans="6:10">
      <c r="F1488" t="s">
        <v>10194</v>
      </c>
      <c r="G1488">
        <v>1485</v>
      </c>
      <c r="H1488" t="s">
        <v>4914</v>
      </c>
      <c r="I1488" t="s">
        <v>4915</v>
      </c>
      <c r="J1488" t="s">
        <v>10195</v>
      </c>
    </row>
    <row r="1489" spans="6:10">
      <c r="F1489" t="s">
        <v>10196</v>
      </c>
      <c r="G1489">
        <v>1486</v>
      </c>
      <c r="H1489" t="s">
        <v>5136</v>
      </c>
      <c r="I1489" t="s">
        <v>5137</v>
      </c>
      <c r="J1489" t="s">
        <v>10197</v>
      </c>
    </row>
    <row r="1490" spans="6:10">
      <c r="F1490" t="s">
        <v>10198</v>
      </c>
      <c r="G1490">
        <v>1487</v>
      </c>
      <c r="H1490" t="s">
        <v>3757</v>
      </c>
      <c r="I1490" t="s">
        <v>3758</v>
      </c>
      <c r="J1490" t="s">
        <v>10199</v>
      </c>
    </row>
    <row r="1491" spans="6:10">
      <c r="F1491" t="s">
        <v>10200</v>
      </c>
      <c r="G1491">
        <v>1488</v>
      </c>
      <c r="H1491" t="s">
        <v>4738</v>
      </c>
      <c r="I1491" t="s">
        <v>4739</v>
      </c>
      <c r="J1491" t="s">
        <v>10201</v>
      </c>
    </row>
    <row r="1492" spans="6:10">
      <c r="F1492" t="s">
        <v>10202</v>
      </c>
      <c r="G1492">
        <v>1489</v>
      </c>
      <c r="H1492" t="s">
        <v>10203</v>
      </c>
      <c r="I1492" t="s">
        <v>10204</v>
      </c>
      <c r="J1492" t="s">
        <v>10205</v>
      </c>
    </row>
    <row r="1493" spans="6:10">
      <c r="F1493" t="s">
        <v>10206</v>
      </c>
      <c r="G1493">
        <v>1490</v>
      </c>
      <c r="H1493" t="s">
        <v>2624</v>
      </c>
      <c r="I1493" t="s">
        <v>2625</v>
      </c>
      <c r="J1493" t="s">
        <v>10207</v>
      </c>
    </row>
    <row r="1494" spans="6:10">
      <c r="F1494" t="s">
        <v>10208</v>
      </c>
      <c r="G1494">
        <v>1491</v>
      </c>
      <c r="H1494" t="s">
        <v>5365</v>
      </c>
      <c r="I1494" t="s">
        <v>5366</v>
      </c>
      <c r="J1494" t="s">
        <v>10209</v>
      </c>
    </row>
    <row r="1495" spans="6:10">
      <c r="F1495" t="s">
        <v>10210</v>
      </c>
      <c r="G1495">
        <v>1492</v>
      </c>
      <c r="H1495" t="s">
        <v>744</v>
      </c>
      <c r="I1495" t="s">
        <v>746</v>
      </c>
      <c r="J1495" t="s">
        <v>10211</v>
      </c>
    </row>
    <row r="1496" spans="6:10">
      <c r="F1496" t="s">
        <v>10212</v>
      </c>
      <c r="G1496">
        <v>1493</v>
      </c>
      <c r="H1496" t="s">
        <v>5702</v>
      </c>
      <c r="I1496" t="s">
        <v>5703</v>
      </c>
      <c r="J1496" t="s">
        <v>10213</v>
      </c>
    </row>
    <row r="1497" spans="6:10">
      <c r="F1497" t="s">
        <v>10214</v>
      </c>
      <c r="G1497">
        <v>1494</v>
      </c>
      <c r="H1497" t="s">
        <v>5935</v>
      </c>
      <c r="I1497" t="s">
        <v>5936</v>
      </c>
      <c r="J1497" t="s">
        <v>10215</v>
      </c>
    </row>
    <row r="1498" spans="6:10">
      <c r="F1498" t="s">
        <v>10216</v>
      </c>
      <c r="G1498">
        <v>1495</v>
      </c>
      <c r="H1498" t="s">
        <v>2500</v>
      </c>
      <c r="I1498" t="s">
        <v>2501</v>
      </c>
      <c r="J1498" t="s">
        <v>10217</v>
      </c>
    </row>
    <row r="1499" spans="6:10">
      <c r="F1499" t="s">
        <v>10218</v>
      </c>
      <c r="G1499">
        <v>1496</v>
      </c>
      <c r="H1499" t="s">
        <v>1833</v>
      </c>
      <c r="I1499" t="s">
        <v>1834</v>
      </c>
      <c r="J1499" t="s">
        <v>10219</v>
      </c>
    </row>
    <row r="1500" spans="6:10">
      <c r="F1500" t="s">
        <v>10220</v>
      </c>
      <c r="G1500">
        <v>1497</v>
      </c>
      <c r="H1500" t="s">
        <v>10221</v>
      </c>
      <c r="I1500" t="s">
        <v>10222</v>
      </c>
      <c r="J1500" t="s">
        <v>10223</v>
      </c>
    </row>
    <row r="1501" spans="6:10">
      <c r="F1501" t="s">
        <v>10224</v>
      </c>
      <c r="G1501">
        <v>1498</v>
      </c>
      <c r="H1501" t="s">
        <v>1540</v>
      </c>
      <c r="I1501" t="s">
        <v>1541</v>
      </c>
      <c r="J1501" t="s">
        <v>10225</v>
      </c>
    </row>
    <row r="1502" spans="6:10">
      <c r="F1502" t="s">
        <v>10226</v>
      </c>
      <c r="G1502">
        <v>1499</v>
      </c>
      <c r="H1502" t="s">
        <v>4902</v>
      </c>
      <c r="I1502" t="s">
        <v>4903</v>
      </c>
      <c r="J1502" t="s">
        <v>10227</v>
      </c>
    </row>
    <row r="1503" spans="6:10">
      <c r="F1503" t="s">
        <v>10228</v>
      </c>
      <c r="G1503">
        <v>1500</v>
      </c>
      <c r="H1503" t="s">
        <v>10229</v>
      </c>
      <c r="I1503" t="s">
        <v>10230</v>
      </c>
      <c r="J1503" t="s">
        <v>10231</v>
      </c>
    </row>
    <row r="1504" spans="6:10">
      <c r="F1504" t="s">
        <v>10232</v>
      </c>
      <c r="G1504">
        <v>1501</v>
      </c>
      <c r="H1504" t="s">
        <v>4583</v>
      </c>
      <c r="I1504" t="s">
        <v>4584</v>
      </c>
      <c r="J1504" t="s">
        <v>10233</v>
      </c>
    </row>
    <row r="1505" spans="6:10">
      <c r="F1505" t="s">
        <v>10234</v>
      </c>
      <c r="G1505">
        <v>1502</v>
      </c>
      <c r="H1505" t="s">
        <v>3712</v>
      </c>
      <c r="I1505" t="s">
        <v>3713</v>
      </c>
      <c r="J1505" t="s">
        <v>10235</v>
      </c>
    </row>
    <row r="1506" spans="6:10">
      <c r="F1506" t="s">
        <v>10236</v>
      </c>
      <c r="G1506">
        <v>1503</v>
      </c>
      <c r="H1506" t="s">
        <v>10237</v>
      </c>
      <c r="I1506" t="s">
        <v>10238</v>
      </c>
      <c r="J1506" t="s">
        <v>10239</v>
      </c>
    </row>
    <row r="1507" spans="6:10">
      <c r="F1507" t="s">
        <v>10240</v>
      </c>
      <c r="G1507">
        <v>1504</v>
      </c>
      <c r="H1507" t="s">
        <v>1478</v>
      </c>
      <c r="I1507" t="s">
        <v>1479</v>
      </c>
      <c r="J1507" t="s">
        <v>10241</v>
      </c>
    </row>
    <row r="1508" spans="6:10">
      <c r="F1508" t="s">
        <v>10242</v>
      </c>
      <c r="G1508">
        <v>1505</v>
      </c>
      <c r="H1508" t="s">
        <v>2036</v>
      </c>
      <c r="I1508" t="s">
        <v>2037</v>
      </c>
      <c r="J1508" t="s">
        <v>10243</v>
      </c>
    </row>
    <row r="1509" spans="6:10">
      <c r="F1509" t="s">
        <v>10244</v>
      </c>
      <c r="G1509">
        <v>1506</v>
      </c>
      <c r="H1509" t="s">
        <v>3840</v>
      </c>
      <c r="I1509" t="s">
        <v>3841</v>
      </c>
      <c r="J1509" t="s">
        <v>10245</v>
      </c>
    </row>
    <row r="1510" spans="6:10">
      <c r="F1510" t="s">
        <v>10246</v>
      </c>
      <c r="G1510">
        <v>1507</v>
      </c>
      <c r="H1510" t="s">
        <v>5755</v>
      </c>
      <c r="I1510" t="s">
        <v>5756</v>
      </c>
      <c r="J1510" t="s">
        <v>10247</v>
      </c>
    </row>
    <row r="1511" spans="6:10">
      <c r="F1511" t="s">
        <v>10248</v>
      </c>
      <c r="G1511">
        <v>1508</v>
      </c>
      <c r="H1511" t="s">
        <v>10249</v>
      </c>
      <c r="I1511" t="s">
        <v>10250</v>
      </c>
      <c r="J1511" t="s">
        <v>10251</v>
      </c>
    </row>
    <row r="1512" spans="6:10">
      <c r="F1512" t="s">
        <v>10252</v>
      </c>
      <c r="G1512">
        <v>1509</v>
      </c>
      <c r="H1512" t="s">
        <v>6091</v>
      </c>
      <c r="I1512" t="s">
        <v>6092</v>
      </c>
      <c r="J1512" t="s">
        <v>10253</v>
      </c>
    </row>
    <row r="1513" spans="6:10">
      <c r="F1513" t="s">
        <v>10254</v>
      </c>
      <c r="G1513">
        <v>1510</v>
      </c>
      <c r="H1513" t="s">
        <v>4904</v>
      </c>
      <c r="I1513" t="s">
        <v>4905</v>
      </c>
      <c r="J1513" t="s">
        <v>10255</v>
      </c>
    </row>
    <row r="1514" spans="6:10">
      <c r="F1514" t="s">
        <v>10256</v>
      </c>
      <c r="G1514">
        <v>1511</v>
      </c>
      <c r="H1514" t="s">
        <v>5355</v>
      </c>
      <c r="I1514" t="s">
        <v>5356</v>
      </c>
      <c r="J1514" t="s">
        <v>10257</v>
      </c>
    </row>
    <row r="1515" spans="6:10">
      <c r="F1515" t="s">
        <v>10258</v>
      </c>
      <c r="G1515">
        <v>1512</v>
      </c>
      <c r="H1515" t="s">
        <v>1524</v>
      </c>
      <c r="I1515" t="s">
        <v>1525</v>
      </c>
      <c r="J1515" t="s">
        <v>10259</v>
      </c>
    </row>
    <row r="1516" spans="6:10">
      <c r="F1516" t="s">
        <v>10260</v>
      </c>
      <c r="G1516">
        <v>1513</v>
      </c>
      <c r="H1516" t="s">
        <v>10261</v>
      </c>
      <c r="I1516" t="s">
        <v>10262</v>
      </c>
      <c r="J1516" t="s">
        <v>10263</v>
      </c>
    </row>
    <row r="1517" spans="6:10">
      <c r="F1517" t="s">
        <v>10264</v>
      </c>
      <c r="G1517">
        <v>1514</v>
      </c>
      <c r="H1517" t="s">
        <v>10265</v>
      </c>
      <c r="I1517" t="s">
        <v>10266</v>
      </c>
      <c r="J1517" t="s">
        <v>10267</v>
      </c>
    </row>
    <row r="1518" spans="6:10">
      <c r="F1518" t="s">
        <v>10268</v>
      </c>
      <c r="G1518">
        <v>1515</v>
      </c>
      <c r="H1518" t="s">
        <v>1422</v>
      </c>
      <c r="I1518" t="s">
        <v>1423</v>
      </c>
      <c r="J1518" t="s">
        <v>10269</v>
      </c>
    </row>
    <row r="1519" spans="6:10">
      <c r="F1519" t="s">
        <v>10270</v>
      </c>
      <c r="G1519">
        <v>1516</v>
      </c>
      <c r="H1519" t="s">
        <v>2764</v>
      </c>
      <c r="I1519" t="s">
        <v>2765</v>
      </c>
      <c r="J1519" t="s">
        <v>10271</v>
      </c>
    </row>
    <row r="1520" spans="6:10">
      <c r="F1520" t="s">
        <v>10272</v>
      </c>
      <c r="G1520">
        <v>1517</v>
      </c>
      <c r="H1520" t="s">
        <v>4537</v>
      </c>
      <c r="I1520" t="s">
        <v>4538</v>
      </c>
      <c r="J1520" t="s">
        <v>10273</v>
      </c>
    </row>
    <row r="1521" spans="6:10">
      <c r="F1521" t="s">
        <v>10274</v>
      </c>
      <c r="G1521">
        <v>1518</v>
      </c>
      <c r="H1521" t="s">
        <v>5856</v>
      </c>
      <c r="I1521" t="s">
        <v>5857</v>
      </c>
      <c r="J1521" t="s">
        <v>10275</v>
      </c>
    </row>
    <row r="1522" spans="6:10">
      <c r="F1522" t="s">
        <v>10276</v>
      </c>
      <c r="G1522">
        <v>1519</v>
      </c>
      <c r="H1522" t="s">
        <v>4194</v>
      </c>
      <c r="I1522" t="s">
        <v>4195</v>
      </c>
      <c r="J1522" t="s">
        <v>10277</v>
      </c>
    </row>
    <row r="1523" spans="6:10">
      <c r="F1523" t="s">
        <v>10278</v>
      </c>
      <c r="G1523">
        <v>1520</v>
      </c>
      <c r="H1523" t="s">
        <v>2818</v>
      </c>
      <c r="I1523" t="s">
        <v>2824</v>
      </c>
      <c r="J1523" t="s">
        <v>10279</v>
      </c>
    </row>
    <row r="1524" spans="6:10">
      <c r="F1524" t="s">
        <v>10280</v>
      </c>
      <c r="G1524">
        <v>1521</v>
      </c>
      <c r="H1524" t="s">
        <v>10281</v>
      </c>
      <c r="I1524" t="s">
        <v>10282</v>
      </c>
      <c r="J1524" t="s">
        <v>10283</v>
      </c>
    </row>
    <row r="1525" spans="6:10">
      <c r="F1525" t="s">
        <v>10284</v>
      </c>
      <c r="G1525">
        <v>1522</v>
      </c>
      <c r="H1525" t="s">
        <v>1129</v>
      </c>
      <c r="I1525" t="s">
        <v>1130</v>
      </c>
      <c r="J1525" t="s">
        <v>10285</v>
      </c>
    </row>
    <row r="1526" spans="6:10">
      <c r="F1526" t="s">
        <v>10286</v>
      </c>
      <c r="G1526">
        <v>1523</v>
      </c>
      <c r="H1526" t="s">
        <v>1930</v>
      </c>
      <c r="I1526" t="s">
        <v>1931</v>
      </c>
      <c r="J1526" t="s">
        <v>10287</v>
      </c>
    </row>
    <row r="1527" spans="6:10">
      <c r="F1527" t="s">
        <v>10288</v>
      </c>
      <c r="G1527">
        <v>1524</v>
      </c>
      <c r="H1527" t="s">
        <v>108</v>
      </c>
      <c r="I1527" t="s">
        <v>109</v>
      </c>
      <c r="J1527" t="s">
        <v>10289</v>
      </c>
    </row>
    <row r="1528" spans="6:10">
      <c r="F1528" t="s">
        <v>10290</v>
      </c>
      <c r="G1528">
        <v>1525</v>
      </c>
      <c r="H1528" t="s">
        <v>1805</v>
      </c>
      <c r="I1528" t="s">
        <v>1806</v>
      </c>
      <c r="J1528" t="s">
        <v>10291</v>
      </c>
    </row>
    <row r="1529" spans="6:10">
      <c r="F1529" t="s">
        <v>10292</v>
      </c>
      <c r="G1529">
        <v>1526</v>
      </c>
      <c r="H1529" t="s">
        <v>5109</v>
      </c>
      <c r="I1529" t="s">
        <v>5110</v>
      </c>
      <c r="J1529" t="s">
        <v>10293</v>
      </c>
    </row>
    <row r="1530" spans="6:10">
      <c r="F1530" t="s">
        <v>10294</v>
      </c>
      <c r="G1530">
        <v>1527</v>
      </c>
      <c r="H1530" t="s">
        <v>10295</v>
      </c>
      <c r="I1530" t="s">
        <v>10296</v>
      </c>
      <c r="J1530" t="s">
        <v>10297</v>
      </c>
    </row>
    <row r="1531" spans="6:10">
      <c r="F1531" t="s">
        <v>10298</v>
      </c>
      <c r="G1531">
        <v>1528</v>
      </c>
      <c r="H1531" t="s">
        <v>87</v>
      </c>
      <c r="I1531" t="s">
        <v>88</v>
      </c>
      <c r="J1531" t="s">
        <v>10299</v>
      </c>
    </row>
    <row r="1532" spans="6:10">
      <c r="F1532" t="s">
        <v>10300</v>
      </c>
      <c r="G1532">
        <v>1529</v>
      </c>
      <c r="H1532" t="s">
        <v>3693</v>
      </c>
      <c r="I1532" t="s">
        <v>3694</v>
      </c>
      <c r="J1532" t="s">
        <v>10301</v>
      </c>
    </row>
    <row r="1533" spans="6:10">
      <c r="F1533" t="s">
        <v>10302</v>
      </c>
      <c r="G1533">
        <v>1530</v>
      </c>
      <c r="H1533" t="s">
        <v>10303</v>
      </c>
      <c r="I1533" t="s">
        <v>10304</v>
      </c>
      <c r="J1533" t="s">
        <v>10305</v>
      </c>
    </row>
    <row r="1534" spans="6:10">
      <c r="F1534" t="s">
        <v>10306</v>
      </c>
      <c r="G1534">
        <v>1531</v>
      </c>
      <c r="H1534" t="s">
        <v>5883</v>
      </c>
      <c r="I1534" t="s">
        <v>5884</v>
      </c>
      <c r="J1534" t="s">
        <v>10307</v>
      </c>
    </row>
    <row r="1535" spans="6:10">
      <c r="F1535" t="s">
        <v>10308</v>
      </c>
      <c r="G1535">
        <v>1532</v>
      </c>
      <c r="H1535" t="s">
        <v>10309</v>
      </c>
      <c r="I1535" t="s">
        <v>10310</v>
      </c>
      <c r="J1535" t="s">
        <v>10311</v>
      </c>
    </row>
    <row r="1536" spans="6:10">
      <c r="F1536" t="s">
        <v>10312</v>
      </c>
      <c r="G1536">
        <v>1533</v>
      </c>
      <c r="H1536" t="s">
        <v>10313</v>
      </c>
      <c r="I1536" t="s">
        <v>10314</v>
      </c>
      <c r="J1536" t="s">
        <v>10315</v>
      </c>
    </row>
    <row r="1537" spans="6:10">
      <c r="F1537" t="s">
        <v>10316</v>
      </c>
      <c r="G1537">
        <v>1534</v>
      </c>
      <c r="H1537" t="s">
        <v>3037</v>
      </c>
      <c r="I1537" t="s">
        <v>3038</v>
      </c>
      <c r="J1537" t="s">
        <v>10317</v>
      </c>
    </row>
    <row r="1538" spans="6:10">
      <c r="F1538" t="s">
        <v>10318</v>
      </c>
      <c r="G1538">
        <v>1535</v>
      </c>
      <c r="H1538" t="s">
        <v>2915</v>
      </c>
      <c r="I1538" t="s">
        <v>2916</v>
      </c>
      <c r="J1538" t="s">
        <v>10319</v>
      </c>
    </row>
    <row r="1539" spans="6:10">
      <c r="F1539" t="s">
        <v>10320</v>
      </c>
      <c r="G1539">
        <v>1536</v>
      </c>
      <c r="H1539" t="s">
        <v>1928</v>
      </c>
      <c r="I1539" t="s">
        <v>1929</v>
      </c>
      <c r="J1539" t="s">
        <v>10321</v>
      </c>
    </row>
    <row r="1540" spans="6:10">
      <c r="F1540" t="s">
        <v>10322</v>
      </c>
      <c r="G1540">
        <v>1537</v>
      </c>
      <c r="H1540" t="s">
        <v>10323</v>
      </c>
      <c r="I1540" t="s">
        <v>10324</v>
      </c>
      <c r="J1540" t="s">
        <v>10325</v>
      </c>
    </row>
    <row r="1541" spans="6:10">
      <c r="F1541" t="s">
        <v>10326</v>
      </c>
      <c r="G1541">
        <v>1538</v>
      </c>
      <c r="H1541" t="s">
        <v>2732</v>
      </c>
      <c r="I1541" t="s">
        <v>2733</v>
      </c>
      <c r="J1541" t="s">
        <v>10327</v>
      </c>
    </row>
    <row r="1542" spans="6:10">
      <c r="F1542" t="s">
        <v>10328</v>
      </c>
      <c r="G1542">
        <v>1539</v>
      </c>
      <c r="H1542" t="s">
        <v>1164</v>
      </c>
      <c r="I1542" t="s">
        <v>1165</v>
      </c>
      <c r="J1542" t="s">
        <v>10329</v>
      </c>
    </row>
    <row r="1543" spans="6:10">
      <c r="F1543" t="s">
        <v>10330</v>
      </c>
      <c r="G1543">
        <v>1540</v>
      </c>
      <c r="H1543" t="s">
        <v>3821</v>
      </c>
      <c r="I1543" t="s">
        <v>3822</v>
      </c>
      <c r="J1543" t="s">
        <v>10331</v>
      </c>
    </row>
    <row r="1544" spans="6:10">
      <c r="F1544" t="s">
        <v>10332</v>
      </c>
      <c r="G1544">
        <v>1541</v>
      </c>
      <c r="H1544" t="s">
        <v>2688</v>
      </c>
      <c r="I1544" t="s">
        <v>2691</v>
      </c>
      <c r="J1544" t="s">
        <v>10333</v>
      </c>
    </row>
    <row r="1545" spans="6:10">
      <c r="F1545" t="s">
        <v>10334</v>
      </c>
      <c r="G1545">
        <v>1542</v>
      </c>
      <c r="H1545" t="s">
        <v>654</v>
      </c>
      <c r="I1545" t="s">
        <v>655</v>
      </c>
      <c r="J1545" t="s">
        <v>10335</v>
      </c>
    </row>
    <row r="1546" spans="6:10">
      <c r="F1546" t="s">
        <v>10336</v>
      </c>
      <c r="G1546">
        <v>1543</v>
      </c>
      <c r="H1546" t="s">
        <v>51</v>
      </c>
      <c r="I1546" t="s">
        <v>52</v>
      </c>
      <c r="J1546" t="s">
        <v>10337</v>
      </c>
    </row>
    <row r="1547" spans="6:10">
      <c r="F1547" t="s">
        <v>10338</v>
      </c>
      <c r="G1547">
        <v>1544</v>
      </c>
      <c r="H1547" t="s">
        <v>10339</v>
      </c>
      <c r="I1547" t="s">
        <v>10340</v>
      </c>
      <c r="J1547" t="s">
        <v>10341</v>
      </c>
    </row>
    <row r="1548" spans="6:10">
      <c r="F1548" t="s">
        <v>10342</v>
      </c>
      <c r="G1548">
        <v>1545</v>
      </c>
      <c r="H1548" t="s">
        <v>4918</v>
      </c>
      <c r="I1548" t="s">
        <v>4919</v>
      </c>
      <c r="J1548" t="s">
        <v>10343</v>
      </c>
    </row>
    <row r="1549" spans="6:10">
      <c r="F1549" t="s">
        <v>10344</v>
      </c>
      <c r="G1549">
        <v>1546</v>
      </c>
      <c r="H1549" t="s">
        <v>6028</v>
      </c>
      <c r="I1549" t="s">
        <v>6029</v>
      </c>
      <c r="J1549" t="s">
        <v>10345</v>
      </c>
    </row>
    <row r="1550" spans="6:10">
      <c r="F1550" t="s">
        <v>10346</v>
      </c>
      <c r="G1550">
        <v>1547</v>
      </c>
      <c r="H1550" t="s">
        <v>4734</v>
      </c>
      <c r="I1550" t="s">
        <v>4735</v>
      </c>
      <c r="J1550" t="s">
        <v>10347</v>
      </c>
    </row>
    <row r="1551" spans="6:10">
      <c r="F1551" t="s">
        <v>10348</v>
      </c>
      <c r="G1551">
        <v>1548</v>
      </c>
      <c r="H1551" t="s">
        <v>5557</v>
      </c>
      <c r="I1551" t="s">
        <v>5558</v>
      </c>
      <c r="J1551" t="s">
        <v>10349</v>
      </c>
    </row>
    <row r="1552" spans="6:10">
      <c r="F1552" t="s">
        <v>10350</v>
      </c>
      <c r="G1552">
        <v>1549</v>
      </c>
      <c r="H1552" t="s">
        <v>4521</v>
      </c>
      <c r="I1552" t="s">
        <v>4522</v>
      </c>
      <c r="J1552" t="s">
        <v>10351</v>
      </c>
    </row>
    <row r="1553" spans="6:10">
      <c r="F1553" t="s">
        <v>10352</v>
      </c>
      <c r="G1553">
        <v>1550</v>
      </c>
      <c r="H1553" t="s">
        <v>952</v>
      </c>
      <c r="I1553" t="s">
        <v>953</v>
      </c>
      <c r="J1553" t="s">
        <v>10353</v>
      </c>
    </row>
    <row r="1554" spans="6:10">
      <c r="F1554" t="s">
        <v>10354</v>
      </c>
      <c r="G1554">
        <v>1551</v>
      </c>
      <c r="H1554" t="s">
        <v>10355</v>
      </c>
      <c r="I1554" t="s">
        <v>10356</v>
      </c>
      <c r="J1554" t="s">
        <v>10357</v>
      </c>
    </row>
    <row r="1555" spans="6:10">
      <c r="F1555" t="s">
        <v>10358</v>
      </c>
      <c r="G1555">
        <v>1552</v>
      </c>
      <c r="H1555" t="s">
        <v>1773</v>
      </c>
      <c r="I1555" t="s">
        <v>1774</v>
      </c>
      <c r="J1555" t="s">
        <v>10359</v>
      </c>
    </row>
    <row r="1556" spans="6:10">
      <c r="F1556" t="s">
        <v>10360</v>
      </c>
      <c r="G1556">
        <v>1553</v>
      </c>
      <c r="H1556" t="s">
        <v>5557</v>
      </c>
      <c r="I1556" t="s">
        <v>5558</v>
      </c>
      <c r="J1556" t="s">
        <v>10361</v>
      </c>
    </row>
    <row r="1557" spans="6:10">
      <c r="F1557" t="s">
        <v>10362</v>
      </c>
      <c r="G1557">
        <v>1554</v>
      </c>
      <c r="H1557" t="s">
        <v>10363</v>
      </c>
      <c r="I1557" t="s">
        <v>10364</v>
      </c>
      <c r="J1557" t="s">
        <v>10365</v>
      </c>
    </row>
    <row r="1558" spans="6:10">
      <c r="F1558" t="s">
        <v>10366</v>
      </c>
      <c r="G1558">
        <v>1555</v>
      </c>
      <c r="H1558" t="s">
        <v>4931</v>
      </c>
      <c r="I1558" t="s">
        <v>4932</v>
      </c>
      <c r="J1558" t="s">
        <v>10367</v>
      </c>
    </row>
    <row r="1559" spans="6:10">
      <c r="F1559" t="s">
        <v>10368</v>
      </c>
      <c r="G1559">
        <v>1556</v>
      </c>
      <c r="H1559" t="s">
        <v>4751</v>
      </c>
      <c r="I1559" t="s">
        <v>4752</v>
      </c>
      <c r="J1559" t="s">
        <v>10369</v>
      </c>
    </row>
    <row r="1560" spans="6:10">
      <c r="F1560" t="s">
        <v>10370</v>
      </c>
      <c r="G1560">
        <v>1557</v>
      </c>
      <c r="H1560" t="s">
        <v>10371</v>
      </c>
      <c r="I1560" t="s">
        <v>10372</v>
      </c>
      <c r="J1560" t="s">
        <v>10373</v>
      </c>
    </row>
    <row r="1561" spans="6:10">
      <c r="F1561" t="s">
        <v>10374</v>
      </c>
      <c r="G1561">
        <v>1558</v>
      </c>
      <c r="H1561" t="s">
        <v>10375</v>
      </c>
      <c r="I1561" t="s">
        <v>10376</v>
      </c>
      <c r="J1561" t="s">
        <v>10377</v>
      </c>
    </row>
    <row r="1562" spans="6:10">
      <c r="F1562" t="s">
        <v>10378</v>
      </c>
      <c r="G1562">
        <v>1559</v>
      </c>
      <c r="H1562" t="s">
        <v>5371</v>
      </c>
      <c r="I1562" t="s">
        <v>5372</v>
      </c>
      <c r="J1562" t="s">
        <v>10379</v>
      </c>
    </row>
    <row r="1563" spans="6:10">
      <c r="F1563" t="s">
        <v>10380</v>
      </c>
      <c r="G1563">
        <v>1560</v>
      </c>
      <c r="H1563" t="s">
        <v>3617</v>
      </c>
      <c r="I1563" t="s">
        <v>3618</v>
      </c>
      <c r="J1563" t="s">
        <v>10381</v>
      </c>
    </row>
    <row r="1564" spans="6:10">
      <c r="F1564" t="s">
        <v>10382</v>
      </c>
      <c r="G1564">
        <v>1561</v>
      </c>
      <c r="H1564" t="s">
        <v>3325</v>
      </c>
      <c r="I1564" t="s">
        <v>3326</v>
      </c>
      <c r="J1564" t="s">
        <v>10383</v>
      </c>
    </row>
    <row r="1565" spans="6:10">
      <c r="F1565" t="s">
        <v>10384</v>
      </c>
      <c r="G1565">
        <v>1562</v>
      </c>
      <c r="H1565" t="s">
        <v>1653</v>
      </c>
      <c r="I1565" t="s">
        <v>1654</v>
      </c>
      <c r="J1565" t="s">
        <v>10385</v>
      </c>
    </row>
    <row r="1566" spans="6:10">
      <c r="F1566" t="s">
        <v>10386</v>
      </c>
      <c r="G1566">
        <v>1563</v>
      </c>
      <c r="H1566" t="s">
        <v>10387</v>
      </c>
      <c r="I1566" t="s">
        <v>10388</v>
      </c>
      <c r="J1566" t="s">
        <v>10389</v>
      </c>
    </row>
    <row r="1567" spans="6:10">
      <c r="F1567" t="s">
        <v>10390</v>
      </c>
      <c r="G1567">
        <v>1564</v>
      </c>
      <c r="H1567" t="s">
        <v>2553</v>
      </c>
      <c r="I1567" t="s">
        <v>2554</v>
      </c>
      <c r="J1567" t="s">
        <v>10391</v>
      </c>
    </row>
    <row r="1568" spans="6:10">
      <c r="F1568" t="s">
        <v>10392</v>
      </c>
      <c r="G1568">
        <v>1565</v>
      </c>
      <c r="H1568" t="s">
        <v>4114</v>
      </c>
      <c r="I1568" t="s">
        <v>4115</v>
      </c>
      <c r="J1568" t="s">
        <v>10393</v>
      </c>
    </row>
    <row r="1569" spans="6:10">
      <c r="F1569" t="s">
        <v>10394</v>
      </c>
      <c r="G1569">
        <v>1566</v>
      </c>
      <c r="H1569" t="s">
        <v>1882</v>
      </c>
      <c r="I1569" t="s">
        <v>1883</v>
      </c>
      <c r="J1569" t="s">
        <v>10395</v>
      </c>
    </row>
    <row r="1570" spans="6:10">
      <c r="F1570" t="s">
        <v>10396</v>
      </c>
      <c r="G1570">
        <v>1567</v>
      </c>
      <c r="H1570" t="s">
        <v>2412</v>
      </c>
      <c r="I1570" t="s">
        <v>2413</v>
      </c>
      <c r="J1570" t="s">
        <v>10397</v>
      </c>
    </row>
    <row r="1571" spans="6:10">
      <c r="F1571" t="s">
        <v>10398</v>
      </c>
      <c r="G1571">
        <v>1568</v>
      </c>
      <c r="H1571" t="s">
        <v>5818</v>
      </c>
      <c r="I1571" t="s">
        <v>5819</v>
      </c>
      <c r="J1571" t="s">
        <v>10399</v>
      </c>
    </row>
    <row r="1572" spans="6:10">
      <c r="F1572" t="s">
        <v>10400</v>
      </c>
      <c r="G1572">
        <v>1569</v>
      </c>
      <c r="H1572" t="s">
        <v>729</v>
      </c>
      <c r="I1572" t="s">
        <v>730</v>
      </c>
      <c r="J1572" t="s">
        <v>10401</v>
      </c>
    </row>
    <row r="1573" spans="6:10">
      <c r="F1573" t="s">
        <v>10402</v>
      </c>
      <c r="G1573">
        <v>1570</v>
      </c>
      <c r="H1573" t="s">
        <v>2760</v>
      </c>
      <c r="I1573" t="s">
        <v>2761</v>
      </c>
      <c r="J1573" t="s">
        <v>10403</v>
      </c>
    </row>
    <row r="1574" spans="6:10">
      <c r="F1574" t="s">
        <v>10404</v>
      </c>
      <c r="G1574">
        <v>1571</v>
      </c>
      <c r="H1574" t="s">
        <v>914</v>
      </c>
      <c r="I1574" t="s">
        <v>915</v>
      </c>
      <c r="J1574" t="s">
        <v>10405</v>
      </c>
    </row>
    <row r="1575" spans="6:10">
      <c r="F1575" t="s">
        <v>10406</v>
      </c>
      <c r="G1575">
        <v>1572</v>
      </c>
      <c r="H1575" t="s">
        <v>1719</v>
      </c>
      <c r="I1575" t="s">
        <v>1720</v>
      </c>
      <c r="J1575" t="s">
        <v>10407</v>
      </c>
    </row>
    <row r="1576" spans="6:10">
      <c r="F1576" t="s">
        <v>10408</v>
      </c>
      <c r="G1576">
        <v>1573</v>
      </c>
      <c r="H1576" t="s">
        <v>10409</v>
      </c>
      <c r="I1576" t="s">
        <v>10410</v>
      </c>
      <c r="J1576" t="s">
        <v>10411</v>
      </c>
    </row>
    <row r="1577" spans="6:10">
      <c r="F1577" t="s">
        <v>10412</v>
      </c>
      <c r="G1577">
        <v>1574</v>
      </c>
      <c r="H1577" t="s">
        <v>2818</v>
      </c>
      <c r="I1577" t="s">
        <v>2825</v>
      </c>
      <c r="J1577" t="s">
        <v>10413</v>
      </c>
    </row>
    <row r="1578" spans="6:10">
      <c r="F1578" t="s">
        <v>10414</v>
      </c>
      <c r="G1578">
        <v>1575</v>
      </c>
      <c r="H1578" t="s">
        <v>4740</v>
      </c>
      <c r="I1578" t="s">
        <v>4741</v>
      </c>
      <c r="J1578" t="s">
        <v>10415</v>
      </c>
    </row>
    <row r="1579" spans="6:10">
      <c r="F1579" t="s">
        <v>10416</v>
      </c>
      <c r="G1579">
        <v>1576</v>
      </c>
      <c r="H1579" t="s">
        <v>5949</v>
      </c>
      <c r="I1579" t="s">
        <v>5950</v>
      </c>
      <c r="J1579" t="s">
        <v>10417</v>
      </c>
    </row>
    <row r="1580" spans="6:10">
      <c r="F1580" t="s">
        <v>10418</v>
      </c>
      <c r="G1580">
        <v>1577</v>
      </c>
      <c r="H1580" t="s">
        <v>3405</v>
      </c>
      <c r="I1580" t="s">
        <v>3406</v>
      </c>
      <c r="J1580" t="s">
        <v>10419</v>
      </c>
    </row>
    <row r="1581" spans="6:10">
      <c r="F1581" t="s">
        <v>10420</v>
      </c>
      <c r="G1581">
        <v>1578</v>
      </c>
      <c r="H1581" t="s">
        <v>658</v>
      </c>
      <c r="I1581" t="s">
        <v>659</v>
      </c>
      <c r="J1581" t="s">
        <v>10421</v>
      </c>
    </row>
    <row r="1582" spans="6:10">
      <c r="F1582" t="s">
        <v>10422</v>
      </c>
      <c r="G1582">
        <v>1579</v>
      </c>
      <c r="H1582" t="s">
        <v>5559</v>
      </c>
      <c r="I1582" t="s">
        <v>5560</v>
      </c>
      <c r="J1582" t="s">
        <v>10423</v>
      </c>
    </row>
    <row r="1583" spans="6:10">
      <c r="F1583" t="s">
        <v>10424</v>
      </c>
      <c r="G1583">
        <v>1580</v>
      </c>
      <c r="H1583" t="s">
        <v>3825</v>
      </c>
      <c r="I1583" t="s">
        <v>3826</v>
      </c>
      <c r="J1583" t="s">
        <v>10425</v>
      </c>
    </row>
    <row r="1584" spans="6:10">
      <c r="F1584" t="s">
        <v>10426</v>
      </c>
      <c r="G1584">
        <v>1581</v>
      </c>
      <c r="H1584" t="s">
        <v>5620</v>
      </c>
      <c r="I1584" t="s">
        <v>5621</v>
      </c>
      <c r="J1584" t="s">
        <v>10427</v>
      </c>
    </row>
    <row r="1585" spans="6:10">
      <c r="F1585" t="s">
        <v>10428</v>
      </c>
      <c r="G1585">
        <v>1582</v>
      </c>
      <c r="H1585" t="s">
        <v>2744</v>
      </c>
      <c r="I1585" t="s">
        <v>2746</v>
      </c>
      <c r="J1585" t="s">
        <v>10429</v>
      </c>
    </row>
    <row r="1586" spans="6:10">
      <c r="F1586" t="s">
        <v>10430</v>
      </c>
      <c r="G1586">
        <v>1583</v>
      </c>
      <c r="H1586" t="s">
        <v>10431</v>
      </c>
      <c r="I1586" t="s">
        <v>10432</v>
      </c>
      <c r="J1586" t="s">
        <v>10433</v>
      </c>
    </row>
    <row r="1587" spans="6:10">
      <c r="F1587" t="s">
        <v>10434</v>
      </c>
      <c r="G1587">
        <v>1584</v>
      </c>
      <c r="H1587" t="s">
        <v>5653</v>
      </c>
      <c r="I1587" t="s">
        <v>5654</v>
      </c>
      <c r="J1587" t="s">
        <v>10435</v>
      </c>
    </row>
    <row r="1588" spans="6:10">
      <c r="F1588" t="s">
        <v>10436</v>
      </c>
      <c r="G1588">
        <v>1585</v>
      </c>
      <c r="H1588" t="s">
        <v>10437</v>
      </c>
      <c r="I1588" t="s">
        <v>10438</v>
      </c>
      <c r="J1588" t="s">
        <v>10439</v>
      </c>
    </row>
    <row r="1589" spans="6:10">
      <c r="F1589" t="s">
        <v>10440</v>
      </c>
      <c r="G1589">
        <v>1586</v>
      </c>
      <c r="H1589" t="s">
        <v>10441</v>
      </c>
      <c r="I1589" t="s">
        <v>10442</v>
      </c>
      <c r="J1589" t="s">
        <v>10443</v>
      </c>
    </row>
    <row r="1590" spans="6:10">
      <c r="F1590" t="s">
        <v>10444</v>
      </c>
      <c r="G1590">
        <v>1587</v>
      </c>
      <c r="H1590" t="s">
        <v>5195</v>
      </c>
      <c r="I1590" t="s">
        <v>5196</v>
      </c>
      <c r="J1590" t="s">
        <v>10445</v>
      </c>
    </row>
    <row r="1591" spans="6:10">
      <c r="F1591" t="s">
        <v>10446</v>
      </c>
      <c r="G1591">
        <v>1588</v>
      </c>
      <c r="H1591" t="s">
        <v>10447</v>
      </c>
      <c r="I1591" t="s">
        <v>4222</v>
      </c>
      <c r="J1591" t="s">
        <v>10448</v>
      </c>
    </row>
    <row r="1592" spans="6:10">
      <c r="F1592" t="s">
        <v>10449</v>
      </c>
      <c r="G1592">
        <v>1589</v>
      </c>
      <c r="H1592" t="s">
        <v>3636</v>
      </c>
      <c r="I1592" t="s">
        <v>3637</v>
      </c>
      <c r="J1592" t="s">
        <v>10450</v>
      </c>
    </row>
    <row r="1593" spans="6:10">
      <c r="F1593" t="s">
        <v>10451</v>
      </c>
      <c r="G1593">
        <v>1590</v>
      </c>
      <c r="H1593" t="s">
        <v>2302</v>
      </c>
      <c r="I1593" t="s">
        <v>2303</v>
      </c>
      <c r="J1593" t="s">
        <v>10452</v>
      </c>
    </row>
    <row r="1594" spans="6:10">
      <c r="F1594" t="s">
        <v>10453</v>
      </c>
      <c r="G1594">
        <v>1591</v>
      </c>
      <c r="H1594" t="s">
        <v>221</v>
      </c>
      <c r="I1594" t="s">
        <v>222</v>
      </c>
      <c r="J1594" t="s">
        <v>10454</v>
      </c>
    </row>
    <row r="1595" spans="6:10">
      <c r="F1595" t="s">
        <v>10455</v>
      </c>
      <c r="G1595">
        <v>1592</v>
      </c>
      <c r="H1595" t="s">
        <v>5367</v>
      </c>
      <c r="I1595" t="s">
        <v>5368</v>
      </c>
      <c r="J1595" t="s">
        <v>10456</v>
      </c>
    </row>
    <row r="1596" spans="6:10">
      <c r="F1596" t="s">
        <v>10457</v>
      </c>
      <c r="G1596">
        <v>1593</v>
      </c>
      <c r="H1596" t="s">
        <v>5427</v>
      </c>
      <c r="I1596" t="s">
        <v>5428</v>
      </c>
      <c r="J1596" t="s">
        <v>10458</v>
      </c>
    </row>
    <row r="1597" spans="6:10">
      <c r="F1597" t="s">
        <v>10459</v>
      </c>
      <c r="G1597">
        <v>1594</v>
      </c>
      <c r="H1597" t="s">
        <v>2034</v>
      </c>
      <c r="I1597" t="s">
        <v>2035</v>
      </c>
      <c r="J1597" t="s">
        <v>10460</v>
      </c>
    </row>
    <row r="1598" spans="6:10">
      <c r="F1598" t="s">
        <v>10461</v>
      </c>
      <c r="G1598">
        <v>1595</v>
      </c>
      <c r="H1598" t="s">
        <v>10462</v>
      </c>
      <c r="I1598" t="s">
        <v>10463</v>
      </c>
      <c r="J1598" t="s">
        <v>10464</v>
      </c>
    </row>
    <row r="1599" spans="6:10">
      <c r="F1599" t="s">
        <v>10465</v>
      </c>
      <c r="G1599">
        <v>1596</v>
      </c>
      <c r="H1599" t="s">
        <v>10466</v>
      </c>
      <c r="I1599" t="s">
        <v>10467</v>
      </c>
      <c r="J1599" t="s">
        <v>10468</v>
      </c>
    </row>
    <row r="1600" spans="6:10">
      <c r="F1600" t="s">
        <v>10469</v>
      </c>
      <c r="G1600">
        <v>1597</v>
      </c>
      <c r="H1600" t="s">
        <v>6074</v>
      </c>
      <c r="I1600" t="s">
        <v>6075</v>
      </c>
      <c r="J1600" t="s">
        <v>10470</v>
      </c>
    </row>
    <row r="1601" spans="6:10">
      <c r="F1601" t="s">
        <v>10471</v>
      </c>
      <c r="G1601">
        <v>1598</v>
      </c>
      <c r="H1601" t="s">
        <v>4335</v>
      </c>
      <c r="I1601" t="s">
        <v>4336</v>
      </c>
      <c r="J1601" t="s">
        <v>10472</v>
      </c>
    </row>
    <row r="1602" spans="6:10">
      <c r="F1602" t="s">
        <v>10473</v>
      </c>
      <c r="G1602">
        <v>1599</v>
      </c>
      <c r="H1602" t="s">
        <v>1522</v>
      </c>
      <c r="I1602" t="s">
        <v>1523</v>
      </c>
      <c r="J1602" t="s">
        <v>10474</v>
      </c>
    </row>
    <row r="1603" spans="6:10">
      <c r="F1603" t="s">
        <v>10475</v>
      </c>
      <c r="G1603">
        <v>1600</v>
      </c>
      <c r="H1603" t="s">
        <v>3805</v>
      </c>
      <c r="I1603" t="s">
        <v>3806</v>
      </c>
      <c r="J1603" t="s">
        <v>10476</v>
      </c>
    </row>
    <row r="1604" spans="6:10">
      <c r="F1604" t="s">
        <v>10477</v>
      </c>
      <c r="G1604">
        <v>1601</v>
      </c>
      <c r="H1604" t="s">
        <v>10478</v>
      </c>
      <c r="I1604" t="s">
        <v>10479</v>
      </c>
      <c r="J1604" t="s">
        <v>10480</v>
      </c>
    </row>
    <row r="1605" spans="6:10">
      <c r="F1605" t="s">
        <v>10481</v>
      </c>
      <c r="G1605">
        <v>1602</v>
      </c>
      <c r="H1605" t="s">
        <v>112</v>
      </c>
      <c r="I1605" t="s">
        <v>113</v>
      </c>
      <c r="J1605" t="s">
        <v>10482</v>
      </c>
    </row>
    <row r="1606" spans="6:10">
      <c r="F1606" t="s">
        <v>10483</v>
      </c>
      <c r="G1606">
        <v>1603</v>
      </c>
      <c r="H1606" t="s">
        <v>10484</v>
      </c>
      <c r="I1606" t="s">
        <v>10485</v>
      </c>
      <c r="J1606" t="s">
        <v>10486</v>
      </c>
    </row>
    <row r="1607" spans="6:10">
      <c r="F1607" t="s">
        <v>10487</v>
      </c>
      <c r="G1607">
        <v>1604</v>
      </c>
      <c r="H1607" t="s">
        <v>10488</v>
      </c>
      <c r="I1607" t="s">
        <v>10489</v>
      </c>
      <c r="J1607" t="s">
        <v>10490</v>
      </c>
    </row>
    <row r="1608" spans="6:10">
      <c r="F1608" t="s">
        <v>10491</v>
      </c>
      <c r="G1608">
        <v>1605</v>
      </c>
      <c r="H1608" t="s">
        <v>10492</v>
      </c>
      <c r="I1608" t="s">
        <v>10493</v>
      </c>
      <c r="J1608" t="s">
        <v>10494</v>
      </c>
    </row>
    <row r="1609" spans="6:10">
      <c r="F1609" t="s">
        <v>10495</v>
      </c>
      <c r="G1609">
        <v>1606</v>
      </c>
      <c r="H1609" t="s">
        <v>6183</v>
      </c>
      <c r="I1609" t="s">
        <v>6185</v>
      </c>
      <c r="J1609" t="s">
        <v>10496</v>
      </c>
    </row>
    <row r="1610" spans="6:10">
      <c r="F1610" t="s">
        <v>10497</v>
      </c>
      <c r="G1610">
        <v>1607</v>
      </c>
      <c r="H1610" t="s">
        <v>6183</v>
      </c>
      <c r="I1610" t="s">
        <v>6186</v>
      </c>
      <c r="J1610" t="s">
        <v>10498</v>
      </c>
    </row>
    <row r="1611" spans="6:10">
      <c r="F1611" t="s">
        <v>10499</v>
      </c>
      <c r="G1611">
        <v>1608</v>
      </c>
      <c r="H1611" t="s">
        <v>2028</v>
      </c>
      <c r="I1611" t="s">
        <v>2029</v>
      </c>
      <c r="J1611" t="s">
        <v>10500</v>
      </c>
    </row>
    <row r="1612" spans="6:10">
      <c r="F1612" t="s">
        <v>10501</v>
      </c>
      <c r="G1612">
        <v>1609</v>
      </c>
      <c r="H1612" t="s">
        <v>10502</v>
      </c>
      <c r="I1612" t="s">
        <v>10503</v>
      </c>
      <c r="J1612" t="s">
        <v>10504</v>
      </c>
    </row>
    <row r="1613" spans="6:10">
      <c r="F1613" t="s">
        <v>10505</v>
      </c>
      <c r="G1613">
        <v>1610</v>
      </c>
      <c r="H1613" t="s">
        <v>5868</v>
      </c>
      <c r="I1613" t="s">
        <v>5870</v>
      </c>
      <c r="J1613" t="s">
        <v>10506</v>
      </c>
    </row>
    <row r="1614" spans="6:10">
      <c r="F1614" t="s">
        <v>10507</v>
      </c>
      <c r="G1614">
        <v>1611</v>
      </c>
      <c r="H1614" t="s">
        <v>2968</v>
      </c>
      <c r="I1614" t="s">
        <v>2969</v>
      </c>
      <c r="J1614" t="s">
        <v>10508</v>
      </c>
    </row>
    <row r="1615" spans="6:10">
      <c r="F1615" t="s">
        <v>10509</v>
      </c>
      <c r="G1615">
        <v>1612</v>
      </c>
      <c r="H1615" t="s">
        <v>6142</v>
      </c>
      <c r="I1615" t="s">
        <v>6143</v>
      </c>
      <c r="J1615" t="s">
        <v>10510</v>
      </c>
    </row>
    <row r="1616" spans="6:10">
      <c r="F1616" t="s">
        <v>10511</v>
      </c>
      <c r="G1616">
        <v>1613</v>
      </c>
      <c r="H1616" t="s">
        <v>1636</v>
      </c>
      <c r="I1616" t="s">
        <v>1639</v>
      </c>
      <c r="J1616" t="s">
        <v>10512</v>
      </c>
    </row>
    <row r="1617" spans="6:10">
      <c r="F1617" t="s">
        <v>10513</v>
      </c>
      <c r="G1617">
        <v>1614</v>
      </c>
      <c r="H1617" t="s">
        <v>10514</v>
      </c>
      <c r="I1617" t="s">
        <v>10515</v>
      </c>
      <c r="J1617" t="s">
        <v>10516</v>
      </c>
    </row>
    <row r="1618" spans="6:10">
      <c r="F1618" t="s">
        <v>10517</v>
      </c>
      <c r="G1618">
        <v>1615</v>
      </c>
      <c r="H1618" t="s">
        <v>2885</v>
      </c>
      <c r="I1618" t="s">
        <v>2886</v>
      </c>
      <c r="J1618" t="s">
        <v>10518</v>
      </c>
    </row>
    <row r="1619" spans="6:10">
      <c r="F1619" t="s">
        <v>10519</v>
      </c>
      <c r="G1619">
        <v>1616</v>
      </c>
      <c r="H1619" t="s">
        <v>6144</v>
      </c>
      <c r="I1619" t="s">
        <v>6145</v>
      </c>
      <c r="J1619" t="s">
        <v>10520</v>
      </c>
    </row>
    <row r="1620" spans="6:10">
      <c r="F1620" t="s">
        <v>10521</v>
      </c>
      <c r="G1620">
        <v>1617</v>
      </c>
      <c r="H1620" t="s">
        <v>5914</v>
      </c>
      <c r="I1620" t="s">
        <v>5914</v>
      </c>
      <c r="J1620" t="s">
        <v>10522</v>
      </c>
    </row>
    <row r="1621" spans="6:10">
      <c r="F1621" t="s">
        <v>10523</v>
      </c>
      <c r="G1621">
        <v>1618</v>
      </c>
      <c r="H1621" t="s">
        <v>4325</v>
      </c>
      <c r="I1621" t="s">
        <v>4326</v>
      </c>
      <c r="J1621" t="s">
        <v>10524</v>
      </c>
    </row>
    <row r="1622" spans="6:10">
      <c r="F1622" t="s">
        <v>10525</v>
      </c>
      <c r="G1622">
        <v>1619</v>
      </c>
      <c r="H1622" t="s">
        <v>10526</v>
      </c>
      <c r="I1622" t="s">
        <v>10527</v>
      </c>
      <c r="J1622" t="s">
        <v>10528</v>
      </c>
    </row>
    <row r="1623" spans="6:10">
      <c r="F1623" t="s">
        <v>10529</v>
      </c>
      <c r="G1623">
        <v>1620</v>
      </c>
      <c r="H1623" t="s">
        <v>3546</v>
      </c>
      <c r="I1623" t="s">
        <v>3547</v>
      </c>
      <c r="J1623" t="s">
        <v>10530</v>
      </c>
    </row>
    <row r="1624" spans="6:10">
      <c r="F1624" t="s">
        <v>10531</v>
      </c>
      <c r="G1624">
        <v>1621</v>
      </c>
      <c r="H1624" t="s">
        <v>4505</v>
      </c>
      <c r="I1624" t="s">
        <v>4506</v>
      </c>
      <c r="J1624" t="s">
        <v>10532</v>
      </c>
    </row>
    <row r="1625" spans="6:10">
      <c r="F1625" t="s">
        <v>10533</v>
      </c>
      <c r="G1625">
        <v>1622</v>
      </c>
      <c r="H1625" t="s">
        <v>10534</v>
      </c>
      <c r="I1625" t="s">
        <v>10535</v>
      </c>
      <c r="J1625" t="s">
        <v>10536</v>
      </c>
    </row>
    <row r="1626" spans="6:10">
      <c r="F1626" t="s">
        <v>10537</v>
      </c>
      <c r="G1626">
        <v>1623</v>
      </c>
      <c r="H1626" t="s">
        <v>2048</v>
      </c>
      <c r="I1626" t="s">
        <v>2049</v>
      </c>
      <c r="J1626" t="s">
        <v>10538</v>
      </c>
    </row>
    <row r="1627" spans="6:10">
      <c r="F1627" t="s">
        <v>10539</v>
      </c>
      <c r="G1627">
        <v>1624</v>
      </c>
      <c r="H1627" t="s">
        <v>5241</v>
      </c>
      <c r="I1627" t="s">
        <v>5242</v>
      </c>
      <c r="J1627" t="s">
        <v>10540</v>
      </c>
    </row>
    <row r="1628" spans="6:10">
      <c r="F1628" t="s">
        <v>10541</v>
      </c>
      <c r="G1628">
        <v>1625</v>
      </c>
      <c r="H1628" t="s">
        <v>5219</v>
      </c>
      <c r="I1628" t="s">
        <v>5220</v>
      </c>
      <c r="J1628" t="s">
        <v>10542</v>
      </c>
    </row>
    <row r="1629" spans="6:10">
      <c r="F1629" t="s">
        <v>10543</v>
      </c>
      <c r="G1629">
        <v>1626</v>
      </c>
      <c r="H1629" t="s">
        <v>300</v>
      </c>
      <c r="I1629" t="s">
        <v>301</v>
      </c>
      <c r="J1629" t="s">
        <v>10544</v>
      </c>
    </row>
    <row r="1630" spans="6:10">
      <c r="F1630" t="s">
        <v>10545</v>
      </c>
      <c r="G1630">
        <v>1627</v>
      </c>
      <c r="H1630" t="s">
        <v>6140</v>
      </c>
      <c r="I1630" t="s">
        <v>6141</v>
      </c>
      <c r="J1630" t="s">
        <v>10546</v>
      </c>
    </row>
    <row r="1631" spans="6:10">
      <c r="F1631" t="s">
        <v>10547</v>
      </c>
      <c r="G1631">
        <v>1628</v>
      </c>
      <c r="H1631" t="s">
        <v>2226</v>
      </c>
      <c r="I1631" t="s">
        <v>2227</v>
      </c>
      <c r="J1631" t="s">
        <v>10548</v>
      </c>
    </row>
    <row r="1632" spans="6:10">
      <c r="F1632" t="s">
        <v>10549</v>
      </c>
      <c r="G1632">
        <v>1629</v>
      </c>
      <c r="H1632" t="s">
        <v>10550</v>
      </c>
      <c r="I1632" t="s">
        <v>10551</v>
      </c>
      <c r="J1632" t="s">
        <v>10552</v>
      </c>
    </row>
    <row r="1633" spans="6:10">
      <c r="F1633" t="s">
        <v>10553</v>
      </c>
      <c r="G1633">
        <v>1630</v>
      </c>
      <c r="H1633" t="s">
        <v>542</v>
      </c>
      <c r="I1633" t="s">
        <v>543</v>
      </c>
      <c r="J1633" t="s">
        <v>10554</v>
      </c>
    </row>
    <row r="1634" spans="6:10">
      <c r="F1634" t="s">
        <v>10555</v>
      </c>
      <c r="G1634">
        <v>1631</v>
      </c>
      <c r="H1634" t="s">
        <v>1303</v>
      </c>
      <c r="I1634" t="s">
        <v>1304</v>
      </c>
      <c r="J1634" t="s">
        <v>10556</v>
      </c>
    </row>
    <row r="1635" spans="6:10">
      <c r="F1635" t="s">
        <v>10557</v>
      </c>
      <c r="G1635">
        <v>1632</v>
      </c>
      <c r="H1635" t="s">
        <v>10558</v>
      </c>
      <c r="I1635" t="s">
        <v>10559</v>
      </c>
      <c r="J1635" t="s">
        <v>10560</v>
      </c>
    </row>
    <row r="1636" spans="6:10">
      <c r="F1636" t="s">
        <v>10561</v>
      </c>
      <c r="G1636">
        <v>1633</v>
      </c>
      <c r="H1636" t="s">
        <v>10562</v>
      </c>
      <c r="I1636" t="s">
        <v>10563</v>
      </c>
      <c r="J1636" t="s">
        <v>10564</v>
      </c>
    </row>
    <row r="1637" spans="6:10">
      <c r="F1637" t="s">
        <v>10565</v>
      </c>
      <c r="G1637">
        <v>1634</v>
      </c>
      <c r="H1637" t="s">
        <v>4395</v>
      </c>
      <c r="I1637" t="s">
        <v>4396</v>
      </c>
      <c r="J1637" t="s">
        <v>10566</v>
      </c>
    </row>
    <row r="1638" spans="6:10">
      <c r="F1638" t="s">
        <v>10567</v>
      </c>
      <c r="G1638">
        <v>1635</v>
      </c>
      <c r="H1638" t="s">
        <v>2153</v>
      </c>
      <c r="I1638" t="s">
        <v>2154</v>
      </c>
      <c r="J1638" t="s">
        <v>10568</v>
      </c>
    </row>
    <row r="1639" spans="6:10">
      <c r="F1639" t="s">
        <v>10569</v>
      </c>
      <c r="G1639">
        <v>1636</v>
      </c>
      <c r="H1639" t="s">
        <v>10570</v>
      </c>
      <c r="I1639" t="s">
        <v>10571</v>
      </c>
      <c r="J1639" t="s">
        <v>10572</v>
      </c>
    </row>
    <row r="1640" spans="6:10">
      <c r="F1640" t="s">
        <v>10573</v>
      </c>
      <c r="G1640">
        <v>1637</v>
      </c>
      <c r="H1640" t="s">
        <v>6084</v>
      </c>
      <c r="I1640" t="s">
        <v>6085</v>
      </c>
      <c r="J1640" t="s">
        <v>10574</v>
      </c>
    </row>
    <row r="1641" spans="6:10">
      <c r="F1641" t="s">
        <v>10575</v>
      </c>
      <c r="G1641">
        <v>1638</v>
      </c>
      <c r="H1641" t="s">
        <v>10576</v>
      </c>
      <c r="I1641" t="s">
        <v>10577</v>
      </c>
      <c r="J1641" t="s">
        <v>10578</v>
      </c>
    </row>
    <row r="1642" spans="6:10">
      <c r="F1642" t="s">
        <v>10579</v>
      </c>
      <c r="G1642">
        <v>1639</v>
      </c>
      <c r="H1642" t="s">
        <v>5887</v>
      </c>
      <c r="I1642" t="s">
        <v>5888</v>
      </c>
      <c r="J1642" t="s">
        <v>10580</v>
      </c>
    </row>
    <row r="1643" spans="6:10">
      <c r="F1643" t="s">
        <v>10581</v>
      </c>
      <c r="G1643">
        <v>1640</v>
      </c>
      <c r="H1643" t="s">
        <v>1466</v>
      </c>
      <c r="I1643" t="s">
        <v>1467</v>
      </c>
      <c r="J1643" t="s">
        <v>10582</v>
      </c>
    </row>
    <row r="1644" spans="6:10">
      <c r="F1644" t="s">
        <v>10583</v>
      </c>
      <c r="G1644">
        <v>1641</v>
      </c>
      <c r="H1644" t="s">
        <v>3560</v>
      </c>
      <c r="I1644" t="s">
        <v>3561</v>
      </c>
      <c r="J1644" t="s">
        <v>10584</v>
      </c>
    </row>
    <row r="1645" spans="6:10">
      <c r="F1645" t="s">
        <v>10585</v>
      </c>
      <c r="G1645">
        <v>1642</v>
      </c>
      <c r="H1645" t="s">
        <v>732</v>
      </c>
      <c r="I1645" t="s">
        <v>733</v>
      </c>
      <c r="J1645" t="s">
        <v>10586</v>
      </c>
    </row>
    <row r="1646" spans="6:10">
      <c r="F1646" t="s">
        <v>10587</v>
      </c>
      <c r="G1646">
        <v>1643</v>
      </c>
      <c r="H1646" t="s">
        <v>10588</v>
      </c>
      <c r="I1646" t="s">
        <v>10589</v>
      </c>
      <c r="J1646" t="s">
        <v>10590</v>
      </c>
    </row>
    <row r="1647" spans="6:10">
      <c r="F1647" t="s">
        <v>10591</v>
      </c>
      <c r="G1647">
        <v>1644</v>
      </c>
      <c r="H1647" t="s">
        <v>4129</v>
      </c>
      <c r="I1647" t="s">
        <v>4130</v>
      </c>
      <c r="J1647" t="s">
        <v>10592</v>
      </c>
    </row>
    <row r="1648" spans="6:10">
      <c r="F1648" t="s">
        <v>10593</v>
      </c>
      <c r="G1648">
        <v>1645</v>
      </c>
      <c r="H1648" t="s">
        <v>4443</v>
      </c>
      <c r="I1648" t="s">
        <v>4444</v>
      </c>
      <c r="J1648" t="s">
        <v>10594</v>
      </c>
    </row>
    <row r="1649" spans="6:10">
      <c r="F1649" t="s">
        <v>10595</v>
      </c>
      <c r="G1649">
        <v>1646</v>
      </c>
      <c r="H1649" t="s">
        <v>4525</v>
      </c>
      <c r="I1649" t="s">
        <v>4526</v>
      </c>
      <c r="J1649" t="s">
        <v>10596</v>
      </c>
    </row>
    <row r="1650" spans="6:10">
      <c r="F1650" t="s">
        <v>10597</v>
      </c>
      <c r="G1650">
        <v>1647</v>
      </c>
      <c r="H1650" t="s">
        <v>134</v>
      </c>
      <c r="I1650" t="s">
        <v>135</v>
      </c>
      <c r="J1650" t="s">
        <v>10598</v>
      </c>
    </row>
    <row r="1651" spans="6:10">
      <c r="F1651" t="s">
        <v>10599</v>
      </c>
      <c r="G1651">
        <v>1648</v>
      </c>
      <c r="H1651" t="s">
        <v>10600</v>
      </c>
      <c r="I1651" t="s">
        <v>10601</v>
      </c>
      <c r="J1651" t="s">
        <v>10602</v>
      </c>
    </row>
    <row r="1652" spans="6:10">
      <c r="F1652" t="s">
        <v>10603</v>
      </c>
      <c r="G1652">
        <v>1649</v>
      </c>
      <c r="H1652" t="s">
        <v>5209</v>
      </c>
      <c r="I1652" t="s">
        <v>5210</v>
      </c>
      <c r="J1652" t="s">
        <v>10604</v>
      </c>
    </row>
    <row r="1653" spans="6:10">
      <c r="F1653" t="s">
        <v>10605</v>
      </c>
      <c r="G1653">
        <v>1650</v>
      </c>
      <c r="H1653" t="s">
        <v>10606</v>
      </c>
      <c r="I1653" t="s">
        <v>10438</v>
      </c>
      <c r="J1653" t="s">
        <v>10607</v>
      </c>
    </row>
    <row r="1654" spans="6:10">
      <c r="F1654" t="s">
        <v>10608</v>
      </c>
      <c r="G1654">
        <v>1651</v>
      </c>
      <c r="H1654" t="s">
        <v>3379</v>
      </c>
      <c r="I1654" t="s">
        <v>3380</v>
      </c>
      <c r="J1654" t="s">
        <v>10609</v>
      </c>
    </row>
    <row r="1655" spans="6:10">
      <c r="F1655" t="s">
        <v>10610</v>
      </c>
      <c r="G1655">
        <v>1652</v>
      </c>
      <c r="H1655" t="s">
        <v>2467</v>
      </c>
      <c r="I1655" t="s">
        <v>2468</v>
      </c>
      <c r="J1655" t="s">
        <v>10611</v>
      </c>
    </row>
    <row r="1656" spans="6:10">
      <c r="F1656" t="s">
        <v>10612</v>
      </c>
      <c r="G1656">
        <v>1653</v>
      </c>
      <c r="H1656" t="s">
        <v>1740</v>
      </c>
      <c r="I1656" t="s">
        <v>1741</v>
      </c>
      <c r="J1656" t="s">
        <v>10613</v>
      </c>
    </row>
    <row r="1657" spans="6:10">
      <c r="F1657" t="s">
        <v>10614</v>
      </c>
      <c r="G1657">
        <v>1654</v>
      </c>
      <c r="H1657" t="s">
        <v>4800</v>
      </c>
      <c r="I1657" t="s">
        <v>4801</v>
      </c>
      <c r="J1657" t="s">
        <v>10615</v>
      </c>
    </row>
    <row r="1658" spans="6:10">
      <c r="F1658" t="s">
        <v>10616</v>
      </c>
      <c r="G1658">
        <v>1655</v>
      </c>
      <c r="H1658" t="s">
        <v>1997</v>
      </c>
      <c r="I1658" t="s">
        <v>1998</v>
      </c>
      <c r="J1658" t="s">
        <v>10617</v>
      </c>
    </row>
    <row r="1659" spans="6:10">
      <c r="F1659" t="s">
        <v>10618</v>
      </c>
      <c r="G1659">
        <v>1656</v>
      </c>
      <c r="H1659" t="s">
        <v>5866</v>
      </c>
      <c r="I1659" t="s">
        <v>5867</v>
      </c>
      <c r="J1659" t="s">
        <v>10619</v>
      </c>
    </row>
    <row r="1660" spans="6:10">
      <c r="F1660" t="s">
        <v>10620</v>
      </c>
      <c r="G1660">
        <v>1657</v>
      </c>
      <c r="H1660" t="s">
        <v>10621</v>
      </c>
      <c r="I1660" t="s">
        <v>10622</v>
      </c>
      <c r="J1660" t="s">
        <v>10623</v>
      </c>
    </row>
    <row r="1661" spans="6:10">
      <c r="F1661" t="s">
        <v>10624</v>
      </c>
      <c r="G1661">
        <v>1658</v>
      </c>
      <c r="H1661" t="s">
        <v>10625</v>
      </c>
      <c r="I1661" t="s">
        <v>10626</v>
      </c>
      <c r="J1661" t="s">
        <v>10627</v>
      </c>
    </row>
    <row r="1662" spans="6:10">
      <c r="F1662" t="s">
        <v>10628</v>
      </c>
      <c r="G1662">
        <v>1659</v>
      </c>
      <c r="H1662" t="s">
        <v>5978</v>
      </c>
      <c r="I1662" t="s">
        <v>5979</v>
      </c>
      <c r="J1662" t="s">
        <v>10629</v>
      </c>
    </row>
    <row r="1663" spans="6:10">
      <c r="F1663" t="s">
        <v>10630</v>
      </c>
      <c r="G1663">
        <v>1660</v>
      </c>
      <c r="H1663" t="s">
        <v>847</v>
      </c>
      <c r="I1663" t="s">
        <v>848</v>
      </c>
      <c r="J1663" t="s">
        <v>10631</v>
      </c>
    </row>
    <row r="1664" spans="6:10">
      <c r="F1664" t="s">
        <v>10632</v>
      </c>
      <c r="G1664">
        <v>1661</v>
      </c>
      <c r="H1664" t="s">
        <v>310</v>
      </c>
      <c r="I1664" t="s">
        <v>311</v>
      </c>
      <c r="J1664" t="s">
        <v>10633</v>
      </c>
    </row>
    <row r="1665" spans="6:10">
      <c r="F1665" t="s">
        <v>10634</v>
      </c>
      <c r="G1665">
        <v>1662</v>
      </c>
      <c r="H1665" t="s">
        <v>4996</v>
      </c>
      <c r="I1665" t="s">
        <v>4997</v>
      </c>
      <c r="J1665" t="s">
        <v>10635</v>
      </c>
    </row>
    <row r="1666" spans="6:10">
      <c r="F1666" t="s">
        <v>10636</v>
      </c>
      <c r="G1666">
        <v>1663</v>
      </c>
      <c r="H1666" t="s">
        <v>5431</v>
      </c>
      <c r="I1666" t="s">
        <v>5432</v>
      </c>
      <c r="J1666" t="s">
        <v>10637</v>
      </c>
    </row>
    <row r="1667" spans="6:10">
      <c r="F1667" t="s">
        <v>10638</v>
      </c>
      <c r="G1667">
        <v>1664</v>
      </c>
      <c r="H1667" t="s">
        <v>548</v>
      </c>
      <c r="I1667" t="s">
        <v>572</v>
      </c>
      <c r="J1667" t="s">
        <v>10639</v>
      </c>
    </row>
    <row r="1668" spans="6:10">
      <c r="F1668" t="s">
        <v>10640</v>
      </c>
      <c r="G1668">
        <v>1665</v>
      </c>
      <c r="H1668" t="s">
        <v>10641</v>
      </c>
      <c r="I1668" t="s">
        <v>10642</v>
      </c>
      <c r="J1668" t="s">
        <v>10643</v>
      </c>
    </row>
    <row r="1669" spans="6:10">
      <c r="F1669" t="s">
        <v>10644</v>
      </c>
      <c r="G1669">
        <v>1666</v>
      </c>
      <c r="H1669" t="s">
        <v>6121</v>
      </c>
      <c r="I1669" t="s">
        <v>6122</v>
      </c>
      <c r="J1669" t="s">
        <v>10645</v>
      </c>
    </row>
    <row r="1670" spans="6:10">
      <c r="F1670" t="s">
        <v>10646</v>
      </c>
      <c r="G1670">
        <v>1667</v>
      </c>
      <c r="H1670" t="s">
        <v>482</v>
      </c>
      <c r="I1670" t="s">
        <v>483</v>
      </c>
      <c r="J1670" t="s">
        <v>10647</v>
      </c>
    </row>
    <row r="1671" spans="6:10">
      <c r="F1671" t="s">
        <v>10648</v>
      </c>
      <c r="G1671">
        <v>1668</v>
      </c>
      <c r="H1671" t="s">
        <v>3554</v>
      </c>
      <c r="I1671" t="s">
        <v>3555</v>
      </c>
      <c r="J1671" t="s">
        <v>10649</v>
      </c>
    </row>
    <row r="1672" spans="6:10">
      <c r="F1672" t="s">
        <v>10650</v>
      </c>
      <c r="G1672">
        <v>1669</v>
      </c>
      <c r="H1672" t="s">
        <v>356</v>
      </c>
      <c r="I1672" t="s">
        <v>357</v>
      </c>
      <c r="J1672" t="s">
        <v>10651</v>
      </c>
    </row>
    <row r="1673" spans="6:10">
      <c r="F1673" t="s">
        <v>10652</v>
      </c>
      <c r="G1673">
        <v>1670</v>
      </c>
      <c r="H1673" t="s">
        <v>467</v>
      </c>
      <c r="I1673" t="s">
        <v>468</v>
      </c>
      <c r="J1673" t="s">
        <v>10653</v>
      </c>
    </row>
    <row r="1674" spans="6:10">
      <c r="F1674" t="s">
        <v>10654</v>
      </c>
      <c r="G1674">
        <v>1671</v>
      </c>
      <c r="H1674" t="s">
        <v>3508</v>
      </c>
      <c r="I1674" t="s">
        <v>3509</v>
      </c>
      <c r="J1674" t="s">
        <v>10655</v>
      </c>
    </row>
    <row r="1675" spans="6:10">
      <c r="F1675" t="s">
        <v>10656</v>
      </c>
      <c r="G1675">
        <v>1672</v>
      </c>
      <c r="H1675" t="s">
        <v>744</v>
      </c>
      <c r="I1675" t="s">
        <v>747</v>
      </c>
      <c r="J1675" t="s">
        <v>10657</v>
      </c>
    </row>
    <row r="1676" spans="6:10">
      <c r="F1676" t="s">
        <v>10658</v>
      </c>
      <c r="G1676">
        <v>1673</v>
      </c>
      <c r="H1676" t="s">
        <v>5588</v>
      </c>
      <c r="I1676" t="s">
        <v>5589</v>
      </c>
      <c r="J1676" t="s">
        <v>10659</v>
      </c>
    </row>
    <row r="1677" spans="6:10">
      <c r="F1677" t="s">
        <v>10660</v>
      </c>
      <c r="G1677">
        <v>1674</v>
      </c>
      <c r="H1677" t="s">
        <v>10661</v>
      </c>
      <c r="I1677" t="s">
        <v>10662</v>
      </c>
      <c r="J1677" t="s">
        <v>10663</v>
      </c>
    </row>
    <row r="1678" spans="6:10">
      <c r="F1678" t="s">
        <v>10664</v>
      </c>
      <c r="G1678">
        <v>1675</v>
      </c>
      <c r="H1678" t="s">
        <v>10665</v>
      </c>
      <c r="I1678" t="s">
        <v>10665</v>
      </c>
      <c r="J1678" t="s">
        <v>10666</v>
      </c>
    </row>
    <row r="1679" spans="6:10">
      <c r="F1679" t="s">
        <v>10667</v>
      </c>
      <c r="G1679">
        <v>1676</v>
      </c>
      <c r="H1679" t="s">
        <v>1689</v>
      </c>
      <c r="I1679" t="s">
        <v>1690</v>
      </c>
      <c r="J1679" t="s">
        <v>10668</v>
      </c>
    </row>
    <row r="1680" spans="6:10">
      <c r="F1680" t="s">
        <v>10669</v>
      </c>
      <c r="G1680">
        <v>1677</v>
      </c>
      <c r="H1680" t="s">
        <v>6017</v>
      </c>
      <c r="I1680" t="s">
        <v>6017</v>
      </c>
      <c r="J1680" t="s">
        <v>10670</v>
      </c>
    </row>
    <row r="1681" spans="6:10">
      <c r="F1681" t="s">
        <v>10671</v>
      </c>
      <c r="G1681">
        <v>1678</v>
      </c>
      <c r="H1681" t="s">
        <v>10672</v>
      </c>
      <c r="I1681" t="s">
        <v>10673</v>
      </c>
      <c r="J1681" t="s">
        <v>10674</v>
      </c>
    </row>
    <row r="1682" spans="6:10">
      <c r="F1682" t="s">
        <v>10675</v>
      </c>
      <c r="G1682">
        <v>1679</v>
      </c>
      <c r="H1682" t="s">
        <v>10676</v>
      </c>
      <c r="I1682" t="s">
        <v>10677</v>
      </c>
      <c r="J1682" t="s">
        <v>10678</v>
      </c>
    </row>
    <row r="1683" spans="6:10">
      <c r="F1683" t="s">
        <v>10679</v>
      </c>
      <c r="G1683">
        <v>1680</v>
      </c>
      <c r="H1683" t="s">
        <v>3640</v>
      </c>
      <c r="I1683" t="s">
        <v>3641</v>
      </c>
      <c r="J1683" t="s">
        <v>10680</v>
      </c>
    </row>
    <row r="1684" spans="6:10">
      <c r="F1684" t="s">
        <v>10681</v>
      </c>
      <c r="G1684">
        <v>1681</v>
      </c>
      <c r="H1684" t="s">
        <v>1397</v>
      </c>
      <c r="I1684" t="s">
        <v>1398</v>
      </c>
      <c r="J1684" t="s">
        <v>10682</v>
      </c>
    </row>
    <row r="1685" spans="6:10">
      <c r="F1685" t="s">
        <v>10683</v>
      </c>
      <c r="G1685">
        <v>1682</v>
      </c>
      <c r="H1685" t="s">
        <v>10684</v>
      </c>
      <c r="I1685" t="s">
        <v>7327</v>
      </c>
      <c r="J1685" t="s">
        <v>10685</v>
      </c>
    </row>
    <row r="1686" spans="6:10">
      <c r="F1686" t="s">
        <v>10686</v>
      </c>
      <c r="G1686">
        <v>1683</v>
      </c>
      <c r="H1686" t="s">
        <v>5177</v>
      </c>
      <c r="I1686" t="s">
        <v>5178</v>
      </c>
      <c r="J1686" t="s">
        <v>10687</v>
      </c>
    </row>
    <row r="1687" spans="6:10">
      <c r="F1687" t="s">
        <v>10688</v>
      </c>
      <c r="G1687">
        <v>1684</v>
      </c>
      <c r="H1687" t="s">
        <v>4272</v>
      </c>
      <c r="I1687" t="s">
        <v>4273</v>
      </c>
      <c r="J1687" t="s">
        <v>10689</v>
      </c>
    </row>
    <row r="1688" spans="6:10">
      <c r="F1688" t="s">
        <v>10690</v>
      </c>
      <c r="G1688">
        <v>1685</v>
      </c>
      <c r="H1688" t="s">
        <v>3348</v>
      </c>
      <c r="I1688" t="s">
        <v>3349</v>
      </c>
      <c r="J1688" t="s">
        <v>10691</v>
      </c>
    </row>
    <row r="1689" spans="6:10">
      <c r="F1689" t="s">
        <v>10692</v>
      </c>
      <c r="G1689">
        <v>1686</v>
      </c>
      <c r="H1689" t="s">
        <v>3589</v>
      </c>
      <c r="I1689" t="s">
        <v>3590</v>
      </c>
      <c r="J1689" t="s">
        <v>10693</v>
      </c>
    </row>
    <row r="1690" spans="6:10">
      <c r="F1690" t="s">
        <v>10694</v>
      </c>
      <c r="G1690">
        <v>1687</v>
      </c>
      <c r="H1690" t="s">
        <v>10695</v>
      </c>
      <c r="I1690" t="s">
        <v>10696</v>
      </c>
      <c r="J1690" t="s">
        <v>10697</v>
      </c>
    </row>
    <row r="1691" spans="6:10">
      <c r="F1691" t="s">
        <v>10698</v>
      </c>
      <c r="G1691">
        <v>1688</v>
      </c>
      <c r="H1691" t="s">
        <v>3720</v>
      </c>
      <c r="I1691" t="s">
        <v>3721</v>
      </c>
      <c r="J1691" t="s">
        <v>10699</v>
      </c>
    </row>
    <row r="1692" spans="6:10">
      <c r="F1692" t="s">
        <v>10700</v>
      </c>
      <c r="G1692">
        <v>1689</v>
      </c>
      <c r="H1692" t="s">
        <v>2654</v>
      </c>
      <c r="I1692" t="s">
        <v>2655</v>
      </c>
      <c r="J1692" t="s">
        <v>10701</v>
      </c>
    </row>
    <row r="1693" spans="6:10">
      <c r="F1693" t="s">
        <v>10702</v>
      </c>
      <c r="G1693">
        <v>1690</v>
      </c>
      <c r="H1693" t="s">
        <v>2758</v>
      </c>
      <c r="I1693" t="s">
        <v>2759</v>
      </c>
      <c r="J1693" t="s">
        <v>10703</v>
      </c>
    </row>
    <row r="1694" spans="6:10">
      <c r="F1694" t="s">
        <v>10704</v>
      </c>
      <c r="G1694">
        <v>1691</v>
      </c>
      <c r="H1694" t="s">
        <v>10705</v>
      </c>
      <c r="I1694" t="s">
        <v>10705</v>
      </c>
      <c r="J1694" t="s">
        <v>10706</v>
      </c>
    </row>
    <row r="1695" spans="6:10">
      <c r="F1695" t="s">
        <v>10707</v>
      </c>
      <c r="G1695">
        <v>1692</v>
      </c>
      <c r="H1695" t="s">
        <v>6154</v>
      </c>
      <c r="I1695" t="s">
        <v>6155</v>
      </c>
      <c r="J1695" t="s">
        <v>10708</v>
      </c>
    </row>
    <row r="1696" spans="6:10">
      <c r="F1696" t="s">
        <v>10709</v>
      </c>
      <c r="G1696">
        <v>1693</v>
      </c>
      <c r="H1696" t="s">
        <v>2408</v>
      </c>
      <c r="I1696" t="s">
        <v>2409</v>
      </c>
      <c r="J1696" t="s">
        <v>10710</v>
      </c>
    </row>
    <row r="1697" spans="6:10">
      <c r="F1697" t="s">
        <v>10711</v>
      </c>
      <c r="G1697">
        <v>1694</v>
      </c>
      <c r="H1697" t="s">
        <v>396</v>
      </c>
      <c r="I1697" t="s">
        <v>397</v>
      </c>
      <c r="J1697" t="s">
        <v>10712</v>
      </c>
    </row>
    <row r="1698" spans="6:10">
      <c r="F1698" t="s">
        <v>10713</v>
      </c>
      <c r="G1698">
        <v>1695</v>
      </c>
      <c r="H1698" t="s">
        <v>944</v>
      </c>
      <c r="I1698" t="s">
        <v>945</v>
      </c>
      <c r="J1698" t="s">
        <v>10714</v>
      </c>
    </row>
    <row r="1699" spans="6:10">
      <c r="F1699" t="s">
        <v>10715</v>
      </c>
      <c r="G1699">
        <v>1696</v>
      </c>
      <c r="H1699" t="s">
        <v>2812</v>
      </c>
      <c r="I1699" t="s">
        <v>2813</v>
      </c>
      <c r="J1699" t="s">
        <v>10716</v>
      </c>
    </row>
    <row r="1700" spans="6:10">
      <c r="F1700" t="s">
        <v>10717</v>
      </c>
      <c r="G1700">
        <v>1697</v>
      </c>
      <c r="H1700" t="s">
        <v>5414</v>
      </c>
      <c r="I1700" t="s">
        <v>5415</v>
      </c>
      <c r="J1700" t="s">
        <v>10718</v>
      </c>
    </row>
    <row r="1701" spans="6:10">
      <c r="F1701" t="s">
        <v>10719</v>
      </c>
      <c r="G1701">
        <v>1698</v>
      </c>
      <c r="H1701" t="s">
        <v>1852</v>
      </c>
      <c r="I1701" t="s">
        <v>1853</v>
      </c>
      <c r="J1701" t="s">
        <v>10720</v>
      </c>
    </row>
    <row r="1702" spans="6:10">
      <c r="F1702" t="s">
        <v>10721</v>
      </c>
      <c r="G1702">
        <v>1699</v>
      </c>
      <c r="H1702" t="s">
        <v>2865</v>
      </c>
      <c r="I1702" t="s">
        <v>2866</v>
      </c>
      <c r="J1702" t="s">
        <v>10722</v>
      </c>
    </row>
    <row r="1703" spans="6:10">
      <c r="F1703" t="s">
        <v>10723</v>
      </c>
      <c r="G1703">
        <v>1700</v>
      </c>
      <c r="H1703" t="s">
        <v>512</v>
      </c>
      <c r="I1703" t="s">
        <v>513</v>
      </c>
      <c r="J1703" t="s">
        <v>10724</v>
      </c>
    </row>
    <row r="1704" spans="6:10">
      <c r="F1704" t="s">
        <v>10725</v>
      </c>
      <c r="G1704">
        <v>1701</v>
      </c>
      <c r="H1704" t="s">
        <v>3233</v>
      </c>
      <c r="I1704" t="s">
        <v>3234</v>
      </c>
      <c r="J1704" t="s">
        <v>10726</v>
      </c>
    </row>
    <row r="1705" spans="6:10">
      <c r="F1705" t="s">
        <v>10727</v>
      </c>
      <c r="G1705">
        <v>1702</v>
      </c>
      <c r="H1705" t="s">
        <v>10728</v>
      </c>
      <c r="I1705" t="s">
        <v>10729</v>
      </c>
      <c r="J1705" t="s">
        <v>10730</v>
      </c>
    </row>
    <row r="1706" spans="6:10">
      <c r="F1706" t="s">
        <v>10731</v>
      </c>
      <c r="G1706">
        <v>1703</v>
      </c>
      <c r="H1706" t="s">
        <v>10732</v>
      </c>
      <c r="I1706" t="s">
        <v>10733</v>
      </c>
      <c r="J1706" t="s">
        <v>10734</v>
      </c>
    </row>
    <row r="1707" spans="6:10">
      <c r="F1707" t="s">
        <v>10735</v>
      </c>
      <c r="G1707">
        <v>1704</v>
      </c>
      <c r="H1707" t="s">
        <v>1234</v>
      </c>
      <c r="I1707" t="s">
        <v>1235</v>
      </c>
      <c r="J1707" t="s">
        <v>10736</v>
      </c>
    </row>
    <row r="1708" spans="6:10">
      <c r="F1708" t="s">
        <v>10737</v>
      </c>
      <c r="G1708">
        <v>1705</v>
      </c>
      <c r="H1708" t="s">
        <v>679</v>
      </c>
      <c r="I1708" t="s">
        <v>680</v>
      </c>
      <c r="J1708" t="s">
        <v>10738</v>
      </c>
    </row>
    <row r="1709" spans="6:10">
      <c r="F1709" t="s">
        <v>10739</v>
      </c>
      <c r="G1709">
        <v>1706</v>
      </c>
      <c r="H1709" t="s">
        <v>10740</v>
      </c>
      <c r="I1709" t="s">
        <v>10741</v>
      </c>
      <c r="J1709" t="s">
        <v>10742</v>
      </c>
    </row>
    <row r="1710" spans="6:10">
      <c r="F1710" t="s">
        <v>10743</v>
      </c>
      <c r="G1710">
        <v>1707</v>
      </c>
      <c r="H1710" t="s">
        <v>1166</v>
      </c>
      <c r="I1710" t="s">
        <v>1167</v>
      </c>
      <c r="J1710" t="s">
        <v>10744</v>
      </c>
    </row>
    <row r="1711" spans="6:10">
      <c r="F1711" t="s">
        <v>10745</v>
      </c>
      <c r="G1711">
        <v>1708</v>
      </c>
      <c r="H1711" t="s">
        <v>839</v>
      </c>
      <c r="I1711" t="s">
        <v>840</v>
      </c>
      <c r="J1711" t="s">
        <v>10746</v>
      </c>
    </row>
    <row r="1712" spans="6:10">
      <c r="F1712" t="s">
        <v>10747</v>
      </c>
      <c r="G1712">
        <v>1709</v>
      </c>
      <c r="H1712" t="s">
        <v>837</v>
      </c>
      <c r="I1712" t="s">
        <v>838</v>
      </c>
      <c r="J1712" t="s">
        <v>10748</v>
      </c>
    </row>
    <row r="1713" spans="6:10">
      <c r="F1713" t="s">
        <v>10749</v>
      </c>
      <c r="G1713">
        <v>1710</v>
      </c>
      <c r="H1713" t="s">
        <v>10750</v>
      </c>
      <c r="I1713" t="s">
        <v>10751</v>
      </c>
      <c r="J1713" t="s">
        <v>10752</v>
      </c>
    </row>
    <row r="1714" spans="6:10">
      <c r="F1714" t="s">
        <v>10753</v>
      </c>
      <c r="G1714">
        <v>1711</v>
      </c>
      <c r="H1714" t="s">
        <v>1516</v>
      </c>
      <c r="I1714" t="s">
        <v>1517</v>
      </c>
      <c r="J1714" t="s">
        <v>10754</v>
      </c>
    </row>
    <row r="1715" spans="6:10">
      <c r="F1715" t="s">
        <v>10755</v>
      </c>
      <c r="G1715">
        <v>1712</v>
      </c>
      <c r="H1715" t="s">
        <v>1430</v>
      </c>
      <c r="I1715" t="s">
        <v>1431</v>
      </c>
      <c r="J1715" t="s">
        <v>10756</v>
      </c>
    </row>
    <row r="1716" spans="6:10">
      <c r="F1716" t="s">
        <v>10757</v>
      </c>
      <c r="G1716">
        <v>1713</v>
      </c>
      <c r="H1716" t="s">
        <v>3306</v>
      </c>
      <c r="I1716" t="s">
        <v>3307</v>
      </c>
      <c r="J1716" t="s">
        <v>10758</v>
      </c>
    </row>
    <row r="1717" spans="6:10">
      <c r="F1717" t="s">
        <v>10759</v>
      </c>
      <c r="G1717">
        <v>1714</v>
      </c>
      <c r="H1717" t="s">
        <v>2587</v>
      </c>
      <c r="I1717" t="s">
        <v>2588</v>
      </c>
      <c r="J1717" t="s">
        <v>10760</v>
      </c>
    </row>
    <row r="1718" spans="6:10">
      <c r="F1718" t="s">
        <v>10761</v>
      </c>
      <c r="G1718">
        <v>1715</v>
      </c>
      <c r="H1718" t="s">
        <v>5440</v>
      </c>
      <c r="I1718" t="s">
        <v>5441</v>
      </c>
      <c r="J1718" t="s">
        <v>10762</v>
      </c>
    </row>
    <row r="1719" spans="6:10">
      <c r="F1719" t="s">
        <v>10763</v>
      </c>
      <c r="G1719">
        <v>1716</v>
      </c>
      <c r="H1719" t="s">
        <v>10764</v>
      </c>
      <c r="I1719" t="s">
        <v>10764</v>
      </c>
      <c r="J1719" t="s">
        <v>10765</v>
      </c>
    </row>
    <row r="1720" spans="6:10">
      <c r="F1720" t="s">
        <v>10766</v>
      </c>
      <c r="G1720">
        <v>1717</v>
      </c>
      <c r="H1720" t="s">
        <v>835</v>
      </c>
      <c r="I1720" t="s">
        <v>836</v>
      </c>
      <c r="J1720" t="s">
        <v>10767</v>
      </c>
    </row>
    <row r="1721" spans="6:10">
      <c r="F1721" t="s">
        <v>10768</v>
      </c>
      <c r="G1721">
        <v>1718</v>
      </c>
      <c r="H1721" t="s">
        <v>548</v>
      </c>
      <c r="I1721" t="s">
        <v>573</v>
      </c>
      <c r="J1721" t="s">
        <v>10769</v>
      </c>
    </row>
    <row r="1722" spans="6:10">
      <c r="F1722" t="s">
        <v>10770</v>
      </c>
      <c r="G1722">
        <v>1719</v>
      </c>
      <c r="H1722" t="s">
        <v>2676</v>
      </c>
      <c r="I1722" t="s">
        <v>2677</v>
      </c>
      <c r="J1722" t="s">
        <v>10771</v>
      </c>
    </row>
    <row r="1723" spans="6:10">
      <c r="F1723" t="s">
        <v>10772</v>
      </c>
      <c r="G1723">
        <v>1720</v>
      </c>
      <c r="H1723" t="s">
        <v>5445</v>
      </c>
      <c r="I1723" t="s">
        <v>5446</v>
      </c>
      <c r="J1723" t="s">
        <v>10773</v>
      </c>
    </row>
    <row r="1724" spans="6:10">
      <c r="F1724" t="s">
        <v>10774</v>
      </c>
      <c r="G1724">
        <v>1721</v>
      </c>
      <c r="H1724" t="s">
        <v>10775</v>
      </c>
      <c r="I1724" t="s">
        <v>10776</v>
      </c>
      <c r="J1724" t="s">
        <v>10777</v>
      </c>
    </row>
    <row r="1725" spans="6:10">
      <c r="F1725" t="s">
        <v>10778</v>
      </c>
      <c r="G1725">
        <v>1722</v>
      </c>
      <c r="H1725" t="s">
        <v>6198</v>
      </c>
      <c r="I1725" t="s">
        <v>6199</v>
      </c>
      <c r="J1725" t="s">
        <v>10779</v>
      </c>
    </row>
    <row r="1726" spans="6:10">
      <c r="F1726" t="s">
        <v>10780</v>
      </c>
      <c r="G1726">
        <v>1723</v>
      </c>
      <c r="H1726" t="s">
        <v>2555</v>
      </c>
      <c r="I1726" t="s">
        <v>2556</v>
      </c>
      <c r="J1726" t="s">
        <v>10781</v>
      </c>
    </row>
    <row r="1727" spans="6:10">
      <c r="F1727" t="s">
        <v>10782</v>
      </c>
      <c r="G1727">
        <v>1724</v>
      </c>
      <c r="H1727" t="s">
        <v>2999</v>
      </c>
      <c r="I1727" t="s">
        <v>3000</v>
      </c>
      <c r="J1727" t="s">
        <v>10783</v>
      </c>
    </row>
    <row r="1728" spans="6:10">
      <c r="F1728" t="s">
        <v>10784</v>
      </c>
      <c r="G1728">
        <v>1725</v>
      </c>
      <c r="H1728" t="s">
        <v>2794</v>
      </c>
      <c r="I1728" t="s">
        <v>2794</v>
      </c>
      <c r="J1728" t="s">
        <v>10785</v>
      </c>
    </row>
    <row r="1729" spans="6:10">
      <c r="F1729" t="s">
        <v>10786</v>
      </c>
      <c r="G1729">
        <v>1726</v>
      </c>
      <c r="H1729" t="s">
        <v>3976</v>
      </c>
      <c r="I1729" t="s">
        <v>3977</v>
      </c>
      <c r="J1729" t="s">
        <v>10787</v>
      </c>
    </row>
    <row r="1730" spans="6:10">
      <c r="F1730" t="s">
        <v>10788</v>
      </c>
      <c r="G1730">
        <v>1727</v>
      </c>
      <c r="H1730" t="s">
        <v>2153</v>
      </c>
      <c r="I1730" t="s">
        <v>2154</v>
      </c>
      <c r="J1730" t="s">
        <v>10789</v>
      </c>
    </row>
    <row r="1731" spans="6:10">
      <c r="F1731" t="s">
        <v>10790</v>
      </c>
      <c r="G1731">
        <v>1728</v>
      </c>
      <c r="H1731" t="s">
        <v>2032</v>
      </c>
      <c r="I1731" t="s">
        <v>2033</v>
      </c>
      <c r="J1731" t="s">
        <v>10791</v>
      </c>
    </row>
    <row r="1732" spans="6:10">
      <c r="F1732" t="s">
        <v>10792</v>
      </c>
      <c r="G1732">
        <v>1729</v>
      </c>
      <c r="H1732" t="s">
        <v>2818</v>
      </c>
      <c r="I1732" t="s">
        <v>2826</v>
      </c>
      <c r="J1732" t="s">
        <v>10793</v>
      </c>
    </row>
    <row r="1733" spans="6:10">
      <c r="F1733" t="s">
        <v>10794</v>
      </c>
      <c r="G1733">
        <v>1730</v>
      </c>
      <c r="H1733" t="s">
        <v>10795</v>
      </c>
      <c r="I1733" t="s">
        <v>10796</v>
      </c>
      <c r="J1733" t="s">
        <v>10797</v>
      </c>
    </row>
    <row r="1734" spans="6:10">
      <c r="F1734" t="s">
        <v>10798</v>
      </c>
      <c r="G1734">
        <v>1731</v>
      </c>
      <c r="H1734" t="s">
        <v>10799</v>
      </c>
      <c r="I1734" t="s">
        <v>10800</v>
      </c>
      <c r="J1734" t="s">
        <v>10801</v>
      </c>
    </row>
    <row r="1735" spans="6:10">
      <c r="F1735" t="s">
        <v>10802</v>
      </c>
      <c r="G1735">
        <v>1732</v>
      </c>
      <c r="H1735" t="s">
        <v>3397</v>
      </c>
      <c r="I1735" t="s">
        <v>3398</v>
      </c>
      <c r="J1735" t="s">
        <v>10803</v>
      </c>
    </row>
    <row r="1736" spans="6:10">
      <c r="F1736" t="s">
        <v>10804</v>
      </c>
      <c r="G1736">
        <v>1733</v>
      </c>
      <c r="H1736" t="s">
        <v>3492</v>
      </c>
      <c r="I1736" t="s">
        <v>3493</v>
      </c>
      <c r="J1736" t="s">
        <v>10805</v>
      </c>
    </row>
    <row r="1737" spans="6:10">
      <c r="F1737" t="s">
        <v>10806</v>
      </c>
      <c r="G1737">
        <v>1734</v>
      </c>
      <c r="H1737" t="s">
        <v>5443</v>
      </c>
      <c r="I1737" t="s">
        <v>5444</v>
      </c>
      <c r="J1737" t="s">
        <v>10807</v>
      </c>
    </row>
    <row r="1738" spans="6:10">
      <c r="F1738" t="s">
        <v>10808</v>
      </c>
      <c r="G1738">
        <v>1735</v>
      </c>
      <c r="H1738" t="s">
        <v>5961</v>
      </c>
      <c r="I1738" t="s">
        <v>5962</v>
      </c>
      <c r="J1738" t="s">
        <v>10809</v>
      </c>
    </row>
    <row r="1739" spans="6:10">
      <c r="F1739" t="s">
        <v>10810</v>
      </c>
      <c r="G1739">
        <v>1736</v>
      </c>
      <c r="H1739" t="s">
        <v>6068</v>
      </c>
      <c r="I1739" t="s">
        <v>6069</v>
      </c>
      <c r="J1739" t="s">
        <v>10811</v>
      </c>
    </row>
    <row r="1740" spans="6:10">
      <c r="F1740" t="s">
        <v>10812</v>
      </c>
      <c r="G1740">
        <v>1737</v>
      </c>
      <c r="H1740" t="s">
        <v>10813</v>
      </c>
      <c r="I1740" t="s">
        <v>10814</v>
      </c>
      <c r="J1740" t="s">
        <v>10815</v>
      </c>
    </row>
    <row r="1741" spans="6:10">
      <c r="F1741" t="s">
        <v>10816</v>
      </c>
      <c r="G1741">
        <v>1738</v>
      </c>
      <c r="H1741" t="s">
        <v>6068</v>
      </c>
      <c r="I1741" t="s">
        <v>6069</v>
      </c>
      <c r="J1741" t="s">
        <v>10817</v>
      </c>
    </row>
    <row r="1742" spans="6:10">
      <c r="F1742" t="s">
        <v>10818</v>
      </c>
      <c r="G1742">
        <v>1739</v>
      </c>
      <c r="H1742" t="s">
        <v>2742</v>
      </c>
      <c r="I1742" t="s">
        <v>2743</v>
      </c>
      <c r="J1742" t="s">
        <v>10819</v>
      </c>
    </row>
    <row r="1743" spans="6:10">
      <c r="F1743" t="s">
        <v>10820</v>
      </c>
      <c r="G1743">
        <v>1740</v>
      </c>
      <c r="H1743" t="s">
        <v>1371</v>
      </c>
      <c r="I1743" t="s">
        <v>1372</v>
      </c>
      <c r="J1743" t="s">
        <v>10821</v>
      </c>
    </row>
    <row r="1744" spans="6:10">
      <c r="F1744" t="s">
        <v>10822</v>
      </c>
      <c r="G1744">
        <v>1741</v>
      </c>
      <c r="H1744" t="s">
        <v>4998</v>
      </c>
      <c r="I1744" t="s">
        <v>4997</v>
      </c>
      <c r="J1744" t="s">
        <v>10823</v>
      </c>
    </row>
    <row r="1745" spans="6:10">
      <c r="F1745" t="s">
        <v>10824</v>
      </c>
      <c r="G1745">
        <v>1742</v>
      </c>
      <c r="H1745" t="s">
        <v>2801</v>
      </c>
      <c r="I1745" t="s">
        <v>2802</v>
      </c>
      <c r="J1745" t="s">
        <v>10825</v>
      </c>
    </row>
    <row r="1746" spans="6:10">
      <c r="F1746" t="s">
        <v>10826</v>
      </c>
      <c r="G1746">
        <v>1743</v>
      </c>
      <c r="H1746" t="s">
        <v>10827</v>
      </c>
      <c r="I1746" t="s">
        <v>10828</v>
      </c>
      <c r="J1746" t="s">
        <v>10829</v>
      </c>
    </row>
    <row r="1747" spans="6:10">
      <c r="F1747" t="s">
        <v>10830</v>
      </c>
      <c r="G1747">
        <v>1744</v>
      </c>
      <c r="H1747" t="s">
        <v>4479</v>
      </c>
      <c r="I1747" t="s">
        <v>4480</v>
      </c>
      <c r="J1747" t="s">
        <v>10831</v>
      </c>
    </row>
    <row r="1748" spans="6:10">
      <c r="F1748" t="s">
        <v>10832</v>
      </c>
      <c r="G1748">
        <v>1745</v>
      </c>
      <c r="H1748" t="s">
        <v>2652</v>
      </c>
      <c r="I1748" t="s">
        <v>2653</v>
      </c>
      <c r="J1748" t="s">
        <v>10833</v>
      </c>
    </row>
    <row r="1749" spans="6:10">
      <c r="F1749" t="s">
        <v>10834</v>
      </c>
      <c r="G1749">
        <v>1746</v>
      </c>
      <c r="H1749" t="s">
        <v>4974</v>
      </c>
      <c r="I1749" t="s">
        <v>4975</v>
      </c>
      <c r="J1749" t="s">
        <v>10835</v>
      </c>
    </row>
    <row r="1750" spans="6:10">
      <c r="F1750" t="s">
        <v>10836</v>
      </c>
      <c r="G1750">
        <v>1747</v>
      </c>
      <c r="H1750" t="s">
        <v>10837</v>
      </c>
      <c r="I1750" t="s">
        <v>10838</v>
      </c>
      <c r="J1750" t="s">
        <v>10839</v>
      </c>
    </row>
    <row r="1751" spans="6:10">
      <c r="F1751" t="s">
        <v>10840</v>
      </c>
      <c r="G1751">
        <v>1748</v>
      </c>
      <c r="H1751" t="s">
        <v>4427</v>
      </c>
      <c r="I1751" t="s">
        <v>4429</v>
      </c>
      <c r="J1751" t="s">
        <v>10841</v>
      </c>
    </row>
    <row r="1752" spans="6:10">
      <c r="F1752" t="s">
        <v>10842</v>
      </c>
      <c r="G1752">
        <v>1749</v>
      </c>
      <c r="H1752" t="s">
        <v>149</v>
      </c>
      <c r="I1752" t="s">
        <v>150</v>
      </c>
      <c r="J1752" t="s">
        <v>10843</v>
      </c>
    </row>
    <row r="1753" spans="6:10">
      <c r="F1753" t="s">
        <v>10844</v>
      </c>
      <c r="G1753">
        <v>1750</v>
      </c>
      <c r="H1753" t="s">
        <v>149</v>
      </c>
      <c r="I1753" t="s">
        <v>151</v>
      </c>
      <c r="J1753" t="s">
        <v>10845</v>
      </c>
    </row>
    <row r="1754" spans="6:10">
      <c r="F1754" t="s">
        <v>10846</v>
      </c>
      <c r="G1754">
        <v>1751</v>
      </c>
      <c r="H1754" t="s">
        <v>10847</v>
      </c>
      <c r="I1754" t="s">
        <v>10848</v>
      </c>
      <c r="J1754" t="s">
        <v>10849</v>
      </c>
    </row>
    <row r="1755" spans="6:10">
      <c r="F1755" t="s">
        <v>10850</v>
      </c>
      <c r="G1755">
        <v>1752</v>
      </c>
      <c r="H1755" t="s">
        <v>6078</v>
      </c>
      <c r="I1755" t="s">
        <v>6079</v>
      </c>
      <c r="J1755" t="s">
        <v>10851</v>
      </c>
    </row>
    <row r="1756" spans="6:10">
      <c r="F1756" t="s">
        <v>10852</v>
      </c>
      <c r="G1756">
        <v>1753</v>
      </c>
      <c r="H1756" t="s">
        <v>5628</v>
      </c>
      <c r="I1756" t="s">
        <v>5629</v>
      </c>
      <c r="J1756" t="s">
        <v>10853</v>
      </c>
    </row>
    <row r="1757" spans="6:10">
      <c r="F1757" t="s">
        <v>10854</v>
      </c>
      <c r="G1757">
        <v>1754</v>
      </c>
      <c r="H1757" t="s">
        <v>10855</v>
      </c>
      <c r="I1757" t="s">
        <v>10856</v>
      </c>
      <c r="J1757" t="s">
        <v>10857</v>
      </c>
    </row>
    <row r="1758" spans="6:10">
      <c r="F1758" t="s">
        <v>10858</v>
      </c>
      <c r="G1758">
        <v>1755</v>
      </c>
      <c r="H1758" t="s">
        <v>10859</v>
      </c>
      <c r="I1758" t="s">
        <v>10860</v>
      </c>
      <c r="J1758" t="s">
        <v>10861</v>
      </c>
    </row>
    <row r="1759" spans="6:10">
      <c r="F1759" t="s">
        <v>10862</v>
      </c>
      <c r="G1759">
        <v>1756</v>
      </c>
      <c r="H1759" t="s">
        <v>4882</v>
      </c>
      <c r="I1759" t="s">
        <v>4883</v>
      </c>
      <c r="J1759" t="s">
        <v>10863</v>
      </c>
    </row>
    <row r="1760" spans="6:10">
      <c r="F1760" t="s">
        <v>10864</v>
      </c>
      <c r="G1760">
        <v>1757</v>
      </c>
      <c r="H1760" t="s">
        <v>5626</v>
      </c>
      <c r="I1760" t="s">
        <v>5627</v>
      </c>
      <c r="J1760" t="s">
        <v>10865</v>
      </c>
    </row>
    <row r="1761" spans="6:10">
      <c r="F1761" t="s">
        <v>10866</v>
      </c>
      <c r="G1761">
        <v>1758</v>
      </c>
      <c r="H1761" t="s">
        <v>10867</v>
      </c>
      <c r="I1761" t="s">
        <v>10868</v>
      </c>
      <c r="J1761" t="s">
        <v>10869</v>
      </c>
    </row>
    <row r="1762" spans="6:10">
      <c r="F1762" t="s">
        <v>10870</v>
      </c>
      <c r="G1762">
        <v>1759</v>
      </c>
      <c r="H1762" t="s">
        <v>467</v>
      </c>
      <c r="I1762" t="s">
        <v>469</v>
      </c>
      <c r="J1762" t="s">
        <v>10871</v>
      </c>
    </row>
    <row r="1763" spans="6:10">
      <c r="F1763" t="s">
        <v>10872</v>
      </c>
      <c r="G1763">
        <v>1760</v>
      </c>
      <c r="H1763" t="s">
        <v>110</v>
      </c>
      <c r="I1763" t="s">
        <v>111</v>
      </c>
      <c r="J1763" t="s">
        <v>10873</v>
      </c>
    </row>
    <row r="1764" spans="6:10">
      <c r="F1764" t="s">
        <v>10874</v>
      </c>
      <c r="G1764">
        <v>1761</v>
      </c>
      <c r="H1764" t="s">
        <v>10875</v>
      </c>
      <c r="I1764" t="s">
        <v>10876</v>
      </c>
      <c r="J1764" t="s">
        <v>10877</v>
      </c>
    </row>
    <row r="1765" spans="6:10">
      <c r="F1765" t="s">
        <v>10878</v>
      </c>
      <c r="G1765">
        <v>1762</v>
      </c>
      <c r="H1765" t="s">
        <v>4650</v>
      </c>
      <c r="I1765" t="s">
        <v>4651</v>
      </c>
      <c r="J1765" t="s">
        <v>10879</v>
      </c>
    </row>
    <row r="1766" spans="6:10">
      <c r="F1766" t="s">
        <v>10880</v>
      </c>
      <c r="G1766">
        <v>1763</v>
      </c>
      <c r="H1766" t="s">
        <v>10881</v>
      </c>
      <c r="I1766" t="s">
        <v>10882</v>
      </c>
      <c r="J1766" t="s">
        <v>10883</v>
      </c>
    </row>
    <row r="1767" spans="6:10">
      <c r="F1767" t="s">
        <v>10884</v>
      </c>
      <c r="G1767">
        <v>1764</v>
      </c>
      <c r="H1767" t="s">
        <v>4943</v>
      </c>
      <c r="I1767" t="s">
        <v>4944</v>
      </c>
      <c r="J1767" t="s">
        <v>10885</v>
      </c>
    </row>
    <row r="1768" spans="6:10">
      <c r="F1768" t="s">
        <v>10886</v>
      </c>
      <c r="G1768">
        <v>1765</v>
      </c>
      <c r="H1768" t="s">
        <v>2400</v>
      </c>
      <c r="I1768" t="s">
        <v>2401</v>
      </c>
      <c r="J1768" t="s">
        <v>10887</v>
      </c>
    </row>
    <row r="1769" spans="6:10">
      <c r="F1769" t="s">
        <v>10888</v>
      </c>
      <c r="G1769">
        <v>1766</v>
      </c>
      <c r="H1769" t="s">
        <v>4722</v>
      </c>
      <c r="I1769" t="s">
        <v>4723</v>
      </c>
      <c r="J1769" t="s">
        <v>10889</v>
      </c>
    </row>
    <row r="1770" spans="6:10">
      <c r="F1770" t="s">
        <v>10890</v>
      </c>
      <c r="G1770">
        <v>1767</v>
      </c>
      <c r="H1770" t="s">
        <v>10891</v>
      </c>
      <c r="I1770" t="s">
        <v>10892</v>
      </c>
      <c r="J1770" t="s">
        <v>10893</v>
      </c>
    </row>
    <row r="1771" spans="6:10">
      <c r="F1771" t="s">
        <v>10894</v>
      </c>
      <c r="G1771">
        <v>1768</v>
      </c>
      <c r="H1771" t="s">
        <v>10895</v>
      </c>
      <c r="I1771" t="s">
        <v>10896</v>
      </c>
      <c r="J1771" t="s">
        <v>10897</v>
      </c>
    </row>
    <row r="1772" spans="6:10">
      <c r="F1772" t="s">
        <v>10898</v>
      </c>
      <c r="G1772">
        <v>1769</v>
      </c>
      <c r="H1772" t="s">
        <v>4868</v>
      </c>
      <c r="I1772" t="s">
        <v>4869</v>
      </c>
      <c r="J1772" t="s">
        <v>10899</v>
      </c>
    </row>
    <row r="1773" spans="6:10">
      <c r="F1773" t="s">
        <v>10900</v>
      </c>
      <c r="G1773">
        <v>1770</v>
      </c>
      <c r="H1773" t="s">
        <v>5327</v>
      </c>
      <c r="I1773" t="s">
        <v>5328</v>
      </c>
      <c r="J1773" t="s">
        <v>10901</v>
      </c>
    </row>
    <row r="1774" spans="6:10">
      <c r="F1774" t="s">
        <v>10902</v>
      </c>
      <c r="G1774">
        <v>1771</v>
      </c>
      <c r="H1774" t="s">
        <v>10903</v>
      </c>
      <c r="I1774" t="s">
        <v>10904</v>
      </c>
      <c r="J1774" t="s">
        <v>10905</v>
      </c>
    </row>
    <row r="1775" spans="6:10">
      <c r="F1775" t="s">
        <v>10906</v>
      </c>
      <c r="G1775">
        <v>1772</v>
      </c>
      <c r="H1775" t="s">
        <v>4587</v>
      </c>
      <c r="I1775" t="s">
        <v>4588</v>
      </c>
      <c r="J1775" t="s">
        <v>10907</v>
      </c>
    </row>
    <row r="1776" spans="6:10">
      <c r="F1776" t="s">
        <v>10908</v>
      </c>
      <c r="G1776">
        <v>1773</v>
      </c>
      <c r="H1776" t="s">
        <v>2943</v>
      </c>
      <c r="I1776" t="s">
        <v>2944</v>
      </c>
      <c r="J1776" t="s">
        <v>10909</v>
      </c>
    </row>
    <row r="1777" spans="6:10">
      <c r="F1777" t="s">
        <v>10910</v>
      </c>
      <c r="G1777">
        <v>1774</v>
      </c>
      <c r="H1777" t="s">
        <v>10911</v>
      </c>
      <c r="I1777" t="s">
        <v>10912</v>
      </c>
      <c r="J1777" t="s">
        <v>10913</v>
      </c>
    </row>
    <row r="1778" spans="6:10">
      <c r="F1778" t="s">
        <v>10914</v>
      </c>
      <c r="G1778">
        <v>1775</v>
      </c>
      <c r="H1778" t="s">
        <v>2517</v>
      </c>
      <c r="I1778" t="s">
        <v>2518</v>
      </c>
      <c r="J1778" t="s">
        <v>10915</v>
      </c>
    </row>
    <row r="1779" spans="6:10">
      <c r="F1779" t="s">
        <v>10916</v>
      </c>
      <c r="G1779">
        <v>1776</v>
      </c>
      <c r="H1779" t="s">
        <v>219</v>
      </c>
      <c r="I1779" t="s">
        <v>220</v>
      </c>
      <c r="J1779" t="s">
        <v>10917</v>
      </c>
    </row>
    <row r="1780" spans="6:10">
      <c r="F1780" t="s">
        <v>10918</v>
      </c>
      <c r="G1780">
        <v>1777</v>
      </c>
      <c r="H1780" t="s">
        <v>10919</v>
      </c>
      <c r="I1780" t="s">
        <v>10920</v>
      </c>
      <c r="J1780" t="s">
        <v>10921</v>
      </c>
    </row>
    <row r="1781" spans="6:10">
      <c r="F1781" t="s">
        <v>10922</v>
      </c>
      <c r="G1781">
        <v>1778</v>
      </c>
      <c r="H1781" t="s">
        <v>2457</v>
      </c>
      <c r="I1781" t="s">
        <v>2458</v>
      </c>
      <c r="J1781" t="s">
        <v>10923</v>
      </c>
    </row>
    <row r="1782" spans="6:10">
      <c r="F1782" t="s">
        <v>10924</v>
      </c>
      <c r="G1782">
        <v>1779</v>
      </c>
      <c r="H1782" t="s">
        <v>6158</v>
      </c>
      <c r="I1782" t="s">
        <v>6158</v>
      </c>
      <c r="J1782" t="s">
        <v>10925</v>
      </c>
    </row>
    <row r="1783" spans="6:10">
      <c r="F1783" t="s">
        <v>10926</v>
      </c>
      <c r="G1783">
        <v>1780</v>
      </c>
      <c r="H1783" t="s">
        <v>3296</v>
      </c>
      <c r="I1783" t="s">
        <v>3297</v>
      </c>
      <c r="J1783" t="s">
        <v>10927</v>
      </c>
    </row>
    <row r="1784" spans="6:10">
      <c r="F1784" t="s">
        <v>10928</v>
      </c>
      <c r="G1784">
        <v>1781</v>
      </c>
      <c r="H1784" t="s">
        <v>10929</v>
      </c>
      <c r="I1784" t="s">
        <v>10930</v>
      </c>
      <c r="J1784" t="s">
        <v>10931</v>
      </c>
    </row>
    <row r="1785" spans="6:10">
      <c r="F1785" t="s">
        <v>10932</v>
      </c>
      <c r="G1785">
        <v>1782</v>
      </c>
      <c r="H1785" t="s">
        <v>10933</v>
      </c>
      <c r="I1785" t="s">
        <v>10934</v>
      </c>
      <c r="J1785" t="s">
        <v>10935</v>
      </c>
    </row>
    <row r="1786" spans="6:10">
      <c r="F1786" t="s">
        <v>10936</v>
      </c>
      <c r="G1786">
        <v>1783</v>
      </c>
      <c r="H1786" t="s">
        <v>10937</v>
      </c>
      <c r="I1786" t="s">
        <v>10938</v>
      </c>
      <c r="J1786" t="s">
        <v>10939</v>
      </c>
    </row>
    <row r="1787" spans="6:10">
      <c r="F1787" t="s">
        <v>10940</v>
      </c>
      <c r="G1787">
        <v>1784</v>
      </c>
      <c r="H1787" t="s">
        <v>888</v>
      </c>
      <c r="I1787" t="s">
        <v>889</v>
      </c>
      <c r="J1787" t="s">
        <v>10941</v>
      </c>
    </row>
    <row r="1788" spans="6:10">
      <c r="F1788" t="s">
        <v>10942</v>
      </c>
      <c r="G1788">
        <v>1785</v>
      </c>
      <c r="H1788" t="s">
        <v>10943</v>
      </c>
      <c r="I1788" t="s">
        <v>10944</v>
      </c>
      <c r="J1788" t="s">
        <v>10945</v>
      </c>
    </row>
    <row r="1789" spans="6:10">
      <c r="F1789" t="s">
        <v>10946</v>
      </c>
      <c r="G1789">
        <v>1786</v>
      </c>
      <c r="H1789" t="s">
        <v>2471</v>
      </c>
      <c r="I1789" t="s">
        <v>2472</v>
      </c>
      <c r="J1789" t="s">
        <v>10947</v>
      </c>
    </row>
    <row r="1790" spans="6:10">
      <c r="F1790" t="s">
        <v>10948</v>
      </c>
      <c r="G1790">
        <v>1787</v>
      </c>
      <c r="H1790" t="s">
        <v>10949</v>
      </c>
      <c r="I1790" t="s">
        <v>10950</v>
      </c>
      <c r="J1790" t="s">
        <v>10951</v>
      </c>
    </row>
    <row r="1791" spans="6:10">
      <c r="F1791" t="s">
        <v>10952</v>
      </c>
      <c r="G1791">
        <v>1788</v>
      </c>
      <c r="H1791" t="s">
        <v>4976</v>
      </c>
      <c r="I1791" t="s">
        <v>4978</v>
      </c>
      <c r="J1791" t="s">
        <v>10953</v>
      </c>
    </row>
    <row r="1792" spans="6:10">
      <c r="F1792" t="s">
        <v>10954</v>
      </c>
      <c r="G1792">
        <v>1789</v>
      </c>
      <c r="H1792" t="s">
        <v>6125</v>
      </c>
      <c r="I1792" t="s">
        <v>6126</v>
      </c>
      <c r="J1792" t="s">
        <v>10955</v>
      </c>
    </row>
    <row r="1793" spans="6:10">
      <c r="F1793" t="s">
        <v>10956</v>
      </c>
      <c r="G1793">
        <v>1790</v>
      </c>
      <c r="H1793" t="s">
        <v>4976</v>
      </c>
      <c r="I1793" t="s">
        <v>4979</v>
      </c>
      <c r="J1793" t="s">
        <v>10957</v>
      </c>
    </row>
    <row r="1794" spans="6:10">
      <c r="F1794" t="s">
        <v>10958</v>
      </c>
      <c r="G1794">
        <v>1791</v>
      </c>
      <c r="H1794" t="s">
        <v>1334</v>
      </c>
      <c r="I1794" t="s">
        <v>1335</v>
      </c>
      <c r="J1794" t="s">
        <v>10959</v>
      </c>
    </row>
    <row r="1795" spans="6:10">
      <c r="F1795" t="s">
        <v>10960</v>
      </c>
      <c r="G1795">
        <v>1792</v>
      </c>
      <c r="H1795" t="s">
        <v>439</v>
      </c>
      <c r="I1795" t="s">
        <v>440</v>
      </c>
      <c r="J1795" t="s">
        <v>10961</v>
      </c>
    </row>
    <row r="1796" spans="6:10">
      <c r="F1796" t="s">
        <v>10962</v>
      </c>
      <c r="G1796">
        <v>1793</v>
      </c>
      <c r="H1796" t="s">
        <v>4118</v>
      </c>
      <c r="I1796" t="s">
        <v>4119</v>
      </c>
      <c r="J1796" t="s">
        <v>10963</v>
      </c>
    </row>
    <row r="1797" spans="6:10">
      <c r="F1797" t="s">
        <v>10964</v>
      </c>
      <c r="G1797">
        <v>1794</v>
      </c>
      <c r="H1797" t="s">
        <v>2326</v>
      </c>
      <c r="I1797" t="s">
        <v>2327</v>
      </c>
      <c r="J1797" t="s">
        <v>10965</v>
      </c>
    </row>
    <row r="1798" spans="6:10">
      <c r="F1798" t="s">
        <v>10966</v>
      </c>
      <c r="G1798">
        <v>1795</v>
      </c>
      <c r="H1798" t="s">
        <v>1160</v>
      </c>
      <c r="I1798" t="s">
        <v>1161</v>
      </c>
      <c r="J1798" t="s">
        <v>10967</v>
      </c>
    </row>
    <row r="1799" spans="6:10">
      <c r="F1799" t="s">
        <v>10968</v>
      </c>
      <c r="G1799">
        <v>1796</v>
      </c>
      <c r="H1799" t="s">
        <v>4792</v>
      </c>
      <c r="I1799" t="s">
        <v>4793</v>
      </c>
      <c r="J1799" t="s">
        <v>10969</v>
      </c>
    </row>
    <row r="1800" spans="6:10">
      <c r="F1800" t="s">
        <v>10970</v>
      </c>
      <c r="G1800">
        <v>1797</v>
      </c>
      <c r="H1800" t="s">
        <v>4280</v>
      </c>
      <c r="I1800" t="s">
        <v>4281</v>
      </c>
      <c r="J1800" t="s">
        <v>10971</v>
      </c>
    </row>
    <row r="1801" spans="6:10">
      <c r="F1801" t="s">
        <v>10972</v>
      </c>
      <c r="G1801">
        <v>1798</v>
      </c>
      <c r="H1801" t="s">
        <v>4888</v>
      </c>
      <c r="I1801" t="s">
        <v>4889</v>
      </c>
      <c r="J1801" t="s">
        <v>10973</v>
      </c>
    </row>
    <row r="1802" spans="6:10">
      <c r="F1802" t="s">
        <v>10974</v>
      </c>
      <c r="G1802">
        <v>1799</v>
      </c>
      <c r="H1802" t="s">
        <v>5574</v>
      </c>
      <c r="I1802" t="s">
        <v>5575</v>
      </c>
      <c r="J1802" t="s">
        <v>10975</v>
      </c>
    </row>
    <row r="1803" spans="6:10">
      <c r="F1803" t="s">
        <v>10976</v>
      </c>
      <c r="G1803">
        <v>1800</v>
      </c>
      <c r="H1803" t="s">
        <v>10977</v>
      </c>
      <c r="I1803" t="s">
        <v>10978</v>
      </c>
      <c r="J1803" t="s">
        <v>10979</v>
      </c>
    </row>
    <row r="1804" spans="6:10">
      <c r="F1804" t="s">
        <v>10980</v>
      </c>
      <c r="G1804">
        <v>1801</v>
      </c>
      <c r="H1804" t="s">
        <v>5586</v>
      </c>
      <c r="I1804" t="s">
        <v>5587</v>
      </c>
      <c r="J1804" t="s">
        <v>10981</v>
      </c>
    </row>
    <row r="1805" spans="6:10">
      <c r="F1805" t="s">
        <v>10982</v>
      </c>
      <c r="G1805">
        <v>1802</v>
      </c>
      <c r="H1805" t="s">
        <v>631</v>
      </c>
      <c r="I1805" t="s">
        <v>632</v>
      </c>
      <c r="J1805" t="s">
        <v>10983</v>
      </c>
    </row>
    <row r="1806" spans="6:10">
      <c r="F1806" t="s">
        <v>10984</v>
      </c>
      <c r="G1806">
        <v>1803</v>
      </c>
      <c r="H1806" t="s">
        <v>2818</v>
      </c>
      <c r="I1806" t="s">
        <v>2827</v>
      </c>
      <c r="J1806" t="s">
        <v>10985</v>
      </c>
    </row>
    <row r="1807" spans="6:10">
      <c r="F1807" t="s">
        <v>10986</v>
      </c>
      <c r="G1807">
        <v>1804</v>
      </c>
      <c r="H1807" t="s">
        <v>5618</v>
      </c>
      <c r="I1807" t="s">
        <v>5619</v>
      </c>
      <c r="J1807" t="s">
        <v>10987</v>
      </c>
    </row>
    <row r="1808" spans="6:10">
      <c r="F1808" t="s">
        <v>10988</v>
      </c>
      <c r="G1808">
        <v>1805</v>
      </c>
      <c r="H1808" t="s">
        <v>1117</v>
      </c>
      <c r="I1808" t="s">
        <v>1118</v>
      </c>
      <c r="J1808" t="s">
        <v>10989</v>
      </c>
    </row>
    <row r="1809" spans="6:10">
      <c r="F1809" t="s">
        <v>10990</v>
      </c>
      <c r="G1809">
        <v>1806</v>
      </c>
      <c r="H1809" t="s">
        <v>4112</v>
      </c>
      <c r="I1809" t="s">
        <v>4113</v>
      </c>
      <c r="J1809" t="s">
        <v>10991</v>
      </c>
    </row>
    <row r="1810" spans="6:10">
      <c r="F1810" t="s">
        <v>10992</v>
      </c>
      <c r="G1810">
        <v>1807</v>
      </c>
      <c r="H1810" t="s">
        <v>4585</v>
      </c>
      <c r="I1810" t="s">
        <v>4586</v>
      </c>
      <c r="J1810" t="s">
        <v>10993</v>
      </c>
    </row>
    <row r="1811" spans="6:10">
      <c r="F1811" t="s">
        <v>10994</v>
      </c>
      <c r="G1811">
        <v>1808</v>
      </c>
      <c r="H1811" t="s">
        <v>5868</v>
      </c>
      <c r="I1811" t="s">
        <v>5871</v>
      </c>
      <c r="J1811" t="s">
        <v>10995</v>
      </c>
    </row>
    <row r="1812" spans="6:10">
      <c r="F1812" t="s">
        <v>10996</v>
      </c>
      <c r="G1812">
        <v>1809</v>
      </c>
      <c r="H1812" t="s">
        <v>5130</v>
      </c>
      <c r="I1812" t="s">
        <v>5131</v>
      </c>
      <c r="J1812" t="s">
        <v>10997</v>
      </c>
    </row>
    <row r="1813" spans="6:10">
      <c r="F1813" t="s">
        <v>10998</v>
      </c>
      <c r="G1813">
        <v>1810</v>
      </c>
      <c r="H1813" t="s">
        <v>10999</v>
      </c>
      <c r="I1813" t="s">
        <v>11000</v>
      </c>
      <c r="J1813" t="s">
        <v>11001</v>
      </c>
    </row>
    <row r="1814" spans="6:10">
      <c r="F1814" t="s">
        <v>11002</v>
      </c>
      <c r="G1814">
        <v>1811</v>
      </c>
      <c r="H1814" t="s">
        <v>11003</v>
      </c>
      <c r="I1814" t="s">
        <v>11004</v>
      </c>
      <c r="J1814" t="s">
        <v>11005</v>
      </c>
    </row>
    <row r="1815" spans="6:10">
      <c r="F1815" t="s">
        <v>11006</v>
      </c>
      <c r="G1815">
        <v>1812</v>
      </c>
      <c r="H1815" t="s">
        <v>5331</v>
      </c>
      <c r="I1815" t="s">
        <v>5332</v>
      </c>
      <c r="J1815" t="s">
        <v>11007</v>
      </c>
    </row>
    <row r="1816" spans="6:10">
      <c r="F1816" t="s">
        <v>11008</v>
      </c>
      <c r="G1816">
        <v>1813</v>
      </c>
      <c r="H1816" t="s">
        <v>441</v>
      </c>
      <c r="I1816" t="s">
        <v>442</v>
      </c>
      <c r="J1816" t="s">
        <v>11009</v>
      </c>
    </row>
    <row r="1817" spans="6:10">
      <c r="F1817" t="s">
        <v>11010</v>
      </c>
      <c r="G1817">
        <v>1814</v>
      </c>
      <c r="H1817" t="s">
        <v>2060</v>
      </c>
      <c r="I1817" t="s">
        <v>2061</v>
      </c>
      <c r="J1817" t="s">
        <v>11011</v>
      </c>
    </row>
    <row r="1818" spans="6:10">
      <c r="F1818" t="s">
        <v>11012</v>
      </c>
      <c r="G1818">
        <v>1815</v>
      </c>
      <c r="H1818" t="s">
        <v>2598</v>
      </c>
      <c r="I1818" t="s">
        <v>2599</v>
      </c>
      <c r="J1818" t="s">
        <v>11013</v>
      </c>
    </row>
    <row r="1819" spans="6:10">
      <c r="F1819" t="s">
        <v>11014</v>
      </c>
      <c r="G1819">
        <v>1816</v>
      </c>
      <c r="H1819" t="s">
        <v>11015</v>
      </c>
      <c r="I1819" t="s">
        <v>11016</v>
      </c>
      <c r="J1819" t="s">
        <v>11017</v>
      </c>
    </row>
    <row r="1820" spans="6:10">
      <c r="F1820" t="s">
        <v>11018</v>
      </c>
      <c r="G1820">
        <v>1817</v>
      </c>
      <c r="H1820" t="s">
        <v>11019</v>
      </c>
      <c r="I1820" t="s">
        <v>11020</v>
      </c>
      <c r="J1820" t="s">
        <v>11021</v>
      </c>
    </row>
    <row r="1821" spans="6:10">
      <c r="F1821" t="s">
        <v>11022</v>
      </c>
      <c r="G1821">
        <v>1818</v>
      </c>
      <c r="H1821" t="s">
        <v>370</v>
      </c>
      <c r="I1821" t="s">
        <v>371</v>
      </c>
      <c r="J1821" t="s">
        <v>11023</v>
      </c>
    </row>
    <row r="1822" spans="6:10">
      <c r="F1822" t="s">
        <v>11024</v>
      </c>
      <c r="G1822">
        <v>1819</v>
      </c>
      <c r="H1822" t="s">
        <v>4133</v>
      </c>
      <c r="I1822" t="s">
        <v>4134</v>
      </c>
      <c r="J1822" t="s">
        <v>11025</v>
      </c>
    </row>
    <row r="1823" spans="6:10">
      <c r="F1823" t="s">
        <v>11026</v>
      </c>
      <c r="G1823">
        <v>1820</v>
      </c>
      <c r="H1823" t="s">
        <v>11027</v>
      </c>
      <c r="I1823" t="s">
        <v>11028</v>
      </c>
      <c r="J1823" t="s">
        <v>11029</v>
      </c>
    </row>
    <row r="1824" spans="6:10">
      <c r="F1824" t="s">
        <v>11030</v>
      </c>
      <c r="G1824">
        <v>1821</v>
      </c>
      <c r="H1824" t="s">
        <v>4665</v>
      </c>
      <c r="I1824" t="s">
        <v>4666</v>
      </c>
      <c r="J1824" t="s">
        <v>11031</v>
      </c>
    </row>
    <row r="1825" spans="6:10">
      <c r="F1825" t="s">
        <v>11032</v>
      </c>
      <c r="G1825">
        <v>1822</v>
      </c>
      <c r="H1825" t="s">
        <v>2600</v>
      </c>
      <c r="I1825" t="s">
        <v>2601</v>
      </c>
      <c r="J1825" t="s">
        <v>11033</v>
      </c>
    </row>
    <row r="1826" spans="6:10">
      <c r="F1826" t="s">
        <v>11034</v>
      </c>
      <c r="G1826">
        <v>1823</v>
      </c>
      <c r="H1826" t="s">
        <v>2907</v>
      </c>
      <c r="I1826" t="s">
        <v>2908</v>
      </c>
      <c r="J1826" t="s">
        <v>11035</v>
      </c>
    </row>
    <row r="1827" spans="6:10">
      <c r="F1827" t="s">
        <v>11036</v>
      </c>
      <c r="G1827">
        <v>1824</v>
      </c>
      <c r="H1827" t="s">
        <v>3761</v>
      </c>
      <c r="I1827" t="s">
        <v>3762</v>
      </c>
      <c r="J1827" t="s">
        <v>11037</v>
      </c>
    </row>
    <row r="1828" spans="6:10">
      <c r="F1828" t="s">
        <v>11038</v>
      </c>
      <c r="G1828">
        <v>1825</v>
      </c>
      <c r="H1828" t="s">
        <v>4116</v>
      </c>
      <c r="I1828" t="s">
        <v>4117</v>
      </c>
      <c r="J1828" t="s">
        <v>11039</v>
      </c>
    </row>
    <row r="1829" spans="6:10">
      <c r="F1829" t="s">
        <v>11040</v>
      </c>
      <c r="G1829">
        <v>1826</v>
      </c>
      <c r="H1829" t="s">
        <v>171</v>
      </c>
      <c r="I1829" t="s">
        <v>172</v>
      </c>
      <c r="J1829" t="s">
        <v>11041</v>
      </c>
    </row>
    <row r="1830" spans="6:10">
      <c r="F1830" t="s">
        <v>11042</v>
      </c>
      <c r="G1830">
        <v>1827</v>
      </c>
      <c r="H1830" t="s">
        <v>2449</v>
      </c>
      <c r="I1830" t="s">
        <v>2450</v>
      </c>
      <c r="J1830" t="s">
        <v>11043</v>
      </c>
    </row>
    <row r="1831" spans="6:10">
      <c r="F1831" t="s">
        <v>11044</v>
      </c>
      <c r="G1831">
        <v>1828</v>
      </c>
      <c r="H1831" t="s">
        <v>2433</v>
      </c>
      <c r="I1831" t="s">
        <v>2434</v>
      </c>
      <c r="J1831" t="s">
        <v>11045</v>
      </c>
    </row>
    <row r="1832" spans="6:10">
      <c r="F1832" t="s">
        <v>11046</v>
      </c>
      <c r="G1832">
        <v>1829</v>
      </c>
      <c r="H1832" t="s">
        <v>2117</v>
      </c>
      <c r="I1832" t="s">
        <v>2118</v>
      </c>
      <c r="J1832" t="s">
        <v>11047</v>
      </c>
    </row>
    <row r="1833" spans="6:10">
      <c r="F1833" t="s">
        <v>11048</v>
      </c>
      <c r="G1833">
        <v>1830</v>
      </c>
      <c r="H1833" t="s">
        <v>5484</v>
      </c>
      <c r="I1833" t="s">
        <v>5485</v>
      </c>
      <c r="J1833" t="s">
        <v>11049</v>
      </c>
    </row>
    <row r="1834" spans="6:10">
      <c r="F1834" t="s">
        <v>11050</v>
      </c>
      <c r="G1834">
        <v>1831</v>
      </c>
      <c r="H1834" t="s">
        <v>5293</v>
      </c>
      <c r="I1834" t="s">
        <v>5294</v>
      </c>
      <c r="J1834" t="s">
        <v>11051</v>
      </c>
    </row>
    <row r="1835" spans="6:10">
      <c r="F1835" t="s">
        <v>11052</v>
      </c>
      <c r="G1835">
        <v>1832</v>
      </c>
      <c r="H1835" t="s">
        <v>3367</v>
      </c>
      <c r="I1835" t="s">
        <v>3368</v>
      </c>
      <c r="J1835" t="s">
        <v>11053</v>
      </c>
    </row>
    <row r="1836" spans="6:10">
      <c r="F1836" t="s">
        <v>11054</v>
      </c>
      <c r="G1836">
        <v>1833</v>
      </c>
      <c r="H1836" t="s">
        <v>11055</v>
      </c>
      <c r="I1836" t="s">
        <v>11056</v>
      </c>
      <c r="J1836" t="s">
        <v>11057</v>
      </c>
    </row>
    <row r="1837" spans="6:10">
      <c r="F1837" t="s">
        <v>11058</v>
      </c>
      <c r="G1837">
        <v>1834</v>
      </c>
      <c r="H1837" t="s">
        <v>11059</v>
      </c>
      <c r="I1837" t="s">
        <v>11060</v>
      </c>
      <c r="J1837" t="s">
        <v>11061</v>
      </c>
    </row>
    <row r="1838" spans="6:10">
      <c r="F1838" t="s">
        <v>11062</v>
      </c>
      <c r="G1838">
        <v>1835</v>
      </c>
      <c r="H1838" t="s">
        <v>1100</v>
      </c>
      <c r="I1838" t="s">
        <v>1101</v>
      </c>
      <c r="J1838" t="s">
        <v>11063</v>
      </c>
    </row>
    <row r="1839" spans="6:10">
      <c r="F1839" t="s">
        <v>11064</v>
      </c>
      <c r="G1839">
        <v>1836</v>
      </c>
      <c r="H1839" t="s">
        <v>4834</v>
      </c>
      <c r="I1839" t="s">
        <v>4835</v>
      </c>
      <c r="J1839" t="s">
        <v>11065</v>
      </c>
    </row>
    <row r="1840" spans="6:10">
      <c r="F1840" t="s">
        <v>11066</v>
      </c>
      <c r="G1840">
        <v>1837</v>
      </c>
      <c r="H1840" t="s">
        <v>5563</v>
      </c>
      <c r="I1840" t="s">
        <v>5564</v>
      </c>
      <c r="J1840" t="s">
        <v>11067</v>
      </c>
    </row>
    <row r="1841" spans="6:10">
      <c r="F1841" t="s">
        <v>11068</v>
      </c>
      <c r="G1841">
        <v>1838</v>
      </c>
      <c r="H1841" t="s">
        <v>662</v>
      </c>
      <c r="I1841" t="s">
        <v>663</v>
      </c>
      <c r="J1841" t="s">
        <v>11069</v>
      </c>
    </row>
    <row r="1842" spans="6:10">
      <c r="F1842" t="s">
        <v>11070</v>
      </c>
      <c r="G1842">
        <v>1839</v>
      </c>
      <c r="H1842" t="s">
        <v>5478</v>
      </c>
      <c r="I1842" t="s">
        <v>5479</v>
      </c>
      <c r="J1842" t="s">
        <v>11071</v>
      </c>
    </row>
    <row r="1843" spans="6:10">
      <c r="F1843" t="s">
        <v>11072</v>
      </c>
      <c r="G1843">
        <v>1840</v>
      </c>
      <c r="H1843" t="s">
        <v>4248</v>
      </c>
      <c r="I1843" t="s">
        <v>4249</v>
      </c>
      <c r="J1843" t="s">
        <v>11073</v>
      </c>
    </row>
    <row r="1844" spans="6:10">
      <c r="F1844" t="s">
        <v>11074</v>
      </c>
      <c r="G1844">
        <v>1841</v>
      </c>
      <c r="H1844" t="s">
        <v>1870</v>
      </c>
      <c r="I1844" t="s">
        <v>1871</v>
      </c>
      <c r="J1844" t="s">
        <v>11075</v>
      </c>
    </row>
    <row r="1845" spans="6:10">
      <c r="F1845" t="s">
        <v>11076</v>
      </c>
      <c r="G1845">
        <v>1842</v>
      </c>
      <c r="H1845" t="s">
        <v>11077</v>
      </c>
      <c r="I1845" t="s">
        <v>11078</v>
      </c>
      <c r="J1845" t="s">
        <v>11079</v>
      </c>
    </row>
    <row r="1846" spans="6:10">
      <c r="F1846" t="s">
        <v>11080</v>
      </c>
      <c r="G1846">
        <v>1843</v>
      </c>
      <c r="H1846" t="s">
        <v>3912</v>
      </c>
      <c r="I1846" t="s">
        <v>3913</v>
      </c>
      <c r="J1846" t="s">
        <v>11081</v>
      </c>
    </row>
    <row r="1847" spans="6:10">
      <c r="F1847" t="s">
        <v>11082</v>
      </c>
      <c r="G1847">
        <v>1844</v>
      </c>
      <c r="H1847" t="s">
        <v>4517</v>
      </c>
      <c r="I1847" t="s">
        <v>4518</v>
      </c>
      <c r="J1847" t="s">
        <v>11083</v>
      </c>
    </row>
    <row r="1848" spans="6:10">
      <c r="F1848" t="s">
        <v>11084</v>
      </c>
      <c r="G1848">
        <v>1845</v>
      </c>
      <c r="H1848" t="s">
        <v>4710</v>
      </c>
      <c r="I1848" t="s">
        <v>4711</v>
      </c>
      <c r="J1848" t="s">
        <v>11085</v>
      </c>
    </row>
    <row r="1849" spans="6:10">
      <c r="F1849" t="s">
        <v>11086</v>
      </c>
      <c r="G1849">
        <v>1846</v>
      </c>
      <c r="H1849" t="s">
        <v>2336</v>
      </c>
      <c r="I1849" t="s">
        <v>2337</v>
      </c>
      <c r="J1849" t="s">
        <v>11087</v>
      </c>
    </row>
    <row r="1850" spans="6:10">
      <c r="F1850" t="s">
        <v>11088</v>
      </c>
      <c r="G1850">
        <v>1847</v>
      </c>
      <c r="H1850" t="s">
        <v>2153</v>
      </c>
      <c r="I1850" t="s">
        <v>2155</v>
      </c>
      <c r="J1850" t="s">
        <v>11089</v>
      </c>
    </row>
    <row r="1851" spans="6:10">
      <c r="F1851" t="s">
        <v>11090</v>
      </c>
      <c r="G1851">
        <v>1848</v>
      </c>
      <c r="H1851" t="s">
        <v>4541</v>
      </c>
      <c r="I1851" t="s">
        <v>4542</v>
      </c>
      <c r="J1851" t="s">
        <v>11091</v>
      </c>
    </row>
    <row r="1852" spans="6:10">
      <c r="F1852" t="s">
        <v>11092</v>
      </c>
      <c r="G1852">
        <v>1849</v>
      </c>
      <c r="H1852" t="s">
        <v>2953</v>
      </c>
      <c r="I1852" t="s">
        <v>2954</v>
      </c>
      <c r="J1852" t="s">
        <v>11093</v>
      </c>
    </row>
    <row r="1853" spans="6:10">
      <c r="F1853" t="s">
        <v>11094</v>
      </c>
      <c r="G1853">
        <v>1850</v>
      </c>
      <c r="H1853" t="s">
        <v>2393</v>
      </c>
      <c r="I1853" t="s">
        <v>2394</v>
      </c>
      <c r="J1853" t="s">
        <v>11095</v>
      </c>
    </row>
    <row r="1854" spans="6:10">
      <c r="F1854" t="s">
        <v>11096</v>
      </c>
      <c r="G1854">
        <v>1851</v>
      </c>
      <c r="H1854" t="s">
        <v>2295</v>
      </c>
      <c r="I1854" t="s">
        <v>2296</v>
      </c>
      <c r="J1854" t="s">
        <v>11097</v>
      </c>
    </row>
    <row r="1855" spans="6:10">
      <c r="F1855" t="s">
        <v>11098</v>
      </c>
      <c r="G1855">
        <v>1852</v>
      </c>
      <c r="H1855" t="s">
        <v>11099</v>
      </c>
      <c r="I1855" t="s">
        <v>11100</v>
      </c>
      <c r="J1855" t="s">
        <v>11101</v>
      </c>
    </row>
    <row r="1856" spans="6:10">
      <c r="F1856" t="s">
        <v>11102</v>
      </c>
      <c r="G1856">
        <v>1853</v>
      </c>
      <c r="H1856" t="s">
        <v>11103</v>
      </c>
      <c r="I1856" t="s">
        <v>11104</v>
      </c>
      <c r="J1856" t="s">
        <v>11105</v>
      </c>
    </row>
    <row r="1857" spans="6:10">
      <c r="F1857" t="s">
        <v>11106</v>
      </c>
      <c r="G1857">
        <v>1854</v>
      </c>
      <c r="H1857" t="s">
        <v>11107</v>
      </c>
      <c r="I1857" t="s">
        <v>11108</v>
      </c>
      <c r="J1857" t="s">
        <v>11109</v>
      </c>
    </row>
    <row r="1858" spans="6:10">
      <c r="F1858" t="s">
        <v>11110</v>
      </c>
      <c r="G1858">
        <v>1855</v>
      </c>
      <c r="H1858" t="s">
        <v>11111</v>
      </c>
      <c r="I1858" t="s">
        <v>11112</v>
      </c>
      <c r="J1858" t="s">
        <v>11113</v>
      </c>
    </row>
    <row r="1859" spans="6:10">
      <c r="F1859" t="s">
        <v>11114</v>
      </c>
      <c r="G1859">
        <v>1856</v>
      </c>
      <c r="H1859" t="s">
        <v>11115</v>
      </c>
      <c r="I1859" t="s">
        <v>11116</v>
      </c>
      <c r="J1859" t="s">
        <v>11117</v>
      </c>
    </row>
    <row r="1860" spans="6:10">
      <c r="F1860" t="s">
        <v>11118</v>
      </c>
      <c r="G1860">
        <v>1857</v>
      </c>
      <c r="H1860" t="s">
        <v>11119</v>
      </c>
      <c r="I1860" t="s">
        <v>11120</v>
      </c>
      <c r="J1860" t="s">
        <v>11121</v>
      </c>
    </row>
    <row r="1861" spans="6:10">
      <c r="F1861" t="s">
        <v>11122</v>
      </c>
      <c r="G1861">
        <v>1858</v>
      </c>
      <c r="H1861" t="s">
        <v>5449</v>
      </c>
      <c r="I1861" t="s">
        <v>5450</v>
      </c>
      <c r="J1861" t="s">
        <v>11123</v>
      </c>
    </row>
    <row r="1862" spans="6:10">
      <c r="F1862" t="s">
        <v>11124</v>
      </c>
      <c r="G1862">
        <v>1859</v>
      </c>
      <c r="H1862" t="s">
        <v>6035</v>
      </c>
      <c r="I1862" t="s">
        <v>6036</v>
      </c>
      <c r="J1862" t="s">
        <v>11125</v>
      </c>
    </row>
    <row r="1863" spans="6:10">
      <c r="F1863" t="s">
        <v>11126</v>
      </c>
      <c r="G1863">
        <v>1860</v>
      </c>
      <c r="H1863" t="s">
        <v>53</v>
      </c>
      <c r="I1863" t="s">
        <v>54</v>
      </c>
      <c r="J1863" t="s">
        <v>11127</v>
      </c>
    </row>
    <row r="1864" spans="6:10">
      <c r="F1864" t="s">
        <v>11128</v>
      </c>
      <c r="G1864">
        <v>1861</v>
      </c>
      <c r="H1864" t="s">
        <v>4986</v>
      </c>
      <c r="I1864" t="s">
        <v>4987</v>
      </c>
      <c r="J1864" t="s">
        <v>11129</v>
      </c>
    </row>
    <row r="1865" spans="6:10">
      <c r="F1865" t="s">
        <v>11130</v>
      </c>
      <c r="G1865">
        <v>1862</v>
      </c>
      <c r="H1865" t="s">
        <v>11131</v>
      </c>
      <c r="I1865" t="s">
        <v>11132</v>
      </c>
      <c r="J1865" t="s">
        <v>11133</v>
      </c>
    </row>
    <row r="1866" spans="6:10">
      <c r="F1866" t="s">
        <v>11134</v>
      </c>
      <c r="G1866">
        <v>1863</v>
      </c>
      <c r="H1866" t="s">
        <v>666</v>
      </c>
      <c r="I1866" t="s">
        <v>667</v>
      </c>
      <c r="J1866" t="s">
        <v>11135</v>
      </c>
    </row>
    <row r="1867" spans="6:10">
      <c r="F1867" t="s">
        <v>11136</v>
      </c>
      <c r="G1867">
        <v>1864</v>
      </c>
      <c r="H1867" t="s">
        <v>2913</v>
      </c>
      <c r="I1867" t="s">
        <v>2914</v>
      </c>
      <c r="J1867" t="s">
        <v>11137</v>
      </c>
    </row>
    <row r="1868" spans="6:10">
      <c r="F1868" t="s">
        <v>11138</v>
      </c>
      <c r="G1868">
        <v>1865</v>
      </c>
      <c r="H1868" t="s">
        <v>2521</v>
      </c>
      <c r="I1868" t="s">
        <v>2522</v>
      </c>
      <c r="J1868" t="s">
        <v>11139</v>
      </c>
    </row>
    <row r="1869" spans="6:10">
      <c r="F1869" t="s">
        <v>11140</v>
      </c>
      <c r="G1869">
        <v>1866</v>
      </c>
      <c r="H1869" t="s">
        <v>1179</v>
      </c>
      <c r="I1869" t="s">
        <v>1180</v>
      </c>
      <c r="J1869" t="s">
        <v>11141</v>
      </c>
    </row>
    <row r="1870" spans="6:10">
      <c r="F1870" t="s">
        <v>11142</v>
      </c>
      <c r="G1870">
        <v>1867</v>
      </c>
      <c r="H1870" t="s">
        <v>4455</v>
      </c>
      <c r="I1870" t="s">
        <v>4456</v>
      </c>
      <c r="J1870" t="s">
        <v>11143</v>
      </c>
    </row>
    <row r="1871" spans="6:10">
      <c r="F1871" t="s">
        <v>11144</v>
      </c>
      <c r="G1871">
        <v>1868</v>
      </c>
      <c r="H1871" t="s">
        <v>5363</v>
      </c>
      <c r="I1871" t="s">
        <v>5364</v>
      </c>
      <c r="J1871" t="s">
        <v>11145</v>
      </c>
    </row>
    <row r="1872" spans="6:10">
      <c r="F1872" t="s">
        <v>11146</v>
      </c>
      <c r="G1872">
        <v>1869</v>
      </c>
      <c r="H1872" t="s">
        <v>11147</v>
      </c>
      <c r="I1872" t="s">
        <v>11148</v>
      </c>
      <c r="J1872" t="s">
        <v>11149</v>
      </c>
    </row>
    <row r="1873" spans="6:10">
      <c r="F1873" t="s">
        <v>11150</v>
      </c>
      <c r="G1873">
        <v>1870</v>
      </c>
      <c r="H1873" t="s">
        <v>3371</v>
      </c>
      <c r="I1873" t="s">
        <v>3372</v>
      </c>
      <c r="J1873" t="s">
        <v>11151</v>
      </c>
    </row>
    <row r="1874" spans="6:10">
      <c r="F1874" t="s">
        <v>11152</v>
      </c>
      <c r="G1874">
        <v>1871</v>
      </c>
      <c r="H1874" t="s">
        <v>5289</v>
      </c>
      <c r="I1874" t="s">
        <v>5290</v>
      </c>
      <c r="J1874" t="s">
        <v>11153</v>
      </c>
    </row>
    <row r="1875" spans="6:10">
      <c r="F1875" t="s">
        <v>11154</v>
      </c>
      <c r="G1875">
        <v>1872</v>
      </c>
      <c r="H1875" t="s">
        <v>2947</v>
      </c>
      <c r="I1875" t="s">
        <v>2948</v>
      </c>
      <c r="J1875" t="s">
        <v>11155</v>
      </c>
    </row>
    <row r="1876" spans="6:10">
      <c r="F1876" t="s">
        <v>11156</v>
      </c>
      <c r="G1876">
        <v>1873</v>
      </c>
      <c r="H1876" t="s">
        <v>4301</v>
      </c>
      <c r="I1876" t="s">
        <v>4301</v>
      </c>
      <c r="J1876" t="s">
        <v>11157</v>
      </c>
    </row>
    <row r="1877" spans="6:10">
      <c r="F1877" t="s">
        <v>11158</v>
      </c>
      <c r="G1877">
        <v>1874</v>
      </c>
      <c r="H1877" t="s">
        <v>11159</v>
      </c>
      <c r="I1877" t="s">
        <v>11160</v>
      </c>
      <c r="J1877" t="s">
        <v>11161</v>
      </c>
    </row>
    <row r="1878" spans="6:10">
      <c r="F1878" t="s">
        <v>11162</v>
      </c>
      <c r="G1878">
        <v>1875</v>
      </c>
      <c r="H1878" t="s">
        <v>4196</v>
      </c>
      <c r="I1878" t="s">
        <v>4197</v>
      </c>
      <c r="J1878" t="s">
        <v>11163</v>
      </c>
    </row>
    <row r="1879" spans="6:10">
      <c r="F1879" t="s">
        <v>11164</v>
      </c>
      <c r="G1879">
        <v>1876</v>
      </c>
      <c r="H1879" t="s">
        <v>3435</v>
      </c>
      <c r="I1879" t="s">
        <v>3436</v>
      </c>
      <c r="J1879" t="s">
        <v>11165</v>
      </c>
    </row>
    <row r="1880" spans="6:10">
      <c r="F1880" t="s">
        <v>11166</v>
      </c>
      <c r="G1880">
        <v>1877</v>
      </c>
      <c r="H1880" t="s">
        <v>2410</v>
      </c>
      <c r="I1880" t="s">
        <v>2411</v>
      </c>
      <c r="J1880" t="s">
        <v>11167</v>
      </c>
    </row>
    <row r="1881" spans="6:10">
      <c r="F1881" t="s">
        <v>11168</v>
      </c>
      <c r="G1881">
        <v>1878</v>
      </c>
      <c r="H1881" t="s">
        <v>656</v>
      </c>
      <c r="I1881" t="s">
        <v>657</v>
      </c>
      <c r="J1881" t="s">
        <v>11169</v>
      </c>
    </row>
    <row r="1882" spans="6:10">
      <c r="F1882" t="s">
        <v>11170</v>
      </c>
      <c r="G1882">
        <v>1879</v>
      </c>
      <c r="H1882" t="s">
        <v>11171</v>
      </c>
      <c r="I1882" t="s">
        <v>11172</v>
      </c>
      <c r="J1882" t="s">
        <v>11173</v>
      </c>
    </row>
    <row r="1883" spans="6:10">
      <c r="F1883" t="s">
        <v>11174</v>
      </c>
      <c r="G1883">
        <v>1880</v>
      </c>
      <c r="H1883" t="s">
        <v>1989</v>
      </c>
      <c r="I1883" t="s">
        <v>1990</v>
      </c>
      <c r="J1883" t="s">
        <v>11175</v>
      </c>
    </row>
    <row r="1884" spans="6:10">
      <c r="F1884" t="s">
        <v>11176</v>
      </c>
      <c r="G1884">
        <v>1881</v>
      </c>
      <c r="H1884" t="s">
        <v>11177</v>
      </c>
      <c r="I1884" t="s">
        <v>11178</v>
      </c>
      <c r="J1884" t="s">
        <v>11179</v>
      </c>
    </row>
    <row r="1885" spans="6:10">
      <c r="F1885" t="s">
        <v>11180</v>
      </c>
      <c r="G1885">
        <v>1882</v>
      </c>
      <c r="H1885" t="s">
        <v>5095</v>
      </c>
      <c r="I1885" t="s">
        <v>5096</v>
      </c>
      <c r="J1885" t="s">
        <v>11181</v>
      </c>
    </row>
    <row r="1886" spans="6:10">
      <c r="F1886" t="s">
        <v>11182</v>
      </c>
      <c r="G1886">
        <v>1883</v>
      </c>
      <c r="H1886" t="s">
        <v>2818</v>
      </c>
      <c r="I1886" t="s">
        <v>2828</v>
      </c>
      <c r="J1886" t="s">
        <v>11183</v>
      </c>
    </row>
    <row r="1887" spans="6:10">
      <c r="F1887" t="s">
        <v>11184</v>
      </c>
      <c r="G1887">
        <v>1884</v>
      </c>
      <c r="H1887" t="s">
        <v>6076</v>
      </c>
      <c r="I1887" t="s">
        <v>6077</v>
      </c>
      <c r="J1887" t="s">
        <v>11185</v>
      </c>
    </row>
    <row r="1888" spans="6:10">
      <c r="F1888" t="s">
        <v>11186</v>
      </c>
      <c r="G1888">
        <v>1885</v>
      </c>
      <c r="H1888" t="s">
        <v>4762</v>
      </c>
      <c r="I1888" t="s">
        <v>4763</v>
      </c>
      <c r="J1888" t="s">
        <v>11187</v>
      </c>
    </row>
    <row r="1889" spans="6:10">
      <c r="F1889" t="s">
        <v>11188</v>
      </c>
      <c r="G1889">
        <v>1886</v>
      </c>
      <c r="H1889" t="s">
        <v>1594</v>
      </c>
      <c r="I1889" t="s">
        <v>1595</v>
      </c>
      <c r="J1889" t="s">
        <v>11189</v>
      </c>
    </row>
    <row r="1890" spans="6:10">
      <c r="F1890" t="s">
        <v>11190</v>
      </c>
      <c r="G1890">
        <v>1887</v>
      </c>
      <c r="H1890" t="s">
        <v>11191</v>
      </c>
      <c r="I1890" t="s">
        <v>11192</v>
      </c>
      <c r="J1890" t="s">
        <v>11193</v>
      </c>
    </row>
    <row r="1891" spans="6:10">
      <c r="F1891" t="s">
        <v>11194</v>
      </c>
      <c r="G1891">
        <v>1888</v>
      </c>
      <c r="H1891" t="s">
        <v>11195</v>
      </c>
      <c r="I1891" t="s">
        <v>11196</v>
      </c>
      <c r="J1891" t="s">
        <v>11197</v>
      </c>
    </row>
    <row r="1892" spans="6:10">
      <c r="F1892" t="s">
        <v>11198</v>
      </c>
      <c r="G1892">
        <v>1889</v>
      </c>
      <c r="H1892" t="s">
        <v>5565</v>
      </c>
      <c r="I1892" t="s">
        <v>5566</v>
      </c>
      <c r="J1892" t="s">
        <v>11199</v>
      </c>
    </row>
    <row r="1893" spans="6:10">
      <c r="F1893" t="s">
        <v>11200</v>
      </c>
      <c r="G1893">
        <v>1890</v>
      </c>
      <c r="H1893" t="s">
        <v>3371</v>
      </c>
      <c r="I1893" t="s">
        <v>3372</v>
      </c>
      <c r="J1893" t="s">
        <v>11201</v>
      </c>
    </row>
    <row r="1894" spans="6:10">
      <c r="F1894" t="s">
        <v>11202</v>
      </c>
      <c r="G1894">
        <v>1891</v>
      </c>
      <c r="H1894" t="s">
        <v>4081</v>
      </c>
      <c r="I1894" t="s">
        <v>4082</v>
      </c>
      <c r="J1894" t="s">
        <v>11203</v>
      </c>
    </row>
    <row r="1895" spans="6:10">
      <c r="F1895" t="s">
        <v>11204</v>
      </c>
      <c r="G1895">
        <v>1892</v>
      </c>
      <c r="H1895" t="s">
        <v>11205</v>
      </c>
      <c r="I1895" t="s">
        <v>11206</v>
      </c>
      <c r="J1895" t="s">
        <v>11207</v>
      </c>
    </row>
    <row r="1896" spans="6:10">
      <c r="F1896" t="s">
        <v>11208</v>
      </c>
      <c r="G1896">
        <v>1893</v>
      </c>
      <c r="H1896" t="s">
        <v>2158</v>
      </c>
      <c r="I1896" t="s">
        <v>2159</v>
      </c>
      <c r="J1896" t="s">
        <v>11209</v>
      </c>
    </row>
    <row r="1897" spans="6:10">
      <c r="F1897" t="s">
        <v>11210</v>
      </c>
      <c r="G1897">
        <v>1894</v>
      </c>
      <c r="H1897" t="s">
        <v>738</v>
      </c>
      <c r="I1897" t="s">
        <v>742</v>
      </c>
      <c r="J1897" t="s">
        <v>11211</v>
      </c>
    </row>
    <row r="1898" spans="6:10">
      <c r="F1898" t="s">
        <v>11212</v>
      </c>
      <c r="G1898">
        <v>1895</v>
      </c>
      <c r="H1898" t="s">
        <v>3202</v>
      </c>
      <c r="I1898" t="s">
        <v>3203</v>
      </c>
      <c r="J1898" t="s">
        <v>11213</v>
      </c>
    </row>
    <row r="1899" spans="6:10">
      <c r="F1899" t="s">
        <v>11214</v>
      </c>
      <c r="G1899">
        <v>1896</v>
      </c>
      <c r="H1899" t="s">
        <v>2143</v>
      </c>
      <c r="I1899" t="s">
        <v>2144</v>
      </c>
      <c r="J1899" t="s">
        <v>11215</v>
      </c>
    </row>
    <row r="1900" spans="6:10">
      <c r="F1900" t="s">
        <v>11216</v>
      </c>
      <c r="G1900">
        <v>1897</v>
      </c>
      <c r="H1900" t="s">
        <v>11217</v>
      </c>
      <c r="I1900" t="s">
        <v>11218</v>
      </c>
      <c r="J1900" t="s">
        <v>11219</v>
      </c>
    </row>
    <row r="1901" spans="6:10">
      <c r="F1901" t="s">
        <v>11220</v>
      </c>
      <c r="G1901">
        <v>1898</v>
      </c>
      <c r="H1901" t="s">
        <v>11221</v>
      </c>
      <c r="I1901" t="s">
        <v>11222</v>
      </c>
      <c r="J1901" t="s">
        <v>11223</v>
      </c>
    </row>
    <row r="1902" spans="6:10">
      <c r="F1902" t="s">
        <v>11224</v>
      </c>
      <c r="G1902">
        <v>1899</v>
      </c>
      <c r="H1902" t="s">
        <v>2215</v>
      </c>
      <c r="I1902" t="s">
        <v>2217</v>
      </c>
      <c r="J1902" t="s">
        <v>11225</v>
      </c>
    </row>
    <row r="1903" spans="6:10">
      <c r="F1903" t="s">
        <v>11226</v>
      </c>
      <c r="G1903">
        <v>1900</v>
      </c>
      <c r="H1903" t="s">
        <v>11227</v>
      </c>
      <c r="I1903" t="s">
        <v>11228</v>
      </c>
      <c r="J1903" t="s">
        <v>11229</v>
      </c>
    </row>
    <row r="1904" spans="6:10">
      <c r="F1904" t="s">
        <v>11230</v>
      </c>
      <c r="G1904">
        <v>1901</v>
      </c>
      <c r="H1904" t="s">
        <v>11231</v>
      </c>
      <c r="I1904" t="s">
        <v>11232</v>
      </c>
      <c r="J1904" t="s">
        <v>11233</v>
      </c>
    </row>
    <row r="1905" spans="6:10">
      <c r="F1905" t="s">
        <v>11234</v>
      </c>
      <c r="G1905">
        <v>1902</v>
      </c>
      <c r="H1905" t="s">
        <v>11235</v>
      </c>
      <c r="I1905" t="s">
        <v>11236</v>
      </c>
      <c r="J1905" t="s">
        <v>11237</v>
      </c>
    </row>
    <row r="1906" spans="6:10">
      <c r="F1906" t="s">
        <v>11238</v>
      </c>
      <c r="G1906">
        <v>1903</v>
      </c>
      <c r="H1906" t="s">
        <v>2718</v>
      </c>
      <c r="I1906" t="s">
        <v>2719</v>
      </c>
      <c r="J1906" t="s">
        <v>11239</v>
      </c>
    </row>
    <row r="1907" spans="6:10">
      <c r="F1907" t="s">
        <v>11240</v>
      </c>
      <c r="G1907">
        <v>1904</v>
      </c>
      <c r="H1907" t="s">
        <v>11241</v>
      </c>
      <c r="I1907" t="s">
        <v>11242</v>
      </c>
      <c r="J1907" t="s">
        <v>11243</v>
      </c>
    </row>
    <row r="1908" spans="6:10">
      <c r="F1908" t="s">
        <v>11244</v>
      </c>
      <c r="G1908">
        <v>1905</v>
      </c>
      <c r="H1908" t="s">
        <v>11245</v>
      </c>
      <c r="I1908" t="s">
        <v>11246</v>
      </c>
      <c r="J1908" t="s">
        <v>11247</v>
      </c>
    </row>
    <row r="1909" spans="6:10">
      <c r="F1909" t="s">
        <v>11248</v>
      </c>
      <c r="G1909">
        <v>1906</v>
      </c>
      <c r="H1909" t="s">
        <v>11249</v>
      </c>
      <c r="I1909" t="s">
        <v>11250</v>
      </c>
      <c r="J1909" t="s">
        <v>11251</v>
      </c>
    </row>
    <row r="1910" spans="6:10">
      <c r="F1910" t="s">
        <v>11252</v>
      </c>
      <c r="G1910">
        <v>1907</v>
      </c>
      <c r="H1910" t="s">
        <v>5632</v>
      </c>
      <c r="I1910" t="s">
        <v>5633</v>
      </c>
      <c r="J1910" t="s">
        <v>11253</v>
      </c>
    </row>
    <row r="1911" spans="6:10">
      <c r="F1911" t="s">
        <v>11254</v>
      </c>
      <c r="G1911">
        <v>1908</v>
      </c>
      <c r="H1911" t="s">
        <v>609</v>
      </c>
      <c r="I1911" t="s">
        <v>610</v>
      </c>
      <c r="J1911" t="s">
        <v>11255</v>
      </c>
    </row>
    <row r="1912" spans="6:10">
      <c r="F1912" t="s">
        <v>11256</v>
      </c>
      <c r="G1912">
        <v>1909</v>
      </c>
      <c r="H1912" t="s">
        <v>4668</v>
      </c>
      <c r="I1912" t="s">
        <v>4669</v>
      </c>
      <c r="J1912" t="s">
        <v>11257</v>
      </c>
    </row>
    <row r="1913" spans="6:10">
      <c r="F1913" t="s">
        <v>11258</v>
      </c>
      <c r="G1913">
        <v>1910</v>
      </c>
      <c r="H1913" t="s">
        <v>6110</v>
      </c>
      <c r="I1913" t="s">
        <v>6111</v>
      </c>
      <c r="J1913" t="s">
        <v>11259</v>
      </c>
    </row>
    <row r="1914" spans="6:10">
      <c r="F1914" t="s">
        <v>11260</v>
      </c>
      <c r="G1914">
        <v>1911</v>
      </c>
      <c r="H1914" t="s">
        <v>2700</v>
      </c>
      <c r="I1914" t="s">
        <v>2701</v>
      </c>
      <c r="J1914" t="s">
        <v>11261</v>
      </c>
    </row>
    <row r="1915" spans="6:10">
      <c r="F1915" t="s">
        <v>11262</v>
      </c>
      <c r="G1915">
        <v>1912</v>
      </c>
      <c r="H1915" t="s">
        <v>6024</v>
      </c>
      <c r="I1915" t="s">
        <v>6025</v>
      </c>
      <c r="J1915" t="s">
        <v>11263</v>
      </c>
    </row>
    <row r="1916" spans="6:10">
      <c r="F1916" t="s">
        <v>11264</v>
      </c>
      <c r="G1916">
        <v>1913</v>
      </c>
      <c r="H1916" t="s">
        <v>4192</v>
      </c>
      <c r="I1916" t="s">
        <v>4193</v>
      </c>
      <c r="J1916" t="s">
        <v>11265</v>
      </c>
    </row>
    <row r="1917" spans="6:10">
      <c r="F1917" t="s">
        <v>11266</v>
      </c>
      <c r="G1917">
        <v>1914</v>
      </c>
      <c r="H1917" t="s">
        <v>2656</v>
      </c>
      <c r="I1917" t="s">
        <v>2657</v>
      </c>
      <c r="J1917" t="s">
        <v>11267</v>
      </c>
    </row>
    <row r="1918" spans="6:10">
      <c r="F1918" t="s">
        <v>11268</v>
      </c>
      <c r="G1918">
        <v>1915</v>
      </c>
      <c r="H1918" t="s">
        <v>11269</v>
      </c>
      <c r="I1918" t="s">
        <v>11270</v>
      </c>
      <c r="J1918" t="s">
        <v>11271</v>
      </c>
    </row>
    <row r="1919" spans="6:10">
      <c r="F1919" t="s">
        <v>11272</v>
      </c>
      <c r="G1919">
        <v>1916</v>
      </c>
      <c r="H1919" t="s">
        <v>11273</v>
      </c>
      <c r="I1919" t="s">
        <v>11274</v>
      </c>
      <c r="J1919" t="s">
        <v>11275</v>
      </c>
    </row>
    <row r="1920" spans="6:10">
      <c r="F1920" t="s">
        <v>11276</v>
      </c>
      <c r="G1920">
        <v>1917</v>
      </c>
      <c r="H1920" t="s">
        <v>437</v>
      </c>
      <c r="I1920" t="s">
        <v>438</v>
      </c>
      <c r="J1920" t="s">
        <v>11277</v>
      </c>
    </row>
    <row r="1921" spans="6:10">
      <c r="F1921" t="s">
        <v>11278</v>
      </c>
      <c r="G1921">
        <v>1918</v>
      </c>
      <c r="H1921" t="s">
        <v>1445</v>
      </c>
      <c r="I1921" t="s">
        <v>1446</v>
      </c>
      <c r="J1921" t="s">
        <v>11279</v>
      </c>
    </row>
    <row r="1922" spans="6:10">
      <c r="F1922" t="s">
        <v>11280</v>
      </c>
      <c r="G1922">
        <v>1919</v>
      </c>
      <c r="H1922" t="s">
        <v>3961</v>
      </c>
      <c r="I1922" t="s">
        <v>3962</v>
      </c>
      <c r="J1922" t="s">
        <v>11281</v>
      </c>
    </row>
    <row r="1923" spans="6:10">
      <c r="F1923" t="s">
        <v>11282</v>
      </c>
      <c r="G1923">
        <v>1920</v>
      </c>
      <c r="H1923" t="s">
        <v>11283</v>
      </c>
      <c r="I1923" t="s">
        <v>11284</v>
      </c>
      <c r="J1923" t="s">
        <v>11285</v>
      </c>
    </row>
    <row r="1924" spans="6:10">
      <c r="F1924" t="s">
        <v>11286</v>
      </c>
      <c r="G1924">
        <v>1921</v>
      </c>
      <c r="H1924" t="s">
        <v>11287</v>
      </c>
      <c r="I1924" t="s">
        <v>11288</v>
      </c>
      <c r="J1924" t="s">
        <v>11289</v>
      </c>
    </row>
    <row r="1925" spans="6:10">
      <c r="F1925" t="s">
        <v>11290</v>
      </c>
      <c r="G1925">
        <v>1922</v>
      </c>
      <c r="H1925" t="s">
        <v>11291</v>
      </c>
      <c r="I1925" t="s">
        <v>11292</v>
      </c>
      <c r="J1925" t="s">
        <v>11293</v>
      </c>
    </row>
    <row r="1926" spans="6:10">
      <c r="F1926" t="s">
        <v>11294</v>
      </c>
      <c r="G1926">
        <v>1923</v>
      </c>
      <c r="H1926" t="s">
        <v>2818</v>
      </c>
      <c r="I1926" t="s">
        <v>2829</v>
      </c>
      <c r="J1926" t="s">
        <v>11295</v>
      </c>
    </row>
    <row r="1927" spans="6:10">
      <c r="F1927" t="s">
        <v>11296</v>
      </c>
      <c r="G1927">
        <v>1924</v>
      </c>
      <c r="H1927" t="s">
        <v>4854</v>
      </c>
      <c r="I1927" t="s">
        <v>4855</v>
      </c>
      <c r="J1927" t="s">
        <v>11297</v>
      </c>
    </row>
    <row r="1928" spans="6:10">
      <c r="F1928" t="s">
        <v>11298</v>
      </c>
      <c r="G1928">
        <v>1925</v>
      </c>
      <c r="H1928" t="s">
        <v>11299</v>
      </c>
      <c r="I1928" t="s">
        <v>11178</v>
      </c>
      <c r="J1928" t="s">
        <v>11300</v>
      </c>
    </row>
    <row r="1929" spans="6:10">
      <c r="F1929" t="s">
        <v>11301</v>
      </c>
      <c r="G1929">
        <v>1926</v>
      </c>
      <c r="H1929" t="s">
        <v>11302</v>
      </c>
      <c r="I1929" t="s">
        <v>11303</v>
      </c>
      <c r="J1929" t="s">
        <v>11304</v>
      </c>
    </row>
    <row r="1930" spans="6:10">
      <c r="F1930" t="s">
        <v>11305</v>
      </c>
      <c r="G1930">
        <v>1927</v>
      </c>
      <c r="H1930" t="s">
        <v>11306</v>
      </c>
      <c r="I1930" t="s">
        <v>11307</v>
      </c>
      <c r="J1930" t="s">
        <v>11308</v>
      </c>
    </row>
    <row r="1931" spans="6:10">
      <c r="F1931" t="s">
        <v>11309</v>
      </c>
      <c r="G1931">
        <v>1928</v>
      </c>
      <c r="H1931" t="s">
        <v>4928</v>
      </c>
      <c r="I1931" t="s">
        <v>4929</v>
      </c>
      <c r="J1931" t="s">
        <v>11310</v>
      </c>
    </row>
    <row r="1932" spans="6:10">
      <c r="F1932" t="s">
        <v>11311</v>
      </c>
      <c r="G1932">
        <v>1929</v>
      </c>
      <c r="H1932" t="s">
        <v>5561</v>
      </c>
      <c r="I1932" t="s">
        <v>5562</v>
      </c>
      <c r="J1932" t="s">
        <v>11312</v>
      </c>
    </row>
    <row r="1933" spans="6:10">
      <c r="F1933" t="s">
        <v>11313</v>
      </c>
      <c r="G1933">
        <v>1930</v>
      </c>
      <c r="H1933" t="s">
        <v>11314</v>
      </c>
      <c r="I1933" t="s">
        <v>11315</v>
      </c>
      <c r="J1933" t="s">
        <v>11316</v>
      </c>
    </row>
    <row r="1934" spans="6:10">
      <c r="F1934" t="s">
        <v>11317</v>
      </c>
      <c r="G1934">
        <v>1931</v>
      </c>
      <c r="H1934" t="s">
        <v>11318</v>
      </c>
      <c r="I1934" t="s">
        <v>11319</v>
      </c>
      <c r="J1934" t="s">
        <v>11320</v>
      </c>
    </row>
    <row r="1935" spans="6:10">
      <c r="F1935" t="s">
        <v>11321</v>
      </c>
      <c r="G1935">
        <v>1932</v>
      </c>
      <c r="H1935" t="s">
        <v>11322</v>
      </c>
      <c r="I1935" t="s">
        <v>11323</v>
      </c>
      <c r="J1935" t="s">
        <v>11324</v>
      </c>
    </row>
    <row r="1936" spans="6:10">
      <c r="F1936" t="s">
        <v>11325</v>
      </c>
      <c r="G1936">
        <v>1933</v>
      </c>
      <c r="H1936" t="s">
        <v>1606</v>
      </c>
      <c r="I1936" t="s">
        <v>1607</v>
      </c>
      <c r="J1936" t="s">
        <v>11326</v>
      </c>
    </row>
    <row r="1937" spans="6:10">
      <c r="F1937" t="s">
        <v>11327</v>
      </c>
      <c r="G1937">
        <v>1934</v>
      </c>
      <c r="H1937" t="s">
        <v>5897</v>
      </c>
      <c r="I1937" t="s">
        <v>5898</v>
      </c>
      <c r="J1937" t="s">
        <v>11328</v>
      </c>
    </row>
    <row r="1938" spans="6:10">
      <c r="F1938" t="s">
        <v>11329</v>
      </c>
      <c r="G1938">
        <v>1935</v>
      </c>
      <c r="H1938" t="s">
        <v>1897</v>
      </c>
      <c r="I1938" t="s">
        <v>1898</v>
      </c>
      <c r="J1938" t="s">
        <v>11330</v>
      </c>
    </row>
    <row r="1939" spans="6:10">
      <c r="F1939" t="s">
        <v>11331</v>
      </c>
      <c r="G1939">
        <v>1936</v>
      </c>
      <c r="H1939" t="s">
        <v>11332</v>
      </c>
      <c r="I1939" t="s">
        <v>11333</v>
      </c>
      <c r="J1939" t="s">
        <v>11334</v>
      </c>
    </row>
    <row r="1940" spans="6:10">
      <c r="F1940" t="s">
        <v>11335</v>
      </c>
      <c r="G1940">
        <v>1937</v>
      </c>
      <c r="H1940" t="s">
        <v>5565</v>
      </c>
      <c r="I1940" t="s">
        <v>5567</v>
      </c>
      <c r="J1940" t="s">
        <v>11336</v>
      </c>
    </row>
    <row r="1941" spans="6:10">
      <c r="F1941" t="s">
        <v>11337</v>
      </c>
      <c r="G1941">
        <v>1938</v>
      </c>
      <c r="H1941" t="s">
        <v>11338</v>
      </c>
      <c r="I1941" t="s">
        <v>11339</v>
      </c>
      <c r="J1941" t="s">
        <v>11340</v>
      </c>
    </row>
    <row r="1942" spans="6:10">
      <c r="F1942" t="s">
        <v>11341</v>
      </c>
      <c r="G1942">
        <v>1939</v>
      </c>
      <c r="H1942" t="s">
        <v>2177</v>
      </c>
      <c r="I1942" t="s">
        <v>2178</v>
      </c>
      <c r="J1942" t="s">
        <v>11342</v>
      </c>
    </row>
    <row r="1943" spans="6:10">
      <c r="F1943" t="s">
        <v>11343</v>
      </c>
      <c r="G1943">
        <v>1940</v>
      </c>
      <c r="H1943" t="s">
        <v>11344</v>
      </c>
      <c r="I1943" t="s">
        <v>11345</v>
      </c>
      <c r="J1943" t="s">
        <v>11346</v>
      </c>
    </row>
    <row r="1944" spans="6:10">
      <c r="F1944" t="s">
        <v>11347</v>
      </c>
      <c r="G1944">
        <v>1941</v>
      </c>
      <c r="H1944" t="s">
        <v>2587</v>
      </c>
      <c r="I1944" t="s">
        <v>2589</v>
      </c>
      <c r="J1944" t="s">
        <v>11348</v>
      </c>
    </row>
    <row r="1945" spans="6:10">
      <c r="F1945" t="s">
        <v>11349</v>
      </c>
      <c r="G1945">
        <v>1942</v>
      </c>
      <c r="H1945" t="s">
        <v>4497</v>
      </c>
      <c r="I1945" t="s">
        <v>4498</v>
      </c>
      <c r="J1945" t="s">
        <v>11350</v>
      </c>
    </row>
    <row r="1946" spans="6:10">
      <c r="F1946" t="s">
        <v>11351</v>
      </c>
      <c r="G1946">
        <v>1943</v>
      </c>
      <c r="H1946" t="s">
        <v>11352</v>
      </c>
      <c r="I1946" t="s">
        <v>11353</v>
      </c>
      <c r="J1946" t="s">
        <v>11354</v>
      </c>
    </row>
    <row r="1947" spans="6:10">
      <c r="F1947" t="s">
        <v>11355</v>
      </c>
      <c r="G1947">
        <v>1944</v>
      </c>
      <c r="H1947" t="s">
        <v>11356</v>
      </c>
      <c r="I1947" t="s">
        <v>11357</v>
      </c>
      <c r="J1947" t="s">
        <v>11358</v>
      </c>
    </row>
    <row r="1948" spans="6:10">
      <c r="F1948" t="s">
        <v>11359</v>
      </c>
      <c r="G1948">
        <v>1945</v>
      </c>
      <c r="H1948" t="s">
        <v>59</v>
      </c>
      <c r="I1948" t="s">
        <v>60</v>
      </c>
      <c r="J1948" t="s">
        <v>11360</v>
      </c>
    </row>
    <row r="1949" spans="6:10">
      <c r="F1949" t="s">
        <v>11361</v>
      </c>
      <c r="G1949">
        <v>1946</v>
      </c>
      <c r="H1949" t="s">
        <v>851</v>
      </c>
      <c r="I1949" t="s">
        <v>852</v>
      </c>
      <c r="J1949" t="s">
        <v>11362</v>
      </c>
    </row>
    <row r="1950" spans="6:10">
      <c r="F1950" t="s">
        <v>11363</v>
      </c>
      <c r="G1950">
        <v>1947</v>
      </c>
      <c r="H1950" t="s">
        <v>548</v>
      </c>
      <c r="I1950" t="s">
        <v>574</v>
      </c>
      <c r="J1950" t="s">
        <v>11364</v>
      </c>
    </row>
    <row r="1951" spans="6:10">
      <c r="F1951" t="s">
        <v>11365</v>
      </c>
      <c r="G1951">
        <v>1948</v>
      </c>
      <c r="H1951" t="s">
        <v>3474</v>
      </c>
      <c r="I1951" t="s">
        <v>3475</v>
      </c>
      <c r="J1951" t="s">
        <v>11366</v>
      </c>
    </row>
    <row r="1952" spans="6:10">
      <c r="F1952" t="s">
        <v>11367</v>
      </c>
      <c r="G1952">
        <v>1949</v>
      </c>
      <c r="H1952" t="s">
        <v>1752</v>
      </c>
      <c r="I1952" t="s">
        <v>1753</v>
      </c>
      <c r="J1952" t="s">
        <v>11368</v>
      </c>
    </row>
    <row r="1953" spans="6:10">
      <c r="F1953" t="s">
        <v>11369</v>
      </c>
      <c r="G1953">
        <v>1950</v>
      </c>
      <c r="H1953" t="s">
        <v>2670</v>
      </c>
      <c r="I1953" t="s">
        <v>2671</v>
      </c>
      <c r="J1953" t="s">
        <v>11370</v>
      </c>
    </row>
    <row r="1954" spans="6:10">
      <c r="F1954" t="s">
        <v>11371</v>
      </c>
      <c r="G1954">
        <v>1951</v>
      </c>
      <c r="H1954" t="s">
        <v>11372</v>
      </c>
      <c r="I1954" t="s">
        <v>11373</v>
      </c>
      <c r="J1954" t="s">
        <v>11374</v>
      </c>
    </row>
    <row r="1955" spans="6:10">
      <c r="F1955" t="s">
        <v>11375</v>
      </c>
      <c r="G1955">
        <v>1952</v>
      </c>
      <c r="H1955" t="s">
        <v>11376</v>
      </c>
      <c r="I1955" t="s">
        <v>11377</v>
      </c>
      <c r="J1955" t="s">
        <v>11378</v>
      </c>
    </row>
    <row r="1956" spans="6:10">
      <c r="F1956" t="s">
        <v>11379</v>
      </c>
      <c r="G1956">
        <v>1953</v>
      </c>
      <c r="H1956" t="s">
        <v>2149</v>
      </c>
      <c r="I1956" t="s">
        <v>2150</v>
      </c>
      <c r="J1956" t="s">
        <v>11380</v>
      </c>
    </row>
    <row r="1957" spans="6:10">
      <c r="F1957" t="s">
        <v>11381</v>
      </c>
      <c r="G1957">
        <v>1954</v>
      </c>
      <c r="H1957" t="s">
        <v>6045</v>
      </c>
      <c r="I1957" t="s">
        <v>6046</v>
      </c>
      <c r="J1957" t="s">
        <v>11382</v>
      </c>
    </row>
    <row r="1958" spans="6:10">
      <c r="F1958" t="s">
        <v>11383</v>
      </c>
      <c r="G1958">
        <v>1955</v>
      </c>
      <c r="H1958" t="s">
        <v>11384</v>
      </c>
      <c r="I1958" t="s">
        <v>11385</v>
      </c>
      <c r="J1958" t="s">
        <v>11386</v>
      </c>
    </row>
    <row r="1959" spans="6:10">
      <c r="F1959" t="s">
        <v>11387</v>
      </c>
      <c r="G1959">
        <v>1956</v>
      </c>
      <c r="H1959" t="s">
        <v>6166</v>
      </c>
      <c r="I1959" t="s">
        <v>6166</v>
      </c>
      <c r="J1959" t="s">
        <v>11388</v>
      </c>
    </row>
    <row r="1960" spans="6:10">
      <c r="F1960" t="s">
        <v>11389</v>
      </c>
      <c r="G1960">
        <v>1957</v>
      </c>
      <c r="H1960" t="s">
        <v>1262</v>
      </c>
      <c r="I1960" t="s">
        <v>1263</v>
      </c>
      <c r="J1960" t="s">
        <v>11390</v>
      </c>
    </row>
    <row r="1961" spans="6:10">
      <c r="F1961" t="s">
        <v>11391</v>
      </c>
      <c r="G1961">
        <v>1958</v>
      </c>
      <c r="H1961" t="s">
        <v>11392</v>
      </c>
      <c r="I1961" t="s">
        <v>11392</v>
      </c>
      <c r="J1961" t="s">
        <v>11393</v>
      </c>
    </row>
    <row r="1962" spans="6:10">
      <c r="F1962" t="s">
        <v>11394</v>
      </c>
      <c r="G1962">
        <v>1959</v>
      </c>
      <c r="H1962" t="s">
        <v>11395</v>
      </c>
      <c r="I1962" t="s">
        <v>11396</v>
      </c>
      <c r="J1962" t="s">
        <v>11397</v>
      </c>
    </row>
    <row r="1963" spans="6:10">
      <c r="F1963" t="s">
        <v>11398</v>
      </c>
      <c r="G1963">
        <v>1960</v>
      </c>
      <c r="H1963" t="s">
        <v>11399</v>
      </c>
      <c r="I1963" t="s">
        <v>11400</v>
      </c>
      <c r="J1963" t="s">
        <v>11401</v>
      </c>
    </row>
    <row r="1964" spans="6:10">
      <c r="F1964" t="s">
        <v>11402</v>
      </c>
      <c r="G1964">
        <v>1961</v>
      </c>
      <c r="H1964" t="s">
        <v>1860</v>
      </c>
      <c r="I1964" t="s">
        <v>1861</v>
      </c>
      <c r="J1964" t="s">
        <v>11403</v>
      </c>
    </row>
    <row r="1965" spans="6:10">
      <c r="F1965" t="s">
        <v>11404</v>
      </c>
      <c r="G1965">
        <v>1962</v>
      </c>
      <c r="H1965" t="s">
        <v>4096</v>
      </c>
      <c r="I1965" t="s">
        <v>4097</v>
      </c>
      <c r="J1965" t="s">
        <v>11405</v>
      </c>
    </row>
    <row r="1966" spans="6:10">
      <c r="F1966" t="s">
        <v>11406</v>
      </c>
      <c r="G1966">
        <v>1963</v>
      </c>
      <c r="H1966" t="s">
        <v>11407</v>
      </c>
      <c r="I1966" t="s">
        <v>11408</v>
      </c>
      <c r="J1966" t="s">
        <v>11409</v>
      </c>
    </row>
    <row r="1967" spans="6:10">
      <c r="F1967" t="s">
        <v>11410</v>
      </c>
      <c r="G1967">
        <v>1964</v>
      </c>
      <c r="H1967" t="s">
        <v>4425</v>
      </c>
      <c r="I1967" t="s">
        <v>4426</v>
      </c>
      <c r="J1967" t="s">
        <v>11411</v>
      </c>
    </row>
    <row r="1968" spans="6:10">
      <c r="F1968" t="s">
        <v>11412</v>
      </c>
      <c r="G1968">
        <v>1965</v>
      </c>
      <c r="H1968" t="s">
        <v>11413</v>
      </c>
      <c r="I1968" t="s">
        <v>11414</v>
      </c>
      <c r="J1968" t="s">
        <v>11415</v>
      </c>
    </row>
    <row r="1969" spans="6:10">
      <c r="F1969" t="s">
        <v>11416</v>
      </c>
      <c r="G1969">
        <v>1966</v>
      </c>
      <c r="H1969" t="s">
        <v>1407</v>
      </c>
      <c r="I1969" t="s">
        <v>1408</v>
      </c>
      <c r="J1969" t="s">
        <v>11417</v>
      </c>
    </row>
    <row r="1970" spans="6:10">
      <c r="F1970" t="s">
        <v>11418</v>
      </c>
      <c r="G1970">
        <v>1967</v>
      </c>
      <c r="H1970" t="s">
        <v>6220</v>
      </c>
      <c r="I1970" t="s">
        <v>6221</v>
      </c>
      <c r="J1970" t="s">
        <v>11419</v>
      </c>
    </row>
    <row r="1971" spans="6:10">
      <c r="F1971" t="s">
        <v>11420</v>
      </c>
      <c r="G1971">
        <v>1968</v>
      </c>
      <c r="H1971" t="s">
        <v>3605</v>
      </c>
      <c r="I1971" t="s">
        <v>3606</v>
      </c>
      <c r="J1971" t="s">
        <v>11421</v>
      </c>
    </row>
    <row r="1972" spans="6:10">
      <c r="F1972" t="s">
        <v>11422</v>
      </c>
      <c r="G1972">
        <v>1969</v>
      </c>
      <c r="H1972" t="s">
        <v>5276</v>
      </c>
      <c r="I1972" t="s">
        <v>5277</v>
      </c>
      <c r="J1972" t="s">
        <v>11423</v>
      </c>
    </row>
    <row r="1973" spans="6:10">
      <c r="F1973" t="s">
        <v>11424</v>
      </c>
      <c r="G1973">
        <v>1970</v>
      </c>
      <c r="H1973" t="s">
        <v>916</v>
      </c>
      <c r="I1973" t="s">
        <v>917</v>
      </c>
      <c r="J1973" t="s">
        <v>11425</v>
      </c>
    </row>
    <row r="1974" spans="6:10">
      <c r="F1974" t="s">
        <v>11426</v>
      </c>
      <c r="G1974">
        <v>1971</v>
      </c>
      <c r="H1974" t="s">
        <v>5832</v>
      </c>
      <c r="I1974" t="s">
        <v>5833</v>
      </c>
      <c r="J1974" t="s">
        <v>11427</v>
      </c>
    </row>
    <row r="1975" spans="6:10">
      <c r="F1975" t="s">
        <v>11428</v>
      </c>
      <c r="G1975">
        <v>1972</v>
      </c>
      <c r="H1975" t="s">
        <v>4994</v>
      </c>
      <c r="I1975" t="s">
        <v>4995</v>
      </c>
      <c r="J1975" t="s">
        <v>11429</v>
      </c>
    </row>
    <row r="1976" spans="6:10">
      <c r="F1976" t="s">
        <v>11430</v>
      </c>
      <c r="G1976">
        <v>1973</v>
      </c>
      <c r="H1976" t="s">
        <v>3405</v>
      </c>
      <c r="I1976" t="s">
        <v>3407</v>
      </c>
      <c r="J1976" t="s">
        <v>11431</v>
      </c>
    </row>
    <row r="1977" spans="6:10">
      <c r="F1977" t="s">
        <v>11432</v>
      </c>
      <c r="G1977">
        <v>1974</v>
      </c>
      <c r="H1977" t="s">
        <v>11433</v>
      </c>
      <c r="I1977" t="s">
        <v>11434</v>
      </c>
      <c r="J1977" t="s">
        <v>11435</v>
      </c>
    </row>
    <row r="1978" spans="6:10">
      <c r="F1978" t="s">
        <v>11436</v>
      </c>
      <c r="G1978">
        <v>1975</v>
      </c>
      <c r="H1978" t="s">
        <v>4475</v>
      </c>
      <c r="I1978" t="s">
        <v>4476</v>
      </c>
      <c r="J1978" t="s">
        <v>11437</v>
      </c>
    </row>
    <row r="1979" spans="6:10">
      <c r="F1979" t="s">
        <v>11438</v>
      </c>
      <c r="G1979">
        <v>1976</v>
      </c>
      <c r="H1979" t="s">
        <v>11439</v>
      </c>
      <c r="I1979" t="s">
        <v>11440</v>
      </c>
      <c r="J1979" t="s">
        <v>11441</v>
      </c>
    </row>
    <row r="1980" spans="6:10">
      <c r="F1980" t="s">
        <v>11442</v>
      </c>
      <c r="G1980">
        <v>1977</v>
      </c>
      <c r="H1980" t="s">
        <v>11443</v>
      </c>
      <c r="I1980" t="s">
        <v>11444</v>
      </c>
      <c r="J1980" t="s">
        <v>11445</v>
      </c>
    </row>
    <row r="1981" spans="6:10">
      <c r="F1981" t="s">
        <v>11446</v>
      </c>
      <c r="G1981">
        <v>1978</v>
      </c>
      <c r="H1981" t="s">
        <v>11447</v>
      </c>
      <c r="I1981" t="s">
        <v>11448</v>
      </c>
      <c r="J1981" t="s">
        <v>11449</v>
      </c>
    </row>
    <row r="1982" spans="6:10">
      <c r="F1982" t="s">
        <v>11450</v>
      </c>
      <c r="G1982">
        <v>1979</v>
      </c>
      <c r="H1982" t="s">
        <v>11451</v>
      </c>
      <c r="I1982" t="s">
        <v>11451</v>
      </c>
      <c r="J1982" t="s">
        <v>11452</v>
      </c>
    </row>
    <row r="1983" spans="6:10">
      <c r="F1983" t="s">
        <v>11453</v>
      </c>
      <c r="G1983">
        <v>1980</v>
      </c>
      <c r="H1983" t="s">
        <v>11454</v>
      </c>
      <c r="I1983" t="s">
        <v>11455</v>
      </c>
      <c r="J1983" t="s">
        <v>11456</v>
      </c>
    </row>
    <row r="1984" spans="6:10">
      <c r="F1984" t="s">
        <v>11457</v>
      </c>
      <c r="G1984">
        <v>1981</v>
      </c>
      <c r="H1984" t="s">
        <v>1346</v>
      </c>
      <c r="I1984" t="s">
        <v>1347</v>
      </c>
      <c r="J1984" t="s">
        <v>11458</v>
      </c>
    </row>
    <row r="1985" spans="6:10">
      <c r="F1985" t="s">
        <v>11459</v>
      </c>
      <c r="G1985">
        <v>1982</v>
      </c>
      <c r="H1985" t="s">
        <v>11460</v>
      </c>
      <c r="I1985" t="s">
        <v>11461</v>
      </c>
      <c r="J1985" t="s">
        <v>11462</v>
      </c>
    </row>
    <row r="1986" spans="6:10">
      <c r="F1986" t="s">
        <v>11463</v>
      </c>
      <c r="G1986">
        <v>1983</v>
      </c>
      <c r="H1986" t="s">
        <v>2975</v>
      </c>
      <c r="I1986" t="s">
        <v>2975</v>
      </c>
      <c r="J1986" t="s">
        <v>11464</v>
      </c>
    </row>
    <row r="1987" spans="6:10">
      <c r="F1987" t="s">
        <v>11465</v>
      </c>
      <c r="G1987">
        <v>1984</v>
      </c>
      <c r="H1987" t="s">
        <v>2105</v>
      </c>
      <c r="I1987" t="s">
        <v>2106</v>
      </c>
      <c r="J1987" t="s">
        <v>11466</v>
      </c>
    </row>
    <row r="1988" spans="6:10">
      <c r="F1988" t="s">
        <v>11467</v>
      </c>
      <c r="G1988">
        <v>1985</v>
      </c>
      <c r="H1988" t="s">
        <v>5872</v>
      </c>
      <c r="I1988" t="s">
        <v>5873</v>
      </c>
      <c r="J1988" t="s">
        <v>11468</v>
      </c>
    </row>
    <row r="1989" spans="6:10">
      <c r="F1989" t="s">
        <v>11469</v>
      </c>
      <c r="G1989">
        <v>1986</v>
      </c>
      <c r="H1989" t="s">
        <v>4648</v>
      </c>
      <c r="I1989" t="s">
        <v>4649</v>
      </c>
      <c r="J1989" t="s">
        <v>11470</v>
      </c>
    </row>
    <row r="1990" spans="6:10">
      <c r="F1990" t="s">
        <v>11471</v>
      </c>
      <c r="G1990">
        <v>1987</v>
      </c>
      <c r="H1990" t="s">
        <v>11472</v>
      </c>
      <c r="I1990" t="s">
        <v>11472</v>
      </c>
      <c r="J1990" t="s">
        <v>11473</v>
      </c>
    </row>
    <row r="1991" spans="6:10">
      <c r="F1991" t="s">
        <v>11474</v>
      </c>
      <c r="G1991">
        <v>1988</v>
      </c>
      <c r="H1991" t="s">
        <v>11475</v>
      </c>
      <c r="I1991" t="s">
        <v>11476</v>
      </c>
      <c r="J1991" t="s">
        <v>11477</v>
      </c>
    </row>
    <row r="1992" spans="6:10">
      <c r="F1992" t="s">
        <v>11478</v>
      </c>
      <c r="G1992">
        <v>1989</v>
      </c>
      <c r="H1992" t="s">
        <v>6200</v>
      </c>
      <c r="I1992" t="s">
        <v>6201</v>
      </c>
      <c r="J1992" t="s">
        <v>11479</v>
      </c>
    </row>
    <row r="1993" spans="6:10">
      <c r="F1993" t="s">
        <v>11480</v>
      </c>
      <c r="G1993">
        <v>1990</v>
      </c>
      <c r="H1993" t="s">
        <v>2744</v>
      </c>
      <c r="I1993" t="s">
        <v>2747</v>
      </c>
      <c r="J1993" t="s">
        <v>11481</v>
      </c>
    </row>
    <row r="1994" spans="6:10">
      <c r="F1994" t="s">
        <v>11482</v>
      </c>
      <c r="G1994">
        <v>1991</v>
      </c>
      <c r="H1994" t="s">
        <v>2463</v>
      </c>
      <c r="I1994" t="s">
        <v>2464</v>
      </c>
      <c r="J1994" t="s">
        <v>11483</v>
      </c>
    </row>
    <row r="1995" spans="6:10">
      <c r="F1995" t="s">
        <v>11484</v>
      </c>
      <c r="G1995">
        <v>1992</v>
      </c>
      <c r="H1995" t="s">
        <v>11485</v>
      </c>
      <c r="I1995" t="s">
        <v>7006</v>
      </c>
      <c r="J1995" t="s">
        <v>11486</v>
      </c>
    </row>
    <row r="1996" spans="6:10">
      <c r="F1996" t="s">
        <v>11487</v>
      </c>
      <c r="G1996">
        <v>1993</v>
      </c>
      <c r="H1996" t="s">
        <v>5700</v>
      </c>
      <c r="I1996" t="s">
        <v>5701</v>
      </c>
      <c r="J1996" t="s">
        <v>11488</v>
      </c>
    </row>
    <row r="1997" spans="6:10">
      <c r="F1997" t="s">
        <v>11489</v>
      </c>
      <c r="G1997">
        <v>1994</v>
      </c>
      <c r="H1997" t="s">
        <v>1314</v>
      </c>
      <c r="I1997" t="s">
        <v>1315</v>
      </c>
      <c r="J1997" t="s">
        <v>11490</v>
      </c>
    </row>
    <row r="1998" spans="6:10">
      <c r="F1998" t="s">
        <v>11491</v>
      </c>
      <c r="G1998">
        <v>1995</v>
      </c>
      <c r="H1998" t="s">
        <v>2646</v>
      </c>
      <c r="I1998" t="s">
        <v>2647</v>
      </c>
      <c r="J1998" t="s">
        <v>11492</v>
      </c>
    </row>
    <row r="1999" spans="6:10">
      <c r="F1999" t="s">
        <v>11493</v>
      </c>
      <c r="G1999">
        <v>1996</v>
      </c>
      <c r="H1999" t="s">
        <v>5165</v>
      </c>
      <c r="I1999" t="s">
        <v>5166</v>
      </c>
      <c r="J1999" t="s">
        <v>11494</v>
      </c>
    </row>
    <row r="2000" spans="6:10">
      <c r="F2000" t="s">
        <v>11495</v>
      </c>
      <c r="G2000">
        <v>1997</v>
      </c>
      <c r="H2000" t="s">
        <v>5794</v>
      </c>
      <c r="I2000" t="s">
        <v>5795</v>
      </c>
      <c r="J2000" t="s">
        <v>11496</v>
      </c>
    </row>
    <row r="2001" spans="6:10">
      <c r="F2001" t="s">
        <v>11497</v>
      </c>
      <c r="G2001">
        <v>1998</v>
      </c>
      <c r="H2001" t="s">
        <v>4667</v>
      </c>
      <c r="I2001" t="s">
        <v>4328</v>
      </c>
      <c r="J2001" t="s">
        <v>11498</v>
      </c>
    </row>
    <row r="2002" spans="6:10">
      <c r="F2002" t="s">
        <v>11499</v>
      </c>
      <c r="G2002">
        <v>1999</v>
      </c>
      <c r="H2002" t="s">
        <v>6102</v>
      </c>
      <c r="I2002" t="s">
        <v>6103</v>
      </c>
      <c r="J2002" t="s">
        <v>11500</v>
      </c>
    </row>
    <row r="2003" spans="6:10">
      <c r="F2003" t="s">
        <v>11501</v>
      </c>
      <c r="G2003">
        <v>2000</v>
      </c>
      <c r="H2003" t="s">
        <v>3017</v>
      </c>
      <c r="I2003" t="s">
        <v>3018</v>
      </c>
      <c r="J2003" t="s">
        <v>11502</v>
      </c>
    </row>
    <row r="2004" spans="6:10">
      <c r="F2004" t="s">
        <v>11503</v>
      </c>
      <c r="G2004">
        <v>2001</v>
      </c>
      <c r="H2004" t="s">
        <v>4529</v>
      </c>
      <c r="I2004" t="s">
        <v>3643</v>
      </c>
      <c r="J2004" t="s">
        <v>11504</v>
      </c>
    </row>
    <row r="2005" spans="6:10">
      <c r="F2005" t="s">
        <v>11505</v>
      </c>
      <c r="G2005">
        <v>2002</v>
      </c>
      <c r="H2005" t="s">
        <v>4980</v>
      </c>
      <c r="I2005" t="s">
        <v>4981</v>
      </c>
      <c r="J2005" t="s">
        <v>11506</v>
      </c>
    </row>
    <row r="2006" spans="6:10">
      <c r="F2006" t="s">
        <v>11507</v>
      </c>
      <c r="G2006">
        <v>2003</v>
      </c>
      <c r="H2006" t="s">
        <v>4714</v>
      </c>
      <c r="I2006" t="s">
        <v>4715</v>
      </c>
      <c r="J2006" t="s">
        <v>11508</v>
      </c>
    </row>
    <row r="2007" spans="6:10">
      <c r="F2007" t="s">
        <v>11509</v>
      </c>
      <c r="G2007">
        <v>2004</v>
      </c>
      <c r="H2007" t="s">
        <v>6051</v>
      </c>
      <c r="I2007" t="s">
        <v>6052</v>
      </c>
      <c r="J2007" t="s">
        <v>11510</v>
      </c>
    </row>
    <row r="2008" spans="6:10">
      <c r="F2008" t="s">
        <v>11511</v>
      </c>
      <c r="G2008">
        <v>2005</v>
      </c>
      <c r="H2008" t="s">
        <v>11512</v>
      </c>
      <c r="I2008" t="s">
        <v>11513</v>
      </c>
      <c r="J2008" t="s">
        <v>11514</v>
      </c>
    </row>
    <row r="2009" spans="6:10">
      <c r="F2009" t="s">
        <v>11515</v>
      </c>
      <c r="G2009">
        <v>2006</v>
      </c>
      <c r="H2009" t="s">
        <v>7777</v>
      </c>
      <c r="I2009" t="s">
        <v>11516</v>
      </c>
      <c r="J2009" t="s">
        <v>11517</v>
      </c>
    </row>
    <row r="2010" spans="6:10">
      <c r="F2010" t="s">
        <v>11518</v>
      </c>
      <c r="G2010">
        <v>2007</v>
      </c>
      <c r="H2010" t="s">
        <v>11519</v>
      </c>
      <c r="I2010" t="s">
        <v>11520</v>
      </c>
      <c r="J2010" t="s">
        <v>11521</v>
      </c>
    </row>
    <row r="2011" spans="6:10">
      <c r="F2011" t="s">
        <v>11522</v>
      </c>
      <c r="G2011">
        <v>2008</v>
      </c>
      <c r="H2011" t="s">
        <v>5142</v>
      </c>
      <c r="I2011" t="s">
        <v>3018</v>
      </c>
      <c r="J2011" t="s">
        <v>11523</v>
      </c>
    </row>
    <row r="2012" spans="6:10">
      <c r="F2012" t="s">
        <v>11524</v>
      </c>
      <c r="G2012">
        <v>2009</v>
      </c>
      <c r="H2012" t="s">
        <v>5313</v>
      </c>
      <c r="I2012" t="s">
        <v>5068</v>
      </c>
      <c r="J2012" t="s">
        <v>11525</v>
      </c>
    </row>
    <row r="2013" spans="6:10">
      <c r="F2013" t="s">
        <v>11526</v>
      </c>
      <c r="G2013">
        <v>2010</v>
      </c>
      <c r="H2013" t="s">
        <v>11527</v>
      </c>
      <c r="I2013" t="s">
        <v>11528</v>
      </c>
      <c r="J2013" t="s">
        <v>11529</v>
      </c>
    </row>
    <row r="2014" spans="6:10">
      <c r="F2014" t="s">
        <v>11530</v>
      </c>
      <c r="G2014">
        <v>2011</v>
      </c>
      <c r="H2014" t="s">
        <v>2939</v>
      </c>
      <c r="I2014" t="s">
        <v>2940</v>
      </c>
      <c r="J2014" t="s">
        <v>11531</v>
      </c>
    </row>
    <row r="2015" spans="6:10">
      <c r="F2015" t="s">
        <v>11532</v>
      </c>
      <c r="G2015">
        <v>2012</v>
      </c>
      <c r="H2015" t="s">
        <v>11533</v>
      </c>
      <c r="I2015" t="s">
        <v>11534</v>
      </c>
      <c r="J2015" t="s">
        <v>11535</v>
      </c>
    </row>
    <row r="2016" spans="6:10">
      <c r="F2016" t="s">
        <v>11536</v>
      </c>
      <c r="G2016">
        <v>2013</v>
      </c>
      <c r="H2016" t="s">
        <v>7005</v>
      </c>
      <c r="I2016" t="s">
        <v>11537</v>
      </c>
      <c r="J2016" t="s">
        <v>11538</v>
      </c>
    </row>
    <row r="2017" spans="6:10">
      <c r="F2017" t="s">
        <v>11539</v>
      </c>
      <c r="G2017">
        <v>2014</v>
      </c>
      <c r="H2017" t="s">
        <v>4766</v>
      </c>
      <c r="I2017" t="s">
        <v>4767</v>
      </c>
      <c r="J2017" t="s">
        <v>11540</v>
      </c>
    </row>
    <row r="2018" spans="6:10">
      <c r="F2018" t="s">
        <v>11541</v>
      </c>
      <c r="G2018">
        <v>2015</v>
      </c>
      <c r="H2018" t="s">
        <v>1973</v>
      </c>
      <c r="I2018" t="s">
        <v>1974</v>
      </c>
      <c r="J2018" t="s">
        <v>11542</v>
      </c>
    </row>
    <row r="2019" spans="6:10">
      <c r="F2019" t="s">
        <v>11543</v>
      </c>
      <c r="G2019">
        <v>2016</v>
      </c>
      <c r="H2019" t="s">
        <v>3617</v>
      </c>
      <c r="I2019" t="s">
        <v>3618</v>
      </c>
      <c r="J2019" t="s">
        <v>11544</v>
      </c>
    </row>
    <row r="2020" spans="6:10">
      <c r="F2020" t="s">
        <v>11545</v>
      </c>
      <c r="G2020">
        <v>2017</v>
      </c>
      <c r="H2020" t="s">
        <v>3738</v>
      </c>
      <c r="I2020" t="s">
        <v>1389</v>
      </c>
      <c r="J2020" t="s">
        <v>11546</v>
      </c>
    </row>
    <row r="2021" spans="6:10">
      <c r="F2021" t="s">
        <v>11547</v>
      </c>
      <c r="G2021">
        <v>2018</v>
      </c>
      <c r="H2021" t="s">
        <v>3603</v>
      </c>
      <c r="I2021" t="s">
        <v>3604</v>
      </c>
      <c r="J2021" t="s">
        <v>11548</v>
      </c>
    </row>
    <row r="2022" spans="6:10">
      <c r="F2022" t="s">
        <v>11549</v>
      </c>
      <c r="G2022">
        <v>2019</v>
      </c>
      <c r="H2022" t="s">
        <v>11550</v>
      </c>
      <c r="I2022" t="s">
        <v>11551</v>
      </c>
      <c r="J2022" t="s">
        <v>11552</v>
      </c>
    </row>
    <row r="2023" spans="6:10">
      <c r="F2023" t="s">
        <v>11553</v>
      </c>
      <c r="G2023">
        <v>2020</v>
      </c>
      <c r="H2023" t="s">
        <v>11554</v>
      </c>
      <c r="I2023" t="s">
        <v>11555</v>
      </c>
      <c r="J2023" t="s">
        <v>11556</v>
      </c>
    </row>
    <row r="2024" spans="6:10">
      <c r="F2024" t="s">
        <v>11557</v>
      </c>
      <c r="G2024">
        <v>2021</v>
      </c>
      <c r="H2024" t="s">
        <v>6183</v>
      </c>
      <c r="I2024" t="s">
        <v>6187</v>
      </c>
      <c r="J2024" t="s">
        <v>11558</v>
      </c>
    </row>
    <row r="2025" spans="6:10">
      <c r="F2025" t="s">
        <v>11559</v>
      </c>
      <c r="G2025">
        <v>2022</v>
      </c>
      <c r="H2025" t="s">
        <v>6183</v>
      </c>
      <c r="I2025" t="s">
        <v>6188</v>
      </c>
      <c r="J2025" t="s">
        <v>11560</v>
      </c>
    </row>
    <row r="2026" spans="6:10">
      <c r="F2026" t="s">
        <v>11561</v>
      </c>
      <c r="G2026">
        <v>2023</v>
      </c>
      <c r="H2026" t="s">
        <v>6176</v>
      </c>
      <c r="I2026" t="s">
        <v>6177</v>
      </c>
      <c r="J2026" t="s">
        <v>11562</v>
      </c>
    </row>
    <row r="2027" spans="6:10">
      <c r="F2027" t="s">
        <v>11563</v>
      </c>
      <c r="G2027">
        <v>2024</v>
      </c>
      <c r="H2027" t="s">
        <v>11564</v>
      </c>
      <c r="I2027" t="s">
        <v>11565</v>
      </c>
      <c r="J2027" t="s">
        <v>11566</v>
      </c>
    </row>
    <row r="2028" spans="6:10">
      <c r="F2028" t="s">
        <v>11567</v>
      </c>
      <c r="G2028">
        <v>2025</v>
      </c>
      <c r="H2028" t="s">
        <v>2573</v>
      </c>
      <c r="I2028" t="s">
        <v>2574</v>
      </c>
      <c r="J2028" t="s">
        <v>11568</v>
      </c>
    </row>
    <row r="2029" spans="6:10">
      <c r="F2029" t="s">
        <v>11569</v>
      </c>
      <c r="G2029">
        <v>2026</v>
      </c>
      <c r="H2029" t="s">
        <v>5099</v>
      </c>
      <c r="I2029" t="s">
        <v>5100</v>
      </c>
      <c r="J2029" t="s">
        <v>11570</v>
      </c>
    </row>
    <row r="2030" spans="6:10">
      <c r="F2030" t="s">
        <v>11571</v>
      </c>
      <c r="G2030">
        <v>2027</v>
      </c>
      <c r="H2030" t="s">
        <v>11572</v>
      </c>
      <c r="I2030" t="s">
        <v>11573</v>
      </c>
      <c r="J2030" t="s">
        <v>11574</v>
      </c>
    </row>
    <row r="2031" spans="6:10">
      <c r="F2031" t="s">
        <v>11575</v>
      </c>
      <c r="G2031">
        <v>2028</v>
      </c>
      <c r="H2031" t="s">
        <v>627</v>
      </c>
      <c r="I2031" t="s">
        <v>628</v>
      </c>
      <c r="J2031" t="s">
        <v>11576</v>
      </c>
    </row>
    <row r="2032" spans="6:10">
      <c r="F2032" t="s">
        <v>11577</v>
      </c>
      <c r="G2032">
        <v>2029</v>
      </c>
      <c r="H2032" t="s">
        <v>11578</v>
      </c>
      <c r="I2032" t="s">
        <v>11579</v>
      </c>
      <c r="J2032" t="s">
        <v>11580</v>
      </c>
    </row>
    <row r="2033" spans="6:10">
      <c r="F2033" t="s">
        <v>11581</v>
      </c>
      <c r="G2033">
        <v>2030</v>
      </c>
      <c r="H2033" t="s">
        <v>851</v>
      </c>
      <c r="I2033" t="s">
        <v>853</v>
      </c>
      <c r="J2033" t="s">
        <v>11582</v>
      </c>
    </row>
    <row r="2034" spans="6:10">
      <c r="F2034" t="s">
        <v>11583</v>
      </c>
      <c r="G2034">
        <v>2031</v>
      </c>
      <c r="H2034" t="s">
        <v>3141</v>
      </c>
      <c r="I2034" t="s">
        <v>778</v>
      </c>
      <c r="J2034" t="s">
        <v>11584</v>
      </c>
    </row>
    <row r="2035" spans="6:10">
      <c r="F2035" t="s">
        <v>11585</v>
      </c>
      <c r="G2035">
        <v>2032</v>
      </c>
      <c r="H2035" t="s">
        <v>1936</v>
      </c>
      <c r="I2035" t="s">
        <v>1937</v>
      </c>
      <c r="J2035" t="s">
        <v>11586</v>
      </c>
    </row>
    <row r="2036" spans="6:10">
      <c r="F2036" t="s">
        <v>11587</v>
      </c>
      <c r="G2036">
        <v>2033</v>
      </c>
      <c r="H2036" t="s">
        <v>2222</v>
      </c>
      <c r="I2036" t="s">
        <v>2223</v>
      </c>
      <c r="J2036" t="s">
        <v>11588</v>
      </c>
    </row>
    <row r="2037" spans="6:10">
      <c r="F2037" t="s">
        <v>11589</v>
      </c>
      <c r="G2037">
        <v>2034</v>
      </c>
      <c r="H2037" t="s">
        <v>11590</v>
      </c>
      <c r="I2037" t="s">
        <v>11591</v>
      </c>
      <c r="J2037" t="s">
        <v>11592</v>
      </c>
    </row>
    <row r="2038" spans="6:10">
      <c r="F2038" t="s">
        <v>11593</v>
      </c>
      <c r="G2038">
        <v>2035</v>
      </c>
      <c r="H2038" t="s">
        <v>1388</v>
      </c>
      <c r="I2038" t="s">
        <v>1389</v>
      </c>
      <c r="J2038" t="s">
        <v>11594</v>
      </c>
    </row>
    <row r="2039" spans="6:10">
      <c r="F2039" t="s">
        <v>11595</v>
      </c>
      <c r="G2039">
        <v>2036</v>
      </c>
      <c r="H2039" t="s">
        <v>5518</v>
      </c>
      <c r="I2039" t="s">
        <v>5518</v>
      </c>
      <c r="J2039" t="s">
        <v>11596</v>
      </c>
    </row>
    <row r="2040" spans="6:10">
      <c r="F2040" t="s">
        <v>11597</v>
      </c>
      <c r="G2040">
        <v>2037</v>
      </c>
      <c r="H2040" t="s">
        <v>11598</v>
      </c>
      <c r="I2040" t="s">
        <v>11599</v>
      </c>
      <c r="J2040" t="s">
        <v>11600</v>
      </c>
    </row>
    <row r="2041" spans="6:10">
      <c r="F2041" t="s">
        <v>11601</v>
      </c>
      <c r="G2041">
        <v>2038</v>
      </c>
      <c r="H2041" t="s">
        <v>5777</v>
      </c>
      <c r="I2041" t="s">
        <v>5777</v>
      </c>
      <c r="J2041" t="s">
        <v>11602</v>
      </c>
    </row>
    <row r="2042" spans="6:10">
      <c r="F2042" t="s">
        <v>11603</v>
      </c>
      <c r="G2042">
        <v>2039</v>
      </c>
      <c r="H2042" t="s">
        <v>805</v>
      </c>
      <c r="I2042" t="s">
        <v>806</v>
      </c>
      <c r="J2042" t="s">
        <v>11604</v>
      </c>
    </row>
    <row r="2043" spans="6:10">
      <c r="F2043" t="s">
        <v>11605</v>
      </c>
      <c r="G2043">
        <v>2040</v>
      </c>
      <c r="H2043" t="s">
        <v>11606</v>
      </c>
      <c r="I2043" t="s">
        <v>11607</v>
      </c>
      <c r="J2043" t="s">
        <v>11608</v>
      </c>
    </row>
    <row r="2044" spans="6:10">
      <c r="F2044" t="s">
        <v>11609</v>
      </c>
      <c r="G2044">
        <v>2041</v>
      </c>
      <c r="H2044" t="s">
        <v>5134</v>
      </c>
      <c r="I2044" t="s">
        <v>5135</v>
      </c>
      <c r="J2044" t="s">
        <v>11610</v>
      </c>
    </row>
    <row r="2045" spans="6:10">
      <c r="F2045" t="s">
        <v>11611</v>
      </c>
      <c r="G2045">
        <v>2042</v>
      </c>
      <c r="H2045" t="s">
        <v>2156</v>
      </c>
      <c r="I2045" t="s">
        <v>2157</v>
      </c>
      <c r="J2045" t="s">
        <v>11612</v>
      </c>
    </row>
    <row r="2046" spans="6:10">
      <c r="F2046" t="s">
        <v>11613</v>
      </c>
      <c r="G2046">
        <v>2043</v>
      </c>
      <c r="H2046" t="s">
        <v>1854</v>
      </c>
      <c r="I2046" t="s">
        <v>1855</v>
      </c>
      <c r="J2046" t="s">
        <v>11614</v>
      </c>
    </row>
    <row r="2047" spans="6:10">
      <c r="F2047" t="s">
        <v>11615</v>
      </c>
      <c r="G2047">
        <v>2044</v>
      </c>
      <c r="H2047" t="s">
        <v>546</v>
      </c>
      <c r="I2047" t="s">
        <v>547</v>
      </c>
      <c r="J2047" t="s">
        <v>11616</v>
      </c>
    </row>
    <row r="2048" spans="6:10">
      <c r="F2048" t="s">
        <v>11617</v>
      </c>
      <c r="G2048">
        <v>2045</v>
      </c>
      <c r="H2048" t="s">
        <v>11618</v>
      </c>
      <c r="I2048" t="s">
        <v>11619</v>
      </c>
      <c r="J2048" t="s">
        <v>11620</v>
      </c>
    </row>
    <row r="2049" spans="6:10">
      <c r="F2049" t="s">
        <v>11621</v>
      </c>
      <c r="G2049">
        <v>2046</v>
      </c>
      <c r="H2049" t="s">
        <v>5649</v>
      </c>
      <c r="I2049" t="s">
        <v>5650</v>
      </c>
      <c r="J2049" t="s">
        <v>11622</v>
      </c>
    </row>
    <row r="2050" spans="6:10">
      <c r="F2050" t="s">
        <v>11623</v>
      </c>
      <c r="G2050">
        <v>2047</v>
      </c>
      <c r="H2050" t="s">
        <v>11624</v>
      </c>
      <c r="I2050" t="s">
        <v>11625</v>
      </c>
      <c r="J2050" t="s">
        <v>11626</v>
      </c>
    </row>
    <row r="2051" spans="6:10">
      <c r="F2051" t="s">
        <v>11627</v>
      </c>
      <c r="G2051">
        <v>2048</v>
      </c>
      <c r="H2051" t="s">
        <v>11628</v>
      </c>
      <c r="I2051" t="s">
        <v>11629</v>
      </c>
      <c r="J2051" t="s">
        <v>11630</v>
      </c>
    </row>
    <row r="2052" spans="6:10">
      <c r="F2052" t="s">
        <v>11631</v>
      </c>
      <c r="G2052">
        <v>2049</v>
      </c>
      <c r="H2052" t="s">
        <v>11632</v>
      </c>
      <c r="I2052" t="s">
        <v>11633</v>
      </c>
      <c r="J2052" t="s">
        <v>11634</v>
      </c>
    </row>
    <row r="2053" spans="6:10">
      <c r="F2053" t="s">
        <v>11635</v>
      </c>
      <c r="G2053">
        <v>2050</v>
      </c>
      <c r="H2053" t="s">
        <v>11636</v>
      </c>
      <c r="I2053" t="s">
        <v>11637</v>
      </c>
      <c r="J2053" t="s">
        <v>11638</v>
      </c>
    </row>
    <row r="2054" spans="6:10">
      <c r="F2054" t="s">
        <v>11639</v>
      </c>
      <c r="G2054">
        <v>2051</v>
      </c>
      <c r="H2054" t="s">
        <v>4327</v>
      </c>
      <c r="I2054" t="s">
        <v>4328</v>
      </c>
      <c r="J2054" t="s">
        <v>11640</v>
      </c>
    </row>
    <row r="2055" spans="6:10">
      <c r="F2055" t="s">
        <v>11641</v>
      </c>
      <c r="G2055">
        <v>2052</v>
      </c>
      <c r="H2055" t="s">
        <v>11642</v>
      </c>
      <c r="I2055" t="s">
        <v>11643</v>
      </c>
      <c r="J2055" t="s">
        <v>11644</v>
      </c>
    </row>
    <row r="2056" spans="6:10">
      <c r="F2056" t="s">
        <v>11645</v>
      </c>
      <c r="G2056">
        <v>2053</v>
      </c>
      <c r="H2056" t="s">
        <v>2438</v>
      </c>
      <c r="I2056" t="s">
        <v>2438</v>
      </c>
      <c r="J2056" t="s">
        <v>11646</v>
      </c>
    </row>
    <row r="2057" spans="6:10">
      <c r="F2057" t="s">
        <v>11647</v>
      </c>
      <c r="G2057">
        <v>2054</v>
      </c>
      <c r="H2057" t="s">
        <v>1677</v>
      </c>
      <c r="I2057" t="s">
        <v>1678</v>
      </c>
      <c r="J2057" t="s">
        <v>11648</v>
      </c>
    </row>
    <row r="2058" spans="6:10">
      <c r="F2058" t="s">
        <v>11649</v>
      </c>
      <c r="G2058">
        <v>2055</v>
      </c>
      <c r="H2058" t="s">
        <v>4690</v>
      </c>
      <c r="I2058" t="s">
        <v>778</v>
      </c>
      <c r="J2058" t="s">
        <v>11650</v>
      </c>
    </row>
    <row r="2059" spans="6:10">
      <c r="F2059" t="s">
        <v>11651</v>
      </c>
      <c r="G2059">
        <v>2056</v>
      </c>
      <c r="H2059" t="s">
        <v>777</v>
      </c>
      <c r="I2059" t="s">
        <v>778</v>
      </c>
      <c r="J2059" t="s">
        <v>11652</v>
      </c>
    </row>
    <row r="2060" spans="6:10">
      <c r="F2060" t="s">
        <v>11653</v>
      </c>
      <c r="G2060">
        <v>2057</v>
      </c>
      <c r="H2060" t="s">
        <v>11654</v>
      </c>
      <c r="I2060" t="s">
        <v>11655</v>
      </c>
      <c r="J2060" t="s">
        <v>11656</v>
      </c>
    </row>
    <row r="2061" spans="6:10">
      <c r="F2061" t="s">
        <v>11657</v>
      </c>
      <c r="G2061">
        <v>2058</v>
      </c>
      <c r="H2061" t="s">
        <v>11658</v>
      </c>
      <c r="I2061" t="s">
        <v>11659</v>
      </c>
      <c r="J2061" t="s">
        <v>11660</v>
      </c>
    </row>
    <row r="2062" spans="6:10">
      <c r="F2062" t="s">
        <v>11661</v>
      </c>
      <c r="G2062">
        <v>2059</v>
      </c>
      <c r="H2062" t="s">
        <v>11662</v>
      </c>
      <c r="I2062" t="s">
        <v>11663</v>
      </c>
      <c r="J2062" t="s">
        <v>11664</v>
      </c>
    </row>
    <row r="2063" spans="6:10">
      <c r="F2063" t="s">
        <v>11665</v>
      </c>
      <c r="G2063">
        <v>2060</v>
      </c>
      <c r="H2063" t="s">
        <v>11666</v>
      </c>
      <c r="I2063" t="s">
        <v>11667</v>
      </c>
      <c r="J2063" t="s">
        <v>11668</v>
      </c>
    </row>
    <row r="2064" spans="6:10">
      <c r="F2064" t="s">
        <v>11669</v>
      </c>
      <c r="G2064">
        <v>2061</v>
      </c>
      <c r="H2064" t="s">
        <v>2358</v>
      </c>
      <c r="I2064" t="s">
        <v>2359</v>
      </c>
      <c r="J2064" t="s">
        <v>11670</v>
      </c>
    </row>
    <row r="2065" spans="6:10">
      <c r="F2065" t="s">
        <v>11671</v>
      </c>
      <c r="G2065">
        <v>2062</v>
      </c>
      <c r="H2065" t="s">
        <v>4543</v>
      </c>
      <c r="I2065" t="s">
        <v>4544</v>
      </c>
      <c r="J2065" t="s">
        <v>11672</v>
      </c>
    </row>
    <row r="2066" spans="6:10">
      <c r="F2066" t="s">
        <v>11673</v>
      </c>
      <c r="G2066">
        <v>2063</v>
      </c>
      <c r="H2066" t="s">
        <v>11674</v>
      </c>
      <c r="I2066" t="s">
        <v>11675</v>
      </c>
      <c r="J2066" t="s">
        <v>11676</v>
      </c>
    </row>
    <row r="2067" spans="6:10">
      <c r="F2067" t="s">
        <v>11677</v>
      </c>
      <c r="G2067">
        <v>2064</v>
      </c>
      <c r="H2067" t="s">
        <v>4615</v>
      </c>
      <c r="I2067" t="s">
        <v>4616</v>
      </c>
      <c r="J2067" t="s">
        <v>11678</v>
      </c>
    </row>
    <row r="2068" spans="6:10">
      <c r="F2068" t="s">
        <v>11679</v>
      </c>
      <c r="G2068">
        <v>2065</v>
      </c>
      <c r="H2068" t="s">
        <v>4936</v>
      </c>
      <c r="I2068" t="s">
        <v>4544</v>
      </c>
      <c r="J2068" t="s">
        <v>11680</v>
      </c>
    </row>
    <row r="2069" spans="6:10">
      <c r="F2069" t="s">
        <v>11681</v>
      </c>
      <c r="G2069">
        <v>2066</v>
      </c>
      <c r="H2069" t="s">
        <v>4716</v>
      </c>
      <c r="I2069" t="s">
        <v>4717</v>
      </c>
      <c r="J2069" t="s">
        <v>11682</v>
      </c>
    </row>
    <row r="2070" spans="6:10">
      <c r="F2070" t="s">
        <v>11683</v>
      </c>
      <c r="G2070">
        <v>2067</v>
      </c>
      <c r="H2070" t="s">
        <v>11684</v>
      </c>
      <c r="I2070" t="s">
        <v>11685</v>
      </c>
      <c r="J2070" t="s">
        <v>11686</v>
      </c>
    </row>
    <row r="2071" spans="6:10">
      <c r="F2071" t="s">
        <v>11687</v>
      </c>
      <c r="G2071">
        <v>2068</v>
      </c>
      <c r="H2071" t="s">
        <v>11688</v>
      </c>
      <c r="I2071" t="s">
        <v>11688</v>
      </c>
      <c r="J2071" t="s">
        <v>11689</v>
      </c>
    </row>
    <row r="2072" spans="6:10">
      <c r="F2072" t="s">
        <v>11690</v>
      </c>
      <c r="G2072">
        <v>2069</v>
      </c>
      <c r="H2072" t="s">
        <v>6195</v>
      </c>
      <c r="I2072" t="s">
        <v>6196</v>
      </c>
      <c r="J2072" t="s">
        <v>11691</v>
      </c>
    </row>
    <row r="2073" spans="6:10">
      <c r="F2073" t="s">
        <v>11692</v>
      </c>
      <c r="G2073">
        <v>2070</v>
      </c>
      <c r="H2073" t="s">
        <v>2480</v>
      </c>
      <c r="I2073" t="s">
        <v>2481</v>
      </c>
      <c r="J2073" t="s">
        <v>11693</v>
      </c>
    </row>
    <row r="2074" spans="6:10">
      <c r="F2074" t="s">
        <v>11694</v>
      </c>
      <c r="G2074">
        <v>2071</v>
      </c>
      <c r="H2074" t="s">
        <v>706</v>
      </c>
      <c r="I2074" t="s">
        <v>707</v>
      </c>
      <c r="J2074" t="s">
        <v>11695</v>
      </c>
    </row>
    <row r="2075" spans="6:10">
      <c r="F2075" t="s">
        <v>11696</v>
      </c>
      <c r="G2075">
        <v>2072</v>
      </c>
      <c r="H2075" t="s">
        <v>11697</v>
      </c>
      <c r="I2075" t="s">
        <v>11698</v>
      </c>
      <c r="J2075" t="s">
        <v>11699</v>
      </c>
    </row>
    <row r="2076" spans="6:10">
      <c r="F2076" t="s">
        <v>11700</v>
      </c>
      <c r="G2076">
        <v>2073</v>
      </c>
      <c r="H2076" t="s">
        <v>2581</v>
      </c>
      <c r="I2076" t="s">
        <v>2582</v>
      </c>
      <c r="J2076" t="s">
        <v>11701</v>
      </c>
    </row>
    <row r="2077" spans="6:10">
      <c r="F2077" t="s">
        <v>11702</v>
      </c>
      <c r="G2077">
        <v>2074</v>
      </c>
      <c r="H2077" t="s">
        <v>510</v>
      </c>
      <c r="I2077" t="s">
        <v>511</v>
      </c>
      <c r="J2077" t="s">
        <v>11703</v>
      </c>
    </row>
    <row r="2078" spans="6:10">
      <c r="F2078" t="s">
        <v>11704</v>
      </c>
      <c r="G2078">
        <v>2075</v>
      </c>
      <c r="H2078" t="s">
        <v>362</v>
      </c>
      <c r="I2078" t="s">
        <v>363</v>
      </c>
      <c r="J2078" t="s">
        <v>11705</v>
      </c>
    </row>
    <row r="2079" spans="6:10">
      <c r="F2079" t="s">
        <v>11706</v>
      </c>
      <c r="G2079">
        <v>2076</v>
      </c>
      <c r="H2079" t="s">
        <v>11707</v>
      </c>
      <c r="I2079" t="s">
        <v>11708</v>
      </c>
      <c r="J2079" t="s">
        <v>11709</v>
      </c>
    </row>
    <row r="2080" spans="6:10">
      <c r="F2080" t="s">
        <v>11710</v>
      </c>
      <c r="G2080">
        <v>2077</v>
      </c>
      <c r="H2080" t="s">
        <v>1709</v>
      </c>
      <c r="I2080" t="s">
        <v>1710</v>
      </c>
      <c r="J2080" t="s">
        <v>11711</v>
      </c>
    </row>
    <row r="2081" spans="6:10">
      <c r="F2081" t="s">
        <v>11712</v>
      </c>
      <c r="G2081">
        <v>2078</v>
      </c>
      <c r="H2081" t="s">
        <v>799</v>
      </c>
      <c r="I2081" t="s">
        <v>800</v>
      </c>
      <c r="J2081" t="s">
        <v>11713</v>
      </c>
    </row>
    <row r="2082" spans="6:10">
      <c r="F2082" t="s">
        <v>11714</v>
      </c>
      <c r="G2082">
        <v>2079</v>
      </c>
      <c r="H2082" t="s">
        <v>4412</v>
      </c>
      <c r="I2082" t="s">
        <v>4413</v>
      </c>
      <c r="J2082" t="s">
        <v>11715</v>
      </c>
    </row>
    <row r="2083" spans="6:10">
      <c r="F2083" t="s">
        <v>11716</v>
      </c>
      <c r="G2083">
        <v>2080</v>
      </c>
      <c r="H2083" t="s">
        <v>11717</v>
      </c>
      <c r="I2083" t="s">
        <v>11718</v>
      </c>
      <c r="J2083" t="s">
        <v>11719</v>
      </c>
    </row>
    <row r="2084" spans="6:10">
      <c r="F2084" t="s">
        <v>11720</v>
      </c>
      <c r="G2084">
        <v>2081</v>
      </c>
      <c r="H2084" t="s">
        <v>3197</v>
      </c>
      <c r="I2084" t="s">
        <v>3198</v>
      </c>
      <c r="J2084" t="s">
        <v>11721</v>
      </c>
    </row>
    <row r="2085" spans="6:10">
      <c r="F2085" t="s">
        <v>11722</v>
      </c>
      <c r="G2085">
        <v>2082</v>
      </c>
      <c r="H2085" t="s">
        <v>231</v>
      </c>
      <c r="I2085" t="s">
        <v>232</v>
      </c>
      <c r="J2085" t="s">
        <v>11723</v>
      </c>
    </row>
    <row r="2086" spans="6:10">
      <c r="F2086" t="s">
        <v>11724</v>
      </c>
      <c r="G2086">
        <v>2083</v>
      </c>
      <c r="H2086" t="s">
        <v>4862</v>
      </c>
      <c r="I2086" t="s">
        <v>4863</v>
      </c>
      <c r="J2086" t="s">
        <v>11725</v>
      </c>
    </row>
    <row r="2087" spans="6:10">
      <c r="F2087" t="s">
        <v>11726</v>
      </c>
      <c r="G2087">
        <v>2084</v>
      </c>
      <c r="H2087" t="s">
        <v>11727</v>
      </c>
      <c r="I2087" t="s">
        <v>11728</v>
      </c>
      <c r="J2087" t="s">
        <v>11729</v>
      </c>
    </row>
    <row r="2088" spans="6:10">
      <c r="F2088" t="s">
        <v>11730</v>
      </c>
      <c r="G2088">
        <v>2085</v>
      </c>
      <c r="H2088" t="s">
        <v>2477</v>
      </c>
      <c r="I2088" t="s">
        <v>2478</v>
      </c>
      <c r="J2088" t="s">
        <v>11731</v>
      </c>
    </row>
    <row r="2089" spans="6:10">
      <c r="F2089" t="s">
        <v>11732</v>
      </c>
      <c r="G2089">
        <v>2086</v>
      </c>
      <c r="H2089" t="s">
        <v>11733</v>
      </c>
      <c r="I2089" t="s">
        <v>11734</v>
      </c>
      <c r="J2089" t="s">
        <v>11735</v>
      </c>
    </row>
    <row r="2090" spans="6:10">
      <c r="F2090" t="s">
        <v>11736</v>
      </c>
      <c r="G2090">
        <v>2087</v>
      </c>
      <c r="H2090" t="s">
        <v>1305</v>
      </c>
      <c r="I2090" t="s">
        <v>1306</v>
      </c>
      <c r="J2090" t="s">
        <v>11737</v>
      </c>
    </row>
    <row r="2091" spans="6:10">
      <c r="F2091" t="s">
        <v>11738</v>
      </c>
      <c r="G2091">
        <v>2088</v>
      </c>
      <c r="H2091" t="s">
        <v>620</v>
      </c>
      <c r="I2091" t="s">
        <v>621</v>
      </c>
      <c r="J2091" t="s">
        <v>11739</v>
      </c>
    </row>
    <row r="2092" spans="6:10">
      <c r="F2092" t="s">
        <v>11740</v>
      </c>
      <c r="G2092">
        <v>2089</v>
      </c>
      <c r="H2092" t="s">
        <v>2931</v>
      </c>
      <c r="I2092" t="s">
        <v>2933</v>
      </c>
      <c r="J2092" t="s">
        <v>11741</v>
      </c>
    </row>
    <row r="2093" spans="6:10">
      <c r="F2093" t="s">
        <v>11742</v>
      </c>
      <c r="G2093">
        <v>2090</v>
      </c>
      <c r="H2093" t="s">
        <v>6195</v>
      </c>
      <c r="I2093" t="s">
        <v>6197</v>
      </c>
      <c r="J2093" t="s">
        <v>11743</v>
      </c>
    </row>
    <row r="2094" spans="6:10">
      <c r="F2094" t="s">
        <v>11744</v>
      </c>
      <c r="G2094">
        <v>2091</v>
      </c>
      <c r="H2094" t="s">
        <v>4545</v>
      </c>
      <c r="I2094" t="s">
        <v>4546</v>
      </c>
      <c r="J2094" t="s">
        <v>11745</v>
      </c>
    </row>
    <row r="2095" spans="6:10">
      <c r="F2095" t="s">
        <v>11746</v>
      </c>
      <c r="G2095">
        <v>2092</v>
      </c>
      <c r="H2095" t="s">
        <v>5373</v>
      </c>
      <c r="I2095" t="s">
        <v>5374</v>
      </c>
      <c r="J2095" t="s">
        <v>11747</v>
      </c>
    </row>
    <row r="2096" spans="6:10">
      <c r="F2096" t="s">
        <v>11748</v>
      </c>
      <c r="G2096">
        <v>2093</v>
      </c>
      <c r="H2096" t="s">
        <v>533</v>
      </c>
      <c r="I2096" t="s">
        <v>533</v>
      </c>
      <c r="J2096" t="s">
        <v>11749</v>
      </c>
    </row>
    <row r="2097" spans="6:10">
      <c r="F2097" t="s">
        <v>11750</v>
      </c>
      <c r="G2097">
        <v>2094</v>
      </c>
      <c r="H2097" t="s">
        <v>668</v>
      </c>
      <c r="I2097" t="s">
        <v>669</v>
      </c>
      <c r="J2097" t="s">
        <v>11751</v>
      </c>
    </row>
    <row r="2098" spans="6:10">
      <c r="F2098" t="s">
        <v>11752</v>
      </c>
      <c r="G2098">
        <v>2095</v>
      </c>
      <c r="H2098" t="s">
        <v>3898</v>
      </c>
      <c r="I2098" t="s">
        <v>3899</v>
      </c>
      <c r="J2098" t="s">
        <v>11753</v>
      </c>
    </row>
    <row r="2099" spans="6:10">
      <c r="F2099" t="s">
        <v>11754</v>
      </c>
      <c r="G2099">
        <v>2096</v>
      </c>
      <c r="H2099" t="s">
        <v>11755</v>
      </c>
      <c r="I2099" t="s">
        <v>11756</v>
      </c>
      <c r="J2099" t="s">
        <v>11757</v>
      </c>
    </row>
    <row r="2100" spans="6:10">
      <c r="F2100" t="s">
        <v>11758</v>
      </c>
      <c r="G2100">
        <v>2097</v>
      </c>
      <c r="H2100" t="s">
        <v>3769</v>
      </c>
      <c r="I2100" t="s">
        <v>3770</v>
      </c>
      <c r="J2100" t="s">
        <v>11759</v>
      </c>
    </row>
    <row r="2101" spans="6:10">
      <c r="F2101" t="s">
        <v>11760</v>
      </c>
      <c r="G2101">
        <v>2098</v>
      </c>
      <c r="H2101" t="s">
        <v>716</v>
      </c>
      <c r="I2101" t="s">
        <v>717</v>
      </c>
      <c r="J2101" t="s">
        <v>11761</v>
      </c>
    </row>
    <row r="2102" spans="6:10">
      <c r="F2102" t="s">
        <v>11762</v>
      </c>
      <c r="G2102">
        <v>2099</v>
      </c>
      <c r="H2102" t="s">
        <v>11763</v>
      </c>
      <c r="I2102" t="s">
        <v>11764</v>
      </c>
      <c r="J2102" t="s">
        <v>11765</v>
      </c>
    </row>
    <row r="2103" spans="6:10">
      <c r="F2103" t="s">
        <v>11766</v>
      </c>
      <c r="G2103">
        <v>2100</v>
      </c>
      <c r="H2103" t="s">
        <v>11767</v>
      </c>
      <c r="I2103" t="s">
        <v>11768</v>
      </c>
      <c r="J2103" t="s">
        <v>11769</v>
      </c>
    </row>
    <row r="2104" spans="6:10">
      <c r="F2104" t="s">
        <v>11770</v>
      </c>
      <c r="G2104">
        <v>2101</v>
      </c>
      <c r="H2104" t="s">
        <v>11771</v>
      </c>
      <c r="I2104" t="s">
        <v>11772</v>
      </c>
      <c r="J2104" t="s">
        <v>11773</v>
      </c>
    </row>
    <row r="2105" spans="6:10">
      <c r="F2105" t="s">
        <v>11774</v>
      </c>
      <c r="G2105">
        <v>2102</v>
      </c>
      <c r="H2105" t="s">
        <v>3410</v>
      </c>
      <c r="I2105" t="s">
        <v>3411</v>
      </c>
      <c r="J2105" t="s">
        <v>11775</v>
      </c>
    </row>
    <row r="2106" spans="6:10">
      <c r="F2106" t="s">
        <v>11776</v>
      </c>
      <c r="G2106">
        <v>2103</v>
      </c>
      <c r="H2106" t="s">
        <v>4972</v>
      </c>
      <c r="I2106" t="s">
        <v>4973</v>
      </c>
      <c r="J2106" t="s">
        <v>11777</v>
      </c>
    </row>
    <row r="2107" spans="6:10">
      <c r="F2107" t="s">
        <v>11778</v>
      </c>
      <c r="G2107">
        <v>2104</v>
      </c>
      <c r="H2107" t="s">
        <v>11779</v>
      </c>
      <c r="I2107" t="s">
        <v>11780</v>
      </c>
      <c r="J2107" t="s">
        <v>11781</v>
      </c>
    </row>
    <row r="2108" spans="6:10">
      <c r="F2108" t="s">
        <v>11782</v>
      </c>
      <c r="G2108">
        <v>2105</v>
      </c>
      <c r="H2108" t="s">
        <v>1131</v>
      </c>
      <c r="I2108" t="s">
        <v>1132</v>
      </c>
      <c r="J2108" t="s">
        <v>11783</v>
      </c>
    </row>
    <row r="2109" spans="6:10">
      <c r="F2109" t="s">
        <v>11784</v>
      </c>
      <c r="G2109">
        <v>2106</v>
      </c>
      <c r="H2109" t="s">
        <v>1156</v>
      </c>
      <c r="I2109" t="s">
        <v>1157</v>
      </c>
      <c r="J2109" t="s">
        <v>11785</v>
      </c>
    </row>
    <row r="2110" spans="6:10">
      <c r="F2110" t="s">
        <v>11786</v>
      </c>
      <c r="G2110">
        <v>2107</v>
      </c>
      <c r="H2110" t="s">
        <v>11787</v>
      </c>
      <c r="I2110" t="s">
        <v>11788</v>
      </c>
      <c r="J2110" t="s">
        <v>11789</v>
      </c>
    </row>
    <row r="2111" spans="6:10">
      <c r="F2111" t="s">
        <v>11790</v>
      </c>
      <c r="G2111">
        <v>2108</v>
      </c>
      <c r="H2111" t="s">
        <v>11791</v>
      </c>
      <c r="I2111" t="s">
        <v>11792</v>
      </c>
      <c r="J2111" t="s">
        <v>11793</v>
      </c>
    </row>
    <row r="2112" spans="6:10">
      <c r="F2112" t="s">
        <v>11794</v>
      </c>
      <c r="G2112">
        <v>2109</v>
      </c>
      <c r="H2112" t="s">
        <v>11795</v>
      </c>
      <c r="I2112" t="s">
        <v>11796</v>
      </c>
      <c r="J2112" t="s">
        <v>11797</v>
      </c>
    </row>
    <row r="2113" spans="6:10">
      <c r="F2113" t="s">
        <v>11798</v>
      </c>
      <c r="G2113">
        <v>2110</v>
      </c>
      <c r="H2113" t="s">
        <v>4949</v>
      </c>
      <c r="I2113" t="s">
        <v>4950</v>
      </c>
      <c r="J2113" t="s">
        <v>11799</v>
      </c>
    </row>
    <row r="2114" spans="6:10">
      <c r="F2114" t="s">
        <v>11800</v>
      </c>
      <c r="G2114">
        <v>2111</v>
      </c>
      <c r="H2114" t="s">
        <v>11801</v>
      </c>
      <c r="I2114" t="s">
        <v>11802</v>
      </c>
      <c r="J2114" t="s">
        <v>11803</v>
      </c>
    </row>
    <row r="2115" spans="6:10">
      <c r="F2115" t="s">
        <v>11804</v>
      </c>
      <c r="G2115">
        <v>2112</v>
      </c>
      <c r="H2115" t="s">
        <v>4949</v>
      </c>
      <c r="I2115" t="s">
        <v>4951</v>
      </c>
      <c r="J2115" t="s">
        <v>11805</v>
      </c>
    </row>
    <row r="2116" spans="6:10">
      <c r="F2116" t="s">
        <v>11806</v>
      </c>
      <c r="G2116">
        <v>2113</v>
      </c>
      <c r="H2116" t="s">
        <v>11807</v>
      </c>
      <c r="I2116" t="s">
        <v>11808</v>
      </c>
      <c r="J2116" t="s">
        <v>11809</v>
      </c>
    </row>
    <row r="2117" spans="6:10">
      <c r="F2117" t="s">
        <v>11810</v>
      </c>
      <c r="G2117">
        <v>2114</v>
      </c>
      <c r="H2117" t="s">
        <v>11811</v>
      </c>
      <c r="I2117" t="s">
        <v>11812</v>
      </c>
      <c r="J2117" t="s">
        <v>11813</v>
      </c>
    </row>
    <row r="2118" spans="6:10">
      <c r="F2118" t="s">
        <v>11814</v>
      </c>
      <c r="G2118">
        <v>2115</v>
      </c>
      <c r="H2118" t="s">
        <v>11815</v>
      </c>
      <c r="I2118" t="s">
        <v>11816</v>
      </c>
      <c r="J2118" t="s">
        <v>11817</v>
      </c>
    </row>
    <row r="2119" spans="6:10">
      <c r="F2119" t="s">
        <v>11818</v>
      </c>
      <c r="G2119">
        <v>2116</v>
      </c>
      <c r="H2119" t="s">
        <v>2587</v>
      </c>
      <c r="I2119" t="s">
        <v>2590</v>
      </c>
      <c r="J2119" t="s">
        <v>11819</v>
      </c>
    </row>
    <row r="2120" spans="6:10">
      <c r="F2120" t="s">
        <v>11820</v>
      </c>
      <c r="G2120">
        <v>2117</v>
      </c>
      <c r="H2120" t="s">
        <v>3041</v>
      </c>
      <c r="I2120" t="s">
        <v>3042</v>
      </c>
      <c r="J2120" t="s">
        <v>11821</v>
      </c>
    </row>
    <row r="2121" spans="6:10">
      <c r="F2121" t="s">
        <v>11822</v>
      </c>
      <c r="G2121">
        <v>2118</v>
      </c>
      <c r="H2121" t="s">
        <v>11823</v>
      </c>
      <c r="I2121" t="s">
        <v>11824</v>
      </c>
      <c r="J2121" t="s">
        <v>11825</v>
      </c>
    </row>
    <row r="2122" spans="6:10">
      <c r="F2122" t="s">
        <v>11826</v>
      </c>
      <c r="G2122">
        <v>2119</v>
      </c>
      <c r="H2122" t="s">
        <v>4317</v>
      </c>
      <c r="I2122" t="s">
        <v>4318</v>
      </c>
      <c r="J2122" t="s">
        <v>11827</v>
      </c>
    </row>
    <row r="2123" spans="6:10">
      <c r="F2123" t="s">
        <v>11828</v>
      </c>
      <c r="G2123">
        <v>2120</v>
      </c>
      <c r="H2123" t="s">
        <v>11829</v>
      </c>
      <c r="I2123" t="s">
        <v>11830</v>
      </c>
      <c r="J2123" t="s">
        <v>11831</v>
      </c>
    </row>
    <row r="2124" spans="6:10">
      <c r="F2124" t="s">
        <v>11832</v>
      </c>
      <c r="G2124">
        <v>2121</v>
      </c>
      <c r="H2124" t="s">
        <v>11833</v>
      </c>
      <c r="I2124" t="s">
        <v>11833</v>
      </c>
      <c r="J2124" t="s">
        <v>11834</v>
      </c>
    </row>
    <row r="2125" spans="6:10">
      <c r="F2125" t="s">
        <v>11835</v>
      </c>
      <c r="G2125">
        <v>2122</v>
      </c>
      <c r="H2125" t="s">
        <v>522</v>
      </c>
      <c r="I2125" t="s">
        <v>523</v>
      </c>
      <c r="J2125" t="s">
        <v>11836</v>
      </c>
    </row>
    <row r="2126" spans="6:10">
      <c r="F2126" t="s">
        <v>11837</v>
      </c>
      <c r="G2126">
        <v>2123</v>
      </c>
      <c r="H2126" t="s">
        <v>11838</v>
      </c>
      <c r="I2126" t="s">
        <v>11839</v>
      </c>
      <c r="J2126" t="s">
        <v>11840</v>
      </c>
    </row>
    <row r="2127" spans="6:10">
      <c r="F2127" t="s">
        <v>11841</v>
      </c>
      <c r="G2127">
        <v>2124</v>
      </c>
      <c r="H2127" t="s">
        <v>4670</v>
      </c>
      <c r="I2127" t="s">
        <v>4671</v>
      </c>
      <c r="J2127" t="s">
        <v>11842</v>
      </c>
    </row>
    <row r="2128" spans="6:10">
      <c r="F2128" t="s">
        <v>11843</v>
      </c>
      <c r="G2128">
        <v>2125</v>
      </c>
      <c r="H2128" t="s">
        <v>5547</v>
      </c>
      <c r="I2128" t="s">
        <v>5548</v>
      </c>
      <c r="J2128" t="s">
        <v>11844</v>
      </c>
    </row>
    <row r="2129" spans="6:10">
      <c r="F2129" t="s">
        <v>11845</v>
      </c>
      <c r="G2129">
        <v>2126</v>
      </c>
      <c r="H2129" t="s">
        <v>1185</v>
      </c>
      <c r="I2129" t="s">
        <v>1186</v>
      </c>
      <c r="J2129" t="s">
        <v>11846</v>
      </c>
    </row>
    <row r="2130" spans="6:10">
      <c r="F2130" t="s">
        <v>11847</v>
      </c>
      <c r="G2130">
        <v>2127</v>
      </c>
      <c r="H2130" t="s">
        <v>3916</v>
      </c>
      <c r="I2130" t="s">
        <v>3916</v>
      </c>
      <c r="J2130" t="s">
        <v>11848</v>
      </c>
    </row>
    <row r="2131" spans="6:10">
      <c r="F2131" t="s">
        <v>11849</v>
      </c>
      <c r="G2131">
        <v>2128</v>
      </c>
      <c r="H2131" t="s">
        <v>372</v>
      </c>
      <c r="I2131" t="s">
        <v>372</v>
      </c>
      <c r="J2131" t="s">
        <v>11850</v>
      </c>
    </row>
    <row r="2132" spans="6:10">
      <c r="F2132" t="s">
        <v>11851</v>
      </c>
      <c r="G2132">
        <v>2129</v>
      </c>
      <c r="H2132" t="s">
        <v>2006</v>
      </c>
      <c r="I2132" t="s">
        <v>2006</v>
      </c>
      <c r="J2132" t="s">
        <v>11852</v>
      </c>
    </row>
    <row r="2133" spans="6:10">
      <c r="F2133" t="s">
        <v>11853</v>
      </c>
      <c r="G2133">
        <v>2130</v>
      </c>
      <c r="H2133" t="s">
        <v>5477</v>
      </c>
      <c r="I2133" t="s">
        <v>5477</v>
      </c>
      <c r="J2133" t="s">
        <v>11854</v>
      </c>
    </row>
    <row r="2134" spans="6:10">
      <c r="F2134" t="s">
        <v>11855</v>
      </c>
      <c r="G2134">
        <v>2131</v>
      </c>
      <c r="H2134" t="s">
        <v>824</v>
      </c>
      <c r="I2134" t="s">
        <v>825</v>
      </c>
      <c r="J2134" t="s">
        <v>11856</v>
      </c>
    </row>
    <row r="2135" spans="6:10">
      <c r="F2135" t="s">
        <v>11857</v>
      </c>
      <c r="G2135">
        <v>2132</v>
      </c>
      <c r="H2135" t="s">
        <v>2103</v>
      </c>
      <c r="I2135" t="s">
        <v>2104</v>
      </c>
      <c r="J2135" t="s">
        <v>11858</v>
      </c>
    </row>
    <row r="2136" spans="6:10">
      <c r="F2136" t="s">
        <v>11859</v>
      </c>
      <c r="G2136">
        <v>2133</v>
      </c>
      <c r="H2136" t="s">
        <v>11860</v>
      </c>
      <c r="I2136" t="s">
        <v>11861</v>
      </c>
      <c r="J2136" t="s">
        <v>11862</v>
      </c>
    </row>
    <row r="2137" spans="6:10">
      <c r="F2137" t="s">
        <v>11863</v>
      </c>
      <c r="G2137">
        <v>2134</v>
      </c>
      <c r="H2137" t="s">
        <v>2926</v>
      </c>
      <c r="I2137" t="s">
        <v>2927</v>
      </c>
      <c r="J2137" t="s">
        <v>11864</v>
      </c>
    </row>
    <row r="2138" spans="6:10">
      <c r="F2138" t="s">
        <v>11865</v>
      </c>
      <c r="G2138">
        <v>2135</v>
      </c>
      <c r="H2138" t="s">
        <v>11866</v>
      </c>
      <c r="I2138" t="s">
        <v>11867</v>
      </c>
      <c r="J2138" t="s">
        <v>11868</v>
      </c>
    </row>
    <row r="2139" spans="6:10">
      <c r="F2139" t="s">
        <v>11869</v>
      </c>
      <c r="G2139">
        <v>2136</v>
      </c>
      <c r="H2139" t="s">
        <v>11870</v>
      </c>
      <c r="I2139" t="s">
        <v>11871</v>
      </c>
      <c r="J2139" t="s">
        <v>11872</v>
      </c>
    </row>
    <row r="2140" spans="6:10">
      <c r="F2140" t="s">
        <v>11873</v>
      </c>
      <c r="G2140">
        <v>2137</v>
      </c>
      <c r="H2140" t="s">
        <v>5738</v>
      </c>
      <c r="I2140" t="s">
        <v>5738</v>
      </c>
      <c r="J2140" t="s">
        <v>11874</v>
      </c>
    </row>
    <row r="2141" spans="6:10">
      <c r="F2141" t="s">
        <v>11875</v>
      </c>
      <c r="G2141">
        <v>2138</v>
      </c>
      <c r="H2141" t="s">
        <v>3300</v>
      </c>
      <c r="I2141" t="s">
        <v>3301</v>
      </c>
      <c r="J2141" t="s">
        <v>11876</v>
      </c>
    </row>
    <row r="2142" spans="6:10">
      <c r="F2142" t="s">
        <v>11877</v>
      </c>
      <c r="G2142">
        <v>2139</v>
      </c>
      <c r="H2142" t="s">
        <v>11878</v>
      </c>
      <c r="I2142" t="s">
        <v>11879</v>
      </c>
      <c r="J2142" t="s">
        <v>11880</v>
      </c>
    </row>
    <row r="2143" spans="6:10">
      <c r="F2143" t="s">
        <v>11881</v>
      </c>
      <c r="G2143">
        <v>2140</v>
      </c>
      <c r="H2143" t="s">
        <v>6116</v>
      </c>
      <c r="I2143" t="s">
        <v>6117</v>
      </c>
      <c r="J2143" t="s">
        <v>11882</v>
      </c>
    </row>
    <row r="2144" spans="6:10">
      <c r="F2144" t="s">
        <v>11883</v>
      </c>
      <c r="G2144">
        <v>2141</v>
      </c>
      <c r="H2144" t="s">
        <v>5180</v>
      </c>
      <c r="I2144" t="s">
        <v>5181</v>
      </c>
      <c r="J2144" t="s">
        <v>11884</v>
      </c>
    </row>
    <row r="2145" spans="6:10">
      <c r="F2145" t="s">
        <v>11885</v>
      </c>
      <c r="G2145">
        <v>2142</v>
      </c>
      <c r="H2145" t="s">
        <v>775</v>
      </c>
      <c r="I2145" t="s">
        <v>776</v>
      </c>
      <c r="J2145" t="s">
        <v>11886</v>
      </c>
    </row>
    <row r="2146" spans="6:10">
      <c r="F2146" t="s">
        <v>11887</v>
      </c>
      <c r="G2146">
        <v>2143</v>
      </c>
      <c r="H2146" t="s">
        <v>2935</v>
      </c>
      <c r="I2146" t="s">
        <v>2935</v>
      </c>
      <c r="J2146" t="s">
        <v>11888</v>
      </c>
    </row>
    <row r="2147" spans="6:10">
      <c r="F2147" t="s">
        <v>11889</v>
      </c>
      <c r="G2147">
        <v>2144</v>
      </c>
      <c r="H2147" t="s">
        <v>3535</v>
      </c>
      <c r="I2147" t="s">
        <v>3536</v>
      </c>
      <c r="J2147" t="s">
        <v>11890</v>
      </c>
    </row>
    <row r="2148" spans="6:10">
      <c r="F2148" t="s">
        <v>11891</v>
      </c>
      <c r="G2148">
        <v>2145</v>
      </c>
      <c r="H2148" t="s">
        <v>4000</v>
      </c>
      <c r="I2148" t="s">
        <v>4000</v>
      </c>
      <c r="J2148" t="s">
        <v>11892</v>
      </c>
    </row>
    <row r="2149" spans="6:10">
      <c r="F2149" t="s">
        <v>11893</v>
      </c>
      <c r="G2149">
        <v>2146</v>
      </c>
      <c r="H2149" t="s">
        <v>8388</v>
      </c>
      <c r="I2149" t="s">
        <v>11894</v>
      </c>
      <c r="J2149" t="s">
        <v>11895</v>
      </c>
    </row>
    <row r="2150" spans="6:10">
      <c r="F2150" t="s">
        <v>11896</v>
      </c>
      <c r="G2150">
        <v>2147</v>
      </c>
      <c r="H2150" t="s">
        <v>11897</v>
      </c>
      <c r="I2150" t="s">
        <v>11898</v>
      </c>
      <c r="J2150" t="s">
        <v>11899</v>
      </c>
    </row>
    <row r="2151" spans="6:10">
      <c r="F2151" t="s">
        <v>11900</v>
      </c>
      <c r="G2151">
        <v>2148</v>
      </c>
      <c r="H2151" t="s">
        <v>5957</v>
      </c>
      <c r="I2151" t="s">
        <v>5958</v>
      </c>
      <c r="J2151" t="s">
        <v>11901</v>
      </c>
    </row>
    <row r="2152" spans="6:10">
      <c r="F2152" t="s">
        <v>11902</v>
      </c>
      <c r="G2152">
        <v>2149</v>
      </c>
      <c r="H2152" t="s">
        <v>5324</v>
      </c>
      <c r="I2152" t="s">
        <v>5326</v>
      </c>
      <c r="J2152" t="s">
        <v>11903</v>
      </c>
    </row>
    <row r="2153" spans="6:10">
      <c r="F2153" t="s">
        <v>11904</v>
      </c>
      <c r="G2153">
        <v>2150</v>
      </c>
      <c r="H2153" t="s">
        <v>1981</v>
      </c>
      <c r="I2153" t="s">
        <v>1982</v>
      </c>
      <c r="J2153" t="s">
        <v>11905</v>
      </c>
    </row>
    <row r="2154" spans="6:10">
      <c r="F2154" t="s">
        <v>11906</v>
      </c>
      <c r="G2154">
        <v>2151</v>
      </c>
      <c r="H2154" t="s">
        <v>1428</v>
      </c>
      <c r="I2154" t="s">
        <v>1429</v>
      </c>
      <c r="J2154" t="s">
        <v>11907</v>
      </c>
    </row>
    <row r="2155" spans="6:10">
      <c r="F2155" t="s">
        <v>11908</v>
      </c>
      <c r="G2155">
        <v>2152</v>
      </c>
      <c r="H2155" t="s">
        <v>5549</v>
      </c>
      <c r="I2155" t="s">
        <v>5550</v>
      </c>
      <c r="J2155" t="s">
        <v>11909</v>
      </c>
    </row>
    <row r="2156" spans="6:10">
      <c r="F2156" t="s">
        <v>11910</v>
      </c>
      <c r="G2156">
        <v>2153</v>
      </c>
      <c r="H2156" t="s">
        <v>1295</v>
      </c>
      <c r="I2156" t="s">
        <v>1296</v>
      </c>
      <c r="J2156" t="s">
        <v>11911</v>
      </c>
    </row>
    <row r="2157" spans="6:10">
      <c r="F2157" t="s">
        <v>11912</v>
      </c>
      <c r="G2157">
        <v>2154</v>
      </c>
      <c r="H2157" t="s">
        <v>1328</v>
      </c>
      <c r="I2157" t="s">
        <v>1329</v>
      </c>
      <c r="J2157" t="s">
        <v>11913</v>
      </c>
    </row>
    <row r="2158" spans="6:10">
      <c r="F2158" t="s">
        <v>11914</v>
      </c>
      <c r="G2158">
        <v>2155</v>
      </c>
      <c r="H2158" t="s">
        <v>548</v>
      </c>
      <c r="I2158" t="s">
        <v>575</v>
      </c>
      <c r="J2158" t="s">
        <v>11915</v>
      </c>
    </row>
    <row r="2159" spans="6:10">
      <c r="F2159" t="s">
        <v>11916</v>
      </c>
      <c r="G2159">
        <v>2156</v>
      </c>
      <c r="H2159" t="s">
        <v>11917</v>
      </c>
      <c r="I2159" t="s">
        <v>11918</v>
      </c>
      <c r="J2159" t="s">
        <v>11919</v>
      </c>
    </row>
    <row r="2160" spans="6:10">
      <c r="F2160" t="s">
        <v>11920</v>
      </c>
      <c r="G2160">
        <v>2157</v>
      </c>
      <c r="H2160" t="s">
        <v>3298</v>
      </c>
      <c r="I2160" t="s">
        <v>3299</v>
      </c>
      <c r="J2160" t="s">
        <v>11921</v>
      </c>
    </row>
    <row r="2161" spans="6:10">
      <c r="F2161" t="s">
        <v>11922</v>
      </c>
      <c r="G2161">
        <v>2158</v>
      </c>
      <c r="H2161" t="s">
        <v>11923</v>
      </c>
      <c r="I2161" t="s">
        <v>11924</v>
      </c>
      <c r="J2161" t="s">
        <v>11925</v>
      </c>
    </row>
    <row r="2162" spans="6:10">
      <c r="F2162" t="s">
        <v>11926</v>
      </c>
      <c r="G2162">
        <v>2159</v>
      </c>
      <c r="H2162" t="s">
        <v>1352</v>
      </c>
      <c r="I2162" t="s">
        <v>1353</v>
      </c>
      <c r="J2162" t="s">
        <v>11927</v>
      </c>
    </row>
    <row r="2163" spans="6:10">
      <c r="F2163" t="s">
        <v>11928</v>
      </c>
      <c r="G2163">
        <v>2160</v>
      </c>
      <c r="H2163" t="s">
        <v>963</v>
      </c>
      <c r="I2163" t="s">
        <v>964</v>
      </c>
      <c r="J2163" t="s">
        <v>11929</v>
      </c>
    </row>
    <row r="2164" spans="6:10">
      <c r="F2164" t="s">
        <v>11930</v>
      </c>
      <c r="G2164">
        <v>2161</v>
      </c>
      <c r="H2164" t="s">
        <v>4712</v>
      </c>
      <c r="I2164" t="s">
        <v>4713</v>
      </c>
      <c r="J2164" t="s">
        <v>11931</v>
      </c>
    </row>
    <row r="2165" spans="6:10">
      <c r="F2165" t="s">
        <v>11932</v>
      </c>
      <c r="G2165">
        <v>2162</v>
      </c>
      <c r="H2165" t="s">
        <v>11933</v>
      </c>
      <c r="I2165" t="s">
        <v>11934</v>
      </c>
      <c r="J2165" t="s">
        <v>11935</v>
      </c>
    </row>
    <row r="2166" spans="6:10">
      <c r="F2166" t="s">
        <v>11936</v>
      </c>
      <c r="G2166">
        <v>2163</v>
      </c>
      <c r="H2166" t="s">
        <v>119</v>
      </c>
      <c r="I2166" t="s">
        <v>120</v>
      </c>
      <c r="J2166" t="s">
        <v>11937</v>
      </c>
    </row>
    <row r="2167" spans="6:10">
      <c r="F2167" t="s">
        <v>11938</v>
      </c>
      <c r="G2167">
        <v>2164</v>
      </c>
      <c r="H2167" t="s">
        <v>384</v>
      </c>
      <c r="I2167" t="s">
        <v>385</v>
      </c>
      <c r="J2167" t="s">
        <v>11939</v>
      </c>
    </row>
    <row r="2168" spans="6:10">
      <c r="F2168" t="s">
        <v>11940</v>
      </c>
      <c r="G2168">
        <v>2165</v>
      </c>
      <c r="H2168" t="s">
        <v>4970</v>
      </c>
      <c r="I2168" t="s">
        <v>4971</v>
      </c>
      <c r="J2168" t="s">
        <v>11941</v>
      </c>
    </row>
    <row r="2169" spans="6:10">
      <c r="F2169" t="s">
        <v>11942</v>
      </c>
      <c r="G2169">
        <v>2166</v>
      </c>
      <c r="H2169" t="s">
        <v>1416</v>
      </c>
      <c r="I2169" t="s">
        <v>1417</v>
      </c>
      <c r="J2169" t="s">
        <v>11943</v>
      </c>
    </row>
    <row r="2170" spans="6:10">
      <c r="F2170" t="s">
        <v>11944</v>
      </c>
      <c r="G2170">
        <v>2167</v>
      </c>
      <c r="H2170" t="s">
        <v>5225</v>
      </c>
      <c r="I2170" t="s">
        <v>5226</v>
      </c>
      <c r="J2170" t="s">
        <v>11945</v>
      </c>
    </row>
    <row r="2171" spans="6:10">
      <c r="F2171" t="s">
        <v>11946</v>
      </c>
      <c r="G2171">
        <v>2168</v>
      </c>
      <c r="H2171" t="s">
        <v>5243</v>
      </c>
      <c r="I2171" t="s">
        <v>5244</v>
      </c>
      <c r="J2171" t="s">
        <v>11947</v>
      </c>
    </row>
    <row r="2172" spans="6:10">
      <c r="F2172" t="s">
        <v>11948</v>
      </c>
      <c r="G2172">
        <v>2169</v>
      </c>
      <c r="H2172" t="s">
        <v>1386</v>
      </c>
      <c r="I2172" t="s">
        <v>1387</v>
      </c>
      <c r="J2172" t="s">
        <v>11949</v>
      </c>
    </row>
    <row r="2173" spans="6:10">
      <c r="F2173" t="s">
        <v>11950</v>
      </c>
      <c r="G2173">
        <v>2170</v>
      </c>
      <c r="H2173" t="s">
        <v>1748</v>
      </c>
      <c r="I2173" t="s">
        <v>1749</v>
      </c>
      <c r="J2173" t="s">
        <v>11951</v>
      </c>
    </row>
    <row r="2174" spans="6:10">
      <c r="F2174" t="s">
        <v>11952</v>
      </c>
      <c r="G2174">
        <v>2171</v>
      </c>
      <c r="H2174" t="s">
        <v>3848</v>
      </c>
      <c r="I2174" t="s">
        <v>3849</v>
      </c>
      <c r="J2174" t="s">
        <v>11953</v>
      </c>
    </row>
    <row r="2175" spans="6:10">
      <c r="F2175" t="s">
        <v>11954</v>
      </c>
      <c r="G2175">
        <v>2172</v>
      </c>
      <c r="H2175" t="s">
        <v>11955</v>
      </c>
      <c r="I2175" t="s">
        <v>11956</v>
      </c>
      <c r="J2175" t="s">
        <v>11957</v>
      </c>
    </row>
    <row r="2176" spans="6:10">
      <c r="F2176" t="s">
        <v>11958</v>
      </c>
      <c r="G2176">
        <v>2173</v>
      </c>
      <c r="H2176" t="s">
        <v>5668</v>
      </c>
      <c r="I2176" t="s">
        <v>5669</v>
      </c>
      <c r="J2176" t="s">
        <v>11959</v>
      </c>
    </row>
    <row r="2177" spans="6:10">
      <c r="F2177" t="s">
        <v>11960</v>
      </c>
      <c r="G2177">
        <v>2174</v>
      </c>
      <c r="H2177" t="s">
        <v>4513</v>
      </c>
      <c r="I2177" t="s">
        <v>4514</v>
      </c>
      <c r="J2177" t="s">
        <v>11961</v>
      </c>
    </row>
    <row r="2178" spans="6:10">
      <c r="F2178" t="s">
        <v>11962</v>
      </c>
      <c r="G2178">
        <v>2175</v>
      </c>
      <c r="H2178" t="s">
        <v>11963</v>
      </c>
      <c r="I2178" t="s">
        <v>11964</v>
      </c>
      <c r="J2178" t="s">
        <v>11965</v>
      </c>
    </row>
    <row r="2179" spans="6:10">
      <c r="F2179" t="s">
        <v>11966</v>
      </c>
      <c r="G2179">
        <v>2176</v>
      </c>
      <c r="H2179" t="s">
        <v>548</v>
      </c>
      <c r="I2179" t="s">
        <v>576</v>
      </c>
      <c r="J2179" t="s">
        <v>11967</v>
      </c>
    </row>
    <row r="2180" spans="6:10">
      <c r="F2180" t="s">
        <v>11968</v>
      </c>
      <c r="G2180">
        <v>2177</v>
      </c>
      <c r="H2180" t="s">
        <v>2375</v>
      </c>
      <c r="I2180" t="s">
        <v>2377</v>
      </c>
      <c r="J2180" t="s">
        <v>11969</v>
      </c>
    </row>
    <row r="2181" spans="6:10">
      <c r="F2181" t="s">
        <v>11970</v>
      </c>
      <c r="G2181">
        <v>2178</v>
      </c>
      <c r="H2181" t="s">
        <v>5584</v>
      </c>
      <c r="I2181" t="s">
        <v>5585</v>
      </c>
      <c r="J2181" t="s">
        <v>11971</v>
      </c>
    </row>
    <row r="2182" spans="6:10">
      <c r="F2182" t="s">
        <v>11972</v>
      </c>
      <c r="G2182">
        <v>2179</v>
      </c>
      <c r="H2182" t="s">
        <v>2818</v>
      </c>
      <c r="I2182" t="s">
        <v>2830</v>
      </c>
      <c r="J2182" t="s">
        <v>11973</v>
      </c>
    </row>
    <row r="2183" spans="6:10">
      <c r="F2183" t="s">
        <v>11974</v>
      </c>
      <c r="G2183">
        <v>2180</v>
      </c>
      <c r="H2183" t="s">
        <v>11975</v>
      </c>
      <c r="I2183" t="s">
        <v>11976</v>
      </c>
      <c r="J2183" t="s">
        <v>11977</v>
      </c>
    </row>
    <row r="2184" spans="6:10">
      <c r="F2184" t="s">
        <v>11978</v>
      </c>
      <c r="G2184">
        <v>2181</v>
      </c>
      <c r="H2184" t="s">
        <v>3563</v>
      </c>
      <c r="I2184" t="s">
        <v>3564</v>
      </c>
      <c r="J2184" t="s">
        <v>11979</v>
      </c>
    </row>
    <row r="2185" spans="6:10">
      <c r="F2185" t="s">
        <v>11980</v>
      </c>
      <c r="G2185">
        <v>2182</v>
      </c>
      <c r="H2185" t="s">
        <v>5719</v>
      </c>
      <c r="I2185" t="s">
        <v>5720</v>
      </c>
      <c r="J2185" t="s">
        <v>11981</v>
      </c>
    </row>
    <row r="2186" spans="6:10">
      <c r="F2186" t="s">
        <v>11982</v>
      </c>
      <c r="G2186">
        <v>2183</v>
      </c>
      <c r="H2186" t="s">
        <v>1424</v>
      </c>
      <c r="I2186" t="s">
        <v>1425</v>
      </c>
      <c r="J2186" t="s">
        <v>11983</v>
      </c>
    </row>
    <row r="2187" spans="6:10">
      <c r="F2187" t="s">
        <v>11984</v>
      </c>
      <c r="G2187">
        <v>2184</v>
      </c>
      <c r="H2187" t="s">
        <v>3830</v>
      </c>
      <c r="I2187" t="s">
        <v>3831</v>
      </c>
      <c r="J2187" t="s">
        <v>11985</v>
      </c>
    </row>
    <row r="2188" spans="6:10">
      <c r="F2188" t="s">
        <v>11986</v>
      </c>
      <c r="G2188">
        <v>2185</v>
      </c>
      <c r="H2188" t="s">
        <v>1972</v>
      </c>
      <c r="I2188" t="s">
        <v>540</v>
      </c>
      <c r="J2188" t="s">
        <v>11987</v>
      </c>
    </row>
    <row r="2189" spans="6:10">
      <c r="F2189" t="s">
        <v>11988</v>
      </c>
      <c r="G2189">
        <v>2186</v>
      </c>
      <c r="H2189" t="s">
        <v>4188</v>
      </c>
      <c r="I2189" t="s">
        <v>4189</v>
      </c>
      <c r="J2189" t="s">
        <v>11989</v>
      </c>
    </row>
    <row r="2190" spans="6:10">
      <c r="F2190" t="s">
        <v>11990</v>
      </c>
      <c r="G2190">
        <v>2187</v>
      </c>
      <c r="H2190" t="s">
        <v>2375</v>
      </c>
      <c r="I2190" t="s">
        <v>2378</v>
      </c>
      <c r="J2190" t="s">
        <v>11991</v>
      </c>
    </row>
    <row r="2191" spans="6:10">
      <c r="F2191" t="s">
        <v>11992</v>
      </c>
      <c r="G2191">
        <v>2188</v>
      </c>
      <c r="H2191" t="s">
        <v>520</v>
      </c>
      <c r="I2191" t="s">
        <v>521</v>
      </c>
      <c r="J2191" t="s">
        <v>11993</v>
      </c>
    </row>
    <row r="2192" spans="6:10">
      <c r="F2192" t="s">
        <v>11994</v>
      </c>
      <c r="G2192">
        <v>2189</v>
      </c>
      <c r="H2192" t="s">
        <v>548</v>
      </c>
      <c r="I2192" t="s">
        <v>577</v>
      </c>
      <c r="J2192" t="s">
        <v>11995</v>
      </c>
    </row>
    <row r="2193" spans="6:10">
      <c r="F2193" t="s">
        <v>11996</v>
      </c>
      <c r="G2193">
        <v>2190</v>
      </c>
      <c r="H2193" t="s">
        <v>1396</v>
      </c>
      <c r="I2193" t="s">
        <v>577</v>
      </c>
      <c r="J2193" t="s">
        <v>11997</v>
      </c>
    </row>
    <row r="2194" spans="6:10">
      <c r="F2194" t="s">
        <v>11998</v>
      </c>
      <c r="G2194">
        <v>2191</v>
      </c>
      <c r="H2194" t="s">
        <v>5846</v>
      </c>
      <c r="I2194" t="s">
        <v>5847</v>
      </c>
      <c r="J2194" t="s">
        <v>11999</v>
      </c>
    </row>
    <row r="2195" spans="6:10">
      <c r="F2195" t="s">
        <v>12000</v>
      </c>
      <c r="G2195">
        <v>2192</v>
      </c>
      <c r="H2195" t="s">
        <v>1405</v>
      </c>
      <c r="I2195" t="s">
        <v>1406</v>
      </c>
      <c r="J2195" t="s">
        <v>12001</v>
      </c>
    </row>
    <row r="2196" spans="6:10">
      <c r="F2196" t="s">
        <v>12002</v>
      </c>
      <c r="G2196">
        <v>2193</v>
      </c>
      <c r="H2196" t="s">
        <v>1418</v>
      </c>
      <c r="I2196" t="s">
        <v>1419</v>
      </c>
      <c r="J2196" t="s">
        <v>12003</v>
      </c>
    </row>
    <row r="2197" spans="6:10">
      <c r="F2197" t="s">
        <v>12004</v>
      </c>
      <c r="G2197">
        <v>2194</v>
      </c>
      <c r="H2197" t="s">
        <v>544</v>
      </c>
      <c r="I2197" t="s">
        <v>545</v>
      </c>
      <c r="J2197" t="s">
        <v>12005</v>
      </c>
    </row>
    <row r="2198" spans="6:10">
      <c r="F2198" t="s">
        <v>12006</v>
      </c>
      <c r="G2198">
        <v>2195</v>
      </c>
      <c r="H2198" t="s">
        <v>548</v>
      </c>
      <c r="I2198" t="s">
        <v>578</v>
      </c>
      <c r="J2198" t="s">
        <v>12007</v>
      </c>
    </row>
    <row r="2199" spans="6:10">
      <c r="F2199" t="s">
        <v>12008</v>
      </c>
      <c r="G2199">
        <v>2196</v>
      </c>
      <c r="H2199" t="s">
        <v>4467</v>
      </c>
      <c r="I2199" t="s">
        <v>4468</v>
      </c>
      <c r="J2199" t="s">
        <v>12009</v>
      </c>
    </row>
    <row r="2200" spans="6:10">
      <c r="F2200" t="s">
        <v>12010</v>
      </c>
      <c r="G2200">
        <v>2197</v>
      </c>
      <c r="H2200" t="s">
        <v>548</v>
      </c>
      <c r="I2200" t="s">
        <v>579</v>
      </c>
      <c r="J2200" t="s">
        <v>12011</v>
      </c>
    </row>
    <row r="2201" spans="6:10">
      <c r="F2201" t="s">
        <v>12012</v>
      </c>
      <c r="G2201">
        <v>2198</v>
      </c>
      <c r="H2201" t="s">
        <v>548</v>
      </c>
      <c r="I2201" t="s">
        <v>580</v>
      </c>
      <c r="J2201" t="s">
        <v>12013</v>
      </c>
    </row>
    <row r="2202" spans="6:10">
      <c r="F2202" t="s">
        <v>12014</v>
      </c>
      <c r="G2202">
        <v>2199</v>
      </c>
      <c r="H2202" t="s">
        <v>2818</v>
      </c>
      <c r="I2202" t="s">
        <v>2831</v>
      </c>
      <c r="J2202" t="s">
        <v>12015</v>
      </c>
    </row>
    <row r="2203" spans="6:10">
      <c r="F2203" t="s">
        <v>12016</v>
      </c>
      <c r="G2203">
        <v>2200</v>
      </c>
      <c r="H2203" t="s">
        <v>321</v>
      </c>
      <c r="I2203" t="s">
        <v>321</v>
      </c>
      <c r="J2203" t="s">
        <v>12017</v>
      </c>
    </row>
    <row r="2204" spans="6:10">
      <c r="F2204" t="s">
        <v>12018</v>
      </c>
      <c r="G2204">
        <v>2201</v>
      </c>
      <c r="H2204" t="s">
        <v>4202</v>
      </c>
      <c r="I2204" t="s">
        <v>540</v>
      </c>
      <c r="J2204" t="s">
        <v>12019</v>
      </c>
    </row>
    <row r="2205" spans="6:10">
      <c r="F2205" t="s">
        <v>12020</v>
      </c>
      <c r="G2205">
        <v>2202</v>
      </c>
      <c r="H2205" t="s">
        <v>1535</v>
      </c>
      <c r="I2205" t="s">
        <v>1536</v>
      </c>
      <c r="J2205" t="s">
        <v>12021</v>
      </c>
    </row>
    <row r="2206" spans="6:10">
      <c r="F2206" t="s">
        <v>12022</v>
      </c>
      <c r="G2206">
        <v>2203</v>
      </c>
      <c r="H2206" t="s">
        <v>1856</v>
      </c>
      <c r="I2206" t="s">
        <v>1857</v>
      </c>
      <c r="J2206" t="s">
        <v>12023</v>
      </c>
    </row>
    <row r="2207" spans="6:10">
      <c r="F2207" t="s">
        <v>12024</v>
      </c>
      <c r="G2207">
        <v>2204</v>
      </c>
      <c r="H2207" t="s">
        <v>12025</v>
      </c>
      <c r="I2207" t="s">
        <v>12026</v>
      </c>
      <c r="J2207" t="s">
        <v>12027</v>
      </c>
    </row>
    <row r="2208" spans="6:10">
      <c r="F2208" t="s">
        <v>12028</v>
      </c>
      <c r="G2208">
        <v>2205</v>
      </c>
      <c r="H2208" t="s">
        <v>4237</v>
      </c>
      <c r="I2208" t="s">
        <v>4238</v>
      </c>
      <c r="J2208" t="s">
        <v>12029</v>
      </c>
    </row>
    <row r="2209" spans="6:10">
      <c r="F2209" t="s">
        <v>12030</v>
      </c>
      <c r="G2209">
        <v>2206</v>
      </c>
      <c r="H2209" t="s">
        <v>1564</v>
      </c>
      <c r="I2209" t="s">
        <v>1565</v>
      </c>
      <c r="J2209" t="s">
        <v>12031</v>
      </c>
    </row>
    <row r="2210" spans="6:10">
      <c r="F2210" t="s">
        <v>12032</v>
      </c>
      <c r="G2210">
        <v>2207</v>
      </c>
      <c r="H2210" t="s">
        <v>12033</v>
      </c>
      <c r="I2210" t="s">
        <v>12034</v>
      </c>
      <c r="J2210" t="s">
        <v>12035</v>
      </c>
    </row>
    <row r="2211" spans="6:10">
      <c r="F2211" t="s">
        <v>12036</v>
      </c>
      <c r="G2211">
        <v>2208</v>
      </c>
      <c r="H2211" t="s">
        <v>4892</v>
      </c>
      <c r="I2211" t="s">
        <v>4893</v>
      </c>
      <c r="J2211" t="s">
        <v>12037</v>
      </c>
    </row>
    <row r="2212" spans="6:10">
      <c r="F2212" t="s">
        <v>12038</v>
      </c>
      <c r="G2212">
        <v>2209</v>
      </c>
      <c r="H2212" t="s">
        <v>4992</v>
      </c>
      <c r="I2212" t="s">
        <v>4993</v>
      </c>
      <c r="J2212" t="s">
        <v>12039</v>
      </c>
    </row>
    <row r="2213" spans="6:10">
      <c r="F2213" t="s">
        <v>12040</v>
      </c>
      <c r="G2213">
        <v>2210</v>
      </c>
      <c r="H2213" t="s">
        <v>548</v>
      </c>
      <c r="I2213" t="s">
        <v>581</v>
      </c>
      <c r="J2213" t="s">
        <v>12041</v>
      </c>
    </row>
    <row r="2214" spans="6:10">
      <c r="F2214" t="s">
        <v>12042</v>
      </c>
      <c r="G2214">
        <v>2211</v>
      </c>
      <c r="H2214" t="s">
        <v>2549</v>
      </c>
      <c r="I2214" t="s">
        <v>2550</v>
      </c>
      <c r="J2214" t="s">
        <v>12043</v>
      </c>
    </row>
    <row r="2215" spans="6:10">
      <c r="F2215" t="s">
        <v>12044</v>
      </c>
      <c r="G2215">
        <v>2212</v>
      </c>
      <c r="H2215" t="s">
        <v>2882</v>
      </c>
      <c r="I2215" t="s">
        <v>2883</v>
      </c>
      <c r="J2215" t="s">
        <v>12045</v>
      </c>
    </row>
    <row r="2216" spans="6:10">
      <c r="F2216" t="s">
        <v>12046</v>
      </c>
      <c r="G2216">
        <v>2213</v>
      </c>
      <c r="H2216" t="s">
        <v>2738</v>
      </c>
      <c r="I2216" t="s">
        <v>2739</v>
      </c>
      <c r="J2216" t="s">
        <v>12047</v>
      </c>
    </row>
    <row r="2217" spans="6:10">
      <c r="F2217" t="s">
        <v>12048</v>
      </c>
      <c r="G2217">
        <v>2214</v>
      </c>
      <c r="H2217" t="s">
        <v>3717</v>
      </c>
      <c r="I2217" t="s">
        <v>3717</v>
      </c>
      <c r="J2217" t="s">
        <v>12049</v>
      </c>
    </row>
    <row r="2218" spans="6:10">
      <c r="F2218" t="s">
        <v>12050</v>
      </c>
      <c r="G2218">
        <v>2215</v>
      </c>
      <c r="H2218" t="s">
        <v>4691</v>
      </c>
      <c r="I2218" t="s">
        <v>4692</v>
      </c>
      <c r="J2218" t="s">
        <v>12051</v>
      </c>
    </row>
    <row r="2219" spans="6:10">
      <c r="F2219" t="s">
        <v>12052</v>
      </c>
      <c r="G2219">
        <v>2216</v>
      </c>
      <c r="H2219" t="s">
        <v>1394</v>
      </c>
      <c r="I2219" t="s">
        <v>1395</v>
      </c>
      <c r="J2219" t="s">
        <v>12053</v>
      </c>
    </row>
    <row r="2220" spans="6:10">
      <c r="F2220" t="s">
        <v>12054</v>
      </c>
      <c r="G2220">
        <v>2217</v>
      </c>
      <c r="H2220" t="s">
        <v>4449</v>
      </c>
      <c r="I2220" t="s">
        <v>4450</v>
      </c>
      <c r="J2220" t="s">
        <v>12055</v>
      </c>
    </row>
    <row r="2221" spans="6:10">
      <c r="F2221" t="s">
        <v>12056</v>
      </c>
      <c r="G2221">
        <v>2218</v>
      </c>
      <c r="H2221" t="s">
        <v>6106</v>
      </c>
      <c r="I2221" t="s">
        <v>6107</v>
      </c>
      <c r="J2221" t="s">
        <v>12057</v>
      </c>
    </row>
    <row r="2222" spans="6:10">
      <c r="F2222" t="s">
        <v>12058</v>
      </c>
      <c r="G2222">
        <v>2219</v>
      </c>
      <c r="H2222" t="s">
        <v>1195</v>
      </c>
      <c r="I2222" t="s">
        <v>1196</v>
      </c>
      <c r="J2222" t="s">
        <v>12059</v>
      </c>
    </row>
    <row r="2223" spans="6:10">
      <c r="F2223" t="s">
        <v>12060</v>
      </c>
      <c r="G2223">
        <v>2220</v>
      </c>
      <c r="H2223" t="s">
        <v>738</v>
      </c>
      <c r="I2223" t="s">
        <v>743</v>
      </c>
      <c r="J2223" t="s">
        <v>12061</v>
      </c>
    </row>
    <row r="2224" spans="6:10">
      <c r="F2224" t="s">
        <v>12062</v>
      </c>
      <c r="G2224">
        <v>2221</v>
      </c>
      <c r="H2224" t="s">
        <v>548</v>
      </c>
      <c r="I2224" t="s">
        <v>582</v>
      </c>
      <c r="J2224" t="s">
        <v>12063</v>
      </c>
    </row>
    <row r="2225" spans="6:10">
      <c r="F2225" t="s">
        <v>12064</v>
      </c>
      <c r="G2225">
        <v>2222</v>
      </c>
      <c r="H2225" t="s">
        <v>5698</v>
      </c>
      <c r="I2225" t="s">
        <v>5699</v>
      </c>
      <c r="J2225" t="s">
        <v>12065</v>
      </c>
    </row>
    <row r="2226" spans="6:10">
      <c r="F2226" t="s">
        <v>12066</v>
      </c>
      <c r="G2226">
        <v>2223</v>
      </c>
      <c r="H2226" t="s">
        <v>1238</v>
      </c>
      <c r="I2226" t="s">
        <v>1239</v>
      </c>
      <c r="J2226" t="s">
        <v>12067</v>
      </c>
    </row>
    <row r="2227" spans="6:10">
      <c r="F2227" t="s">
        <v>12068</v>
      </c>
      <c r="G2227">
        <v>2224</v>
      </c>
      <c r="H2227" t="s">
        <v>1770</v>
      </c>
      <c r="I2227" t="s">
        <v>1395</v>
      </c>
      <c r="J2227" t="s">
        <v>12069</v>
      </c>
    </row>
    <row r="2228" spans="6:10">
      <c r="F2228" t="s">
        <v>12070</v>
      </c>
      <c r="G2228">
        <v>2225</v>
      </c>
      <c r="H2228" t="s">
        <v>269</v>
      </c>
      <c r="I2228" t="s">
        <v>270</v>
      </c>
      <c r="J2228" t="s">
        <v>12071</v>
      </c>
    </row>
    <row r="2229" spans="6:10">
      <c r="F2229" t="s">
        <v>12072</v>
      </c>
      <c r="G2229">
        <v>2226</v>
      </c>
      <c r="H2229" t="s">
        <v>3195</v>
      </c>
      <c r="I2229" t="s">
        <v>3196</v>
      </c>
      <c r="J2229" t="s">
        <v>12073</v>
      </c>
    </row>
    <row r="2230" spans="6:10">
      <c r="F2230" t="s">
        <v>12074</v>
      </c>
      <c r="G2230">
        <v>2227</v>
      </c>
      <c r="H2230" t="s">
        <v>1470</v>
      </c>
      <c r="I2230" t="s">
        <v>1471</v>
      </c>
      <c r="J2230" t="s">
        <v>12075</v>
      </c>
    </row>
    <row r="2231" spans="6:10">
      <c r="F2231" t="s">
        <v>12076</v>
      </c>
      <c r="G2231">
        <v>2228</v>
      </c>
      <c r="H2231" t="s">
        <v>2341</v>
      </c>
      <c r="I2231" t="s">
        <v>2342</v>
      </c>
      <c r="J2231" t="s">
        <v>12077</v>
      </c>
    </row>
    <row r="2232" spans="6:10">
      <c r="F2232" t="s">
        <v>12078</v>
      </c>
      <c r="G2232">
        <v>2229</v>
      </c>
      <c r="H2232" t="s">
        <v>2314</v>
      </c>
      <c r="I2232" t="s">
        <v>768</v>
      </c>
      <c r="J2232" t="s">
        <v>12079</v>
      </c>
    </row>
    <row r="2233" spans="6:10">
      <c r="F2233" t="s">
        <v>12080</v>
      </c>
      <c r="G2233">
        <v>2230</v>
      </c>
      <c r="H2233" t="s">
        <v>683</v>
      </c>
      <c r="I2233" t="s">
        <v>684</v>
      </c>
      <c r="J2233" t="s">
        <v>12081</v>
      </c>
    </row>
    <row r="2234" spans="6:10">
      <c r="F2234" t="s">
        <v>12082</v>
      </c>
      <c r="G2234">
        <v>2231</v>
      </c>
      <c r="H2234" t="s">
        <v>12083</v>
      </c>
      <c r="I2234" t="s">
        <v>12084</v>
      </c>
      <c r="J2234" t="s">
        <v>12085</v>
      </c>
    </row>
    <row r="2235" spans="6:10">
      <c r="F2235" t="s">
        <v>12086</v>
      </c>
      <c r="G2235">
        <v>2232</v>
      </c>
      <c r="H2235" t="s">
        <v>12087</v>
      </c>
      <c r="I2235" t="s">
        <v>12088</v>
      </c>
      <c r="J2235" t="s">
        <v>12089</v>
      </c>
    </row>
    <row r="2236" spans="6:10">
      <c r="F2236" t="s">
        <v>12090</v>
      </c>
      <c r="G2236">
        <v>2233</v>
      </c>
      <c r="H2236" t="s">
        <v>4949</v>
      </c>
      <c r="I2236" t="s">
        <v>4952</v>
      </c>
      <c r="J2236" t="s">
        <v>12091</v>
      </c>
    </row>
    <row r="2237" spans="6:10">
      <c r="F2237" t="s">
        <v>12092</v>
      </c>
      <c r="G2237">
        <v>2234</v>
      </c>
      <c r="H2237" t="s">
        <v>12093</v>
      </c>
      <c r="I2237" t="s">
        <v>12094</v>
      </c>
      <c r="J2237" t="s">
        <v>12095</v>
      </c>
    </row>
    <row r="2238" spans="6:10">
      <c r="F2238" t="s">
        <v>12096</v>
      </c>
      <c r="G2238">
        <v>2235</v>
      </c>
      <c r="H2238" t="s">
        <v>1880</v>
      </c>
      <c r="I2238" t="s">
        <v>1881</v>
      </c>
      <c r="J2238" t="s">
        <v>12097</v>
      </c>
    </row>
    <row r="2239" spans="6:10">
      <c r="F2239" t="s">
        <v>12098</v>
      </c>
      <c r="G2239">
        <v>2236</v>
      </c>
      <c r="H2239" t="s">
        <v>548</v>
      </c>
      <c r="I2239" t="s">
        <v>583</v>
      </c>
      <c r="J2239" t="s">
        <v>12099</v>
      </c>
    </row>
    <row r="2240" spans="6:10">
      <c r="F2240" t="s">
        <v>12100</v>
      </c>
      <c r="G2240">
        <v>2237</v>
      </c>
      <c r="H2240" t="s">
        <v>5192</v>
      </c>
      <c r="I2240" t="s">
        <v>2745</v>
      </c>
      <c r="J2240" t="s">
        <v>12101</v>
      </c>
    </row>
    <row r="2241" spans="6:10">
      <c r="F2241" t="s">
        <v>12102</v>
      </c>
      <c r="G2241">
        <v>2238</v>
      </c>
      <c r="H2241" t="s">
        <v>2744</v>
      </c>
      <c r="I2241" t="s">
        <v>2748</v>
      </c>
      <c r="J2241" t="s">
        <v>12103</v>
      </c>
    </row>
    <row r="2242" spans="6:10">
      <c r="F2242" t="s">
        <v>12104</v>
      </c>
      <c r="G2242">
        <v>2239</v>
      </c>
      <c r="H2242" t="s">
        <v>2744</v>
      </c>
      <c r="I2242" t="s">
        <v>2749</v>
      </c>
      <c r="J2242" t="s">
        <v>12105</v>
      </c>
    </row>
    <row r="2243" spans="6:10">
      <c r="F2243" t="s">
        <v>12106</v>
      </c>
      <c r="G2243">
        <v>2240</v>
      </c>
      <c r="H2243" t="s">
        <v>12107</v>
      </c>
      <c r="I2243" t="s">
        <v>12108</v>
      </c>
      <c r="J2243" t="s">
        <v>12109</v>
      </c>
    </row>
    <row r="2244" spans="6:10">
      <c r="F2244" t="s">
        <v>12110</v>
      </c>
      <c r="G2244">
        <v>2241</v>
      </c>
      <c r="H2244" t="s">
        <v>2744</v>
      </c>
      <c r="I2244" t="s">
        <v>2750</v>
      </c>
      <c r="J2244" t="s">
        <v>12111</v>
      </c>
    </row>
    <row r="2245" spans="6:10">
      <c r="F2245" t="s">
        <v>12112</v>
      </c>
      <c r="G2245">
        <v>2242</v>
      </c>
      <c r="H2245" t="s">
        <v>2311</v>
      </c>
      <c r="I2245" t="s">
        <v>2312</v>
      </c>
      <c r="J2245" t="s">
        <v>12113</v>
      </c>
    </row>
    <row r="2246" spans="6:10">
      <c r="F2246" t="s">
        <v>12114</v>
      </c>
      <c r="G2246">
        <v>2243</v>
      </c>
      <c r="H2246" t="s">
        <v>2949</v>
      </c>
      <c r="I2246" t="s">
        <v>2950</v>
      </c>
      <c r="J2246" t="s">
        <v>12115</v>
      </c>
    </row>
    <row r="2247" spans="6:10">
      <c r="F2247" t="s">
        <v>12116</v>
      </c>
      <c r="G2247">
        <v>2244</v>
      </c>
      <c r="H2247" t="s">
        <v>2744</v>
      </c>
      <c r="I2247" t="s">
        <v>2751</v>
      </c>
      <c r="J2247" t="s">
        <v>12117</v>
      </c>
    </row>
    <row r="2248" spans="6:10">
      <c r="F2248" t="s">
        <v>12118</v>
      </c>
      <c r="G2248">
        <v>2245</v>
      </c>
      <c r="H2248" t="s">
        <v>548</v>
      </c>
      <c r="I2248" t="s">
        <v>584</v>
      </c>
      <c r="J2248" t="s">
        <v>12119</v>
      </c>
    </row>
    <row r="2249" spans="6:10">
      <c r="F2249" t="s">
        <v>12120</v>
      </c>
      <c r="G2249">
        <v>2246</v>
      </c>
      <c r="H2249" t="s">
        <v>2375</v>
      </c>
      <c r="I2249" t="s">
        <v>2379</v>
      </c>
      <c r="J2249" t="s">
        <v>12121</v>
      </c>
    </row>
    <row r="2250" spans="6:10">
      <c r="F2250" t="s">
        <v>12122</v>
      </c>
      <c r="G2250">
        <v>2247</v>
      </c>
      <c r="H2250" t="s">
        <v>2375</v>
      </c>
      <c r="I2250" t="s">
        <v>2380</v>
      </c>
      <c r="J2250" t="s">
        <v>12123</v>
      </c>
    </row>
    <row r="2251" spans="6:10">
      <c r="F2251" t="s">
        <v>12124</v>
      </c>
      <c r="G2251">
        <v>2248</v>
      </c>
      <c r="H2251" t="s">
        <v>2678</v>
      </c>
      <c r="I2251" t="s">
        <v>2679</v>
      </c>
      <c r="J2251" t="s">
        <v>12125</v>
      </c>
    </row>
    <row r="2252" spans="6:10">
      <c r="F2252" t="s">
        <v>12126</v>
      </c>
      <c r="G2252">
        <v>2249</v>
      </c>
      <c r="H2252" t="s">
        <v>6168</v>
      </c>
      <c r="I2252" t="s">
        <v>6169</v>
      </c>
      <c r="J2252" t="s">
        <v>12127</v>
      </c>
    </row>
    <row r="2253" spans="6:10">
      <c r="F2253" t="s">
        <v>12128</v>
      </c>
      <c r="G2253">
        <v>2250</v>
      </c>
      <c r="H2253" t="s">
        <v>12129</v>
      </c>
      <c r="I2253" t="s">
        <v>12130</v>
      </c>
      <c r="J2253" t="s">
        <v>12131</v>
      </c>
    </row>
    <row r="2254" spans="6:10">
      <c r="F2254" t="s">
        <v>12132</v>
      </c>
      <c r="G2254">
        <v>2251</v>
      </c>
      <c r="H2254" t="s">
        <v>1381</v>
      </c>
      <c r="I2254" t="s">
        <v>1382</v>
      </c>
      <c r="J2254" t="s">
        <v>12133</v>
      </c>
    </row>
    <row r="2255" spans="6:10">
      <c r="F2255" t="s">
        <v>12134</v>
      </c>
      <c r="G2255">
        <v>2252</v>
      </c>
      <c r="H2255" t="s">
        <v>4858</v>
      </c>
      <c r="I2255" t="s">
        <v>4859</v>
      </c>
      <c r="J2255" t="s">
        <v>12135</v>
      </c>
    </row>
    <row r="2256" spans="6:10">
      <c r="F2256" t="s">
        <v>12136</v>
      </c>
      <c r="G2256">
        <v>2253</v>
      </c>
      <c r="H2256" t="s">
        <v>4760</v>
      </c>
      <c r="I2256" t="s">
        <v>4761</v>
      </c>
      <c r="J2256" t="s">
        <v>12137</v>
      </c>
    </row>
    <row r="2257" spans="6:10">
      <c r="F2257" t="s">
        <v>12138</v>
      </c>
      <c r="G2257">
        <v>2254</v>
      </c>
      <c r="H2257" t="s">
        <v>3067</v>
      </c>
      <c r="I2257" t="s">
        <v>3068</v>
      </c>
      <c r="J2257" t="s">
        <v>12139</v>
      </c>
    </row>
    <row r="2258" spans="6:10">
      <c r="F2258" t="s">
        <v>12140</v>
      </c>
      <c r="G2258">
        <v>2255</v>
      </c>
      <c r="H2258" t="s">
        <v>5256</v>
      </c>
      <c r="I2258" t="s">
        <v>5257</v>
      </c>
      <c r="J2258" t="s">
        <v>12141</v>
      </c>
    </row>
    <row r="2259" spans="6:10">
      <c r="F2259" t="s">
        <v>12142</v>
      </c>
      <c r="G2259">
        <v>2256</v>
      </c>
      <c r="H2259" t="s">
        <v>3638</v>
      </c>
      <c r="I2259" t="s">
        <v>3639</v>
      </c>
      <c r="J2259" t="s">
        <v>12143</v>
      </c>
    </row>
    <row r="2260" spans="6:10">
      <c r="F2260" t="s">
        <v>12144</v>
      </c>
      <c r="G2260">
        <v>2257</v>
      </c>
      <c r="H2260" t="s">
        <v>6198</v>
      </c>
      <c r="I2260" t="s">
        <v>24563</v>
      </c>
      <c r="J2260" t="s">
        <v>12145</v>
      </c>
    </row>
    <row r="2261" spans="6:10">
      <c r="F2261" t="s">
        <v>12146</v>
      </c>
      <c r="G2261">
        <v>2258</v>
      </c>
      <c r="H2261" t="s">
        <v>12147</v>
      </c>
      <c r="I2261" t="s">
        <v>12148</v>
      </c>
      <c r="J2261" t="s">
        <v>12149</v>
      </c>
    </row>
    <row r="2262" spans="6:10">
      <c r="F2262" t="s">
        <v>12150</v>
      </c>
      <c r="G2262">
        <v>2259</v>
      </c>
      <c r="H2262" t="s">
        <v>1409</v>
      </c>
      <c r="I2262" t="s">
        <v>1410</v>
      </c>
      <c r="J2262" t="s">
        <v>12151</v>
      </c>
    </row>
    <row r="2263" spans="6:10">
      <c r="F2263" t="s">
        <v>12152</v>
      </c>
      <c r="G2263">
        <v>2260</v>
      </c>
      <c r="H2263" t="s">
        <v>3331</v>
      </c>
      <c r="I2263" t="s">
        <v>3332</v>
      </c>
      <c r="J2263" t="s">
        <v>12153</v>
      </c>
    </row>
    <row r="2264" spans="6:10">
      <c r="F2264" t="s">
        <v>12154</v>
      </c>
      <c r="G2264">
        <v>2261</v>
      </c>
      <c r="H2264" t="s">
        <v>2406</v>
      </c>
      <c r="I2264" t="s">
        <v>2407</v>
      </c>
      <c r="J2264" t="s">
        <v>12155</v>
      </c>
    </row>
    <row r="2265" spans="6:10">
      <c r="F2265" t="s">
        <v>12156</v>
      </c>
      <c r="G2265">
        <v>2262</v>
      </c>
      <c r="H2265" t="s">
        <v>5138</v>
      </c>
      <c r="I2265" t="s">
        <v>5139</v>
      </c>
      <c r="J2265" t="s">
        <v>12157</v>
      </c>
    </row>
    <row r="2266" spans="6:10">
      <c r="F2266" t="s">
        <v>12158</v>
      </c>
      <c r="G2266">
        <v>2263</v>
      </c>
      <c r="H2266" t="s">
        <v>12159</v>
      </c>
      <c r="I2266" t="s">
        <v>12160</v>
      </c>
      <c r="J2266" t="s">
        <v>12161</v>
      </c>
    </row>
    <row r="2267" spans="6:10">
      <c r="F2267" t="s">
        <v>12162</v>
      </c>
      <c r="G2267">
        <v>2264</v>
      </c>
      <c r="H2267" t="s">
        <v>3369</v>
      </c>
      <c r="I2267" t="s">
        <v>3370</v>
      </c>
      <c r="J2267" t="s">
        <v>12163</v>
      </c>
    </row>
    <row r="2268" spans="6:10">
      <c r="F2268" t="s">
        <v>12164</v>
      </c>
      <c r="G2268">
        <v>2265</v>
      </c>
      <c r="H2268" t="s">
        <v>12165</v>
      </c>
      <c r="I2268" t="s">
        <v>12165</v>
      </c>
      <c r="J2268" t="s">
        <v>12166</v>
      </c>
    </row>
    <row r="2269" spans="6:10">
      <c r="F2269" t="s">
        <v>12167</v>
      </c>
      <c r="G2269">
        <v>2266</v>
      </c>
      <c r="H2269" t="s">
        <v>1487</v>
      </c>
      <c r="I2269" t="s">
        <v>1488</v>
      </c>
      <c r="J2269" t="s">
        <v>12168</v>
      </c>
    </row>
    <row r="2270" spans="6:10">
      <c r="F2270" t="s">
        <v>12169</v>
      </c>
      <c r="G2270">
        <v>2267</v>
      </c>
      <c r="H2270" t="s">
        <v>5551</v>
      </c>
      <c r="I2270" t="s">
        <v>5552</v>
      </c>
      <c r="J2270" t="s">
        <v>12170</v>
      </c>
    </row>
    <row r="2271" spans="6:10">
      <c r="F2271" t="s">
        <v>12171</v>
      </c>
      <c r="G2271">
        <v>2268</v>
      </c>
      <c r="H2271" t="s">
        <v>12172</v>
      </c>
      <c r="I2271" t="s">
        <v>12173</v>
      </c>
      <c r="J2271" t="s">
        <v>12174</v>
      </c>
    </row>
    <row r="2272" spans="6:10">
      <c r="F2272" t="s">
        <v>12175</v>
      </c>
      <c r="G2272">
        <v>2269</v>
      </c>
      <c r="H2272" t="s">
        <v>1392</v>
      </c>
      <c r="I2272" t="s">
        <v>1393</v>
      </c>
      <c r="J2272" t="s">
        <v>12176</v>
      </c>
    </row>
    <row r="2273" spans="6:10">
      <c r="F2273" t="s">
        <v>12177</v>
      </c>
      <c r="G2273">
        <v>2270</v>
      </c>
      <c r="H2273" t="s">
        <v>12178</v>
      </c>
      <c r="I2273" t="s">
        <v>12179</v>
      </c>
      <c r="J2273" t="s">
        <v>12180</v>
      </c>
    </row>
    <row r="2274" spans="6:10">
      <c r="F2274" t="s">
        <v>12181</v>
      </c>
      <c r="G2274">
        <v>2271</v>
      </c>
      <c r="H2274" t="s">
        <v>66</v>
      </c>
      <c r="I2274" t="s">
        <v>67</v>
      </c>
      <c r="J2274" t="s">
        <v>12182</v>
      </c>
    </row>
    <row r="2275" spans="6:10">
      <c r="F2275" t="s">
        <v>12183</v>
      </c>
      <c r="G2275">
        <v>2272</v>
      </c>
      <c r="H2275" t="s">
        <v>783</v>
      </c>
      <c r="I2275" t="s">
        <v>784</v>
      </c>
      <c r="J2275" t="s">
        <v>12184</v>
      </c>
    </row>
    <row r="2276" spans="6:10">
      <c r="F2276" t="s">
        <v>12185</v>
      </c>
      <c r="G2276">
        <v>2273</v>
      </c>
      <c r="H2276" t="s">
        <v>1764</v>
      </c>
      <c r="I2276" t="s">
        <v>1765</v>
      </c>
      <c r="J2276" t="s">
        <v>12186</v>
      </c>
    </row>
    <row r="2277" spans="6:10">
      <c r="F2277" t="s">
        <v>12187</v>
      </c>
      <c r="G2277">
        <v>2274</v>
      </c>
      <c r="H2277" t="s">
        <v>4533</v>
      </c>
      <c r="I2277" t="s">
        <v>4534</v>
      </c>
      <c r="J2277" t="s">
        <v>12188</v>
      </c>
    </row>
    <row r="2278" spans="6:10">
      <c r="F2278" t="s">
        <v>12189</v>
      </c>
      <c r="G2278">
        <v>2275</v>
      </c>
      <c r="H2278" t="s">
        <v>6164</v>
      </c>
      <c r="I2278" t="s">
        <v>6165</v>
      </c>
      <c r="J2278" t="s">
        <v>12190</v>
      </c>
    </row>
    <row r="2279" spans="6:10">
      <c r="F2279" t="s">
        <v>12191</v>
      </c>
      <c r="G2279">
        <v>2276</v>
      </c>
      <c r="H2279" t="s">
        <v>147</v>
      </c>
      <c r="I2279" t="s">
        <v>148</v>
      </c>
      <c r="J2279" t="s">
        <v>12192</v>
      </c>
    </row>
    <row r="2280" spans="6:10">
      <c r="F2280" t="s">
        <v>12193</v>
      </c>
      <c r="G2280">
        <v>2277</v>
      </c>
      <c r="H2280" t="s">
        <v>5826</v>
      </c>
      <c r="I2280" t="s">
        <v>5827</v>
      </c>
      <c r="J2280" t="s">
        <v>12194</v>
      </c>
    </row>
    <row r="2281" spans="6:10">
      <c r="F2281" t="s">
        <v>12195</v>
      </c>
      <c r="G2281">
        <v>2278</v>
      </c>
      <c r="H2281" t="s">
        <v>3993</v>
      </c>
      <c r="I2281" t="s">
        <v>3993</v>
      </c>
      <c r="J2281" t="s">
        <v>12196</v>
      </c>
    </row>
    <row r="2282" spans="6:10">
      <c r="F2282" t="s">
        <v>12197</v>
      </c>
      <c r="G2282">
        <v>2279</v>
      </c>
      <c r="H2282" t="s">
        <v>2882</v>
      </c>
      <c r="I2282" t="s">
        <v>2884</v>
      </c>
      <c r="J2282" t="s">
        <v>12198</v>
      </c>
    </row>
    <row r="2283" spans="6:10">
      <c r="F2283" t="s">
        <v>12199</v>
      </c>
      <c r="G2283">
        <v>2280</v>
      </c>
      <c r="H2283" t="s">
        <v>6041</v>
      </c>
      <c r="I2283" t="s">
        <v>6042</v>
      </c>
      <c r="J2283" t="s">
        <v>12200</v>
      </c>
    </row>
    <row r="2284" spans="6:10">
      <c r="F2284" t="s">
        <v>12201</v>
      </c>
      <c r="G2284">
        <v>2281</v>
      </c>
      <c r="H2284" t="s">
        <v>4753</v>
      </c>
      <c r="I2284" t="s">
        <v>4753</v>
      </c>
      <c r="J2284" t="s">
        <v>12202</v>
      </c>
    </row>
    <row r="2285" spans="6:10">
      <c r="F2285" t="s">
        <v>12203</v>
      </c>
      <c r="G2285">
        <v>2282</v>
      </c>
      <c r="H2285" t="s">
        <v>1411</v>
      </c>
      <c r="I2285" t="s">
        <v>1412</v>
      </c>
      <c r="J2285" t="s">
        <v>12204</v>
      </c>
    </row>
    <row r="2286" spans="6:10">
      <c r="F2286" t="s">
        <v>12205</v>
      </c>
      <c r="G2286">
        <v>2283</v>
      </c>
      <c r="H2286" t="s">
        <v>12206</v>
      </c>
      <c r="I2286" t="s">
        <v>12207</v>
      </c>
      <c r="J2286" t="s">
        <v>12208</v>
      </c>
    </row>
    <row r="2287" spans="6:10">
      <c r="F2287" t="s">
        <v>12209</v>
      </c>
      <c r="G2287">
        <v>2284</v>
      </c>
      <c r="H2287" t="s">
        <v>12210</v>
      </c>
      <c r="I2287" t="s">
        <v>12211</v>
      </c>
      <c r="J2287" t="s">
        <v>12212</v>
      </c>
    </row>
    <row r="2288" spans="6:10">
      <c r="F2288" t="s">
        <v>12213</v>
      </c>
      <c r="G2288">
        <v>2285</v>
      </c>
      <c r="H2288" t="s">
        <v>12214</v>
      </c>
      <c r="I2288" t="s">
        <v>12215</v>
      </c>
      <c r="J2288" t="s">
        <v>12216</v>
      </c>
    </row>
    <row r="2289" spans="6:10">
      <c r="F2289" t="s">
        <v>12217</v>
      </c>
      <c r="G2289">
        <v>2286</v>
      </c>
      <c r="H2289" t="s">
        <v>2628</v>
      </c>
      <c r="I2289" t="s">
        <v>2629</v>
      </c>
      <c r="J2289" t="s">
        <v>12218</v>
      </c>
    </row>
    <row r="2290" spans="6:10">
      <c r="F2290" t="s">
        <v>12219</v>
      </c>
      <c r="G2290">
        <v>2287</v>
      </c>
      <c r="H2290" t="s">
        <v>4364</v>
      </c>
      <c r="I2290" t="s">
        <v>4365</v>
      </c>
      <c r="J2290" t="s">
        <v>12220</v>
      </c>
    </row>
    <row r="2291" spans="6:10">
      <c r="F2291" t="s">
        <v>12221</v>
      </c>
      <c r="G2291">
        <v>2288</v>
      </c>
      <c r="H2291" t="s">
        <v>12222</v>
      </c>
      <c r="I2291" t="s">
        <v>12223</v>
      </c>
      <c r="J2291" t="s">
        <v>12224</v>
      </c>
    </row>
    <row r="2292" spans="6:10">
      <c r="F2292" t="s">
        <v>12225</v>
      </c>
      <c r="G2292">
        <v>2289</v>
      </c>
      <c r="H2292" t="s">
        <v>5824</v>
      </c>
      <c r="I2292" t="s">
        <v>5825</v>
      </c>
      <c r="J2292" t="s">
        <v>12226</v>
      </c>
    </row>
    <row r="2293" spans="6:10">
      <c r="F2293" t="s">
        <v>12227</v>
      </c>
      <c r="G2293">
        <v>2290</v>
      </c>
      <c r="H2293" t="s">
        <v>1367</v>
      </c>
      <c r="I2293" t="s">
        <v>1368</v>
      </c>
      <c r="J2293" t="s">
        <v>12228</v>
      </c>
    </row>
    <row r="2294" spans="6:10">
      <c r="F2294" t="s">
        <v>12229</v>
      </c>
      <c r="G2294">
        <v>2291</v>
      </c>
      <c r="H2294" t="s">
        <v>4577</v>
      </c>
      <c r="I2294" t="s">
        <v>4578</v>
      </c>
      <c r="J2294" t="s">
        <v>12230</v>
      </c>
    </row>
    <row r="2295" spans="6:10">
      <c r="F2295" t="s">
        <v>12231</v>
      </c>
      <c r="G2295">
        <v>2292</v>
      </c>
      <c r="H2295" t="s">
        <v>12232</v>
      </c>
      <c r="I2295" t="s">
        <v>12233</v>
      </c>
      <c r="J2295" t="s">
        <v>12234</v>
      </c>
    </row>
    <row r="2296" spans="6:10">
      <c r="F2296" t="s">
        <v>12235</v>
      </c>
      <c r="G2296">
        <v>2293</v>
      </c>
      <c r="H2296" t="s">
        <v>12236</v>
      </c>
      <c r="I2296" t="s">
        <v>12237</v>
      </c>
      <c r="J2296" t="s">
        <v>12238</v>
      </c>
    </row>
    <row r="2297" spans="6:10">
      <c r="F2297" t="s">
        <v>12239</v>
      </c>
      <c r="G2297">
        <v>2294</v>
      </c>
      <c r="H2297" t="s">
        <v>12240</v>
      </c>
      <c r="I2297" t="s">
        <v>12241</v>
      </c>
      <c r="J2297" t="s">
        <v>12242</v>
      </c>
    </row>
    <row r="2298" spans="6:10">
      <c r="F2298" t="s">
        <v>12243</v>
      </c>
      <c r="G2298">
        <v>2295</v>
      </c>
      <c r="H2298" t="s">
        <v>12244</v>
      </c>
      <c r="I2298" t="s">
        <v>12245</v>
      </c>
      <c r="J2298" t="s">
        <v>12246</v>
      </c>
    </row>
    <row r="2299" spans="6:10">
      <c r="F2299" t="s">
        <v>12247</v>
      </c>
      <c r="G2299">
        <v>2296</v>
      </c>
      <c r="H2299" t="s">
        <v>12248</v>
      </c>
      <c r="I2299" t="s">
        <v>12249</v>
      </c>
      <c r="J2299" t="s">
        <v>12250</v>
      </c>
    </row>
    <row r="2300" spans="6:10">
      <c r="F2300" t="s">
        <v>12251</v>
      </c>
      <c r="G2300">
        <v>2297</v>
      </c>
      <c r="H2300" t="s">
        <v>4678</v>
      </c>
      <c r="I2300" t="s">
        <v>4679</v>
      </c>
      <c r="J2300" t="s">
        <v>12252</v>
      </c>
    </row>
    <row r="2301" spans="6:10">
      <c r="F2301" t="s">
        <v>12253</v>
      </c>
      <c r="G2301">
        <v>2298</v>
      </c>
      <c r="H2301" t="s">
        <v>4310</v>
      </c>
      <c r="I2301" t="s">
        <v>4312</v>
      </c>
      <c r="J2301" t="s">
        <v>12254</v>
      </c>
    </row>
    <row r="2302" spans="6:10">
      <c r="F2302" t="s">
        <v>12255</v>
      </c>
      <c r="G2302">
        <v>2299</v>
      </c>
      <c r="H2302" t="s">
        <v>3308</v>
      </c>
      <c r="I2302" t="s">
        <v>3309</v>
      </c>
      <c r="J2302" t="s">
        <v>12256</v>
      </c>
    </row>
    <row r="2303" spans="6:10">
      <c r="F2303" t="s">
        <v>12257</v>
      </c>
      <c r="G2303">
        <v>2300</v>
      </c>
      <c r="H2303" t="s">
        <v>6039</v>
      </c>
      <c r="I2303" t="s">
        <v>6040</v>
      </c>
      <c r="J2303" t="s">
        <v>12258</v>
      </c>
    </row>
    <row r="2304" spans="6:10">
      <c r="F2304" t="s">
        <v>12259</v>
      </c>
      <c r="G2304">
        <v>2301</v>
      </c>
      <c r="H2304" t="s">
        <v>791</v>
      </c>
      <c r="I2304" t="s">
        <v>792</v>
      </c>
      <c r="J2304" t="s">
        <v>12260</v>
      </c>
    </row>
    <row r="2305" spans="6:10">
      <c r="F2305" t="s">
        <v>12261</v>
      </c>
      <c r="G2305">
        <v>2302</v>
      </c>
      <c r="H2305" t="s">
        <v>677</v>
      </c>
      <c r="I2305" t="s">
        <v>678</v>
      </c>
      <c r="J2305" t="s">
        <v>12262</v>
      </c>
    </row>
    <row r="2306" spans="6:10">
      <c r="F2306" t="s">
        <v>12263</v>
      </c>
      <c r="G2306">
        <v>2303</v>
      </c>
      <c r="H2306" t="s">
        <v>136</v>
      </c>
      <c r="I2306" t="s">
        <v>137</v>
      </c>
      <c r="J2306" t="s">
        <v>12264</v>
      </c>
    </row>
    <row r="2307" spans="6:10">
      <c r="F2307" t="s">
        <v>12265</v>
      </c>
      <c r="G2307">
        <v>2304</v>
      </c>
      <c r="H2307" t="s">
        <v>12266</v>
      </c>
      <c r="I2307" t="s">
        <v>12267</v>
      </c>
      <c r="J2307" t="s">
        <v>12268</v>
      </c>
    </row>
    <row r="2308" spans="6:10">
      <c r="F2308" t="s">
        <v>12269</v>
      </c>
      <c r="G2308">
        <v>2305</v>
      </c>
      <c r="H2308" t="s">
        <v>2046</v>
      </c>
      <c r="I2308" t="s">
        <v>2047</v>
      </c>
      <c r="J2308" t="s">
        <v>12270</v>
      </c>
    </row>
    <row r="2309" spans="6:10">
      <c r="F2309" t="s">
        <v>12271</v>
      </c>
      <c r="G2309">
        <v>2306</v>
      </c>
      <c r="H2309" t="s">
        <v>6053</v>
      </c>
      <c r="I2309" t="s">
        <v>6054</v>
      </c>
      <c r="J2309" t="s">
        <v>12272</v>
      </c>
    </row>
    <row r="2310" spans="6:10">
      <c r="F2310" t="s">
        <v>12273</v>
      </c>
      <c r="G2310">
        <v>2307</v>
      </c>
      <c r="H2310" t="s">
        <v>1730</v>
      </c>
      <c r="I2310" t="s">
        <v>1730</v>
      </c>
      <c r="J2310" t="s">
        <v>12274</v>
      </c>
    </row>
    <row r="2311" spans="6:10">
      <c r="F2311" t="s">
        <v>12275</v>
      </c>
      <c r="G2311">
        <v>2308</v>
      </c>
      <c r="H2311" t="s">
        <v>2630</v>
      </c>
      <c r="I2311" t="s">
        <v>2631</v>
      </c>
      <c r="J2311" t="s">
        <v>12276</v>
      </c>
    </row>
    <row r="2312" spans="6:10">
      <c r="F2312" t="s">
        <v>12277</v>
      </c>
      <c r="G2312">
        <v>2309</v>
      </c>
      <c r="H2312" t="s">
        <v>5122</v>
      </c>
      <c r="I2312" t="s">
        <v>5123</v>
      </c>
      <c r="J2312" t="s">
        <v>12278</v>
      </c>
    </row>
    <row r="2313" spans="6:10">
      <c r="F2313" t="s">
        <v>12279</v>
      </c>
      <c r="G2313">
        <v>2310</v>
      </c>
      <c r="H2313" t="s">
        <v>5447</v>
      </c>
      <c r="I2313" t="s">
        <v>5448</v>
      </c>
      <c r="J2313" t="s">
        <v>12280</v>
      </c>
    </row>
    <row r="2314" spans="6:10">
      <c r="F2314" t="s">
        <v>12281</v>
      </c>
      <c r="G2314">
        <v>2311</v>
      </c>
      <c r="H2314" t="s">
        <v>1127</v>
      </c>
      <c r="I2314" t="s">
        <v>1128</v>
      </c>
      <c r="J2314" t="s">
        <v>12282</v>
      </c>
    </row>
    <row r="2315" spans="6:10">
      <c r="F2315" t="s">
        <v>12283</v>
      </c>
      <c r="G2315">
        <v>2312</v>
      </c>
      <c r="H2315" t="s">
        <v>12284</v>
      </c>
      <c r="I2315" t="s">
        <v>12285</v>
      </c>
      <c r="J2315" t="s">
        <v>12286</v>
      </c>
    </row>
    <row r="2316" spans="6:10">
      <c r="F2316" t="s">
        <v>12287</v>
      </c>
      <c r="G2316">
        <v>2313</v>
      </c>
      <c r="H2316" t="s">
        <v>5763</v>
      </c>
      <c r="I2316" t="s">
        <v>5764</v>
      </c>
      <c r="J2316" t="s">
        <v>12288</v>
      </c>
    </row>
    <row r="2317" spans="6:10">
      <c r="F2317" t="s">
        <v>12289</v>
      </c>
      <c r="G2317">
        <v>2314</v>
      </c>
      <c r="H2317" t="s">
        <v>12290</v>
      </c>
      <c r="I2317" t="s">
        <v>12291</v>
      </c>
      <c r="J2317" t="s">
        <v>12292</v>
      </c>
    </row>
    <row r="2318" spans="6:10">
      <c r="F2318" t="s">
        <v>12293</v>
      </c>
      <c r="G2318">
        <v>2315</v>
      </c>
      <c r="H2318" t="s">
        <v>4840</v>
      </c>
      <c r="I2318" t="s">
        <v>4841</v>
      </c>
      <c r="J2318" t="s">
        <v>12294</v>
      </c>
    </row>
    <row r="2319" spans="6:10">
      <c r="F2319" t="s">
        <v>12295</v>
      </c>
      <c r="G2319">
        <v>2316</v>
      </c>
      <c r="H2319" t="s">
        <v>548</v>
      </c>
      <c r="I2319" t="s">
        <v>585</v>
      </c>
      <c r="J2319" t="s">
        <v>12296</v>
      </c>
    </row>
    <row r="2320" spans="6:10">
      <c r="F2320" t="s">
        <v>12297</v>
      </c>
      <c r="G2320">
        <v>2317</v>
      </c>
      <c r="H2320" t="s">
        <v>2744</v>
      </c>
      <c r="I2320" t="s">
        <v>2752</v>
      </c>
      <c r="J2320" t="s">
        <v>12298</v>
      </c>
    </row>
    <row r="2321" spans="6:10">
      <c r="F2321" t="s">
        <v>12299</v>
      </c>
      <c r="G2321">
        <v>2318</v>
      </c>
      <c r="H2321" t="s">
        <v>826</v>
      </c>
      <c r="I2321" t="s">
        <v>827</v>
      </c>
      <c r="J2321" t="s">
        <v>12300</v>
      </c>
    </row>
    <row r="2322" spans="6:10">
      <c r="F2322" t="s">
        <v>12301</v>
      </c>
      <c r="G2322">
        <v>2319</v>
      </c>
      <c r="H2322" t="s">
        <v>5850</v>
      </c>
      <c r="I2322" t="s">
        <v>5851</v>
      </c>
      <c r="J2322" t="s">
        <v>12302</v>
      </c>
    </row>
    <row r="2323" spans="6:10">
      <c r="F2323" t="s">
        <v>12303</v>
      </c>
      <c r="G2323">
        <v>2320</v>
      </c>
      <c r="H2323" t="s">
        <v>5235</v>
      </c>
      <c r="I2323" t="s">
        <v>5236</v>
      </c>
      <c r="J2323" t="s">
        <v>12304</v>
      </c>
    </row>
    <row r="2324" spans="6:10">
      <c r="F2324" t="s">
        <v>12305</v>
      </c>
      <c r="G2324">
        <v>2321</v>
      </c>
      <c r="H2324" t="s">
        <v>12306</v>
      </c>
      <c r="I2324" t="s">
        <v>12307</v>
      </c>
      <c r="J2324" t="s">
        <v>12308</v>
      </c>
    </row>
    <row r="2325" spans="6:10">
      <c r="F2325" t="s">
        <v>12309</v>
      </c>
      <c r="G2325">
        <v>2322</v>
      </c>
      <c r="H2325" t="s">
        <v>12310</v>
      </c>
      <c r="I2325" t="s">
        <v>12311</v>
      </c>
      <c r="J2325" t="s">
        <v>12312</v>
      </c>
    </row>
    <row r="2326" spans="6:10">
      <c r="F2326" t="s">
        <v>12313</v>
      </c>
      <c r="G2326">
        <v>2323</v>
      </c>
      <c r="H2326" t="s">
        <v>1115</v>
      </c>
      <c r="I2326" t="s">
        <v>1116</v>
      </c>
      <c r="J2326" t="s">
        <v>12314</v>
      </c>
    </row>
    <row r="2327" spans="6:10">
      <c r="F2327" t="s">
        <v>12315</v>
      </c>
      <c r="G2327">
        <v>2324</v>
      </c>
      <c r="H2327" t="s">
        <v>3753</v>
      </c>
      <c r="I2327" t="s">
        <v>3754</v>
      </c>
      <c r="J2327" t="s">
        <v>12316</v>
      </c>
    </row>
    <row r="2328" spans="6:10">
      <c r="F2328" t="s">
        <v>12317</v>
      </c>
      <c r="G2328">
        <v>2325</v>
      </c>
      <c r="H2328" t="s">
        <v>5690</v>
      </c>
      <c r="I2328" t="s">
        <v>5691</v>
      </c>
      <c r="J2328" t="s">
        <v>12318</v>
      </c>
    </row>
    <row r="2329" spans="6:10">
      <c r="F2329" t="s">
        <v>12319</v>
      </c>
      <c r="G2329">
        <v>2326</v>
      </c>
      <c r="H2329" t="s">
        <v>2897</v>
      </c>
      <c r="I2329" t="s">
        <v>2898</v>
      </c>
      <c r="J2329" t="s">
        <v>12320</v>
      </c>
    </row>
    <row r="2330" spans="6:10">
      <c r="F2330" t="s">
        <v>12321</v>
      </c>
      <c r="G2330">
        <v>2327</v>
      </c>
      <c r="H2330" t="s">
        <v>3723</v>
      </c>
      <c r="I2330" t="s">
        <v>3724</v>
      </c>
      <c r="J2330" t="s">
        <v>12322</v>
      </c>
    </row>
    <row r="2331" spans="6:10">
      <c r="F2331" t="s">
        <v>12323</v>
      </c>
      <c r="G2331">
        <v>2328</v>
      </c>
      <c r="H2331" t="s">
        <v>2744</v>
      </c>
      <c r="I2331" t="s">
        <v>2753</v>
      </c>
      <c r="J2331" t="s">
        <v>12324</v>
      </c>
    </row>
    <row r="2332" spans="6:10">
      <c r="F2332" t="s">
        <v>12325</v>
      </c>
      <c r="G2332">
        <v>2329</v>
      </c>
      <c r="H2332" t="s">
        <v>2744</v>
      </c>
      <c r="I2332" t="s">
        <v>2754</v>
      </c>
      <c r="J2332" t="s">
        <v>12326</v>
      </c>
    </row>
    <row r="2333" spans="6:10">
      <c r="F2333" t="s">
        <v>12327</v>
      </c>
      <c r="G2333">
        <v>2330</v>
      </c>
      <c r="H2333" t="s">
        <v>4926</v>
      </c>
      <c r="I2333" t="s">
        <v>4927</v>
      </c>
      <c r="J2333" t="s">
        <v>12328</v>
      </c>
    </row>
    <row r="2334" spans="6:10">
      <c r="F2334" t="s">
        <v>12329</v>
      </c>
      <c r="G2334">
        <v>2331</v>
      </c>
      <c r="H2334" t="s">
        <v>4304</v>
      </c>
      <c r="I2334" t="s">
        <v>4305</v>
      </c>
      <c r="J2334" t="s">
        <v>12330</v>
      </c>
    </row>
    <row r="2335" spans="6:10">
      <c r="F2335" t="s">
        <v>12331</v>
      </c>
      <c r="G2335">
        <v>2332</v>
      </c>
      <c r="H2335" t="s">
        <v>2498</v>
      </c>
      <c r="I2335" t="s">
        <v>2499</v>
      </c>
      <c r="J2335" t="s">
        <v>12332</v>
      </c>
    </row>
    <row r="2336" spans="6:10">
      <c r="F2336" t="s">
        <v>12333</v>
      </c>
      <c r="G2336">
        <v>2333</v>
      </c>
      <c r="H2336" t="s">
        <v>3025</v>
      </c>
      <c r="I2336" t="s">
        <v>3026</v>
      </c>
      <c r="J2336" t="s">
        <v>12334</v>
      </c>
    </row>
    <row r="2337" spans="6:10">
      <c r="F2337" t="s">
        <v>12335</v>
      </c>
      <c r="G2337">
        <v>2334</v>
      </c>
      <c r="H2337" t="s">
        <v>2211</v>
      </c>
      <c r="I2337" t="s">
        <v>2212</v>
      </c>
      <c r="J2337" t="s">
        <v>12336</v>
      </c>
    </row>
    <row r="2338" spans="6:10">
      <c r="F2338" t="s">
        <v>12337</v>
      </c>
      <c r="G2338">
        <v>2335</v>
      </c>
      <c r="H2338" t="s">
        <v>789</v>
      </c>
      <c r="I2338" t="s">
        <v>790</v>
      </c>
      <c r="J2338" t="s">
        <v>12338</v>
      </c>
    </row>
    <row r="2339" spans="6:10">
      <c r="F2339" t="s">
        <v>12339</v>
      </c>
      <c r="G2339">
        <v>2336</v>
      </c>
      <c r="H2339" t="s">
        <v>1685</v>
      </c>
      <c r="I2339" t="s">
        <v>1686</v>
      </c>
      <c r="J2339" t="s">
        <v>12340</v>
      </c>
    </row>
    <row r="2340" spans="6:10">
      <c r="F2340" t="s">
        <v>12341</v>
      </c>
      <c r="G2340">
        <v>2337</v>
      </c>
      <c r="H2340" t="s">
        <v>12342</v>
      </c>
      <c r="I2340" t="s">
        <v>12343</v>
      </c>
      <c r="J2340" t="s">
        <v>12344</v>
      </c>
    </row>
    <row r="2341" spans="6:10">
      <c r="F2341" t="s">
        <v>12345</v>
      </c>
      <c r="G2341">
        <v>2338</v>
      </c>
      <c r="H2341" t="s">
        <v>2429</v>
      </c>
      <c r="I2341" t="s">
        <v>2430</v>
      </c>
      <c r="J2341" t="s">
        <v>12346</v>
      </c>
    </row>
    <row r="2342" spans="6:10">
      <c r="F2342" t="s">
        <v>12347</v>
      </c>
      <c r="G2342">
        <v>2339</v>
      </c>
      <c r="H2342" t="s">
        <v>12348</v>
      </c>
      <c r="I2342" t="s">
        <v>12349</v>
      </c>
      <c r="J2342" t="s">
        <v>12350</v>
      </c>
    </row>
    <row r="2343" spans="6:10">
      <c r="F2343" t="s">
        <v>12351</v>
      </c>
      <c r="G2343">
        <v>2340</v>
      </c>
      <c r="H2343" t="s">
        <v>12352</v>
      </c>
      <c r="I2343" t="s">
        <v>12353</v>
      </c>
      <c r="J2343" t="s">
        <v>12354</v>
      </c>
    </row>
    <row r="2344" spans="6:10">
      <c r="F2344" t="s">
        <v>12355</v>
      </c>
      <c r="G2344">
        <v>2341</v>
      </c>
      <c r="H2344" t="s">
        <v>12356</v>
      </c>
      <c r="I2344" t="s">
        <v>12357</v>
      </c>
      <c r="J2344" t="s">
        <v>12358</v>
      </c>
    </row>
    <row r="2345" spans="6:10">
      <c r="F2345" t="s">
        <v>12359</v>
      </c>
      <c r="G2345">
        <v>2342</v>
      </c>
      <c r="H2345" t="s">
        <v>12360</v>
      </c>
      <c r="I2345" t="s">
        <v>12361</v>
      </c>
      <c r="J2345" t="s">
        <v>12362</v>
      </c>
    </row>
    <row r="2346" spans="6:10">
      <c r="F2346" t="s">
        <v>12363</v>
      </c>
      <c r="G2346">
        <v>2343</v>
      </c>
      <c r="H2346" t="s">
        <v>12364</v>
      </c>
      <c r="I2346" t="s">
        <v>12365</v>
      </c>
      <c r="J2346" t="s">
        <v>12366</v>
      </c>
    </row>
    <row r="2347" spans="6:10">
      <c r="F2347" t="s">
        <v>12367</v>
      </c>
      <c r="G2347">
        <v>2344</v>
      </c>
      <c r="H2347" t="s">
        <v>12368</v>
      </c>
      <c r="I2347" t="s">
        <v>12368</v>
      </c>
      <c r="J2347" t="s">
        <v>12369</v>
      </c>
    </row>
    <row r="2348" spans="6:10">
      <c r="F2348" t="s">
        <v>12370</v>
      </c>
      <c r="G2348">
        <v>2345</v>
      </c>
      <c r="H2348" t="s">
        <v>1206</v>
      </c>
      <c r="I2348" t="s">
        <v>1207</v>
      </c>
      <c r="J2348" t="s">
        <v>12371</v>
      </c>
    </row>
    <row r="2349" spans="6:10">
      <c r="F2349" t="s">
        <v>12372</v>
      </c>
      <c r="G2349">
        <v>2346</v>
      </c>
      <c r="H2349" t="s">
        <v>1312</v>
      </c>
      <c r="I2349" t="s">
        <v>1313</v>
      </c>
      <c r="J2349" t="s">
        <v>12373</v>
      </c>
    </row>
    <row r="2350" spans="6:10">
      <c r="F2350" t="s">
        <v>12374</v>
      </c>
      <c r="G2350">
        <v>2347</v>
      </c>
      <c r="H2350" t="s">
        <v>12375</v>
      </c>
      <c r="I2350" t="s">
        <v>12376</v>
      </c>
      <c r="J2350" t="s">
        <v>12377</v>
      </c>
    </row>
    <row r="2351" spans="6:10">
      <c r="F2351" t="s">
        <v>12378</v>
      </c>
      <c r="G2351">
        <v>2348</v>
      </c>
      <c r="H2351" t="s">
        <v>3333</v>
      </c>
      <c r="I2351" t="s">
        <v>3334</v>
      </c>
      <c r="J2351" t="s">
        <v>12379</v>
      </c>
    </row>
    <row r="2352" spans="6:10">
      <c r="F2352" t="s">
        <v>12380</v>
      </c>
      <c r="G2352">
        <v>2349</v>
      </c>
      <c r="H2352" t="s">
        <v>352</v>
      </c>
      <c r="I2352" t="s">
        <v>353</v>
      </c>
      <c r="J2352" t="s">
        <v>12381</v>
      </c>
    </row>
    <row r="2353" spans="6:10">
      <c r="F2353" t="s">
        <v>12382</v>
      </c>
      <c r="G2353">
        <v>2350</v>
      </c>
      <c r="H2353" t="s">
        <v>5848</v>
      </c>
      <c r="I2353" t="s">
        <v>5849</v>
      </c>
      <c r="J2353" t="s">
        <v>12383</v>
      </c>
    </row>
    <row r="2354" spans="6:10">
      <c r="F2354" t="s">
        <v>12384</v>
      </c>
      <c r="G2354">
        <v>2351</v>
      </c>
      <c r="H2354" t="s">
        <v>12385</v>
      </c>
      <c r="I2354" t="s">
        <v>12386</v>
      </c>
      <c r="J2354" t="s">
        <v>12387</v>
      </c>
    </row>
    <row r="2355" spans="6:10">
      <c r="F2355" t="s">
        <v>12388</v>
      </c>
      <c r="G2355">
        <v>2352</v>
      </c>
      <c r="H2355" t="s">
        <v>5753</v>
      </c>
      <c r="I2355" t="s">
        <v>5754</v>
      </c>
      <c r="J2355" t="s">
        <v>12389</v>
      </c>
    </row>
    <row r="2356" spans="6:10">
      <c r="F2356" t="s">
        <v>12390</v>
      </c>
      <c r="G2356">
        <v>2353</v>
      </c>
      <c r="H2356" t="s">
        <v>12391</v>
      </c>
      <c r="I2356" t="s">
        <v>12392</v>
      </c>
      <c r="J2356" t="s">
        <v>12393</v>
      </c>
    </row>
    <row r="2357" spans="6:10">
      <c r="F2357" t="s">
        <v>12394</v>
      </c>
      <c r="G2357">
        <v>2354</v>
      </c>
      <c r="H2357" t="s">
        <v>2776</v>
      </c>
      <c r="I2357" t="s">
        <v>2777</v>
      </c>
      <c r="J2357" t="s">
        <v>12395</v>
      </c>
    </row>
    <row r="2358" spans="6:10">
      <c r="F2358" t="s">
        <v>12396</v>
      </c>
      <c r="G2358">
        <v>2355</v>
      </c>
      <c r="H2358" t="s">
        <v>12397</v>
      </c>
      <c r="I2358" t="s">
        <v>12398</v>
      </c>
      <c r="J2358" t="s">
        <v>12399</v>
      </c>
    </row>
    <row r="2359" spans="6:10">
      <c r="F2359" t="s">
        <v>12400</v>
      </c>
      <c r="G2359">
        <v>2356</v>
      </c>
      <c r="H2359" t="s">
        <v>12401</v>
      </c>
      <c r="I2359" t="s">
        <v>12402</v>
      </c>
      <c r="J2359" t="s">
        <v>12403</v>
      </c>
    </row>
    <row r="2360" spans="6:10">
      <c r="F2360" t="s">
        <v>12404</v>
      </c>
      <c r="G2360">
        <v>2357</v>
      </c>
      <c r="H2360" t="s">
        <v>1737</v>
      </c>
      <c r="I2360" t="s">
        <v>1738</v>
      </c>
      <c r="J2360" t="s">
        <v>12405</v>
      </c>
    </row>
    <row r="2361" spans="6:10">
      <c r="F2361" t="s">
        <v>12406</v>
      </c>
      <c r="G2361">
        <v>2358</v>
      </c>
      <c r="H2361" t="s">
        <v>12407</v>
      </c>
      <c r="I2361" t="s">
        <v>12408</v>
      </c>
      <c r="J2361" t="s">
        <v>12409</v>
      </c>
    </row>
    <row r="2362" spans="6:10">
      <c r="F2362" t="s">
        <v>12410</v>
      </c>
      <c r="G2362">
        <v>2359</v>
      </c>
      <c r="H2362" t="s">
        <v>12411</v>
      </c>
      <c r="I2362" t="s">
        <v>12412</v>
      </c>
      <c r="J2362" t="s">
        <v>12413</v>
      </c>
    </row>
    <row r="2363" spans="6:10">
      <c r="F2363" t="s">
        <v>12414</v>
      </c>
      <c r="G2363">
        <v>2360</v>
      </c>
      <c r="H2363" t="s">
        <v>12415</v>
      </c>
      <c r="I2363" t="s">
        <v>12416</v>
      </c>
      <c r="J2363" t="s">
        <v>12417</v>
      </c>
    </row>
    <row r="2364" spans="6:10">
      <c r="F2364" t="s">
        <v>12418</v>
      </c>
      <c r="G2364">
        <v>2361</v>
      </c>
      <c r="H2364" t="s">
        <v>6013</v>
      </c>
      <c r="I2364" t="s">
        <v>6014</v>
      </c>
      <c r="J2364" t="s">
        <v>12419</v>
      </c>
    </row>
    <row r="2365" spans="6:10">
      <c r="F2365" t="s">
        <v>12420</v>
      </c>
      <c r="G2365">
        <v>2362</v>
      </c>
      <c r="H2365" t="s">
        <v>3420</v>
      </c>
      <c r="I2365" t="s">
        <v>3421</v>
      </c>
      <c r="J2365" t="s">
        <v>12421</v>
      </c>
    </row>
    <row r="2366" spans="6:10">
      <c r="F2366" t="s">
        <v>12422</v>
      </c>
      <c r="G2366">
        <v>2363</v>
      </c>
      <c r="H2366" t="s">
        <v>211</v>
      </c>
      <c r="I2366" t="s">
        <v>212</v>
      </c>
      <c r="J2366" t="s">
        <v>12423</v>
      </c>
    </row>
    <row r="2367" spans="6:10">
      <c r="F2367" t="s">
        <v>12424</v>
      </c>
      <c r="G2367">
        <v>2364</v>
      </c>
      <c r="H2367" t="s">
        <v>12425</v>
      </c>
      <c r="I2367" t="s">
        <v>12426</v>
      </c>
      <c r="J2367" t="s">
        <v>12427</v>
      </c>
    </row>
    <row r="2368" spans="6:10">
      <c r="F2368" t="s">
        <v>12428</v>
      </c>
      <c r="G2368">
        <v>2365</v>
      </c>
      <c r="H2368" t="s">
        <v>12429</v>
      </c>
      <c r="I2368" t="s">
        <v>12430</v>
      </c>
      <c r="J2368" t="s">
        <v>12431</v>
      </c>
    </row>
    <row r="2369" spans="6:10">
      <c r="F2369" t="s">
        <v>12432</v>
      </c>
      <c r="G2369">
        <v>2366</v>
      </c>
      <c r="H2369" t="s">
        <v>548</v>
      </c>
      <c r="I2369" t="s">
        <v>586</v>
      </c>
      <c r="J2369" t="s">
        <v>12433</v>
      </c>
    </row>
    <row r="2370" spans="6:10">
      <c r="F2370" t="s">
        <v>12434</v>
      </c>
      <c r="G2370">
        <v>2367</v>
      </c>
      <c r="H2370" t="s">
        <v>3621</v>
      </c>
      <c r="I2370" t="s">
        <v>3622</v>
      </c>
      <c r="J2370" t="s">
        <v>12435</v>
      </c>
    </row>
    <row r="2371" spans="6:10">
      <c r="F2371" t="s">
        <v>12436</v>
      </c>
      <c r="G2371">
        <v>2368</v>
      </c>
      <c r="H2371" t="s">
        <v>12437</v>
      </c>
      <c r="I2371" t="s">
        <v>12438</v>
      </c>
      <c r="J2371" t="s">
        <v>12439</v>
      </c>
    </row>
    <row r="2372" spans="6:10">
      <c r="F2372" t="s">
        <v>12440</v>
      </c>
      <c r="G2372">
        <v>2369</v>
      </c>
      <c r="H2372" t="s">
        <v>744</v>
      </c>
      <c r="I2372" t="s">
        <v>748</v>
      </c>
      <c r="J2372" t="s">
        <v>12441</v>
      </c>
    </row>
    <row r="2373" spans="6:10">
      <c r="F2373" t="s">
        <v>12442</v>
      </c>
      <c r="G2373">
        <v>2370</v>
      </c>
      <c r="H2373" t="s">
        <v>4420</v>
      </c>
      <c r="I2373" t="s">
        <v>4421</v>
      </c>
      <c r="J2373" t="s">
        <v>12443</v>
      </c>
    </row>
    <row r="2374" spans="6:10">
      <c r="F2374" t="s">
        <v>12444</v>
      </c>
      <c r="G2374">
        <v>2371</v>
      </c>
      <c r="H2374" t="s">
        <v>2780</v>
      </c>
      <c r="I2374" t="s">
        <v>2781</v>
      </c>
      <c r="J2374" t="s">
        <v>12445</v>
      </c>
    </row>
    <row r="2375" spans="6:10">
      <c r="F2375" t="s">
        <v>12446</v>
      </c>
      <c r="G2375">
        <v>2372</v>
      </c>
      <c r="H2375" t="s">
        <v>5283</v>
      </c>
      <c r="I2375" t="s">
        <v>5284</v>
      </c>
      <c r="J2375" t="s">
        <v>12447</v>
      </c>
    </row>
    <row r="2376" spans="6:10">
      <c r="F2376" t="s">
        <v>12448</v>
      </c>
      <c r="G2376">
        <v>2373</v>
      </c>
      <c r="H2376" t="s">
        <v>348</v>
      </c>
      <c r="I2376" t="s">
        <v>349</v>
      </c>
      <c r="J2376" t="s">
        <v>12449</v>
      </c>
    </row>
    <row r="2377" spans="6:10">
      <c r="F2377" t="s">
        <v>12450</v>
      </c>
      <c r="G2377">
        <v>2374</v>
      </c>
      <c r="H2377" t="s">
        <v>12451</v>
      </c>
      <c r="I2377" t="s">
        <v>12452</v>
      </c>
      <c r="J2377" t="s">
        <v>12453</v>
      </c>
    </row>
    <row r="2378" spans="6:10">
      <c r="F2378" t="s">
        <v>12454</v>
      </c>
      <c r="G2378">
        <v>2375</v>
      </c>
      <c r="H2378" t="s">
        <v>12455</v>
      </c>
      <c r="I2378" t="s">
        <v>12456</v>
      </c>
      <c r="J2378" t="s">
        <v>12457</v>
      </c>
    </row>
    <row r="2379" spans="6:10">
      <c r="F2379" t="s">
        <v>12458</v>
      </c>
      <c r="G2379">
        <v>2376</v>
      </c>
      <c r="H2379" t="s">
        <v>2042</v>
      </c>
      <c r="I2379" t="s">
        <v>2043</v>
      </c>
      <c r="J2379" t="s">
        <v>12459</v>
      </c>
    </row>
    <row r="2380" spans="6:10">
      <c r="F2380" t="s">
        <v>12460</v>
      </c>
      <c r="G2380">
        <v>2377</v>
      </c>
      <c r="H2380" t="s">
        <v>767</v>
      </c>
      <c r="I2380" t="s">
        <v>768</v>
      </c>
      <c r="J2380" t="s">
        <v>12461</v>
      </c>
    </row>
    <row r="2381" spans="6:10">
      <c r="F2381" t="s">
        <v>12462</v>
      </c>
      <c r="G2381">
        <v>2378</v>
      </c>
      <c r="H2381" t="s">
        <v>5089</v>
      </c>
      <c r="I2381" t="s">
        <v>5090</v>
      </c>
      <c r="J2381" t="s">
        <v>12463</v>
      </c>
    </row>
    <row r="2382" spans="6:10">
      <c r="F2382" t="s">
        <v>12464</v>
      </c>
      <c r="G2382">
        <v>2379</v>
      </c>
      <c r="H2382" t="s">
        <v>3518</v>
      </c>
      <c r="I2382" t="s">
        <v>3519</v>
      </c>
      <c r="J2382" t="s">
        <v>12465</v>
      </c>
    </row>
    <row r="2383" spans="6:10">
      <c r="F2383" t="s">
        <v>12466</v>
      </c>
      <c r="G2383">
        <v>2380</v>
      </c>
      <c r="H2383" t="s">
        <v>12467</v>
      </c>
      <c r="I2383" t="s">
        <v>12468</v>
      </c>
      <c r="J2383" t="s">
        <v>12469</v>
      </c>
    </row>
    <row r="2384" spans="6:10">
      <c r="F2384" t="s">
        <v>12470</v>
      </c>
      <c r="G2384">
        <v>2381</v>
      </c>
      <c r="H2384" t="s">
        <v>12471</v>
      </c>
      <c r="I2384" t="s">
        <v>12472</v>
      </c>
      <c r="J2384" t="s">
        <v>12473</v>
      </c>
    </row>
    <row r="2385" spans="6:10">
      <c r="F2385" t="s">
        <v>12474</v>
      </c>
      <c r="G2385">
        <v>2382</v>
      </c>
      <c r="H2385" t="s">
        <v>12475</v>
      </c>
      <c r="I2385" t="s">
        <v>12476</v>
      </c>
      <c r="J2385" t="s">
        <v>12477</v>
      </c>
    </row>
    <row r="2386" spans="6:10">
      <c r="F2386" t="s">
        <v>12478</v>
      </c>
      <c r="G2386">
        <v>2383</v>
      </c>
      <c r="H2386" t="s">
        <v>12479</v>
      </c>
      <c r="I2386" t="s">
        <v>12480</v>
      </c>
      <c r="J2386" t="s">
        <v>12481</v>
      </c>
    </row>
    <row r="2387" spans="6:10">
      <c r="F2387" t="s">
        <v>12482</v>
      </c>
      <c r="G2387">
        <v>2384</v>
      </c>
      <c r="H2387" t="s">
        <v>1377</v>
      </c>
      <c r="I2387" t="s">
        <v>1378</v>
      </c>
      <c r="J2387" t="s">
        <v>12483</v>
      </c>
    </row>
    <row r="2388" spans="6:10">
      <c r="F2388" t="s">
        <v>12484</v>
      </c>
      <c r="G2388">
        <v>2385</v>
      </c>
      <c r="H2388" t="s">
        <v>6156</v>
      </c>
      <c r="I2388" t="s">
        <v>6157</v>
      </c>
      <c r="J2388" t="s">
        <v>12485</v>
      </c>
    </row>
    <row r="2389" spans="6:10">
      <c r="F2389" t="s">
        <v>12486</v>
      </c>
      <c r="G2389">
        <v>2386</v>
      </c>
      <c r="H2389" t="s">
        <v>3418</v>
      </c>
      <c r="I2389" t="s">
        <v>3419</v>
      </c>
      <c r="J2389" t="s">
        <v>12487</v>
      </c>
    </row>
    <row r="2390" spans="6:10">
      <c r="F2390" t="s">
        <v>12488</v>
      </c>
      <c r="G2390">
        <v>2387</v>
      </c>
      <c r="H2390" t="s">
        <v>12489</v>
      </c>
      <c r="I2390" t="s">
        <v>12490</v>
      </c>
      <c r="J2390" t="s">
        <v>12491</v>
      </c>
    </row>
    <row r="2391" spans="6:10">
      <c r="F2391" t="s">
        <v>12492</v>
      </c>
      <c r="G2391">
        <v>2388</v>
      </c>
      <c r="H2391" t="s">
        <v>12493</v>
      </c>
      <c r="I2391" t="s">
        <v>12494</v>
      </c>
      <c r="J2391" t="s">
        <v>12495</v>
      </c>
    </row>
    <row r="2392" spans="6:10">
      <c r="F2392" t="s">
        <v>12496</v>
      </c>
      <c r="G2392">
        <v>2389</v>
      </c>
      <c r="H2392" t="s">
        <v>1667</v>
      </c>
      <c r="I2392" t="s">
        <v>1668</v>
      </c>
      <c r="J2392" t="s">
        <v>12497</v>
      </c>
    </row>
    <row r="2393" spans="6:10">
      <c r="F2393" t="s">
        <v>12498</v>
      </c>
      <c r="G2393">
        <v>2390</v>
      </c>
      <c r="H2393" t="s">
        <v>5245</v>
      </c>
      <c r="I2393" t="s">
        <v>5246</v>
      </c>
      <c r="J2393" t="s">
        <v>12499</v>
      </c>
    </row>
    <row r="2394" spans="6:10">
      <c r="F2394" t="s">
        <v>12500</v>
      </c>
      <c r="G2394">
        <v>2391</v>
      </c>
      <c r="H2394" t="s">
        <v>12501</v>
      </c>
      <c r="I2394" t="s">
        <v>12502</v>
      </c>
      <c r="J2394" t="s">
        <v>12503</v>
      </c>
    </row>
    <row r="2395" spans="6:10">
      <c r="F2395" t="s">
        <v>12504</v>
      </c>
      <c r="G2395">
        <v>2392</v>
      </c>
      <c r="H2395" t="s">
        <v>12505</v>
      </c>
      <c r="I2395" t="s">
        <v>12506</v>
      </c>
      <c r="J2395" t="s">
        <v>12507</v>
      </c>
    </row>
    <row r="2396" spans="6:10">
      <c r="F2396" t="s">
        <v>12508</v>
      </c>
      <c r="G2396">
        <v>2393</v>
      </c>
      <c r="H2396" t="s">
        <v>12509</v>
      </c>
      <c r="I2396" t="s">
        <v>12510</v>
      </c>
      <c r="J2396" t="s">
        <v>12511</v>
      </c>
    </row>
    <row r="2397" spans="6:10">
      <c r="F2397" t="s">
        <v>12512</v>
      </c>
      <c r="G2397">
        <v>2394</v>
      </c>
      <c r="H2397" t="s">
        <v>2626</v>
      </c>
      <c r="I2397" t="s">
        <v>2627</v>
      </c>
      <c r="J2397" t="s">
        <v>12513</v>
      </c>
    </row>
    <row r="2398" spans="6:10">
      <c r="F2398" t="s">
        <v>12514</v>
      </c>
      <c r="G2398">
        <v>2395</v>
      </c>
      <c r="H2398" t="s">
        <v>4486</v>
      </c>
      <c r="I2398" t="s">
        <v>4487</v>
      </c>
      <c r="J2398" t="s">
        <v>12515</v>
      </c>
    </row>
    <row r="2399" spans="6:10">
      <c r="F2399" t="s">
        <v>12516</v>
      </c>
      <c r="G2399">
        <v>2396</v>
      </c>
      <c r="H2399" t="s">
        <v>189</v>
      </c>
      <c r="I2399" t="s">
        <v>190</v>
      </c>
      <c r="J2399" t="s">
        <v>12517</v>
      </c>
    </row>
    <row r="2400" spans="6:10">
      <c r="F2400" t="s">
        <v>12518</v>
      </c>
      <c r="G2400">
        <v>2397</v>
      </c>
      <c r="H2400" t="s">
        <v>12519</v>
      </c>
      <c r="I2400" t="s">
        <v>12520</v>
      </c>
      <c r="J2400" t="s">
        <v>12521</v>
      </c>
    </row>
    <row r="2401" spans="6:10">
      <c r="F2401" t="s">
        <v>12522</v>
      </c>
      <c r="G2401">
        <v>2398</v>
      </c>
      <c r="H2401" t="s">
        <v>1614</v>
      </c>
      <c r="I2401" t="s">
        <v>1614</v>
      </c>
      <c r="J2401" t="s">
        <v>12523</v>
      </c>
    </row>
    <row r="2402" spans="6:10">
      <c r="F2402" t="s">
        <v>12524</v>
      </c>
      <c r="G2402">
        <v>2399</v>
      </c>
      <c r="H2402" t="s">
        <v>12525</v>
      </c>
      <c r="I2402" t="s">
        <v>12526</v>
      </c>
      <c r="J2402" t="s">
        <v>12527</v>
      </c>
    </row>
    <row r="2403" spans="6:10">
      <c r="F2403" t="s">
        <v>12528</v>
      </c>
      <c r="G2403">
        <v>2400</v>
      </c>
      <c r="H2403" t="s">
        <v>12529</v>
      </c>
      <c r="I2403" t="s">
        <v>12530</v>
      </c>
      <c r="J2403" t="s">
        <v>12531</v>
      </c>
    </row>
    <row r="2404" spans="6:10">
      <c r="F2404" t="s">
        <v>12532</v>
      </c>
      <c r="G2404">
        <v>2401</v>
      </c>
      <c r="H2404" t="s">
        <v>5706</v>
      </c>
      <c r="I2404" t="s">
        <v>939</v>
      </c>
      <c r="J2404" t="s">
        <v>12533</v>
      </c>
    </row>
    <row r="2405" spans="6:10">
      <c r="F2405" t="s">
        <v>12534</v>
      </c>
      <c r="G2405">
        <v>2402</v>
      </c>
      <c r="H2405" t="s">
        <v>12535</v>
      </c>
      <c r="I2405" t="s">
        <v>12536</v>
      </c>
      <c r="J2405" t="s">
        <v>12537</v>
      </c>
    </row>
    <row r="2406" spans="6:10">
      <c r="F2406" t="s">
        <v>12538</v>
      </c>
      <c r="G2406">
        <v>2403</v>
      </c>
      <c r="H2406" t="s">
        <v>12539</v>
      </c>
      <c r="I2406" t="s">
        <v>12540</v>
      </c>
      <c r="J2406" t="s">
        <v>12541</v>
      </c>
    </row>
    <row r="2407" spans="6:10">
      <c r="F2407" t="s">
        <v>12542</v>
      </c>
      <c r="G2407">
        <v>2404</v>
      </c>
      <c r="H2407" t="s">
        <v>12543</v>
      </c>
      <c r="I2407" t="s">
        <v>12544</v>
      </c>
      <c r="J2407" t="s">
        <v>12545</v>
      </c>
    </row>
    <row r="2408" spans="6:10">
      <c r="F2408" t="s">
        <v>12546</v>
      </c>
      <c r="G2408">
        <v>2405</v>
      </c>
      <c r="H2408" t="s">
        <v>12547</v>
      </c>
      <c r="I2408" t="s">
        <v>12548</v>
      </c>
      <c r="J2408" t="s">
        <v>12549</v>
      </c>
    </row>
    <row r="2409" spans="6:10">
      <c r="F2409" t="s">
        <v>12550</v>
      </c>
      <c r="G2409">
        <v>2406</v>
      </c>
      <c r="H2409" t="s">
        <v>12551</v>
      </c>
      <c r="I2409" t="s">
        <v>12552</v>
      </c>
      <c r="J2409" t="s">
        <v>12553</v>
      </c>
    </row>
    <row r="2410" spans="6:10">
      <c r="F2410" t="s">
        <v>12554</v>
      </c>
      <c r="G2410">
        <v>2407</v>
      </c>
      <c r="H2410" t="s">
        <v>12555</v>
      </c>
      <c r="I2410" t="s">
        <v>12556</v>
      </c>
      <c r="J2410" t="s">
        <v>12557</v>
      </c>
    </row>
    <row r="2411" spans="6:10">
      <c r="F2411" t="s">
        <v>12558</v>
      </c>
      <c r="G2411">
        <v>2408</v>
      </c>
      <c r="H2411" t="s">
        <v>12559</v>
      </c>
      <c r="I2411" t="s">
        <v>12560</v>
      </c>
      <c r="J2411" t="s">
        <v>12561</v>
      </c>
    </row>
    <row r="2412" spans="6:10">
      <c r="F2412" t="s">
        <v>12562</v>
      </c>
      <c r="G2412">
        <v>2409</v>
      </c>
      <c r="H2412" t="s">
        <v>12563</v>
      </c>
      <c r="I2412" t="s">
        <v>12564</v>
      </c>
      <c r="J2412" t="s">
        <v>12565</v>
      </c>
    </row>
    <row r="2413" spans="6:10">
      <c r="F2413" t="s">
        <v>12566</v>
      </c>
      <c r="G2413">
        <v>2410</v>
      </c>
      <c r="H2413" t="s">
        <v>3938</v>
      </c>
      <c r="I2413" t="s">
        <v>3940</v>
      </c>
      <c r="J2413" t="s">
        <v>12567</v>
      </c>
    </row>
    <row r="2414" spans="6:10">
      <c r="F2414" t="s">
        <v>12568</v>
      </c>
      <c r="G2414">
        <v>2411</v>
      </c>
      <c r="H2414" t="s">
        <v>472</v>
      </c>
      <c r="I2414" t="s">
        <v>473</v>
      </c>
      <c r="J2414" t="s">
        <v>12569</v>
      </c>
    </row>
    <row r="2415" spans="6:10">
      <c r="F2415" t="s">
        <v>12570</v>
      </c>
      <c r="G2415">
        <v>2412</v>
      </c>
      <c r="H2415" t="s">
        <v>12571</v>
      </c>
      <c r="I2415" t="s">
        <v>12572</v>
      </c>
      <c r="J2415" t="s">
        <v>12573</v>
      </c>
    </row>
    <row r="2416" spans="6:10">
      <c r="F2416" t="s">
        <v>12574</v>
      </c>
      <c r="G2416">
        <v>2413</v>
      </c>
      <c r="H2416" t="s">
        <v>47</v>
      </c>
      <c r="I2416" t="s">
        <v>48</v>
      </c>
      <c r="J2416" t="s">
        <v>12575</v>
      </c>
    </row>
    <row r="2417" spans="6:10">
      <c r="F2417" t="s">
        <v>12576</v>
      </c>
      <c r="G2417">
        <v>2414</v>
      </c>
      <c r="H2417" t="s">
        <v>12577</v>
      </c>
      <c r="I2417" t="s">
        <v>12578</v>
      </c>
      <c r="J2417" t="s">
        <v>12579</v>
      </c>
    </row>
    <row r="2418" spans="6:10">
      <c r="F2418" t="s">
        <v>12580</v>
      </c>
      <c r="G2418">
        <v>2415</v>
      </c>
      <c r="H2418" t="s">
        <v>12581</v>
      </c>
      <c r="I2418" t="s">
        <v>12582</v>
      </c>
      <c r="J2418" t="s">
        <v>12583</v>
      </c>
    </row>
    <row r="2419" spans="6:10">
      <c r="F2419" t="s">
        <v>12584</v>
      </c>
      <c r="G2419">
        <v>2416</v>
      </c>
      <c r="H2419" t="s">
        <v>4774</v>
      </c>
      <c r="I2419" t="s">
        <v>4775</v>
      </c>
      <c r="J2419" t="s">
        <v>12585</v>
      </c>
    </row>
    <row r="2420" spans="6:10">
      <c r="F2420" t="s">
        <v>12586</v>
      </c>
      <c r="G2420">
        <v>2417</v>
      </c>
      <c r="H2420" t="s">
        <v>12587</v>
      </c>
      <c r="I2420" t="s">
        <v>12588</v>
      </c>
      <c r="J2420" t="s">
        <v>12589</v>
      </c>
    </row>
    <row r="2421" spans="6:10">
      <c r="F2421" t="s">
        <v>12590</v>
      </c>
      <c r="G2421">
        <v>2418</v>
      </c>
      <c r="H2421" t="s">
        <v>1711</v>
      </c>
      <c r="I2421" t="s">
        <v>1712</v>
      </c>
      <c r="J2421" t="s">
        <v>12591</v>
      </c>
    </row>
    <row r="2422" spans="6:10">
      <c r="F2422" t="s">
        <v>12592</v>
      </c>
      <c r="G2422">
        <v>2419</v>
      </c>
      <c r="H2422" t="s">
        <v>12593</v>
      </c>
      <c r="I2422" t="s">
        <v>12594</v>
      </c>
      <c r="J2422" t="s">
        <v>12595</v>
      </c>
    </row>
    <row r="2423" spans="6:10">
      <c r="F2423" t="s">
        <v>12596</v>
      </c>
      <c r="G2423">
        <v>2420</v>
      </c>
      <c r="H2423" t="s">
        <v>12597</v>
      </c>
      <c r="I2423" t="s">
        <v>12598</v>
      </c>
      <c r="J2423" t="s">
        <v>12599</v>
      </c>
    </row>
    <row r="2424" spans="6:10">
      <c r="F2424" t="s">
        <v>12600</v>
      </c>
      <c r="G2424">
        <v>2421</v>
      </c>
      <c r="H2424" t="s">
        <v>5889</v>
      </c>
      <c r="I2424" t="s">
        <v>5890</v>
      </c>
      <c r="J2424" t="s">
        <v>12601</v>
      </c>
    </row>
    <row r="2425" spans="6:10">
      <c r="F2425" t="s">
        <v>12602</v>
      </c>
      <c r="G2425">
        <v>2422</v>
      </c>
      <c r="H2425" t="s">
        <v>332</v>
      </c>
      <c r="I2425" t="s">
        <v>333</v>
      </c>
      <c r="J2425" t="s">
        <v>12603</v>
      </c>
    </row>
    <row r="2426" spans="6:10">
      <c r="F2426" t="s">
        <v>12604</v>
      </c>
      <c r="G2426">
        <v>2423</v>
      </c>
      <c r="H2426" t="s">
        <v>6082</v>
      </c>
      <c r="I2426" t="s">
        <v>6083</v>
      </c>
      <c r="J2426" t="s">
        <v>12605</v>
      </c>
    </row>
    <row r="2427" spans="6:10">
      <c r="F2427" t="s">
        <v>12606</v>
      </c>
      <c r="G2427">
        <v>2424</v>
      </c>
      <c r="H2427" t="s">
        <v>767</v>
      </c>
      <c r="I2427" t="s">
        <v>769</v>
      </c>
      <c r="J2427" t="s">
        <v>12607</v>
      </c>
    </row>
    <row r="2428" spans="6:10">
      <c r="F2428" t="s">
        <v>12608</v>
      </c>
      <c r="G2428">
        <v>2425</v>
      </c>
      <c r="H2428" t="s">
        <v>3900</v>
      </c>
      <c r="I2428" t="s">
        <v>3901</v>
      </c>
      <c r="J2428" t="s">
        <v>12609</v>
      </c>
    </row>
    <row r="2429" spans="6:10">
      <c r="F2429" t="s">
        <v>12610</v>
      </c>
      <c r="G2429">
        <v>2426</v>
      </c>
      <c r="H2429" t="s">
        <v>12611</v>
      </c>
      <c r="I2429" t="s">
        <v>12612</v>
      </c>
      <c r="J2429" t="s">
        <v>12613</v>
      </c>
    </row>
    <row r="2430" spans="6:10">
      <c r="F2430" t="s">
        <v>12614</v>
      </c>
      <c r="G2430">
        <v>2427</v>
      </c>
      <c r="H2430" t="s">
        <v>1356</v>
      </c>
      <c r="I2430" t="s">
        <v>1357</v>
      </c>
      <c r="J2430" t="s">
        <v>12615</v>
      </c>
    </row>
    <row r="2431" spans="6:10">
      <c r="F2431" t="s">
        <v>12616</v>
      </c>
      <c r="G2431">
        <v>2428</v>
      </c>
      <c r="H2431" t="s">
        <v>12617</v>
      </c>
      <c r="I2431" t="s">
        <v>12618</v>
      </c>
      <c r="J2431" t="s">
        <v>12619</v>
      </c>
    </row>
    <row r="2432" spans="6:10">
      <c r="F2432" t="s">
        <v>12620</v>
      </c>
      <c r="G2432">
        <v>2429</v>
      </c>
      <c r="H2432" t="s">
        <v>12621</v>
      </c>
      <c r="I2432" t="s">
        <v>12622</v>
      </c>
      <c r="J2432" t="s">
        <v>12623</v>
      </c>
    </row>
    <row r="2433" spans="6:10">
      <c r="F2433" t="s">
        <v>12624</v>
      </c>
      <c r="G2433">
        <v>2430</v>
      </c>
      <c r="H2433" t="s">
        <v>540</v>
      </c>
      <c r="I2433" t="s">
        <v>541</v>
      </c>
      <c r="J2433" t="s">
        <v>12625</v>
      </c>
    </row>
    <row r="2434" spans="6:10">
      <c r="F2434" t="s">
        <v>12626</v>
      </c>
      <c r="G2434">
        <v>2431</v>
      </c>
      <c r="H2434" t="s">
        <v>1797</v>
      </c>
      <c r="I2434" t="s">
        <v>1798</v>
      </c>
      <c r="J2434" t="s">
        <v>12627</v>
      </c>
    </row>
    <row r="2435" spans="6:10">
      <c r="F2435" t="s">
        <v>12628</v>
      </c>
      <c r="G2435">
        <v>2432</v>
      </c>
      <c r="H2435" t="s">
        <v>5203</v>
      </c>
      <c r="I2435" t="s">
        <v>5204</v>
      </c>
      <c r="J2435" t="s">
        <v>12629</v>
      </c>
    </row>
    <row r="2436" spans="6:10">
      <c r="F2436" t="s">
        <v>12630</v>
      </c>
      <c r="G2436">
        <v>2433</v>
      </c>
      <c r="H2436" t="s">
        <v>12631</v>
      </c>
      <c r="I2436" t="s">
        <v>12632</v>
      </c>
      <c r="J2436" t="s">
        <v>12633</v>
      </c>
    </row>
    <row r="2437" spans="6:10">
      <c r="F2437" t="s">
        <v>12634</v>
      </c>
      <c r="G2437">
        <v>2434</v>
      </c>
      <c r="H2437" t="s">
        <v>934</v>
      </c>
      <c r="I2437" t="s">
        <v>935</v>
      </c>
      <c r="J2437" t="s">
        <v>12635</v>
      </c>
    </row>
    <row r="2438" spans="6:10">
      <c r="F2438" t="s">
        <v>12636</v>
      </c>
      <c r="G2438">
        <v>2435</v>
      </c>
      <c r="H2438" t="s">
        <v>2391</v>
      </c>
      <c r="I2438" t="s">
        <v>2392</v>
      </c>
      <c r="J2438" t="s">
        <v>12637</v>
      </c>
    </row>
    <row r="2439" spans="6:10">
      <c r="F2439" t="s">
        <v>12638</v>
      </c>
      <c r="G2439">
        <v>2436</v>
      </c>
      <c r="H2439" t="s">
        <v>4802</v>
      </c>
      <c r="I2439" t="s">
        <v>4803</v>
      </c>
      <c r="J2439" t="s">
        <v>12639</v>
      </c>
    </row>
    <row r="2440" spans="6:10">
      <c r="F2440" t="s">
        <v>12640</v>
      </c>
      <c r="G2440">
        <v>2437</v>
      </c>
      <c r="H2440" t="s">
        <v>1582</v>
      </c>
      <c r="I2440" t="s">
        <v>1583</v>
      </c>
      <c r="J2440" t="s">
        <v>12641</v>
      </c>
    </row>
    <row r="2441" spans="6:10">
      <c r="F2441" t="s">
        <v>12642</v>
      </c>
      <c r="G2441">
        <v>2438</v>
      </c>
      <c r="H2441" t="s">
        <v>2905</v>
      </c>
      <c r="I2441" t="s">
        <v>2906</v>
      </c>
      <c r="J2441" t="s">
        <v>12643</v>
      </c>
    </row>
    <row r="2442" spans="6:10">
      <c r="F2442" t="s">
        <v>12644</v>
      </c>
      <c r="G2442">
        <v>2439</v>
      </c>
      <c r="H2442" t="s">
        <v>12645</v>
      </c>
      <c r="I2442" t="s">
        <v>12646</v>
      </c>
      <c r="J2442" t="s">
        <v>12647</v>
      </c>
    </row>
    <row r="2443" spans="6:10">
      <c r="F2443" t="s">
        <v>12648</v>
      </c>
      <c r="G2443">
        <v>2440</v>
      </c>
      <c r="H2443" t="s">
        <v>12649</v>
      </c>
      <c r="I2443" t="s">
        <v>12650</v>
      </c>
      <c r="J2443" t="s">
        <v>12651</v>
      </c>
    </row>
    <row r="2444" spans="6:10">
      <c r="F2444" t="s">
        <v>12652</v>
      </c>
      <c r="G2444">
        <v>2441</v>
      </c>
      <c r="H2444" t="s">
        <v>12653</v>
      </c>
      <c r="I2444" t="s">
        <v>12654</v>
      </c>
      <c r="J2444" t="s">
        <v>12655</v>
      </c>
    </row>
    <row r="2445" spans="6:10">
      <c r="F2445" t="s">
        <v>12656</v>
      </c>
      <c r="G2445">
        <v>2442</v>
      </c>
      <c r="H2445" t="s">
        <v>3148</v>
      </c>
      <c r="I2445" t="s">
        <v>3149</v>
      </c>
      <c r="J2445" t="s">
        <v>12657</v>
      </c>
    </row>
    <row r="2446" spans="6:10">
      <c r="F2446" t="s">
        <v>12658</v>
      </c>
      <c r="G2446">
        <v>2443</v>
      </c>
      <c r="H2446" t="s">
        <v>12659</v>
      </c>
      <c r="I2446" t="s">
        <v>12660</v>
      </c>
      <c r="J2446" t="s">
        <v>12661</v>
      </c>
    </row>
    <row r="2447" spans="6:10">
      <c r="F2447" t="s">
        <v>12662</v>
      </c>
      <c r="G2447">
        <v>2444</v>
      </c>
      <c r="H2447" t="s">
        <v>12663</v>
      </c>
      <c r="I2447" t="s">
        <v>12664</v>
      </c>
      <c r="J2447" t="s">
        <v>12665</v>
      </c>
    </row>
    <row r="2448" spans="6:10">
      <c r="F2448" t="s">
        <v>12666</v>
      </c>
      <c r="G2448">
        <v>2445</v>
      </c>
      <c r="H2448" t="s">
        <v>4829</v>
      </c>
      <c r="I2448" t="s">
        <v>2004</v>
      </c>
      <c r="J2448" t="s">
        <v>12667</v>
      </c>
    </row>
    <row r="2449" spans="6:10">
      <c r="F2449" t="s">
        <v>12668</v>
      </c>
      <c r="G2449">
        <v>2446</v>
      </c>
      <c r="H2449" t="s">
        <v>2109</v>
      </c>
      <c r="I2449" t="s">
        <v>2110</v>
      </c>
      <c r="J2449" t="s">
        <v>12669</v>
      </c>
    </row>
    <row r="2450" spans="6:10">
      <c r="F2450" t="s">
        <v>12670</v>
      </c>
      <c r="G2450">
        <v>2447</v>
      </c>
      <c r="H2450" t="s">
        <v>12671</v>
      </c>
      <c r="I2450" t="s">
        <v>12672</v>
      </c>
      <c r="J2450" t="s">
        <v>12673</v>
      </c>
    </row>
    <row r="2451" spans="6:10">
      <c r="F2451" t="s">
        <v>12674</v>
      </c>
      <c r="G2451">
        <v>2448</v>
      </c>
      <c r="H2451" t="s">
        <v>12675</v>
      </c>
      <c r="I2451" t="s">
        <v>12676</v>
      </c>
      <c r="J2451" t="s">
        <v>12677</v>
      </c>
    </row>
    <row r="2452" spans="6:10">
      <c r="F2452" t="s">
        <v>12678</v>
      </c>
      <c r="G2452">
        <v>2449</v>
      </c>
      <c r="H2452" t="s">
        <v>12679</v>
      </c>
      <c r="I2452" t="s">
        <v>12680</v>
      </c>
      <c r="J2452" t="s">
        <v>12681</v>
      </c>
    </row>
    <row r="2453" spans="6:10">
      <c r="F2453" t="s">
        <v>12682</v>
      </c>
      <c r="G2453">
        <v>2450</v>
      </c>
      <c r="H2453" t="s">
        <v>12683</v>
      </c>
      <c r="I2453" t="s">
        <v>12684</v>
      </c>
      <c r="J2453" t="s">
        <v>12685</v>
      </c>
    </row>
    <row r="2454" spans="6:10">
      <c r="F2454" t="s">
        <v>12686</v>
      </c>
      <c r="G2454">
        <v>2451</v>
      </c>
      <c r="H2454" t="s">
        <v>1168</v>
      </c>
      <c r="I2454" t="s">
        <v>1168</v>
      </c>
      <c r="J2454" t="s">
        <v>12687</v>
      </c>
    </row>
    <row r="2455" spans="6:10">
      <c r="F2455" t="s">
        <v>12688</v>
      </c>
      <c r="G2455">
        <v>2452</v>
      </c>
      <c r="H2455" t="s">
        <v>5872</v>
      </c>
      <c r="I2455" t="s">
        <v>5874</v>
      </c>
      <c r="J2455" t="s">
        <v>12689</v>
      </c>
    </row>
    <row r="2456" spans="6:10">
      <c r="F2456" t="s">
        <v>12690</v>
      </c>
      <c r="G2456">
        <v>2453</v>
      </c>
      <c r="H2456" t="s">
        <v>797</v>
      </c>
      <c r="I2456" t="s">
        <v>798</v>
      </c>
      <c r="J2456" t="s">
        <v>12691</v>
      </c>
    </row>
    <row r="2457" spans="6:10">
      <c r="F2457" t="s">
        <v>12692</v>
      </c>
      <c r="G2457">
        <v>2454</v>
      </c>
      <c r="H2457" t="s">
        <v>12693</v>
      </c>
      <c r="I2457" t="s">
        <v>12694</v>
      </c>
      <c r="J2457" t="s">
        <v>12695</v>
      </c>
    </row>
    <row r="2458" spans="6:10">
      <c r="F2458" t="s">
        <v>12696</v>
      </c>
      <c r="G2458">
        <v>2455</v>
      </c>
      <c r="H2458" t="s">
        <v>12697</v>
      </c>
      <c r="I2458" t="s">
        <v>12698</v>
      </c>
      <c r="J2458" t="s">
        <v>12699</v>
      </c>
    </row>
    <row r="2459" spans="6:10">
      <c r="F2459" t="s">
        <v>12700</v>
      </c>
      <c r="G2459">
        <v>2456</v>
      </c>
      <c r="H2459" t="s">
        <v>12701</v>
      </c>
      <c r="I2459" t="s">
        <v>12701</v>
      </c>
      <c r="J2459" t="s">
        <v>12702</v>
      </c>
    </row>
    <row r="2460" spans="6:10">
      <c r="F2460" t="s">
        <v>12703</v>
      </c>
      <c r="G2460">
        <v>2457</v>
      </c>
      <c r="H2460" t="s">
        <v>12704</v>
      </c>
      <c r="I2460" t="s">
        <v>12705</v>
      </c>
      <c r="J2460" t="s">
        <v>12706</v>
      </c>
    </row>
    <row r="2461" spans="6:10">
      <c r="F2461" t="s">
        <v>12707</v>
      </c>
      <c r="G2461">
        <v>2458</v>
      </c>
      <c r="H2461" t="s">
        <v>12708</v>
      </c>
      <c r="I2461" t="s">
        <v>12709</v>
      </c>
      <c r="J2461" t="s">
        <v>12710</v>
      </c>
    </row>
    <row r="2462" spans="6:10">
      <c r="F2462" t="s">
        <v>12711</v>
      </c>
      <c r="G2462">
        <v>2459</v>
      </c>
      <c r="H2462" t="s">
        <v>12712</v>
      </c>
      <c r="I2462" t="s">
        <v>12713</v>
      </c>
      <c r="J2462" t="s">
        <v>12714</v>
      </c>
    </row>
    <row r="2463" spans="6:10">
      <c r="F2463" t="s">
        <v>12715</v>
      </c>
      <c r="G2463">
        <v>2460</v>
      </c>
      <c r="H2463" t="s">
        <v>12716</v>
      </c>
      <c r="I2463" t="s">
        <v>12717</v>
      </c>
      <c r="J2463" t="s">
        <v>12718</v>
      </c>
    </row>
    <row r="2464" spans="6:10">
      <c r="F2464" t="s">
        <v>12719</v>
      </c>
      <c r="G2464">
        <v>2461</v>
      </c>
      <c r="H2464" t="s">
        <v>12720</v>
      </c>
      <c r="I2464" t="s">
        <v>12720</v>
      </c>
      <c r="J2464" t="s">
        <v>12721</v>
      </c>
    </row>
    <row r="2465" spans="6:10">
      <c r="F2465" t="s">
        <v>12722</v>
      </c>
      <c r="G2465">
        <v>2462</v>
      </c>
      <c r="H2465" t="s">
        <v>5341</v>
      </c>
      <c r="I2465" t="s">
        <v>5342</v>
      </c>
      <c r="J2465" t="s">
        <v>12723</v>
      </c>
    </row>
    <row r="2466" spans="6:10">
      <c r="F2466" t="s">
        <v>12724</v>
      </c>
      <c r="G2466">
        <v>2463</v>
      </c>
      <c r="H2466" t="s">
        <v>12725</v>
      </c>
      <c r="I2466" t="s">
        <v>12726</v>
      </c>
      <c r="J2466" t="s">
        <v>12727</v>
      </c>
    </row>
    <row r="2467" spans="6:10">
      <c r="F2467" t="s">
        <v>12728</v>
      </c>
      <c r="G2467">
        <v>2464</v>
      </c>
      <c r="H2467" t="s">
        <v>12729</v>
      </c>
      <c r="I2467" t="s">
        <v>12730</v>
      </c>
      <c r="J2467" t="s">
        <v>12731</v>
      </c>
    </row>
    <row r="2468" spans="6:10">
      <c r="F2468" t="s">
        <v>12732</v>
      </c>
      <c r="G2468">
        <v>2465</v>
      </c>
      <c r="H2468" t="s">
        <v>12733</v>
      </c>
      <c r="I2468" t="s">
        <v>12734</v>
      </c>
      <c r="J2468" t="s">
        <v>12735</v>
      </c>
    </row>
    <row r="2469" spans="6:10">
      <c r="F2469" t="s">
        <v>12736</v>
      </c>
      <c r="G2469">
        <v>2466</v>
      </c>
      <c r="H2469" t="s">
        <v>12737</v>
      </c>
      <c r="I2469" t="s">
        <v>12738</v>
      </c>
      <c r="J2469" t="s">
        <v>12739</v>
      </c>
    </row>
    <row r="2470" spans="6:10">
      <c r="F2470" t="s">
        <v>12740</v>
      </c>
      <c r="G2470">
        <v>2467</v>
      </c>
      <c r="H2470" t="s">
        <v>12741</v>
      </c>
      <c r="I2470" t="s">
        <v>12742</v>
      </c>
      <c r="J2470" t="s">
        <v>12743</v>
      </c>
    </row>
    <row r="2471" spans="6:10">
      <c r="F2471" t="s">
        <v>12744</v>
      </c>
      <c r="G2471">
        <v>2468</v>
      </c>
      <c r="H2471" t="s">
        <v>12745</v>
      </c>
      <c r="I2471" t="s">
        <v>12746</v>
      </c>
      <c r="J2471" t="s">
        <v>12747</v>
      </c>
    </row>
    <row r="2472" spans="6:10">
      <c r="F2472" t="s">
        <v>12748</v>
      </c>
      <c r="G2472">
        <v>2469</v>
      </c>
      <c r="H2472" t="s">
        <v>12749</v>
      </c>
      <c r="I2472" t="s">
        <v>12750</v>
      </c>
      <c r="J2472" t="s">
        <v>12751</v>
      </c>
    </row>
    <row r="2473" spans="6:10">
      <c r="F2473" t="s">
        <v>12752</v>
      </c>
      <c r="G2473">
        <v>2470</v>
      </c>
      <c r="H2473" t="s">
        <v>12753</v>
      </c>
      <c r="I2473" t="s">
        <v>12754</v>
      </c>
      <c r="J2473" t="s">
        <v>12755</v>
      </c>
    </row>
    <row r="2474" spans="6:10">
      <c r="F2474" t="s">
        <v>12756</v>
      </c>
      <c r="G2474">
        <v>2471</v>
      </c>
      <c r="H2474" t="s">
        <v>12757</v>
      </c>
      <c r="I2474" t="s">
        <v>12758</v>
      </c>
      <c r="J2474" t="s">
        <v>12759</v>
      </c>
    </row>
    <row r="2475" spans="6:10">
      <c r="F2475" t="s">
        <v>12760</v>
      </c>
      <c r="G2475">
        <v>2472</v>
      </c>
      <c r="H2475" t="s">
        <v>12761</v>
      </c>
      <c r="I2475" t="s">
        <v>12762</v>
      </c>
      <c r="J2475" t="s">
        <v>12763</v>
      </c>
    </row>
    <row r="2476" spans="6:10">
      <c r="F2476" t="s">
        <v>12764</v>
      </c>
      <c r="G2476">
        <v>2473</v>
      </c>
      <c r="H2476" t="s">
        <v>12765</v>
      </c>
      <c r="I2476" t="s">
        <v>12766</v>
      </c>
      <c r="J2476" t="s">
        <v>12767</v>
      </c>
    </row>
    <row r="2477" spans="6:10">
      <c r="F2477" t="s">
        <v>12768</v>
      </c>
      <c r="G2477">
        <v>2474</v>
      </c>
      <c r="H2477" t="s">
        <v>12769</v>
      </c>
      <c r="I2477" t="s">
        <v>12770</v>
      </c>
      <c r="J2477" t="s">
        <v>12771</v>
      </c>
    </row>
    <row r="2478" spans="6:10">
      <c r="F2478" t="s">
        <v>12772</v>
      </c>
      <c r="G2478">
        <v>2475</v>
      </c>
      <c r="H2478" t="s">
        <v>1266</v>
      </c>
      <c r="I2478" t="s">
        <v>12773</v>
      </c>
      <c r="J2478" t="s">
        <v>12774</v>
      </c>
    </row>
    <row r="2479" spans="6:10">
      <c r="F2479" t="s">
        <v>12775</v>
      </c>
      <c r="G2479">
        <v>2476</v>
      </c>
      <c r="H2479" t="s">
        <v>12776</v>
      </c>
      <c r="I2479" t="s">
        <v>12777</v>
      </c>
      <c r="J2479" t="s">
        <v>12778</v>
      </c>
    </row>
    <row r="2480" spans="6:10">
      <c r="F2480" t="s">
        <v>12779</v>
      </c>
      <c r="G2480">
        <v>2477</v>
      </c>
      <c r="H2480" t="s">
        <v>6119</v>
      </c>
      <c r="I2480" t="s">
        <v>6120</v>
      </c>
      <c r="J2480" t="s">
        <v>12780</v>
      </c>
    </row>
    <row r="2481" spans="6:10">
      <c r="F2481" t="s">
        <v>12781</v>
      </c>
      <c r="G2481">
        <v>2478</v>
      </c>
      <c r="H2481" t="s">
        <v>5925</v>
      </c>
      <c r="I2481" t="s">
        <v>5926</v>
      </c>
      <c r="J2481" t="s">
        <v>12782</v>
      </c>
    </row>
    <row r="2482" spans="6:10">
      <c r="F2482" t="s">
        <v>12783</v>
      </c>
      <c r="G2482">
        <v>2479</v>
      </c>
      <c r="H2482" t="s">
        <v>12784</v>
      </c>
      <c r="I2482" t="s">
        <v>12785</v>
      </c>
      <c r="J2482" t="s">
        <v>12786</v>
      </c>
    </row>
    <row r="2483" spans="6:10">
      <c r="F2483" t="s">
        <v>12787</v>
      </c>
      <c r="G2483">
        <v>2480</v>
      </c>
      <c r="H2483" t="s">
        <v>5013</v>
      </c>
      <c r="I2483" t="s">
        <v>1457</v>
      </c>
      <c r="J2483" t="s">
        <v>12788</v>
      </c>
    </row>
    <row r="2484" spans="6:10">
      <c r="F2484" t="s">
        <v>12789</v>
      </c>
      <c r="G2484">
        <v>2481</v>
      </c>
      <c r="H2484" t="s">
        <v>4135</v>
      </c>
      <c r="I2484" t="s">
        <v>4136</v>
      </c>
      <c r="J2484" t="s">
        <v>12790</v>
      </c>
    </row>
    <row r="2485" spans="6:10">
      <c r="F2485" t="s">
        <v>12791</v>
      </c>
      <c r="G2485">
        <v>2482</v>
      </c>
      <c r="H2485" t="s">
        <v>12792</v>
      </c>
      <c r="I2485" t="s">
        <v>12793</v>
      </c>
      <c r="J2485" t="s">
        <v>12794</v>
      </c>
    </row>
    <row r="2486" spans="6:10">
      <c r="F2486" t="s">
        <v>12795</v>
      </c>
      <c r="G2486">
        <v>2483</v>
      </c>
      <c r="H2486" t="s">
        <v>548</v>
      </c>
      <c r="I2486" t="s">
        <v>587</v>
      </c>
      <c r="J2486" t="s">
        <v>12796</v>
      </c>
    </row>
    <row r="2487" spans="6:10">
      <c r="F2487" t="s">
        <v>12797</v>
      </c>
      <c r="G2487">
        <v>2484</v>
      </c>
      <c r="H2487" t="s">
        <v>5333</v>
      </c>
      <c r="I2487" t="s">
        <v>5334</v>
      </c>
      <c r="J2487" t="s">
        <v>12798</v>
      </c>
    </row>
    <row r="2488" spans="6:10">
      <c r="F2488" t="s">
        <v>12799</v>
      </c>
      <c r="G2488">
        <v>2485</v>
      </c>
      <c r="H2488" t="s">
        <v>4490</v>
      </c>
      <c r="I2488" t="s">
        <v>4491</v>
      </c>
      <c r="J2488" t="s">
        <v>12800</v>
      </c>
    </row>
    <row r="2489" spans="6:10">
      <c r="F2489" t="s">
        <v>12801</v>
      </c>
      <c r="G2489">
        <v>2486</v>
      </c>
      <c r="H2489" t="s">
        <v>12802</v>
      </c>
      <c r="I2489" t="s">
        <v>12803</v>
      </c>
      <c r="J2489" t="s">
        <v>12804</v>
      </c>
    </row>
    <row r="2490" spans="6:10">
      <c r="F2490" t="s">
        <v>12805</v>
      </c>
      <c r="G2490">
        <v>2487</v>
      </c>
      <c r="H2490" t="s">
        <v>3288</v>
      </c>
      <c r="I2490" t="s">
        <v>3288</v>
      </c>
      <c r="J2490" t="s">
        <v>12806</v>
      </c>
    </row>
    <row r="2491" spans="6:10">
      <c r="F2491" t="s">
        <v>12807</v>
      </c>
      <c r="G2491">
        <v>2488</v>
      </c>
      <c r="H2491" t="s">
        <v>895</v>
      </c>
      <c r="I2491" t="s">
        <v>896</v>
      </c>
      <c r="J2491" t="s">
        <v>12808</v>
      </c>
    </row>
    <row r="2492" spans="6:10">
      <c r="F2492" t="s">
        <v>12809</v>
      </c>
      <c r="G2492">
        <v>2489</v>
      </c>
      <c r="H2492" t="s">
        <v>1211</v>
      </c>
      <c r="I2492" t="s">
        <v>1212</v>
      </c>
      <c r="J2492" t="s">
        <v>12810</v>
      </c>
    </row>
    <row r="2493" spans="6:10">
      <c r="F2493" t="s">
        <v>12811</v>
      </c>
      <c r="G2493">
        <v>2490</v>
      </c>
      <c r="H2493" t="s">
        <v>12812</v>
      </c>
      <c r="I2493" t="s">
        <v>12813</v>
      </c>
      <c r="J2493" t="s">
        <v>12814</v>
      </c>
    </row>
    <row r="2494" spans="6:10">
      <c r="F2494" t="s">
        <v>12815</v>
      </c>
      <c r="G2494">
        <v>2491</v>
      </c>
      <c r="H2494" t="s">
        <v>4920</v>
      </c>
      <c r="I2494" t="s">
        <v>4921</v>
      </c>
      <c r="J2494" t="s">
        <v>12816</v>
      </c>
    </row>
    <row r="2495" spans="6:10">
      <c r="F2495" t="s">
        <v>12817</v>
      </c>
      <c r="G2495">
        <v>2492</v>
      </c>
      <c r="H2495" t="s">
        <v>4896</v>
      </c>
      <c r="I2495" t="s">
        <v>4897</v>
      </c>
      <c r="J2495" t="s">
        <v>12818</v>
      </c>
    </row>
    <row r="2496" spans="6:10">
      <c r="F2496" t="s">
        <v>12819</v>
      </c>
      <c r="G2496">
        <v>2493</v>
      </c>
      <c r="H2496" t="s">
        <v>12820</v>
      </c>
      <c r="I2496" t="s">
        <v>12820</v>
      </c>
      <c r="J2496" t="s">
        <v>12821</v>
      </c>
    </row>
    <row r="2497" spans="6:10">
      <c r="F2497" t="s">
        <v>12822</v>
      </c>
      <c r="G2497">
        <v>2494</v>
      </c>
      <c r="H2497" t="s">
        <v>1480</v>
      </c>
      <c r="I2497" t="s">
        <v>1481</v>
      </c>
      <c r="J2497" t="s">
        <v>12823</v>
      </c>
    </row>
    <row r="2498" spans="6:10">
      <c r="F2498" t="s">
        <v>12824</v>
      </c>
      <c r="G2498">
        <v>2495</v>
      </c>
      <c r="H2498" t="s">
        <v>1434</v>
      </c>
      <c r="I2498" t="s">
        <v>1435</v>
      </c>
      <c r="J2498" t="s">
        <v>12825</v>
      </c>
    </row>
    <row r="2499" spans="6:10">
      <c r="F2499" t="s">
        <v>12826</v>
      </c>
      <c r="G2499">
        <v>2496</v>
      </c>
      <c r="H2499" t="s">
        <v>1744</v>
      </c>
      <c r="I2499" t="s">
        <v>12827</v>
      </c>
      <c r="J2499" t="s">
        <v>12828</v>
      </c>
    </row>
    <row r="2500" spans="6:10">
      <c r="F2500" t="s">
        <v>12829</v>
      </c>
      <c r="G2500">
        <v>2497</v>
      </c>
      <c r="H2500" t="s">
        <v>534</v>
      </c>
      <c r="I2500" t="s">
        <v>535</v>
      </c>
      <c r="J2500" t="s">
        <v>12830</v>
      </c>
    </row>
    <row r="2501" spans="6:10">
      <c r="F2501" t="s">
        <v>12831</v>
      </c>
      <c r="G2501">
        <v>2498</v>
      </c>
      <c r="H2501" t="s">
        <v>948</v>
      </c>
      <c r="I2501" t="s">
        <v>949</v>
      </c>
      <c r="J2501" t="s">
        <v>12832</v>
      </c>
    </row>
    <row r="2502" spans="6:10">
      <c r="F2502" t="s">
        <v>12833</v>
      </c>
      <c r="G2502">
        <v>2499</v>
      </c>
      <c r="H2502" t="s">
        <v>488</v>
      </c>
      <c r="I2502" t="s">
        <v>489</v>
      </c>
      <c r="J2502" t="s">
        <v>12834</v>
      </c>
    </row>
    <row r="2503" spans="6:10">
      <c r="F2503" t="s">
        <v>12835</v>
      </c>
      <c r="G2503">
        <v>2500</v>
      </c>
      <c r="H2503" t="s">
        <v>4337</v>
      </c>
      <c r="I2503" t="s">
        <v>4338</v>
      </c>
      <c r="J2503" t="s">
        <v>12836</v>
      </c>
    </row>
    <row r="2504" spans="6:10">
      <c r="F2504" t="s">
        <v>12837</v>
      </c>
      <c r="G2504">
        <v>2501</v>
      </c>
      <c r="H2504" t="s">
        <v>4137</v>
      </c>
      <c r="I2504" t="s">
        <v>4138</v>
      </c>
      <c r="J2504" t="s">
        <v>12838</v>
      </c>
    </row>
    <row r="2505" spans="6:10">
      <c r="F2505" t="s">
        <v>12839</v>
      </c>
      <c r="G2505">
        <v>2502</v>
      </c>
      <c r="H2505" t="s">
        <v>2322</v>
      </c>
      <c r="I2505" t="s">
        <v>2323</v>
      </c>
      <c r="J2505" t="s">
        <v>12840</v>
      </c>
    </row>
    <row r="2506" spans="6:10">
      <c r="F2506" t="s">
        <v>12841</v>
      </c>
      <c r="G2506">
        <v>2503</v>
      </c>
      <c r="H2506" t="s">
        <v>2147</v>
      </c>
      <c r="I2506" t="s">
        <v>489</v>
      </c>
      <c r="J2506" t="s">
        <v>12842</v>
      </c>
    </row>
    <row r="2507" spans="6:10">
      <c r="F2507" t="s">
        <v>12843</v>
      </c>
      <c r="G2507">
        <v>2504</v>
      </c>
      <c r="H2507" t="s">
        <v>1491</v>
      </c>
      <c r="I2507" t="s">
        <v>1491</v>
      </c>
      <c r="J2507" t="s">
        <v>12844</v>
      </c>
    </row>
    <row r="2508" spans="6:10">
      <c r="F2508" t="s">
        <v>12845</v>
      </c>
      <c r="G2508">
        <v>2505</v>
      </c>
      <c r="H2508" t="s">
        <v>12846</v>
      </c>
      <c r="I2508" t="s">
        <v>12847</v>
      </c>
      <c r="J2508" t="s">
        <v>12848</v>
      </c>
    </row>
    <row r="2509" spans="6:10">
      <c r="F2509" t="s">
        <v>12849</v>
      </c>
      <c r="G2509">
        <v>2506</v>
      </c>
      <c r="H2509" t="s">
        <v>12850</v>
      </c>
      <c r="I2509" t="s">
        <v>12851</v>
      </c>
      <c r="J2509" t="s">
        <v>12852</v>
      </c>
    </row>
    <row r="2510" spans="6:10">
      <c r="F2510" t="s">
        <v>12853</v>
      </c>
      <c r="G2510">
        <v>2507</v>
      </c>
      <c r="H2510" t="s">
        <v>12854</v>
      </c>
      <c r="I2510" t="s">
        <v>12855</v>
      </c>
      <c r="J2510" t="s">
        <v>12856</v>
      </c>
    </row>
    <row r="2511" spans="6:10">
      <c r="F2511" t="s">
        <v>12857</v>
      </c>
      <c r="G2511">
        <v>2508</v>
      </c>
      <c r="H2511" t="s">
        <v>12858</v>
      </c>
      <c r="I2511" t="s">
        <v>12859</v>
      </c>
      <c r="J2511" t="s">
        <v>12860</v>
      </c>
    </row>
    <row r="2512" spans="6:10">
      <c r="F2512" t="s">
        <v>12861</v>
      </c>
      <c r="G2512">
        <v>2509</v>
      </c>
      <c r="H2512" t="s">
        <v>12862</v>
      </c>
      <c r="I2512" t="s">
        <v>12863</v>
      </c>
      <c r="J2512" t="s">
        <v>12864</v>
      </c>
    </row>
    <row r="2513" spans="6:10">
      <c r="F2513" t="s">
        <v>12865</v>
      </c>
      <c r="G2513">
        <v>2510</v>
      </c>
      <c r="H2513" t="s">
        <v>12866</v>
      </c>
      <c r="I2513" t="s">
        <v>12867</v>
      </c>
      <c r="J2513" t="s">
        <v>12868</v>
      </c>
    </row>
    <row r="2514" spans="6:10">
      <c r="F2514" t="s">
        <v>12869</v>
      </c>
      <c r="G2514">
        <v>2511</v>
      </c>
      <c r="H2514" t="s">
        <v>4688</v>
      </c>
      <c r="I2514" t="s">
        <v>4689</v>
      </c>
      <c r="J2514" t="s">
        <v>12870</v>
      </c>
    </row>
    <row r="2515" spans="6:10">
      <c r="F2515" t="s">
        <v>12871</v>
      </c>
      <c r="G2515">
        <v>2512</v>
      </c>
      <c r="H2515" t="s">
        <v>5168</v>
      </c>
      <c r="I2515" t="s">
        <v>5169</v>
      </c>
      <c r="J2515" t="s">
        <v>12872</v>
      </c>
    </row>
    <row r="2516" spans="6:10">
      <c r="F2516" t="s">
        <v>12873</v>
      </c>
      <c r="G2516">
        <v>2513</v>
      </c>
      <c r="H2516" t="s">
        <v>801</v>
      </c>
      <c r="I2516" t="s">
        <v>802</v>
      </c>
      <c r="J2516" t="s">
        <v>12874</v>
      </c>
    </row>
    <row r="2517" spans="6:10">
      <c r="F2517" t="s">
        <v>12875</v>
      </c>
      <c r="G2517">
        <v>2514</v>
      </c>
      <c r="H2517" t="s">
        <v>78</v>
      </c>
      <c r="I2517" t="s">
        <v>79</v>
      </c>
      <c r="J2517" t="s">
        <v>12876</v>
      </c>
    </row>
    <row r="2518" spans="6:10">
      <c r="F2518" t="s">
        <v>12877</v>
      </c>
      <c r="G2518">
        <v>2515</v>
      </c>
      <c r="H2518" t="s">
        <v>7063</v>
      </c>
      <c r="I2518" t="s">
        <v>7064</v>
      </c>
      <c r="J2518" t="s">
        <v>12878</v>
      </c>
    </row>
    <row r="2519" spans="6:10">
      <c r="F2519" t="s">
        <v>12879</v>
      </c>
      <c r="G2519">
        <v>2516</v>
      </c>
      <c r="H2519" t="s">
        <v>3136</v>
      </c>
      <c r="I2519" t="s">
        <v>3137</v>
      </c>
      <c r="J2519" t="s">
        <v>12880</v>
      </c>
    </row>
    <row r="2520" spans="6:10">
      <c r="F2520" t="s">
        <v>12881</v>
      </c>
      <c r="G2520">
        <v>2517</v>
      </c>
      <c r="H2520" t="s">
        <v>5747</v>
      </c>
      <c r="I2520" t="s">
        <v>5748</v>
      </c>
      <c r="J2520" t="s">
        <v>12882</v>
      </c>
    </row>
    <row r="2521" spans="6:10">
      <c r="F2521" t="s">
        <v>12883</v>
      </c>
      <c r="G2521">
        <v>2518</v>
      </c>
      <c r="H2521" t="s">
        <v>2696</v>
      </c>
      <c r="I2521" t="s">
        <v>2697</v>
      </c>
      <c r="J2521" t="s">
        <v>12884</v>
      </c>
    </row>
    <row r="2522" spans="6:10">
      <c r="F2522" t="s">
        <v>12885</v>
      </c>
      <c r="G2522">
        <v>2519</v>
      </c>
      <c r="H2522" t="s">
        <v>12886</v>
      </c>
      <c r="I2522" t="s">
        <v>12887</v>
      </c>
      <c r="J2522" t="s">
        <v>12888</v>
      </c>
    </row>
    <row r="2523" spans="6:10">
      <c r="F2523" t="s">
        <v>12889</v>
      </c>
      <c r="G2523">
        <v>2520</v>
      </c>
      <c r="H2523" t="s">
        <v>3642</v>
      </c>
      <c r="I2523" t="s">
        <v>3643</v>
      </c>
      <c r="J2523" t="s">
        <v>12890</v>
      </c>
    </row>
    <row r="2524" spans="6:10">
      <c r="F2524" t="s">
        <v>12891</v>
      </c>
      <c r="G2524">
        <v>2521</v>
      </c>
      <c r="H2524" t="s">
        <v>1123</v>
      </c>
      <c r="I2524" t="s">
        <v>1124</v>
      </c>
      <c r="J2524" t="s">
        <v>12892</v>
      </c>
    </row>
    <row r="2525" spans="6:10">
      <c r="F2525" t="s">
        <v>12893</v>
      </c>
      <c r="G2525">
        <v>2522</v>
      </c>
      <c r="H2525" t="s">
        <v>2874</v>
      </c>
      <c r="I2525" t="s">
        <v>2875</v>
      </c>
      <c r="J2525" t="s">
        <v>12894</v>
      </c>
    </row>
    <row r="2526" spans="6:10">
      <c r="F2526" t="s">
        <v>12895</v>
      </c>
      <c r="G2526">
        <v>2523</v>
      </c>
      <c r="H2526" t="s">
        <v>12896</v>
      </c>
      <c r="I2526" t="s">
        <v>12897</v>
      </c>
      <c r="J2526" t="s">
        <v>12898</v>
      </c>
    </row>
    <row r="2527" spans="6:10">
      <c r="F2527" t="s">
        <v>12899</v>
      </c>
      <c r="G2527">
        <v>2524</v>
      </c>
      <c r="H2527" t="s">
        <v>4176</v>
      </c>
      <c r="I2527" t="s">
        <v>4177</v>
      </c>
      <c r="J2527" t="s">
        <v>12900</v>
      </c>
    </row>
    <row r="2528" spans="6:10">
      <c r="F2528" t="s">
        <v>12901</v>
      </c>
      <c r="G2528">
        <v>2525</v>
      </c>
      <c r="H2528" t="s">
        <v>5893</v>
      </c>
      <c r="I2528" t="s">
        <v>5894</v>
      </c>
      <c r="J2528" t="s">
        <v>12902</v>
      </c>
    </row>
    <row r="2529" spans="6:10">
      <c r="F2529" t="s">
        <v>12903</v>
      </c>
      <c r="G2529">
        <v>2526</v>
      </c>
      <c r="H2529" t="s">
        <v>12904</v>
      </c>
      <c r="I2529" t="s">
        <v>12904</v>
      </c>
      <c r="J2529" t="s">
        <v>12905</v>
      </c>
    </row>
    <row r="2530" spans="6:10">
      <c r="F2530" t="s">
        <v>12906</v>
      </c>
      <c r="G2530">
        <v>2527</v>
      </c>
      <c r="H2530" t="s">
        <v>2676</v>
      </c>
      <c r="I2530" t="s">
        <v>2677</v>
      </c>
      <c r="J2530" t="s">
        <v>12907</v>
      </c>
    </row>
    <row r="2531" spans="6:10">
      <c r="F2531" t="s">
        <v>12908</v>
      </c>
      <c r="G2531">
        <v>2528</v>
      </c>
      <c r="H2531" t="s">
        <v>12909</v>
      </c>
      <c r="I2531" t="s">
        <v>12910</v>
      </c>
      <c r="J2531" t="s">
        <v>12911</v>
      </c>
    </row>
    <row r="2532" spans="6:10">
      <c r="F2532" t="s">
        <v>12912</v>
      </c>
      <c r="G2532">
        <v>2529</v>
      </c>
      <c r="H2532" t="s">
        <v>1045</v>
      </c>
      <c r="I2532" t="s">
        <v>1046</v>
      </c>
      <c r="J2532" t="s">
        <v>12913</v>
      </c>
    </row>
    <row r="2533" spans="6:10">
      <c r="F2533" t="s">
        <v>12914</v>
      </c>
      <c r="G2533">
        <v>2530</v>
      </c>
      <c r="H2533" t="s">
        <v>1121</v>
      </c>
      <c r="I2533" t="s">
        <v>1122</v>
      </c>
      <c r="J2533" t="s">
        <v>12915</v>
      </c>
    </row>
    <row r="2534" spans="6:10">
      <c r="F2534" t="s">
        <v>12916</v>
      </c>
      <c r="G2534">
        <v>2531</v>
      </c>
      <c r="H2534" t="s">
        <v>4174</v>
      </c>
      <c r="I2534" t="s">
        <v>4175</v>
      </c>
      <c r="J2534" t="s">
        <v>12917</v>
      </c>
    </row>
    <row r="2535" spans="6:10">
      <c r="F2535" t="s">
        <v>12918</v>
      </c>
      <c r="G2535">
        <v>2532</v>
      </c>
      <c r="H2535" t="s">
        <v>12919</v>
      </c>
      <c r="I2535" t="s">
        <v>12920</v>
      </c>
      <c r="J2535" t="s">
        <v>12921</v>
      </c>
    </row>
    <row r="2536" spans="6:10">
      <c r="F2536" t="s">
        <v>12922</v>
      </c>
      <c r="G2536">
        <v>2533</v>
      </c>
      <c r="H2536" t="s">
        <v>6170</v>
      </c>
      <c r="I2536" t="s">
        <v>6171</v>
      </c>
      <c r="J2536" t="s">
        <v>12923</v>
      </c>
    </row>
    <row r="2537" spans="6:10">
      <c r="F2537" t="s">
        <v>12924</v>
      </c>
      <c r="G2537">
        <v>2534</v>
      </c>
      <c r="H2537" t="s">
        <v>12925</v>
      </c>
      <c r="I2537" t="s">
        <v>12926</v>
      </c>
      <c r="J2537" t="s">
        <v>12927</v>
      </c>
    </row>
    <row r="2538" spans="6:10">
      <c r="F2538" t="s">
        <v>12928</v>
      </c>
      <c r="G2538">
        <v>2535</v>
      </c>
      <c r="H2538" t="s">
        <v>12929</v>
      </c>
      <c r="I2538" t="s">
        <v>12930</v>
      </c>
      <c r="J2538" t="s">
        <v>12931</v>
      </c>
    </row>
    <row r="2539" spans="6:10">
      <c r="F2539" t="s">
        <v>12932</v>
      </c>
      <c r="G2539">
        <v>2536</v>
      </c>
      <c r="H2539" t="s">
        <v>6080</v>
      </c>
      <c r="I2539" t="s">
        <v>6081</v>
      </c>
      <c r="J2539" t="s">
        <v>12933</v>
      </c>
    </row>
    <row r="2540" spans="6:10">
      <c r="F2540" t="s">
        <v>12934</v>
      </c>
      <c r="G2540">
        <v>2537</v>
      </c>
      <c r="H2540" t="s">
        <v>12935</v>
      </c>
      <c r="I2540" t="s">
        <v>12936</v>
      </c>
      <c r="J2540" t="s">
        <v>12937</v>
      </c>
    </row>
    <row r="2541" spans="6:10">
      <c r="F2541" t="s">
        <v>12938</v>
      </c>
      <c r="G2541">
        <v>2538</v>
      </c>
      <c r="H2541" t="s">
        <v>5637</v>
      </c>
      <c r="I2541" t="s">
        <v>5638</v>
      </c>
      <c r="J2541" t="s">
        <v>12939</v>
      </c>
    </row>
    <row r="2542" spans="6:10">
      <c r="F2542" t="s">
        <v>12940</v>
      </c>
      <c r="G2542">
        <v>2539</v>
      </c>
      <c r="H2542" t="s">
        <v>5001</v>
      </c>
      <c r="I2542" t="s">
        <v>5002</v>
      </c>
      <c r="J2542" t="s">
        <v>12941</v>
      </c>
    </row>
    <row r="2543" spans="6:10">
      <c r="F2543" t="s">
        <v>12942</v>
      </c>
      <c r="G2543">
        <v>2540</v>
      </c>
      <c r="H2543" t="s">
        <v>5343</v>
      </c>
      <c r="I2543" t="s">
        <v>5344</v>
      </c>
      <c r="J2543" t="s">
        <v>12943</v>
      </c>
    </row>
    <row r="2544" spans="6:10">
      <c r="F2544" t="s">
        <v>12944</v>
      </c>
      <c r="G2544">
        <v>2541</v>
      </c>
      <c r="H2544" t="s">
        <v>710</v>
      </c>
      <c r="I2544" t="s">
        <v>711</v>
      </c>
      <c r="J2544" t="s">
        <v>12945</v>
      </c>
    </row>
    <row r="2545" spans="6:10">
      <c r="F2545" t="s">
        <v>12946</v>
      </c>
      <c r="G2545">
        <v>2542</v>
      </c>
      <c r="H2545" t="s">
        <v>4770</v>
      </c>
      <c r="I2545" t="s">
        <v>4771</v>
      </c>
      <c r="J2545" t="s">
        <v>12947</v>
      </c>
    </row>
    <row r="2546" spans="6:10">
      <c r="F2546" t="s">
        <v>12948</v>
      </c>
      <c r="G2546">
        <v>2543</v>
      </c>
      <c r="H2546" t="s">
        <v>12949</v>
      </c>
      <c r="I2546" t="s">
        <v>12950</v>
      </c>
      <c r="J2546" t="s">
        <v>12951</v>
      </c>
    </row>
    <row r="2547" spans="6:10">
      <c r="F2547" t="s">
        <v>12952</v>
      </c>
      <c r="G2547">
        <v>2544</v>
      </c>
      <c r="H2547" t="s">
        <v>12953</v>
      </c>
      <c r="I2547" t="s">
        <v>12954</v>
      </c>
      <c r="J2547" t="s">
        <v>12955</v>
      </c>
    </row>
    <row r="2548" spans="6:10">
      <c r="F2548" t="s">
        <v>12956</v>
      </c>
      <c r="G2548">
        <v>2545</v>
      </c>
      <c r="H2548" t="s">
        <v>12957</v>
      </c>
      <c r="I2548" t="s">
        <v>12958</v>
      </c>
      <c r="J2548" t="s">
        <v>12959</v>
      </c>
    </row>
    <row r="2549" spans="6:10">
      <c r="F2549" t="s">
        <v>12960</v>
      </c>
      <c r="G2549">
        <v>2546</v>
      </c>
      <c r="H2549" t="s">
        <v>12961</v>
      </c>
      <c r="I2549" t="s">
        <v>12962</v>
      </c>
      <c r="J2549" t="s">
        <v>12963</v>
      </c>
    </row>
    <row r="2550" spans="6:10">
      <c r="F2550" t="s">
        <v>12964</v>
      </c>
      <c r="G2550">
        <v>2547</v>
      </c>
      <c r="H2550" t="s">
        <v>1151</v>
      </c>
      <c r="I2550" t="s">
        <v>1152</v>
      </c>
      <c r="J2550" t="s">
        <v>12965</v>
      </c>
    </row>
    <row r="2551" spans="6:10">
      <c r="F2551" t="s">
        <v>12966</v>
      </c>
      <c r="G2551">
        <v>2548</v>
      </c>
      <c r="H2551" t="s">
        <v>2301</v>
      </c>
      <c r="I2551" t="s">
        <v>619</v>
      </c>
      <c r="J2551" t="s">
        <v>12967</v>
      </c>
    </row>
    <row r="2552" spans="6:10">
      <c r="F2552" t="s">
        <v>12968</v>
      </c>
      <c r="G2552">
        <v>2549</v>
      </c>
      <c r="H2552" t="s">
        <v>12969</v>
      </c>
      <c r="I2552" t="s">
        <v>12970</v>
      </c>
      <c r="J2552" t="s">
        <v>12971</v>
      </c>
    </row>
    <row r="2553" spans="6:10">
      <c r="F2553" t="s">
        <v>12972</v>
      </c>
      <c r="G2553">
        <v>2550</v>
      </c>
      <c r="H2553" t="s">
        <v>1497</v>
      </c>
      <c r="I2553" t="s">
        <v>1497</v>
      </c>
      <c r="J2553" t="s">
        <v>12973</v>
      </c>
    </row>
    <row r="2554" spans="6:10">
      <c r="F2554" t="s">
        <v>12974</v>
      </c>
      <c r="G2554">
        <v>2551</v>
      </c>
      <c r="H2554" t="s">
        <v>12975</v>
      </c>
      <c r="I2554" t="s">
        <v>12976</v>
      </c>
      <c r="J2554" t="s">
        <v>12977</v>
      </c>
    </row>
    <row r="2555" spans="6:10">
      <c r="F2555" t="s">
        <v>12978</v>
      </c>
      <c r="G2555">
        <v>2552</v>
      </c>
      <c r="H2555" t="s">
        <v>4229</v>
      </c>
      <c r="I2555" t="s">
        <v>4230</v>
      </c>
      <c r="J2555" t="s">
        <v>12979</v>
      </c>
    </row>
    <row r="2556" spans="6:10">
      <c r="F2556" t="s">
        <v>12980</v>
      </c>
      <c r="G2556">
        <v>2553</v>
      </c>
      <c r="H2556" t="s">
        <v>12981</v>
      </c>
      <c r="I2556" t="s">
        <v>12981</v>
      </c>
      <c r="J2556" t="s">
        <v>12982</v>
      </c>
    </row>
    <row r="2557" spans="6:10">
      <c r="F2557" t="s">
        <v>12983</v>
      </c>
      <c r="G2557">
        <v>2554</v>
      </c>
      <c r="H2557" t="s">
        <v>12984</v>
      </c>
      <c r="I2557" t="s">
        <v>12985</v>
      </c>
      <c r="J2557" t="s">
        <v>12986</v>
      </c>
    </row>
    <row r="2558" spans="6:10">
      <c r="F2558" t="s">
        <v>12987</v>
      </c>
      <c r="G2558">
        <v>2555</v>
      </c>
      <c r="H2558" t="s">
        <v>12988</v>
      </c>
      <c r="I2558" t="s">
        <v>12989</v>
      </c>
      <c r="J2558" t="s">
        <v>12990</v>
      </c>
    </row>
    <row r="2559" spans="6:10">
      <c r="F2559" t="s">
        <v>12991</v>
      </c>
      <c r="G2559">
        <v>2556</v>
      </c>
      <c r="H2559" t="s">
        <v>12992</v>
      </c>
      <c r="I2559" t="s">
        <v>12993</v>
      </c>
      <c r="J2559" t="s">
        <v>12994</v>
      </c>
    </row>
    <row r="2560" spans="6:10">
      <c r="F2560" t="s">
        <v>12995</v>
      </c>
      <c r="G2560">
        <v>2557</v>
      </c>
      <c r="H2560" t="s">
        <v>5211</v>
      </c>
      <c r="I2560" t="s">
        <v>5212</v>
      </c>
      <c r="J2560" t="s">
        <v>12996</v>
      </c>
    </row>
    <row r="2561" spans="6:10">
      <c r="F2561" t="s">
        <v>12997</v>
      </c>
      <c r="G2561">
        <v>2558</v>
      </c>
      <c r="H2561" t="s">
        <v>12998</v>
      </c>
      <c r="I2561" t="s">
        <v>12999</v>
      </c>
      <c r="J2561" t="s">
        <v>13000</v>
      </c>
    </row>
    <row r="2562" spans="6:10">
      <c r="F2562" t="s">
        <v>13001</v>
      </c>
      <c r="G2562">
        <v>2559</v>
      </c>
      <c r="H2562" t="s">
        <v>13002</v>
      </c>
      <c r="I2562" t="s">
        <v>13003</v>
      </c>
      <c r="J2562" t="s">
        <v>13004</v>
      </c>
    </row>
    <row r="2563" spans="6:10">
      <c r="F2563" t="s">
        <v>13005</v>
      </c>
      <c r="G2563">
        <v>2560</v>
      </c>
      <c r="H2563" t="s">
        <v>13006</v>
      </c>
      <c r="I2563" t="s">
        <v>13007</v>
      </c>
      <c r="J2563" t="s">
        <v>13008</v>
      </c>
    </row>
    <row r="2564" spans="6:10">
      <c r="F2564" t="s">
        <v>13009</v>
      </c>
      <c r="G2564">
        <v>2561</v>
      </c>
      <c r="H2564" t="s">
        <v>5007</v>
      </c>
      <c r="I2564" t="s">
        <v>5008</v>
      </c>
      <c r="J2564" t="s">
        <v>13010</v>
      </c>
    </row>
    <row r="2565" spans="6:10">
      <c r="F2565" t="s">
        <v>13011</v>
      </c>
      <c r="G2565">
        <v>2562</v>
      </c>
      <c r="H2565" t="s">
        <v>1049</v>
      </c>
      <c r="I2565" t="s">
        <v>1050</v>
      </c>
      <c r="J2565" t="s">
        <v>13012</v>
      </c>
    </row>
    <row r="2566" spans="6:10">
      <c r="F2566" t="s">
        <v>13013</v>
      </c>
      <c r="G2566">
        <v>2563</v>
      </c>
      <c r="H2566" t="s">
        <v>3176</v>
      </c>
      <c r="I2566" t="s">
        <v>3177</v>
      </c>
      <c r="J2566" t="s">
        <v>13014</v>
      </c>
    </row>
    <row r="2567" spans="6:10">
      <c r="F2567" t="s">
        <v>13015</v>
      </c>
      <c r="G2567">
        <v>2564</v>
      </c>
      <c r="H2567" t="s">
        <v>518</v>
      </c>
      <c r="I2567" t="s">
        <v>519</v>
      </c>
      <c r="J2567" t="s">
        <v>13016</v>
      </c>
    </row>
    <row r="2568" spans="6:10">
      <c r="F2568" t="s">
        <v>13017</v>
      </c>
      <c r="G2568">
        <v>2565</v>
      </c>
      <c r="H2568" t="s">
        <v>13018</v>
      </c>
      <c r="I2568" t="s">
        <v>13019</v>
      </c>
      <c r="J2568" t="s">
        <v>13020</v>
      </c>
    </row>
    <row r="2569" spans="6:10">
      <c r="F2569" t="s">
        <v>13021</v>
      </c>
      <c r="G2569">
        <v>2566</v>
      </c>
      <c r="H2569" t="s">
        <v>4768</v>
      </c>
      <c r="I2569" t="s">
        <v>4769</v>
      </c>
      <c r="J2569" t="s">
        <v>13022</v>
      </c>
    </row>
    <row r="2570" spans="6:10">
      <c r="F2570" t="s">
        <v>13023</v>
      </c>
      <c r="G2570">
        <v>2567</v>
      </c>
      <c r="H2570" t="s">
        <v>3574</v>
      </c>
      <c r="I2570" t="s">
        <v>2059</v>
      </c>
      <c r="J2570" t="s">
        <v>13024</v>
      </c>
    </row>
    <row r="2571" spans="6:10">
      <c r="F2571" t="s">
        <v>13025</v>
      </c>
      <c r="G2571">
        <v>2568</v>
      </c>
      <c r="H2571" t="s">
        <v>904</v>
      </c>
      <c r="I2571" t="s">
        <v>905</v>
      </c>
      <c r="J2571" t="s">
        <v>13026</v>
      </c>
    </row>
    <row r="2572" spans="6:10">
      <c r="F2572" t="s">
        <v>13027</v>
      </c>
      <c r="G2572">
        <v>2569</v>
      </c>
      <c r="H2572" t="s">
        <v>13028</v>
      </c>
      <c r="I2572" t="s">
        <v>13028</v>
      </c>
      <c r="J2572" t="s">
        <v>13029</v>
      </c>
    </row>
    <row r="2573" spans="6:10">
      <c r="F2573" t="s">
        <v>13030</v>
      </c>
      <c r="G2573">
        <v>2570</v>
      </c>
      <c r="H2573" t="s">
        <v>3683</v>
      </c>
      <c r="I2573" t="s">
        <v>3684</v>
      </c>
      <c r="J2573" t="s">
        <v>13031</v>
      </c>
    </row>
    <row r="2574" spans="6:10">
      <c r="F2574" t="s">
        <v>13032</v>
      </c>
      <c r="G2574">
        <v>2571</v>
      </c>
      <c r="H2574" t="s">
        <v>815</v>
      </c>
      <c r="I2574" t="s">
        <v>816</v>
      </c>
      <c r="J2574" t="s">
        <v>13033</v>
      </c>
    </row>
    <row r="2575" spans="6:10">
      <c r="F2575" t="s">
        <v>13034</v>
      </c>
      <c r="G2575">
        <v>2572</v>
      </c>
      <c r="H2575" t="s">
        <v>5457</v>
      </c>
      <c r="I2575" t="s">
        <v>5458</v>
      </c>
      <c r="J2575" t="s">
        <v>13035</v>
      </c>
    </row>
    <row r="2576" spans="6:10">
      <c r="F2576" t="s">
        <v>13036</v>
      </c>
      <c r="G2576">
        <v>2573</v>
      </c>
      <c r="H2576" t="s">
        <v>4462</v>
      </c>
      <c r="I2576" t="s">
        <v>4463</v>
      </c>
      <c r="J2576" t="s">
        <v>13037</v>
      </c>
    </row>
    <row r="2577" spans="6:10">
      <c r="F2577" t="s">
        <v>13038</v>
      </c>
      <c r="G2577">
        <v>2574</v>
      </c>
      <c r="H2577" t="s">
        <v>13039</v>
      </c>
      <c r="I2577" t="s">
        <v>13040</v>
      </c>
      <c r="J2577" t="s">
        <v>13041</v>
      </c>
    </row>
    <row r="2578" spans="6:10">
      <c r="F2578" t="s">
        <v>13042</v>
      </c>
      <c r="G2578">
        <v>2575</v>
      </c>
      <c r="H2578" t="s">
        <v>1636</v>
      </c>
      <c r="I2578" t="s">
        <v>1640</v>
      </c>
      <c r="J2578" t="s">
        <v>13043</v>
      </c>
    </row>
    <row r="2579" spans="6:10">
      <c r="F2579" t="s">
        <v>13044</v>
      </c>
      <c r="G2579">
        <v>2576</v>
      </c>
      <c r="H2579" t="s">
        <v>1414</v>
      </c>
      <c r="I2579" t="s">
        <v>1415</v>
      </c>
      <c r="J2579" t="s">
        <v>13045</v>
      </c>
    </row>
    <row r="2580" spans="6:10">
      <c r="F2580" t="s">
        <v>13046</v>
      </c>
      <c r="G2580">
        <v>2577</v>
      </c>
      <c r="H2580" t="s">
        <v>3490</v>
      </c>
      <c r="I2580" t="s">
        <v>3491</v>
      </c>
      <c r="J2580" t="s">
        <v>13047</v>
      </c>
    </row>
    <row r="2581" spans="6:10">
      <c r="F2581" t="s">
        <v>13048</v>
      </c>
      <c r="G2581">
        <v>2578</v>
      </c>
      <c r="H2581" t="s">
        <v>1283</v>
      </c>
      <c r="I2581" t="s">
        <v>1284</v>
      </c>
      <c r="J2581" t="s">
        <v>13049</v>
      </c>
    </row>
    <row r="2582" spans="6:10">
      <c r="F2582" t="s">
        <v>13050</v>
      </c>
      <c r="G2582">
        <v>2579</v>
      </c>
      <c r="H2582" t="s">
        <v>13051</v>
      </c>
      <c r="I2582" t="s">
        <v>13052</v>
      </c>
      <c r="J2582" t="s">
        <v>13053</v>
      </c>
    </row>
    <row r="2583" spans="6:10">
      <c r="F2583" t="s">
        <v>13054</v>
      </c>
      <c r="G2583">
        <v>2580</v>
      </c>
      <c r="H2583" t="s">
        <v>13055</v>
      </c>
      <c r="I2583" t="s">
        <v>13056</v>
      </c>
      <c r="J2583" t="s">
        <v>13057</v>
      </c>
    </row>
    <row r="2584" spans="6:10">
      <c r="F2584" t="s">
        <v>13058</v>
      </c>
      <c r="G2584">
        <v>2581</v>
      </c>
      <c r="H2584" t="s">
        <v>13059</v>
      </c>
      <c r="I2584" t="s">
        <v>13060</v>
      </c>
      <c r="J2584" t="s">
        <v>13061</v>
      </c>
    </row>
    <row r="2585" spans="6:10">
      <c r="F2585" t="s">
        <v>13062</v>
      </c>
      <c r="G2585">
        <v>2582</v>
      </c>
      <c r="H2585" t="s">
        <v>4941</v>
      </c>
      <c r="I2585" t="s">
        <v>4942</v>
      </c>
      <c r="J2585" t="s">
        <v>13063</v>
      </c>
    </row>
    <row r="2586" spans="6:10">
      <c r="F2586" t="s">
        <v>13064</v>
      </c>
      <c r="G2586">
        <v>2583</v>
      </c>
      <c r="H2586" t="s">
        <v>13065</v>
      </c>
      <c r="I2586" t="s">
        <v>13066</v>
      </c>
      <c r="J2586" t="s">
        <v>13067</v>
      </c>
    </row>
    <row r="2587" spans="6:10">
      <c r="F2587" t="s">
        <v>13068</v>
      </c>
      <c r="G2587">
        <v>2584</v>
      </c>
      <c r="H2587" t="s">
        <v>13069</v>
      </c>
      <c r="I2587" t="s">
        <v>13070</v>
      </c>
      <c r="J2587" t="s">
        <v>13071</v>
      </c>
    </row>
    <row r="2588" spans="6:10">
      <c r="F2588" t="s">
        <v>13072</v>
      </c>
      <c r="G2588">
        <v>2585</v>
      </c>
      <c r="H2588" t="s">
        <v>4844</v>
      </c>
      <c r="I2588" t="s">
        <v>4845</v>
      </c>
      <c r="J2588" t="s">
        <v>13073</v>
      </c>
    </row>
    <row r="2589" spans="6:10">
      <c r="F2589" t="s">
        <v>13074</v>
      </c>
      <c r="G2589">
        <v>2586</v>
      </c>
      <c r="H2589" t="s">
        <v>3273</v>
      </c>
      <c r="I2589" t="s">
        <v>3274</v>
      </c>
      <c r="J2589" t="s">
        <v>13075</v>
      </c>
    </row>
    <row r="2590" spans="6:10">
      <c r="F2590" t="s">
        <v>13076</v>
      </c>
      <c r="G2590">
        <v>2587</v>
      </c>
      <c r="H2590" t="s">
        <v>4244</v>
      </c>
      <c r="I2590" t="s">
        <v>4245</v>
      </c>
      <c r="J2590" t="s">
        <v>13077</v>
      </c>
    </row>
    <row r="2591" spans="6:10">
      <c r="F2591" t="s">
        <v>13078</v>
      </c>
      <c r="G2591">
        <v>2588</v>
      </c>
      <c r="H2591" t="s">
        <v>4622</v>
      </c>
      <c r="I2591" t="s">
        <v>4623</v>
      </c>
      <c r="J2591" t="s">
        <v>13079</v>
      </c>
    </row>
    <row r="2592" spans="6:10">
      <c r="F2592" t="s">
        <v>13080</v>
      </c>
      <c r="G2592">
        <v>2589</v>
      </c>
      <c r="H2592" t="s">
        <v>2966</v>
      </c>
      <c r="I2592" t="s">
        <v>2967</v>
      </c>
      <c r="J2592" t="s">
        <v>13081</v>
      </c>
    </row>
    <row r="2593" spans="6:10">
      <c r="F2593" t="s">
        <v>13082</v>
      </c>
      <c r="G2593">
        <v>2590</v>
      </c>
      <c r="H2593" t="s">
        <v>2583</v>
      </c>
      <c r="I2593" t="s">
        <v>2584</v>
      </c>
      <c r="J2593" t="s">
        <v>13083</v>
      </c>
    </row>
    <row r="2594" spans="6:10">
      <c r="F2594" t="s">
        <v>13084</v>
      </c>
      <c r="G2594">
        <v>2591</v>
      </c>
      <c r="H2594" t="s">
        <v>1287</v>
      </c>
      <c r="I2594" t="s">
        <v>1288</v>
      </c>
      <c r="J2594" t="s">
        <v>13085</v>
      </c>
    </row>
    <row r="2595" spans="6:10">
      <c r="F2595" t="s">
        <v>13086</v>
      </c>
      <c r="G2595">
        <v>2592</v>
      </c>
      <c r="H2595" t="s">
        <v>13087</v>
      </c>
      <c r="I2595" t="s">
        <v>13088</v>
      </c>
      <c r="J2595" t="s">
        <v>13089</v>
      </c>
    </row>
    <row r="2596" spans="6:10">
      <c r="F2596" t="s">
        <v>13090</v>
      </c>
      <c r="G2596">
        <v>2593</v>
      </c>
      <c r="H2596" t="s">
        <v>2818</v>
      </c>
      <c r="I2596" t="s">
        <v>2832</v>
      </c>
      <c r="J2596" t="s">
        <v>13091</v>
      </c>
    </row>
    <row r="2597" spans="6:10">
      <c r="F2597" t="s">
        <v>13092</v>
      </c>
      <c r="G2597">
        <v>2594</v>
      </c>
      <c r="H2597" t="s">
        <v>13093</v>
      </c>
      <c r="I2597" t="s">
        <v>13094</v>
      </c>
      <c r="J2597" t="s">
        <v>13095</v>
      </c>
    </row>
    <row r="2598" spans="6:10">
      <c r="F2598" t="s">
        <v>13096</v>
      </c>
      <c r="G2598">
        <v>2595</v>
      </c>
      <c r="H2598" t="s">
        <v>1489</v>
      </c>
      <c r="I2598" t="s">
        <v>1490</v>
      </c>
      <c r="J2598" t="s">
        <v>13097</v>
      </c>
    </row>
    <row r="2599" spans="6:10">
      <c r="F2599" t="s">
        <v>13098</v>
      </c>
      <c r="G2599">
        <v>2596</v>
      </c>
      <c r="H2599" t="s">
        <v>13099</v>
      </c>
      <c r="I2599" t="s">
        <v>13100</v>
      </c>
      <c r="J2599" t="s">
        <v>13101</v>
      </c>
    </row>
    <row r="2600" spans="6:10">
      <c r="F2600" t="s">
        <v>13102</v>
      </c>
      <c r="G2600">
        <v>2597</v>
      </c>
      <c r="H2600" t="s">
        <v>13103</v>
      </c>
      <c r="I2600" t="s">
        <v>13104</v>
      </c>
      <c r="J2600" t="s">
        <v>13105</v>
      </c>
    </row>
    <row r="2601" spans="6:10">
      <c r="F2601" t="s">
        <v>13106</v>
      </c>
      <c r="G2601">
        <v>2598</v>
      </c>
      <c r="H2601" t="s">
        <v>13107</v>
      </c>
      <c r="I2601" t="s">
        <v>13108</v>
      </c>
      <c r="J2601" t="s">
        <v>13109</v>
      </c>
    </row>
    <row r="2602" spans="6:10">
      <c r="F2602" t="s">
        <v>13110</v>
      </c>
      <c r="G2602">
        <v>2599</v>
      </c>
      <c r="H2602" t="s">
        <v>3080</v>
      </c>
      <c r="I2602" t="s">
        <v>2059</v>
      </c>
      <c r="J2602" t="s">
        <v>13111</v>
      </c>
    </row>
    <row r="2603" spans="6:10">
      <c r="F2603" t="s">
        <v>13112</v>
      </c>
      <c r="G2603">
        <v>2600</v>
      </c>
      <c r="H2603" t="s">
        <v>13113</v>
      </c>
      <c r="I2603" t="s">
        <v>13114</v>
      </c>
      <c r="J2603" t="s">
        <v>13115</v>
      </c>
    </row>
    <row r="2604" spans="6:10">
      <c r="F2604" t="s">
        <v>13116</v>
      </c>
      <c r="G2604">
        <v>2601</v>
      </c>
      <c r="H2604" t="s">
        <v>2479</v>
      </c>
      <c r="I2604" t="s">
        <v>2479</v>
      </c>
      <c r="J2604" t="s">
        <v>13117</v>
      </c>
    </row>
    <row r="2605" spans="6:10">
      <c r="F2605" t="s">
        <v>13118</v>
      </c>
      <c r="G2605">
        <v>2602</v>
      </c>
      <c r="H2605" t="s">
        <v>13119</v>
      </c>
      <c r="I2605" t="s">
        <v>4627</v>
      </c>
      <c r="J2605" t="s">
        <v>13120</v>
      </c>
    </row>
    <row r="2606" spans="6:10">
      <c r="F2606" t="s">
        <v>13121</v>
      </c>
      <c r="G2606">
        <v>2603</v>
      </c>
      <c r="H2606" t="s">
        <v>2869</v>
      </c>
      <c r="I2606" t="s">
        <v>2870</v>
      </c>
      <c r="J2606" t="s">
        <v>13122</v>
      </c>
    </row>
    <row r="2607" spans="6:10">
      <c r="F2607" t="s">
        <v>13123</v>
      </c>
      <c r="G2607">
        <v>2604</v>
      </c>
      <c r="H2607" t="s">
        <v>2784</v>
      </c>
      <c r="I2607" t="s">
        <v>2785</v>
      </c>
      <c r="J2607" t="s">
        <v>13124</v>
      </c>
    </row>
    <row r="2608" spans="6:10">
      <c r="F2608" t="s">
        <v>13125</v>
      </c>
      <c r="G2608">
        <v>2605</v>
      </c>
      <c r="H2608" t="s">
        <v>959</v>
      </c>
      <c r="I2608" t="s">
        <v>960</v>
      </c>
      <c r="J2608" t="s">
        <v>13126</v>
      </c>
    </row>
    <row r="2609" spans="6:10">
      <c r="F2609" t="s">
        <v>13127</v>
      </c>
      <c r="G2609">
        <v>2606</v>
      </c>
      <c r="H2609" t="s">
        <v>13128</v>
      </c>
      <c r="I2609" t="s">
        <v>13129</v>
      </c>
      <c r="J2609" t="s">
        <v>13130</v>
      </c>
    </row>
    <row r="2610" spans="6:10">
      <c r="F2610" t="s">
        <v>13131</v>
      </c>
      <c r="G2610">
        <v>2607</v>
      </c>
      <c r="H2610" t="s">
        <v>13132</v>
      </c>
      <c r="I2610" t="s">
        <v>13133</v>
      </c>
      <c r="J2610" t="s">
        <v>13134</v>
      </c>
    </row>
    <row r="2611" spans="6:10">
      <c r="F2611" t="s">
        <v>13135</v>
      </c>
      <c r="G2611">
        <v>2608</v>
      </c>
      <c r="H2611" t="s">
        <v>13136</v>
      </c>
      <c r="I2611" t="s">
        <v>13137</v>
      </c>
      <c r="J2611" t="s">
        <v>13138</v>
      </c>
    </row>
    <row r="2612" spans="6:10">
      <c r="F2612" t="s">
        <v>13139</v>
      </c>
      <c r="G2612">
        <v>2609</v>
      </c>
      <c r="H2612" t="s">
        <v>13140</v>
      </c>
      <c r="I2612" t="s">
        <v>13141</v>
      </c>
      <c r="J2612" t="s">
        <v>13142</v>
      </c>
    </row>
    <row r="2613" spans="6:10">
      <c r="F2613" t="s">
        <v>13143</v>
      </c>
      <c r="G2613">
        <v>2610</v>
      </c>
      <c r="H2613" t="s">
        <v>13144</v>
      </c>
      <c r="I2613" t="s">
        <v>13144</v>
      </c>
      <c r="J2613" t="s">
        <v>13145</v>
      </c>
    </row>
    <row r="2614" spans="6:10">
      <c r="F2614" t="s">
        <v>13146</v>
      </c>
      <c r="G2614">
        <v>2611</v>
      </c>
      <c r="H2614" t="s">
        <v>13147</v>
      </c>
      <c r="I2614" t="s">
        <v>13148</v>
      </c>
      <c r="J2614" t="s">
        <v>13149</v>
      </c>
    </row>
    <row r="2615" spans="6:10">
      <c r="F2615" t="s">
        <v>13150</v>
      </c>
      <c r="G2615">
        <v>2612</v>
      </c>
      <c r="H2615" t="s">
        <v>13151</v>
      </c>
      <c r="I2615" t="s">
        <v>13152</v>
      </c>
      <c r="J2615" t="s">
        <v>13153</v>
      </c>
    </row>
    <row r="2616" spans="6:10">
      <c r="F2616" t="s">
        <v>13154</v>
      </c>
      <c r="G2616">
        <v>2613</v>
      </c>
      <c r="H2616" t="s">
        <v>13155</v>
      </c>
      <c r="I2616" t="s">
        <v>3895</v>
      </c>
      <c r="J2616" t="s">
        <v>13156</v>
      </c>
    </row>
    <row r="2617" spans="6:10">
      <c r="F2617" t="s">
        <v>13157</v>
      </c>
      <c r="G2617">
        <v>2614</v>
      </c>
      <c r="H2617" t="s">
        <v>13158</v>
      </c>
      <c r="I2617" t="s">
        <v>13159</v>
      </c>
      <c r="J2617" t="s">
        <v>13160</v>
      </c>
    </row>
    <row r="2618" spans="6:10">
      <c r="F2618" t="s">
        <v>13161</v>
      </c>
      <c r="G2618">
        <v>2615</v>
      </c>
      <c r="H2618" t="s">
        <v>5648</v>
      </c>
      <c r="I2618" t="s">
        <v>5648</v>
      </c>
      <c r="J2618" t="s">
        <v>13162</v>
      </c>
    </row>
    <row r="2619" spans="6:10">
      <c r="F2619" t="s">
        <v>13163</v>
      </c>
      <c r="G2619">
        <v>2616</v>
      </c>
      <c r="H2619" t="s">
        <v>13164</v>
      </c>
      <c r="I2619" t="s">
        <v>13165</v>
      </c>
      <c r="J2619" t="s">
        <v>13166</v>
      </c>
    </row>
    <row r="2620" spans="6:10">
      <c r="F2620" t="s">
        <v>13167</v>
      </c>
      <c r="G2620">
        <v>2617</v>
      </c>
      <c r="H2620" t="s">
        <v>4744</v>
      </c>
      <c r="I2620" t="s">
        <v>4745</v>
      </c>
      <c r="J2620" t="s">
        <v>13168</v>
      </c>
    </row>
    <row r="2621" spans="6:10">
      <c r="F2621" t="s">
        <v>13169</v>
      </c>
      <c r="G2621">
        <v>2618</v>
      </c>
      <c r="H2621" t="s">
        <v>4604</v>
      </c>
      <c r="I2621" t="s">
        <v>4605</v>
      </c>
      <c r="J2621" t="s">
        <v>13170</v>
      </c>
    </row>
    <row r="2622" spans="6:10">
      <c r="F2622" t="s">
        <v>13171</v>
      </c>
      <c r="G2622">
        <v>2619</v>
      </c>
      <c r="H2622" t="s">
        <v>3908</v>
      </c>
      <c r="I2622" t="s">
        <v>3909</v>
      </c>
      <c r="J2622" t="s">
        <v>13172</v>
      </c>
    </row>
    <row r="2623" spans="6:10">
      <c r="F2623" t="s">
        <v>13173</v>
      </c>
      <c r="G2623">
        <v>2620</v>
      </c>
      <c r="H2623" t="s">
        <v>1723</v>
      </c>
      <c r="I2623" t="s">
        <v>1724</v>
      </c>
      <c r="J2623" t="s">
        <v>13174</v>
      </c>
    </row>
    <row r="2624" spans="6:10">
      <c r="F2624" t="s">
        <v>13175</v>
      </c>
      <c r="G2624">
        <v>2621</v>
      </c>
      <c r="H2624" t="s">
        <v>13176</v>
      </c>
      <c r="I2624" t="s">
        <v>13177</v>
      </c>
      <c r="J2624" t="s">
        <v>13178</v>
      </c>
    </row>
    <row r="2625" spans="6:10">
      <c r="F2625" t="s">
        <v>13179</v>
      </c>
      <c r="G2625">
        <v>2622</v>
      </c>
      <c r="H2625" t="s">
        <v>13180</v>
      </c>
      <c r="I2625" t="s">
        <v>13181</v>
      </c>
      <c r="J2625" t="s">
        <v>13182</v>
      </c>
    </row>
    <row r="2626" spans="6:10">
      <c r="F2626" t="s">
        <v>13183</v>
      </c>
      <c r="G2626">
        <v>2623</v>
      </c>
      <c r="H2626" t="s">
        <v>13184</v>
      </c>
      <c r="I2626" t="s">
        <v>13185</v>
      </c>
      <c r="J2626" t="s">
        <v>13186</v>
      </c>
    </row>
    <row r="2627" spans="6:10">
      <c r="F2627" t="s">
        <v>13187</v>
      </c>
      <c r="G2627">
        <v>2624</v>
      </c>
      <c r="H2627" t="s">
        <v>13188</v>
      </c>
      <c r="I2627" t="s">
        <v>13189</v>
      </c>
      <c r="J2627" t="s">
        <v>13190</v>
      </c>
    </row>
    <row r="2628" spans="6:10">
      <c r="F2628" t="s">
        <v>13191</v>
      </c>
      <c r="G2628">
        <v>2625</v>
      </c>
      <c r="H2628" t="s">
        <v>13192</v>
      </c>
      <c r="I2628" t="s">
        <v>13193</v>
      </c>
      <c r="J2628" t="s">
        <v>13194</v>
      </c>
    </row>
    <row r="2629" spans="6:10">
      <c r="F2629" t="s">
        <v>13195</v>
      </c>
      <c r="G2629">
        <v>2626</v>
      </c>
      <c r="H2629" t="s">
        <v>2351</v>
      </c>
      <c r="I2629" t="s">
        <v>2351</v>
      </c>
      <c r="J2629" t="s">
        <v>13196</v>
      </c>
    </row>
    <row r="2630" spans="6:10">
      <c r="F2630" t="s">
        <v>13197</v>
      </c>
      <c r="G2630">
        <v>2627</v>
      </c>
      <c r="H2630" t="s">
        <v>4778</v>
      </c>
      <c r="I2630" t="s">
        <v>4779</v>
      </c>
      <c r="J2630" t="s">
        <v>13198</v>
      </c>
    </row>
    <row r="2631" spans="6:10">
      <c r="F2631" t="s">
        <v>13199</v>
      </c>
      <c r="G2631">
        <v>2628</v>
      </c>
      <c r="H2631" t="s">
        <v>13200</v>
      </c>
      <c r="I2631" t="s">
        <v>13200</v>
      </c>
      <c r="J2631" t="s">
        <v>13201</v>
      </c>
    </row>
    <row r="2632" spans="6:10">
      <c r="F2632" t="s">
        <v>13202</v>
      </c>
      <c r="G2632">
        <v>2629</v>
      </c>
      <c r="H2632" t="s">
        <v>13203</v>
      </c>
      <c r="I2632" t="s">
        <v>13203</v>
      </c>
      <c r="J2632" t="s">
        <v>13204</v>
      </c>
    </row>
    <row r="2633" spans="6:10">
      <c r="F2633" t="s">
        <v>13205</v>
      </c>
      <c r="G2633">
        <v>2630</v>
      </c>
      <c r="H2633" t="s">
        <v>13206</v>
      </c>
      <c r="I2633" t="s">
        <v>13206</v>
      </c>
      <c r="J2633" t="s">
        <v>13207</v>
      </c>
    </row>
    <row r="2634" spans="6:10">
      <c r="F2634" t="s">
        <v>13208</v>
      </c>
      <c r="G2634">
        <v>2631</v>
      </c>
      <c r="H2634" t="s">
        <v>9392</v>
      </c>
      <c r="I2634" t="s">
        <v>13209</v>
      </c>
      <c r="J2634" t="s">
        <v>13210</v>
      </c>
    </row>
    <row r="2635" spans="6:10">
      <c r="F2635" t="s">
        <v>13211</v>
      </c>
      <c r="G2635">
        <v>2632</v>
      </c>
      <c r="H2635" t="s">
        <v>1952</v>
      </c>
      <c r="I2635" t="s">
        <v>1953</v>
      </c>
      <c r="J2635" t="s">
        <v>13212</v>
      </c>
    </row>
    <row r="2636" spans="6:10">
      <c r="F2636" t="s">
        <v>13213</v>
      </c>
      <c r="G2636">
        <v>2633</v>
      </c>
      <c r="H2636" t="s">
        <v>1659</v>
      </c>
      <c r="I2636" t="s">
        <v>1659</v>
      </c>
      <c r="J2636" t="s">
        <v>13214</v>
      </c>
    </row>
    <row r="2637" spans="6:10">
      <c r="F2637" t="s">
        <v>13215</v>
      </c>
      <c r="G2637">
        <v>2634</v>
      </c>
      <c r="H2637" t="s">
        <v>13216</v>
      </c>
      <c r="I2637" t="s">
        <v>13217</v>
      </c>
      <c r="J2637" t="s">
        <v>13218</v>
      </c>
    </row>
    <row r="2638" spans="6:10">
      <c r="F2638" t="s">
        <v>13219</v>
      </c>
      <c r="G2638">
        <v>2635</v>
      </c>
      <c r="H2638" t="s">
        <v>3541</v>
      </c>
      <c r="I2638" t="s">
        <v>3541</v>
      </c>
      <c r="J2638" t="s">
        <v>13220</v>
      </c>
    </row>
    <row r="2639" spans="6:10">
      <c r="F2639" t="s">
        <v>13221</v>
      </c>
      <c r="G2639">
        <v>2636</v>
      </c>
      <c r="H2639" t="s">
        <v>5972</v>
      </c>
      <c r="I2639" t="s">
        <v>5972</v>
      </c>
      <c r="J2639" t="s">
        <v>13222</v>
      </c>
    </row>
    <row r="2640" spans="6:10">
      <c r="F2640" t="s">
        <v>13223</v>
      </c>
      <c r="G2640">
        <v>2637</v>
      </c>
      <c r="H2640" t="s">
        <v>3007</v>
      </c>
      <c r="I2640" t="s">
        <v>655</v>
      </c>
      <c r="J2640" t="s">
        <v>13224</v>
      </c>
    </row>
    <row r="2641" spans="6:10">
      <c r="F2641" t="s">
        <v>13225</v>
      </c>
      <c r="G2641">
        <v>2638</v>
      </c>
      <c r="H2641" t="s">
        <v>3749</v>
      </c>
      <c r="I2641" t="s">
        <v>3750</v>
      </c>
      <c r="J2641" t="s">
        <v>13226</v>
      </c>
    </row>
    <row r="2642" spans="6:10">
      <c r="F2642" t="s">
        <v>13227</v>
      </c>
      <c r="G2642">
        <v>2639</v>
      </c>
      <c r="H2642" t="s">
        <v>13228</v>
      </c>
      <c r="I2642" t="s">
        <v>13229</v>
      </c>
      <c r="J2642" t="s">
        <v>13230</v>
      </c>
    </row>
    <row r="2643" spans="6:10">
      <c r="F2643" t="s">
        <v>13231</v>
      </c>
      <c r="G2643">
        <v>2640</v>
      </c>
      <c r="H2643" t="s">
        <v>841</v>
      </c>
      <c r="I2643" t="s">
        <v>842</v>
      </c>
      <c r="J2643" t="s">
        <v>13232</v>
      </c>
    </row>
    <row r="2644" spans="6:10">
      <c r="F2644" t="s">
        <v>13233</v>
      </c>
      <c r="G2644">
        <v>2641</v>
      </c>
      <c r="H2644" t="s">
        <v>13234</v>
      </c>
      <c r="I2644" t="s">
        <v>13235</v>
      </c>
      <c r="J2644" t="s">
        <v>13236</v>
      </c>
    </row>
    <row r="2645" spans="6:10">
      <c r="F2645" t="s">
        <v>13237</v>
      </c>
      <c r="G2645">
        <v>2642</v>
      </c>
      <c r="H2645" t="s">
        <v>6008</v>
      </c>
      <c r="I2645" t="s">
        <v>6009</v>
      </c>
      <c r="J2645" t="s">
        <v>13238</v>
      </c>
    </row>
    <row r="2646" spans="6:10">
      <c r="F2646" t="s">
        <v>13239</v>
      </c>
      <c r="G2646">
        <v>2643</v>
      </c>
      <c r="H2646" t="s">
        <v>13240</v>
      </c>
      <c r="I2646" t="s">
        <v>13241</v>
      </c>
      <c r="J2646" t="s">
        <v>13242</v>
      </c>
    </row>
    <row r="2647" spans="6:10">
      <c r="F2647" t="s">
        <v>13243</v>
      </c>
      <c r="G2647">
        <v>2644</v>
      </c>
      <c r="H2647" t="s">
        <v>13244</v>
      </c>
      <c r="I2647" t="s">
        <v>13244</v>
      </c>
      <c r="J2647" t="s">
        <v>13245</v>
      </c>
    </row>
    <row r="2648" spans="6:10">
      <c r="F2648" t="s">
        <v>13246</v>
      </c>
      <c r="G2648">
        <v>2645</v>
      </c>
      <c r="H2648" t="s">
        <v>13247</v>
      </c>
      <c r="I2648" t="s">
        <v>13248</v>
      </c>
      <c r="J2648" t="s">
        <v>13249</v>
      </c>
    </row>
    <row r="2649" spans="6:10">
      <c r="F2649" t="s">
        <v>13250</v>
      </c>
      <c r="G2649">
        <v>2646</v>
      </c>
      <c r="H2649" t="s">
        <v>13251</v>
      </c>
      <c r="I2649" t="s">
        <v>13252</v>
      </c>
      <c r="J2649" t="s">
        <v>13253</v>
      </c>
    </row>
    <row r="2650" spans="6:10">
      <c r="F2650" t="s">
        <v>13254</v>
      </c>
      <c r="G2650">
        <v>2647</v>
      </c>
      <c r="H2650" t="s">
        <v>2547</v>
      </c>
      <c r="I2650" t="s">
        <v>2548</v>
      </c>
      <c r="J2650" t="s">
        <v>13255</v>
      </c>
    </row>
    <row r="2651" spans="6:10">
      <c r="F2651" t="s">
        <v>13256</v>
      </c>
      <c r="G2651">
        <v>2648</v>
      </c>
      <c r="H2651" t="s">
        <v>13257</v>
      </c>
      <c r="I2651" t="s">
        <v>13258</v>
      </c>
      <c r="J2651" t="s">
        <v>13259</v>
      </c>
    </row>
    <row r="2652" spans="6:10">
      <c r="F2652" t="s">
        <v>13260</v>
      </c>
      <c r="G2652">
        <v>2649</v>
      </c>
      <c r="H2652" t="s">
        <v>2895</v>
      </c>
      <c r="I2652" t="s">
        <v>2896</v>
      </c>
      <c r="J2652" t="s">
        <v>13261</v>
      </c>
    </row>
    <row r="2653" spans="6:10">
      <c r="F2653" t="s">
        <v>13262</v>
      </c>
      <c r="G2653">
        <v>2650</v>
      </c>
      <c r="H2653" t="s">
        <v>13263</v>
      </c>
      <c r="I2653" t="s">
        <v>13264</v>
      </c>
      <c r="J2653" t="s">
        <v>13265</v>
      </c>
    </row>
    <row r="2654" spans="6:10">
      <c r="F2654" t="s">
        <v>13266</v>
      </c>
      <c r="G2654">
        <v>2651</v>
      </c>
      <c r="H2654" t="s">
        <v>13267</v>
      </c>
      <c r="I2654" t="s">
        <v>13268</v>
      </c>
      <c r="J2654" t="s">
        <v>13269</v>
      </c>
    </row>
    <row r="2655" spans="6:10">
      <c r="F2655" t="s">
        <v>13270</v>
      </c>
      <c r="G2655">
        <v>2652</v>
      </c>
      <c r="H2655" t="s">
        <v>5054</v>
      </c>
      <c r="I2655" t="s">
        <v>5055</v>
      </c>
      <c r="J2655" t="s">
        <v>13271</v>
      </c>
    </row>
    <row r="2656" spans="6:10">
      <c r="F2656" t="s">
        <v>13272</v>
      </c>
      <c r="G2656">
        <v>2653</v>
      </c>
      <c r="H2656" t="s">
        <v>11318</v>
      </c>
      <c r="I2656" t="s">
        <v>13273</v>
      </c>
      <c r="J2656" t="s">
        <v>13274</v>
      </c>
    </row>
    <row r="2657" spans="6:10">
      <c r="F2657" t="s">
        <v>13275</v>
      </c>
      <c r="G2657">
        <v>2654</v>
      </c>
      <c r="H2657" t="s">
        <v>13276</v>
      </c>
      <c r="I2657" t="s">
        <v>13277</v>
      </c>
      <c r="J2657" t="s">
        <v>13278</v>
      </c>
    </row>
    <row r="2658" spans="6:10">
      <c r="F2658" t="s">
        <v>13279</v>
      </c>
      <c r="G2658">
        <v>2655</v>
      </c>
      <c r="H2658" t="s">
        <v>13280</v>
      </c>
      <c r="I2658" t="s">
        <v>13281</v>
      </c>
      <c r="J2658" t="s">
        <v>13282</v>
      </c>
    </row>
    <row r="2659" spans="6:10">
      <c r="F2659" t="s">
        <v>13283</v>
      </c>
      <c r="G2659">
        <v>2656</v>
      </c>
      <c r="H2659" t="s">
        <v>2614</v>
      </c>
      <c r="I2659" t="s">
        <v>2615</v>
      </c>
      <c r="J2659" t="s">
        <v>13284</v>
      </c>
    </row>
    <row r="2660" spans="6:10">
      <c r="F2660" t="s">
        <v>13285</v>
      </c>
      <c r="G2660">
        <v>2657</v>
      </c>
      <c r="H2660" t="s">
        <v>13286</v>
      </c>
      <c r="I2660" t="s">
        <v>13287</v>
      </c>
      <c r="J2660" t="s">
        <v>13288</v>
      </c>
    </row>
    <row r="2661" spans="6:10">
      <c r="F2661" t="s">
        <v>13289</v>
      </c>
      <c r="G2661">
        <v>2658</v>
      </c>
      <c r="H2661" t="s">
        <v>13290</v>
      </c>
      <c r="I2661" t="s">
        <v>13291</v>
      </c>
      <c r="J2661" t="s">
        <v>13292</v>
      </c>
    </row>
    <row r="2662" spans="6:10">
      <c r="F2662" t="s">
        <v>13293</v>
      </c>
      <c r="G2662">
        <v>2659</v>
      </c>
      <c r="H2662" t="s">
        <v>3852</v>
      </c>
      <c r="I2662" t="s">
        <v>3853</v>
      </c>
      <c r="J2662" t="s">
        <v>13294</v>
      </c>
    </row>
    <row r="2663" spans="6:10">
      <c r="F2663" t="s">
        <v>13295</v>
      </c>
      <c r="G2663">
        <v>2660</v>
      </c>
      <c r="H2663" t="s">
        <v>3059</v>
      </c>
      <c r="I2663" t="s">
        <v>3060</v>
      </c>
      <c r="J2663" t="s">
        <v>13296</v>
      </c>
    </row>
    <row r="2664" spans="6:10">
      <c r="F2664" t="s">
        <v>13297</v>
      </c>
      <c r="G2664">
        <v>2661</v>
      </c>
      <c r="H2664" t="s">
        <v>4782</v>
      </c>
      <c r="I2664" t="s">
        <v>4783</v>
      </c>
      <c r="J2664" t="s">
        <v>13298</v>
      </c>
    </row>
    <row r="2665" spans="6:10">
      <c r="F2665" t="s">
        <v>13299</v>
      </c>
      <c r="G2665">
        <v>2662</v>
      </c>
      <c r="H2665" t="s">
        <v>5473</v>
      </c>
      <c r="I2665" t="s">
        <v>5474</v>
      </c>
      <c r="J2665" t="s">
        <v>13300</v>
      </c>
    </row>
    <row r="2666" spans="6:10">
      <c r="F2666" t="s">
        <v>13301</v>
      </c>
      <c r="G2666">
        <v>2663</v>
      </c>
      <c r="H2666" t="s">
        <v>13302</v>
      </c>
      <c r="I2666" t="s">
        <v>13303</v>
      </c>
      <c r="J2666" t="s">
        <v>13304</v>
      </c>
    </row>
    <row r="2667" spans="6:10">
      <c r="F2667" t="s">
        <v>13305</v>
      </c>
      <c r="G2667">
        <v>2664</v>
      </c>
      <c r="H2667" t="s">
        <v>3619</v>
      </c>
      <c r="I2667" t="s">
        <v>3620</v>
      </c>
      <c r="J2667" t="s">
        <v>13306</v>
      </c>
    </row>
    <row r="2668" spans="6:10">
      <c r="F2668" t="s">
        <v>13307</v>
      </c>
      <c r="G2668">
        <v>2665</v>
      </c>
      <c r="H2668" t="s">
        <v>2600</v>
      </c>
      <c r="I2668" t="s">
        <v>2601</v>
      </c>
      <c r="J2668" t="s">
        <v>13308</v>
      </c>
    </row>
    <row r="2669" spans="6:10">
      <c r="F2669" t="s">
        <v>13309</v>
      </c>
      <c r="G2669">
        <v>2666</v>
      </c>
      <c r="H2669" t="s">
        <v>1460</v>
      </c>
      <c r="I2669" t="s">
        <v>1461</v>
      </c>
      <c r="J2669" t="s">
        <v>13310</v>
      </c>
    </row>
    <row r="2670" spans="6:10">
      <c r="F2670" t="s">
        <v>13311</v>
      </c>
      <c r="G2670">
        <v>2667</v>
      </c>
      <c r="H2670" t="s">
        <v>3095</v>
      </c>
      <c r="I2670" t="s">
        <v>3096</v>
      </c>
      <c r="J2670" t="s">
        <v>13312</v>
      </c>
    </row>
    <row r="2671" spans="6:10">
      <c r="F2671" t="s">
        <v>13313</v>
      </c>
      <c r="G2671">
        <v>2668</v>
      </c>
      <c r="H2671" t="s">
        <v>700</v>
      </c>
      <c r="I2671" t="s">
        <v>701</v>
      </c>
      <c r="J2671" t="s">
        <v>13314</v>
      </c>
    </row>
    <row r="2672" spans="6:10">
      <c r="F2672" t="s">
        <v>13315</v>
      </c>
      <c r="G2672">
        <v>2669</v>
      </c>
      <c r="H2672" t="s">
        <v>13316</v>
      </c>
      <c r="I2672" t="s">
        <v>13317</v>
      </c>
      <c r="J2672" t="s">
        <v>13318</v>
      </c>
    </row>
    <row r="2673" spans="6:10">
      <c r="F2673" t="s">
        <v>13319</v>
      </c>
      <c r="G2673">
        <v>2670</v>
      </c>
      <c r="H2673" t="s">
        <v>1299</v>
      </c>
      <c r="I2673" t="s">
        <v>1300</v>
      </c>
      <c r="J2673" t="s">
        <v>13320</v>
      </c>
    </row>
    <row r="2674" spans="6:10">
      <c r="F2674" t="s">
        <v>13321</v>
      </c>
      <c r="G2674">
        <v>2671</v>
      </c>
      <c r="H2674" t="s">
        <v>13322</v>
      </c>
      <c r="I2674" t="s">
        <v>13323</v>
      </c>
      <c r="J2674" t="s">
        <v>13324</v>
      </c>
    </row>
    <row r="2675" spans="6:10">
      <c r="F2675" t="s">
        <v>13325</v>
      </c>
      <c r="G2675">
        <v>2672</v>
      </c>
      <c r="H2675" t="s">
        <v>13326</v>
      </c>
      <c r="I2675" t="s">
        <v>13326</v>
      </c>
      <c r="J2675" t="s">
        <v>13327</v>
      </c>
    </row>
    <row r="2676" spans="6:10">
      <c r="F2676" t="s">
        <v>13328</v>
      </c>
      <c r="G2676">
        <v>2673</v>
      </c>
      <c r="H2676" t="s">
        <v>13329</v>
      </c>
      <c r="I2676" t="s">
        <v>13330</v>
      </c>
      <c r="J2676" t="s">
        <v>13331</v>
      </c>
    </row>
    <row r="2677" spans="6:10">
      <c r="F2677" t="s">
        <v>13332</v>
      </c>
      <c r="G2677">
        <v>2674</v>
      </c>
      <c r="H2677" t="s">
        <v>13333</v>
      </c>
      <c r="I2677" t="s">
        <v>13334</v>
      </c>
      <c r="J2677" t="s">
        <v>13335</v>
      </c>
    </row>
    <row r="2678" spans="6:10">
      <c r="F2678" t="s">
        <v>13336</v>
      </c>
      <c r="G2678">
        <v>2675</v>
      </c>
      <c r="H2678" t="s">
        <v>618</v>
      </c>
      <c r="I2678" t="s">
        <v>619</v>
      </c>
      <c r="J2678" t="s">
        <v>13337</v>
      </c>
    </row>
    <row r="2679" spans="6:10">
      <c r="F2679" t="s">
        <v>13338</v>
      </c>
      <c r="G2679">
        <v>2676</v>
      </c>
      <c r="H2679" t="s">
        <v>2123</v>
      </c>
      <c r="I2679" t="s">
        <v>2124</v>
      </c>
      <c r="J2679" t="s">
        <v>13339</v>
      </c>
    </row>
    <row r="2680" spans="6:10">
      <c r="F2680" t="s">
        <v>13340</v>
      </c>
      <c r="G2680">
        <v>2677</v>
      </c>
      <c r="H2680" t="s">
        <v>13341</v>
      </c>
      <c r="I2680" t="s">
        <v>13342</v>
      </c>
      <c r="J2680" t="s">
        <v>13343</v>
      </c>
    </row>
    <row r="2681" spans="6:10">
      <c r="F2681" t="s">
        <v>13344</v>
      </c>
      <c r="G2681">
        <v>2678</v>
      </c>
      <c r="H2681" t="s">
        <v>1944</v>
      </c>
      <c r="I2681" t="s">
        <v>1945</v>
      </c>
      <c r="J2681" t="s">
        <v>13345</v>
      </c>
    </row>
    <row r="2682" spans="6:10">
      <c r="F2682" t="s">
        <v>13346</v>
      </c>
      <c r="G2682">
        <v>2679</v>
      </c>
      <c r="H2682" t="s">
        <v>1693</v>
      </c>
      <c r="I2682" t="s">
        <v>1694</v>
      </c>
      <c r="J2682" t="s">
        <v>13347</v>
      </c>
    </row>
    <row r="2683" spans="6:10">
      <c r="F2683" t="s">
        <v>13348</v>
      </c>
      <c r="G2683">
        <v>2680</v>
      </c>
      <c r="H2683" t="s">
        <v>2809</v>
      </c>
      <c r="I2683" t="s">
        <v>2810</v>
      </c>
      <c r="J2683" t="s">
        <v>13349</v>
      </c>
    </row>
    <row r="2684" spans="6:10">
      <c r="F2684" t="s">
        <v>13350</v>
      </c>
      <c r="G2684">
        <v>2681</v>
      </c>
      <c r="H2684" t="s">
        <v>3058</v>
      </c>
      <c r="I2684" t="s">
        <v>3058</v>
      </c>
      <c r="J2684" t="s">
        <v>13351</v>
      </c>
    </row>
    <row r="2685" spans="6:10">
      <c r="F2685" t="s">
        <v>13352</v>
      </c>
      <c r="G2685">
        <v>2682</v>
      </c>
      <c r="H2685" t="s">
        <v>1962</v>
      </c>
      <c r="I2685" t="s">
        <v>1963</v>
      </c>
      <c r="J2685" t="s">
        <v>13353</v>
      </c>
    </row>
    <row r="2686" spans="6:10">
      <c r="F2686" t="s">
        <v>13354</v>
      </c>
      <c r="G2686">
        <v>2683</v>
      </c>
      <c r="H2686" t="s">
        <v>435</v>
      </c>
      <c r="I2686" t="s">
        <v>436</v>
      </c>
      <c r="J2686" t="s">
        <v>13355</v>
      </c>
    </row>
    <row r="2687" spans="6:10">
      <c r="F2687" t="s">
        <v>13356</v>
      </c>
      <c r="G2687">
        <v>2684</v>
      </c>
      <c r="H2687" t="s">
        <v>1850</v>
      </c>
      <c r="I2687" t="s">
        <v>1851</v>
      </c>
      <c r="J2687" t="s">
        <v>13357</v>
      </c>
    </row>
    <row r="2688" spans="6:10">
      <c r="F2688" t="s">
        <v>13358</v>
      </c>
      <c r="G2688">
        <v>2685</v>
      </c>
      <c r="H2688" t="s">
        <v>5124</v>
      </c>
      <c r="I2688" t="s">
        <v>5129</v>
      </c>
      <c r="J2688" t="s">
        <v>13359</v>
      </c>
    </row>
    <row r="2689" spans="6:10">
      <c r="F2689" t="s">
        <v>13360</v>
      </c>
      <c r="G2689">
        <v>2686</v>
      </c>
      <c r="H2689" t="s">
        <v>4217</v>
      </c>
      <c r="I2689" t="s">
        <v>4217</v>
      </c>
      <c r="J2689" t="s">
        <v>13361</v>
      </c>
    </row>
    <row r="2690" spans="6:10">
      <c r="F2690" t="s">
        <v>13362</v>
      </c>
      <c r="G2690">
        <v>2687</v>
      </c>
      <c r="H2690" t="s">
        <v>13363</v>
      </c>
      <c r="I2690" t="s">
        <v>13364</v>
      </c>
      <c r="J2690" t="s">
        <v>13365</v>
      </c>
    </row>
    <row r="2691" spans="6:10">
      <c r="F2691" t="s">
        <v>13366</v>
      </c>
      <c r="G2691">
        <v>2688</v>
      </c>
      <c r="H2691" t="s">
        <v>13367</v>
      </c>
      <c r="I2691" t="s">
        <v>13367</v>
      </c>
      <c r="J2691" t="s">
        <v>13368</v>
      </c>
    </row>
    <row r="2692" spans="6:10">
      <c r="F2692" t="s">
        <v>13369</v>
      </c>
      <c r="G2692">
        <v>2689</v>
      </c>
      <c r="H2692" t="s">
        <v>13370</v>
      </c>
      <c r="I2692" t="s">
        <v>13371</v>
      </c>
      <c r="J2692" t="s">
        <v>13372</v>
      </c>
    </row>
    <row r="2693" spans="6:10">
      <c r="F2693" t="s">
        <v>13373</v>
      </c>
      <c r="G2693">
        <v>2690</v>
      </c>
      <c r="H2693" t="s">
        <v>3747</v>
      </c>
      <c r="I2693" t="s">
        <v>3748</v>
      </c>
      <c r="J2693" t="s">
        <v>13374</v>
      </c>
    </row>
    <row r="2694" spans="6:10">
      <c r="F2694" t="s">
        <v>13375</v>
      </c>
      <c r="G2694">
        <v>2691</v>
      </c>
      <c r="H2694" t="s">
        <v>13376</v>
      </c>
      <c r="I2694" t="s">
        <v>13377</v>
      </c>
      <c r="J2694" t="s">
        <v>13378</v>
      </c>
    </row>
    <row r="2695" spans="6:10">
      <c r="F2695" t="s">
        <v>13379</v>
      </c>
      <c r="G2695">
        <v>2692</v>
      </c>
      <c r="H2695" t="s">
        <v>1113</v>
      </c>
      <c r="I2695" t="s">
        <v>1114</v>
      </c>
      <c r="J2695" t="s">
        <v>13380</v>
      </c>
    </row>
    <row r="2696" spans="6:10">
      <c r="F2696" t="s">
        <v>13381</v>
      </c>
      <c r="G2696">
        <v>2693</v>
      </c>
      <c r="H2696" t="s">
        <v>6067</v>
      </c>
      <c r="I2696" t="s">
        <v>6067</v>
      </c>
      <c r="J2696" t="s">
        <v>13382</v>
      </c>
    </row>
    <row r="2697" spans="6:10">
      <c r="F2697" t="s">
        <v>13383</v>
      </c>
      <c r="G2697">
        <v>2694</v>
      </c>
      <c r="H2697" t="s">
        <v>5801</v>
      </c>
      <c r="I2697" t="s">
        <v>5802</v>
      </c>
      <c r="J2697" t="s">
        <v>13384</v>
      </c>
    </row>
    <row r="2698" spans="6:10">
      <c r="F2698" t="s">
        <v>13385</v>
      </c>
      <c r="G2698">
        <v>2695</v>
      </c>
      <c r="H2698" t="s">
        <v>445</v>
      </c>
      <c r="I2698" t="s">
        <v>446</v>
      </c>
      <c r="J2698" t="s">
        <v>13386</v>
      </c>
    </row>
    <row r="2699" spans="6:10">
      <c r="F2699" t="s">
        <v>13387</v>
      </c>
      <c r="G2699">
        <v>2696</v>
      </c>
      <c r="H2699" t="s">
        <v>243</v>
      </c>
      <c r="I2699" t="s">
        <v>244</v>
      </c>
      <c r="J2699" t="s">
        <v>13388</v>
      </c>
    </row>
    <row r="2700" spans="6:10">
      <c r="F2700" t="s">
        <v>13389</v>
      </c>
      <c r="G2700">
        <v>2697</v>
      </c>
      <c r="H2700" t="s">
        <v>4612</v>
      </c>
      <c r="I2700" t="s">
        <v>4612</v>
      </c>
      <c r="J2700" t="s">
        <v>13390</v>
      </c>
    </row>
    <row r="2701" spans="6:10">
      <c r="F2701" t="s">
        <v>13391</v>
      </c>
      <c r="G2701">
        <v>2698</v>
      </c>
      <c r="H2701" t="s">
        <v>13392</v>
      </c>
      <c r="I2701" t="s">
        <v>13393</v>
      </c>
      <c r="J2701" t="s">
        <v>13394</v>
      </c>
    </row>
    <row r="2702" spans="6:10">
      <c r="F2702" t="s">
        <v>13395</v>
      </c>
      <c r="G2702">
        <v>2699</v>
      </c>
      <c r="H2702" t="s">
        <v>13396</v>
      </c>
      <c r="I2702" t="s">
        <v>13397</v>
      </c>
      <c r="J2702" t="s">
        <v>13398</v>
      </c>
    </row>
    <row r="2703" spans="6:10">
      <c r="F2703" t="s">
        <v>13399</v>
      </c>
      <c r="G2703">
        <v>2700</v>
      </c>
      <c r="H2703" t="s">
        <v>13400</v>
      </c>
      <c r="I2703" t="s">
        <v>13401</v>
      </c>
      <c r="J2703" t="s">
        <v>13402</v>
      </c>
    </row>
    <row r="2704" spans="6:10">
      <c r="F2704" t="s">
        <v>13403</v>
      </c>
      <c r="G2704">
        <v>2701</v>
      </c>
      <c r="H2704" t="s">
        <v>1038</v>
      </c>
      <c r="I2704" t="s">
        <v>1039</v>
      </c>
      <c r="J2704" t="s">
        <v>13404</v>
      </c>
    </row>
    <row r="2705" spans="6:10">
      <c r="F2705" t="s">
        <v>13405</v>
      </c>
      <c r="G2705">
        <v>2702</v>
      </c>
      <c r="H2705" t="s">
        <v>3439</v>
      </c>
      <c r="I2705" t="s">
        <v>3440</v>
      </c>
      <c r="J2705" t="s">
        <v>13406</v>
      </c>
    </row>
    <row r="2706" spans="6:10">
      <c r="F2706" t="s">
        <v>13407</v>
      </c>
      <c r="G2706">
        <v>2703</v>
      </c>
      <c r="H2706" t="s">
        <v>13408</v>
      </c>
      <c r="I2706" t="s">
        <v>13409</v>
      </c>
      <c r="J2706" t="s">
        <v>13410</v>
      </c>
    </row>
    <row r="2707" spans="6:10">
      <c r="F2707" t="s">
        <v>13411</v>
      </c>
      <c r="G2707">
        <v>2704</v>
      </c>
      <c r="H2707" t="s">
        <v>3261</v>
      </c>
      <c r="I2707" t="s">
        <v>3262</v>
      </c>
      <c r="J2707" t="s">
        <v>13412</v>
      </c>
    </row>
    <row r="2708" spans="6:10">
      <c r="F2708" t="s">
        <v>13413</v>
      </c>
      <c r="G2708">
        <v>2705</v>
      </c>
      <c r="H2708" t="s">
        <v>2974</v>
      </c>
      <c r="I2708" t="s">
        <v>2974</v>
      </c>
      <c r="J2708" t="s">
        <v>13414</v>
      </c>
    </row>
    <row r="2709" spans="6:10">
      <c r="F2709" t="s">
        <v>13415</v>
      </c>
      <c r="G2709">
        <v>2706</v>
      </c>
      <c r="H2709" t="s">
        <v>4006</v>
      </c>
      <c r="I2709" t="s">
        <v>4006</v>
      </c>
      <c r="J2709" t="s">
        <v>13416</v>
      </c>
    </row>
    <row r="2710" spans="6:10">
      <c r="F2710" t="s">
        <v>13417</v>
      </c>
      <c r="G2710">
        <v>2707</v>
      </c>
      <c r="H2710" t="s">
        <v>13418</v>
      </c>
      <c r="I2710" t="s">
        <v>13419</v>
      </c>
      <c r="J2710" t="s">
        <v>13420</v>
      </c>
    </row>
    <row r="2711" spans="6:10">
      <c r="F2711" t="s">
        <v>13421</v>
      </c>
      <c r="G2711">
        <v>2708</v>
      </c>
      <c r="H2711" t="s">
        <v>330</v>
      </c>
      <c r="I2711" t="s">
        <v>331</v>
      </c>
      <c r="J2711" t="s">
        <v>13422</v>
      </c>
    </row>
    <row r="2712" spans="6:10">
      <c r="F2712" t="s">
        <v>13423</v>
      </c>
      <c r="G2712">
        <v>2709</v>
      </c>
      <c r="H2712" t="s">
        <v>130</v>
      </c>
      <c r="I2712" t="s">
        <v>131</v>
      </c>
      <c r="J2712" t="s">
        <v>13424</v>
      </c>
    </row>
    <row r="2713" spans="6:10">
      <c r="F2713" t="s">
        <v>13425</v>
      </c>
      <c r="G2713">
        <v>2710</v>
      </c>
      <c r="H2713" t="s">
        <v>13426</v>
      </c>
      <c r="I2713" t="s">
        <v>13427</v>
      </c>
      <c r="J2713" t="s">
        <v>13428</v>
      </c>
    </row>
    <row r="2714" spans="6:10">
      <c r="F2714" t="s">
        <v>13429</v>
      </c>
      <c r="G2714">
        <v>2711</v>
      </c>
      <c r="H2714" t="s">
        <v>3472</v>
      </c>
      <c r="I2714" t="s">
        <v>3473</v>
      </c>
      <c r="J2714" t="s">
        <v>13430</v>
      </c>
    </row>
    <row r="2715" spans="6:10">
      <c r="F2715" t="s">
        <v>13431</v>
      </c>
      <c r="G2715">
        <v>2712</v>
      </c>
      <c r="H2715" t="s">
        <v>13432</v>
      </c>
      <c r="I2715" t="s">
        <v>13433</v>
      </c>
      <c r="J2715" t="s">
        <v>13434</v>
      </c>
    </row>
    <row r="2716" spans="6:10">
      <c r="F2716" t="s">
        <v>13435</v>
      </c>
      <c r="G2716">
        <v>2713</v>
      </c>
      <c r="H2716" t="s">
        <v>13436</v>
      </c>
      <c r="I2716" t="s">
        <v>13437</v>
      </c>
      <c r="J2716" t="s">
        <v>13438</v>
      </c>
    </row>
    <row r="2717" spans="6:10">
      <c r="F2717" t="s">
        <v>13439</v>
      </c>
      <c r="G2717">
        <v>2714</v>
      </c>
      <c r="H2717" t="s">
        <v>3680</v>
      </c>
      <c r="I2717" t="s">
        <v>3680</v>
      </c>
      <c r="J2717" t="s">
        <v>13440</v>
      </c>
    </row>
    <row r="2718" spans="6:10">
      <c r="F2718" t="s">
        <v>13441</v>
      </c>
      <c r="G2718">
        <v>2715</v>
      </c>
      <c r="H2718" t="s">
        <v>2079</v>
      </c>
      <c r="I2718" t="s">
        <v>2080</v>
      </c>
      <c r="J2718" t="s">
        <v>13442</v>
      </c>
    </row>
    <row r="2719" spans="6:10">
      <c r="F2719" t="s">
        <v>13443</v>
      </c>
      <c r="G2719">
        <v>2716</v>
      </c>
      <c r="H2719" t="s">
        <v>13444</v>
      </c>
      <c r="I2719" t="s">
        <v>13445</v>
      </c>
      <c r="J2719" t="s">
        <v>13446</v>
      </c>
    </row>
    <row r="2720" spans="6:10">
      <c r="F2720" t="s">
        <v>13447</v>
      </c>
      <c r="G2720">
        <v>2717</v>
      </c>
      <c r="H2720" t="s">
        <v>1125</v>
      </c>
      <c r="I2720" t="s">
        <v>1126</v>
      </c>
      <c r="J2720" t="s">
        <v>13448</v>
      </c>
    </row>
    <row r="2721" spans="6:10">
      <c r="F2721" t="s">
        <v>13449</v>
      </c>
      <c r="G2721">
        <v>2718</v>
      </c>
      <c r="H2721" t="s">
        <v>13450</v>
      </c>
      <c r="I2721" t="s">
        <v>13451</v>
      </c>
      <c r="J2721" t="s">
        <v>13452</v>
      </c>
    </row>
    <row r="2722" spans="6:10">
      <c r="F2722" t="s">
        <v>13453</v>
      </c>
      <c r="G2722">
        <v>2719</v>
      </c>
      <c r="H2722" t="s">
        <v>5915</v>
      </c>
      <c r="I2722" t="s">
        <v>5916</v>
      </c>
      <c r="J2722" t="s">
        <v>13454</v>
      </c>
    </row>
    <row r="2723" spans="6:10">
      <c r="F2723" t="s">
        <v>13455</v>
      </c>
      <c r="G2723">
        <v>2720</v>
      </c>
      <c r="H2723" t="s">
        <v>1142</v>
      </c>
      <c r="I2723" t="s">
        <v>1143</v>
      </c>
      <c r="J2723" t="s">
        <v>13456</v>
      </c>
    </row>
    <row r="2724" spans="6:10">
      <c r="F2724" t="s">
        <v>13457</v>
      </c>
      <c r="G2724">
        <v>2721</v>
      </c>
      <c r="H2724" t="s">
        <v>6032</v>
      </c>
      <c r="I2724" t="s">
        <v>6033</v>
      </c>
      <c r="J2724" t="s">
        <v>13458</v>
      </c>
    </row>
    <row r="2725" spans="6:10">
      <c r="F2725" t="s">
        <v>13459</v>
      </c>
      <c r="G2725">
        <v>2722</v>
      </c>
      <c r="H2725" t="s">
        <v>1476</v>
      </c>
      <c r="I2725" t="s">
        <v>1477</v>
      </c>
      <c r="J2725" t="s">
        <v>13460</v>
      </c>
    </row>
    <row r="2726" spans="6:10">
      <c r="F2726" t="s">
        <v>13461</v>
      </c>
      <c r="G2726">
        <v>2723</v>
      </c>
      <c r="H2726" t="s">
        <v>4866</v>
      </c>
      <c r="I2726" t="s">
        <v>4867</v>
      </c>
      <c r="J2726" t="s">
        <v>13462</v>
      </c>
    </row>
    <row r="2727" spans="6:10">
      <c r="F2727" t="s">
        <v>13463</v>
      </c>
      <c r="G2727">
        <v>2724</v>
      </c>
      <c r="H2727" t="s">
        <v>1946</v>
      </c>
      <c r="I2727" t="s">
        <v>1947</v>
      </c>
      <c r="J2727" t="s">
        <v>13464</v>
      </c>
    </row>
    <row r="2728" spans="6:10">
      <c r="F2728" t="s">
        <v>13465</v>
      </c>
      <c r="G2728">
        <v>2725</v>
      </c>
      <c r="H2728" t="s">
        <v>3083</v>
      </c>
      <c r="I2728" t="s">
        <v>3084</v>
      </c>
      <c r="J2728" t="s">
        <v>13466</v>
      </c>
    </row>
    <row r="2729" spans="6:10">
      <c r="F2729" t="s">
        <v>13467</v>
      </c>
      <c r="G2729">
        <v>2726</v>
      </c>
      <c r="H2729" t="s">
        <v>3121</v>
      </c>
      <c r="I2729" t="s">
        <v>3121</v>
      </c>
      <c r="J2729" t="s">
        <v>13468</v>
      </c>
    </row>
    <row r="2730" spans="6:10">
      <c r="F2730" t="s">
        <v>13469</v>
      </c>
      <c r="G2730">
        <v>2727</v>
      </c>
      <c r="H2730" t="s">
        <v>1291</v>
      </c>
      <c r="I2730" t="s">
        <v>1292</v>
      </c>
      <c r="J2730" t="s">
        <v>13470</v>
      </c>
    </row>
    <row r="2731" spans="6:10">
      <c r="F2731" t="s">
        <v>13471</v>
      </c>
      <c r="G2731">
        <v>2728</v>
      </c>
      <c r="H2731" t="s">
        <v>2644</v>
      </c>
      <c r="I2731" t="s">
        <v>2645</v>
      </c>
      <c r="J2731" t="s">
        <v>13472</v>
      </c>
    </row>
    <row r="2732" spans="6:10">
      <c r="F2732" t="s">
        <v>13473</v>
      </c>
      <c r="G2732">
        <v>2729</v>
      </c>
      <c r="H2732" t="s">
        <v>13474</v>
      </c>
      <c r="I2732" t="s">
        <v>13475</v>
      </c>
      <c r="J2732" t="s">
        <v>13476</v>
      </c>
    </row>
    <row r="2733" spans="6:10">
      <c r="F2733" t="s">
        <v>13477</v>
      </c>
      <c r="G2733">
        <v>2730</v>
      </c>
      <c r="H2733" t="s">
        <v>13478</v>
      </c>
      <c r="I2733" t="s">
        <v>13479</v>
      </c>
      <c r="J2733" t="s">
        <v>13480</v>
      </c>
    </row>
    <row r="2734" spans="6:10">
      <c r="F2734" t="s">
        <v>13481</v>
      </c>
      <c r="G2734">
        <v>2731</v>
      </c>
      <c r="H2734" t="s">
        <v>13482</v>
      </c>
      <c r="I2734" t="s">
        <v>13483</v>
      </c>
      <c r="J2734" t="s">
        <v>13484</v>
      </c>
    </row>
    <row r="2735" spans="6:10">
      <c r="F2735" t="s">
        <v>13485</v>
      </c>
      <c r="G2735">
        <v>2732</v>
      </c>
      <c r="H2735" t="s">
        <v>1277</v>
      </c>
      <c r="I2735" t="s">
        <v>1278</v>
      </c>
      <c r="J2735" t="s">
        <v>13486</v>
      </c>
    </row>
    <row r="2736" spans="6:10">
      <c r="F2736" t="s">
        <v>13487</v>
      </c>
      <c r="G2736">
        <v>2733</v>
      </c>
      <c r="H2736" t="s">
        <v>13488</v>
      </c>
      <c r="I2736" t="s">
        <v>13489</v>
      </c>
      <c r="J2736" t="s">
        <v>13490</v>
      </c>
    </row>
    <row r="2737" spans="6:10">
      <c r="F2737" t="s">
        <v>13491</v>
      </c>
      <c r="G2737">
        <v>2734</v>
      </c>
      <c r="H2737" t="s">
        <v>4005</v>
      </c>
      <c r="I2737" t="s">
        <v>4005</v>
      </c>
      <c r="J2737" t="s">
        <v>13492</v>
      </c>
    </row>
    <row r="2738" spans="6:10">
      <c r="F2738" t="s">
        <v>13493</v>
      </c>
      <c r="G2738">
        <v>2735</v>
      </c>
      <c r="H2738" t="s">
        <v>13494</v>
      </c>
      <c r="I2738" t="s">
        <v>13495</v>
      </c>
      <c r="J2738" t="s">
        <v>13496</v>
      </c>
    </row>
    <row r="2739" spans="6:10">
      <c r="F2739" t="s">
        <v>13497</v>
      </c>
      <c r="G2739">
        <v>2736</v>
      </c>
      <c r="H2739" t="s">
        <v>223</v>
      </c>
      <c r="I2739" t="s">
        <v>224</v>
      </c>
      <c r="J2739" t="s">
        <v>13498</v>
      </c>
    </row>
    <row r="2740" spans="6:10">
      <c r="F2740" t="s">
        <v>13499</v>
      </c>
      <c r="G2740">
        <v>2737</v>
      </c>
      <c r="H2740" t="s">
        <v>13500</v>
      </c>
      <c r="I2740" t="s">
        <v>13501</v>
      </c>
      <c r="J2740" t="s">
        <v>13502</v>
      </c>
    </row>
    <row r="2741" spans="6:10">
      <c r="F2741" t="s">
        <v>13503</v>
      </c>
      <c r="H2741" t="s">
        <v>1307</v>
      </c>
      <c r="I2741" t="s">
        <v>1306</v>
      </c>
      <c r="J2741" t="s">
        <v>13504</v>
      </c>
    </row>
    <row r="2742" spans="6:10">
      <c r="F2742" t="s">
        <v>13505</v>
      </c>
      <c r="G2742">
        <v>2739</v>
      </c>
      <c r="H2742" t="s">
        <v>1019</v>
      </c>
      <c r="I2742" t="s">
        <v>1020</v>
      </c>
      <c r="J2742" t="s">
        <v>13506</v>
      </c>
    </row>
    <row r="2743" spans="6:10">
      <c r="F2743" t="s">
        <v>13507</v>
      </c>
      <c r="G2743">
        <v>2740</v>
      </c>
      <c r="H2743" t="s">
        <v>13508</v>
      </c>
      <c r="I2743" t="s">
        <v>13509</v>
      </c>
      <c r="J2743" t="s">
        <v>13510</v>
      </c>
    </row>
    <row r="2744" spans="6:10">
      <c r="F2744" t="s">
        <v>13511</v>
      </c>
      <c r="G2744">
        <v>2741</v>
      </c>
      <c r="H2744" t="s">
        <v>141</v>
      </c>
      <c r="I2744" t="s">
        <v>142</v>
      </c>
      <c r="J2744" t="s">
        <v>13512</v>
      </c>
    </row>
    <row r="2745" spans="6:10">
      <c r="F2745" t="s">
        <v>13513</v>
      </c>
      <c r="G2745">
        <v>2742</v>
      </c>
      <c r="H2745" t="s">
        <v>13514</v>
      </c>
      <c r="I2745" t="s">
        <v>13514</v>
      </c>
      <c r="J2745" t="s">
        <v>13515</v>
      </c>
    </row>
    <row r="2746" spans="6:10">
      <c r="F2746" t="s">
        <v>13516</v>
      </c>
      <c r="G2746">
        <v>2743</v>
      </c>
      <c r="H2746" t="s">
        <v>13517</v>
      </c>
      <c r="I2746" t="s">
        <v>13518</v>
      </c>
      <c r="J2746" t="s">
        <v>13519</v>
      </c>
    </row>
    <row r="2747" spans="6:10">
      <c r="F2747" t="s">
        <v>13520</v>
      </c>
      <c r="G2747">
        <v>2744</v>
      </c>
      <c r="H2747" t="s">
        <v>1154</v>
      </c>
      <c r="I2747" t="s">
        <v>1154</v>
      </c>
      <c r="J2747" t="s">
        <v>13521</v>
      </c>
    </row>
    <row r="2748" spans="6:10">
      <c r="F2748" t="s">
        <v>13522</v>
      </c>
      <c r="G2748">
        <v>2745</v>
      </c>
      <c r="H2748" t="s">
        <v>548</v>
      </c>
      <c r="I2748" t="s">
        <v>588</v>
      </c>
      <c r="J2748" t="s">
        <v>13523</v>
      </c>
    </row>
    <row r="2749" spans="6:10">
      <c r="F2749" t="s">
        <v>13524</v>
      </c>
      <c r="G2749">
        <v>2746</v>
      </c>
      <c r="H2749" t="s">
        <v>5791</v>
      </c>
      <c r="I2749" t="s">
        <v>5792</v>
      </c>
      <c r="J2749" t="s">
        <v>13525</v>
      </c>
    </row>
    <row r="2750" spans="6:10">
      <c r="F2750" t="s">
        <v>13526</v>
      </c>
      <c r="G2750">
        <v>2747</v>
      </c>
      <c r="H2750" t="s">
        <v>2017</v>
      </c>
      <c r="I2750" t="s">
        <v>2018</v>
      </c>
      <c r="J2750" t="s">
        <v>13527</v>
      </c>
    </row>
    <row r="2751" spans="6:10">
      <c r="F2751" t="s">
        <v>13528</v>
      </c>
      <c r="G2751">
        <v>2748</v>
      </c>
      <c r="H2751" t="s">
        <v>2021</v>
      </c>
      <c r="I2751" t="s">
        <v>2022</v>
      </c>
      <c r="J2751" t="s">
        <v>13529</v>
      </c>
    </row>
    <row r="2752" spans="6:10">
      <c r="F2752" t="s">
        <v>13530</v>
      </c>
      <c r="G2752">
        <v>2749</v>
      </c>
      <c r="H2752" t="s">
        <v>13531</v>
      </c>
      <c r="I2752" t="s">
        <v>13532</v>
      </c>
      <c r="J2752" t="s">
        <v>13533</v>
      </c>
    </row>
    <row r="2753" spans="6:10">
      <c r="F2753" t="s">
        <v>13534</v>
      </c>
      <c r="G2753">
        <v>2750</v>
      </c>
      <c r="H2753" t="s">
        <v>2674</v>
      </c>
      <c r="I2753" t="s">
        <v>2675</v>
      </c>
      <c r="J2753" t="s">
        <v>13535</v>
      </c>
    </row>
    <row r="2754" spans="6:10">
      <c r="F2754" t="s">
        <v>13536</v>
      </c>
      <c r="G2754">
        <v>2751</v>
      </c>
      <c r="H2754" t="s">
        <v>13537</v>
      </c>
      <c r="I2754" t="s">
        <v>13538</v>
      </c>
      <c r="J2754" t="s">
        <v>13539</v>
      </c>
    </row>
    <row r="2755" spans="6:10">
      <c r="F2755" t="s">
        <v>13540</v>
      </c>
      <c r="G2755">
        <v>2752</v>
      </c>
      <c r="H2755" t="s">
        <v>13541</v>
      </c>
      <c r="I2755" t="s">
        <v>13542</v>
      </c>
      <c r="J2755" t="s">
        <v>13543</v>
      </c>
    </row>
    <row r="2756" spans="6:10">
      <c r="F2756" t="s">
        <v>13544</v>
      </c>
      <c r="G2756">
        <v>2753</v>
      </c>
      <c r="H2756" t="s">
        <v>548</v>
      </c>
      <c r="I2756" t="s">
        <v>589</v>
      </c>
      <c r="J2756" t="s">
        <v>13545</v>
      </c>
    </row>
    <row r="2757" spans="6:10">
      <c r="F2757" t="s">
        <v>13546</v>
      </c>
      <c r="G2757">
        <v>2754</v>
      </c>
      <c r="H2757" t="s">
        <v>13547</v>
      </c>
      <c r="I2757" t="s">
        <v>13548</v>
      </c>
      <c r="J2757" t="s">
        <v>13549</v>
      </c>
    </row>
    <row r="2758" spans="6:10">
      <c r="F2758" t="s">
        <v>13550</v>
      </c>
      <c r="G2758">
        <v>2755</v>
      </c>
      <c r="H2758" t="s">
        <v>13551</v>
      </c>
      <c r="I2758" t="s">
        <v>13552</v>
      </c>
      <c r="J2758" t="s">
        <v>13553</v>
      </c>
    </row>
    <row r="2759" spans="6:10">
      <c r="F2759" t="s">
        <v>13554</v>
      </c>
      <c r="G2759">
        <v>2756</v>
      </c>
      <c r="H2759" t="s">
        <v>3634</v>
      </c>
      <c r="I2759" t="s">
        <v>3635</v>
      </c>
      <c r="J2759" t="s">
        <v>13555</v>
      </c>
    </row>
    <row r="2760" spans="6:10">
      <c r="F2760" t="s">
        <v>13556</v>
      </c>
      <c r="G2760">
        <v>2757</v>
      </c>
      <c r="H2760" t="s">
        <v>5031</v>
      </c>
      <c r="I2760" t="s">
        <v>5031</v>
      </c>
      <c r="J2760" t="s">
        <v>13557</v>
      </c>
    </row>
    <row r="2761" spans="6:10">
      <c r="F2761" t="s">
        <v>13558</v>
      </c>
      <c r="G2761">
        <v>2758</v>
      </c>
      <c r="H2761" t="s">
        <v>1795</v>
      </c>
      <c r="I2761" t="s">
        <v>1796</v>
      </c>
      <c r="J2761" t="s">
        <v>13559</v>
      </c>
    </row>
    <row r="2762" spans="6:10">
      <c r="F2762" t="s">
        <v>13560</v>
      </c>
      <c r="G2762">
        <v>2759</v>
      </c>
      <c r="H2762" t="s">
        <v>3278</v>
      </c>
      <c r="I2762" t="s">
        <v>3279</v>
      </c>
      <c r="J2762" t="s">
        <v>13561</v>
      </c>
    </row>
    <row r="2763" spans="6:10">
      <c r="F2763" t="s">
        <v>13562</v>
      </c>
      <c r="G2763">
        <v>2760</v>
      </c>
      <c r="H2763" t="s">
        <v>13563</v>
      </c>
      <c r="I2763" t="s">
        <v>13564</v>
      </c>
      <c r="J2763" t="s">
        <v>13565</v>
      </c>
    </row>
    <row r="2764" spans="6:10">
      <c r="F2764" t="s">
        <v>13566</v>
      </c>
      <c r="G2764">
        <v>2761</v>
      </c>
      <c r="H2764" t="s">
        <v>4321</v>
      </c>
      <c r="I2764" t="s">
        <v>4322</v>
      </c>
      <c r="J2764" t="s">
        <v>13567</v>
      </c>
    </row>
    <row r="2765" spans="6:10">
      <c r="F2765" t="s">
        <v>13568</v>
      </c>
      <c r="G2765">
        <v>2762</v>
      </c>
      <c r="H2765" t="s">
        <v>13569</v>
      </c>
      <c r="I2765" t="s">
        <v>13570</v>
      </c>
      <c r="J2765" t="s">
        <v>13571</v>
      </c>
    </row>
    <row r="2766" spans="6:10">
      <c r="F2766" t="s">
        <v>13572</v>
      </c>
      <c r="G2766">
        <v>2763</v>
      </c>
      <c r="H2766" t="s">
        <v>6086</v>
      </c>
      <c r="I2766" t="s">
        <v>6087</v>
      </c>
      <c r="J2766" t="s">
        <v>13573</v>
      </c>
    </row>
    <row r="2767" spans="6:10">
      <c r="F2767" t="s">
        <v>13574</v>
      </c>
      <c r="G2767">
        <v>2764</v>
      </c>
      <c r="H2767" t="s">
        <v>13575</v>
      </c>
      <c r="I2767" t="s">
        <v>13576</v>
      </c>
      <c r="J2767" t="s">
        <v>13577</v>
      </c>
    </row>
    <row r="2768" spans="6:10">
      <c r="F2768" t="s">
        <v>13578</v>
      </c>
      <c r="G2768">
        <v>2765</v>
      </c>
      <c r="H2768" t="s">
        <v>13579</v>
      </c>
      <c r="I2768" t="s">
        <v>13580</v>
      </c>
      <c r="J2768" t="s">
        <v>13581</v>
      </c>
    </row>
    <row r="2769" spans="6:10">
      <c r="F2769" t="s">
        <v>13582</v>
      </c>
      <c r="G2769">
        <v>2766</v>
      </c>
      <c r="H2769" t="s">
        <v>4492</v>
      </c>
      <c r="I2769" t="s">
        <v>4493</v>
      </c>
      <c r="J2769" t="s">
        <v>13583</v>
      </c>
    </row>
    <row r="2770" spans="6:10">
      <c r="F2770" t="s">
        <v>13584</v>
      </c>
      <c r="G2770">
        <v>2767</v>
      </c>
      <c r="H2770" t="s">
        <v>648</v>
      </c>
      <c r="I2770" t="s">
        <v>649</v>
      </c>
      <c r="J2770" t="s">
        <v>13585</v>
      </c>
    </row>
    <row r="2771" spans="6:10">
      <c r="F2771" t="s">
        <v>13586</v>
      </c>
      <c r="G2771">
        <v>2768</v>
      </c>
      <c r="H2771" t="s">
        <v>3039</v>
      </c>
      <c r="I2771" t="s">
        <v>3040</v>
      </c>
      <c r="J2771" t="s">
        <v>13587</v>
      </c>
    </row>
    <row r="2772" spans="6:10">
      <c r="F2772" t="s">
        <v>13588</v>
      </c>
      <c r="G2772">
        <v>2769</v>
      </c>
      <c r="H2772" t="s">
        <v>298</v>
      </c>
      <c r="I2772" t="s">
        <v>299</v>
      </c>
      <c r="J2772" t="s">
        <v>13589</v>
      </c>
    </row>
    <row r="2773" spans="6:10">
      <c r="F2773" t="s">
        <v>13590</v>
      </c>
      <c r="G2773">
        <v>2770</v>
      </c>
      <c r="H2773" t="s">
        <v>5553</v>
      </c>
      <c r="I2773" t="s">
        <v>5554</v>
      </c>
      <c r="J2773" t="s">
        <v>13591</v>
      </c>
    </row>
    <row r="2774" spans="6:10">
      <c r="F2774" t="s">
        <v>13592</v>
      </c>
      <c r="G2774">
        <v>2771</v>
      </c>
      <c r="H2774" t="s">
        <v>45</v>
      </c>
      <c r="I2774" t="s">
        <v>46</v>
      </c>
      <c r="J2774" t="s">
        <v>13593</v>
      </c>
    </row>
    <row r="2775" spans="6:10">
      <c r="F2775" t="s">
        <v>13594</v>
      </c>
      <c r="G2775">
        <v>2772</v>
      </c>
      <c r="H2775" t="s">
        <v>5751</v>
      </c>
      <c r="I2775" t="s">
        <v>5752</v>
      </c>
      <c r="J2775" t="s">
        <v>13595</v>
      </c>
    </row>
    <row r="2776" spans="6:10">
      <c r="F2776" t="s">
        <v>13596</v>
      </c>
      <c r="G2776">
        <v>2773</v>
      </c>
      <c r="H2776" t="s">
        <v>5583</v>
      </c>
      <c r="I2776" t="s">
        <v>5583</v>
      </c>
      <c r="J2776" t="s">
        <v>13597</v>
      </c>
    </row>
    <row r="2777" spans="6:10">
      <c r="F2777" t="s">
        <v>13598</v>
      </c>
      <c r="G2777">
        <v>2774</v>
      </c>
      <c r="H2777" t="s">
        <v>13599</v>
      </c>
      <c r="I2777" t="s">
        <v>12472</v>
      </c>
      <c r="J2777" t="s">
        <v>13600</v>
      </c>
    </row>
    <row r="2778" spans="6:10">
      <c r="F2778" t="s">
        <v>13601</v>
      </c>
      <c r="G2778">
        <v>2775</v>
      </c>
      <c r="H2778" t="s">
        <v>1840</v>
      </c>
      <c r="I2778" t="s">
        <v>1841</v>
      </c>
      <c r="J2778" t="s">
        <v>13602</v>
      </c>
    </row>
    <row r="2779" spans="6:10">
      <c r="F2779" t="s">
        <v>13603</v>
      </c>
      <c r="G2779">
        <v>2776</v>
      </c>
      <c r="H2779" t="s">
        <v>13604</v>
      </c>
      <c r="I2779" t="s">
        <v>13605</v>
      </c>
      <c r="J2779" t="s">
        <v>13606</v>
      </c>
    </row>
    <row r="2780" spans="6:10">
      <c r="F2780" t="s">
        <v>13607</v>
      </c>
      <c r="G2780">
        <v>2777</v>
      </c>
      <c r="H2780" t="s">
        <v>13608</v>
      </c>
      <c r="I2780" t="s">
        <v>13609</v>
      </c>
      <c r="J2780" t="s">
        <v>13610</v>
      </c>
    </row>
    <row r="2781" spans="6:10">
      <c r="F2781" t="s">
        <v>13611</v>
      </c>
      <c r="G2781">
        <v>2778</v>
      </c>
      <c r="H2781" t="s">
        <v>992</v>
      </c>
      <c r="I2781" t="s">
        <v>993</v>
      </c>
      <c r="J2781" t="s">
        <v>13612</v>
      </c>
    </row>
    <row r="2782" spans="6:10">
      <c r="F2782" t="s">
        <v>13613</v>
      </c>
      <c r="G2782">
        <v>2779</v>
      </c>
      <c r="H2782" t="s">
        <v>4085</v>
      </c>
      <c r="I2782" t="s">
        <v>4086</v>
      </c>
      <c r="J2782" t="s">
        <v>13614</v>
      </c>
    </row>
    <row r="2783" spans="6:10">
      <c r="F2783" t="s">
        <v>13615</v>
      </c>
      <c r="G2783">
        <v>2780</v>
      </c>
      <c r="H2783" t="s">
        <v>4731</v>
      </c>
      <c r="I2783" t="s">
        <v>4732</v>
      </c>
      <c r="J2783" t="s">
        <v>13616</v>
      </c>
    </row>
    <row r="2784" spans="6:10">
      <c r="F2784" t="s">
        <v>13617</v>
      </c>
      <c r="G2784">
        <v>2781</v>
      </c>
      <c r="H2784" t="s">
        <v>13618</v>
      </c>
      <c r="I2784" t="s">
        <v>13619</v>
      </c>
      <c r="J2784" t="s">
        <v>13620</v>
      </c>
    </row>
    <row r="2785" spans="6:10">
      <c r="F2785" t="s">
        <v>13621</v>
      </c>
      <c r="G2785">
        <v>2782</v>
      </c>
      <c r="H2785" t="s">
        <v>634</v>
      </c>
      <c r="I2785" t="s">
        <v>635</v>
      </c>
      <c r="J2785" t="s">
        <v>13622</v>
      </c>
    </row>
    <row r="2786" spans="6:10">
      <c r="F2786" t="s">
        <v>13623</v>
      </c>
      <c r="G2786">
        <v>2783</v>
      </c>
      <c r="H2786" t="s">
        <v>3109</v>
      </c>
      <c r="I2786" t="s">
        <v>3109</v>
      </c>
      <c r="J2786" t="s">
        <v>13624</v>
      </c>
    </row>
    <row r="2787" spans="6:10">
      <c r="F2787" t="s">
        <v>13625</v>
      </c>
      <c r="G2787">
        <v>2784</v>
      </c>
      <c r="H2787" t="s">
        <v>5067</v>
      </c>
      <c r="I2787" t="s">
        <v>5068</v>
      </c>
      <c r="J2787" t="s">
        <v>13626</v>
      </c>
    </row>
    <row r="2788" spans="6:10">
      <c r="F2788" t="s">
        <v>13627</v>
      </c>
      <c r="G2788">
        <v>2785</v>
      </c>
      <c r="H2788" t="s">
        <v>13628</v>
      </c>
      <c r="I2788" t="s">
        <v>13629</v>
      </c>
      <c r="J2788" t="s">
        <v>13630</v>
      </c>
    </row>
    <row r="2789" spans="6:10">
      <c r="F2789" t="s">
        <v>13631</v>
      </c>
      <c r="G2789">
        <v>2786</v>
      </c>
      <c r="H2789" t="s">
        <v>13632</v>
      </c>
      <c r="I2789" t="s">
        <v>13633</v>
      </c>
      <c r="J2789" t="s">
        <v>13634</v>
      </c>
    </row>
    <row r="2790" spans="6:10">
      <c r="F2790" t="s">
        <v>13635</v>
      </c>
      <c r="G2790">
        <v>2787</v>
      </c>
      <c r="H2790" t="s">
        <v>13636</v>
      </c>
      <c r="I2790" t="s">
        <v>13637</v>
      </c>
      <c r="J2790" t="s">
        <v>13638</v>
      </c>
    </row>
    <row r="2791" spans="6:10">
      <c r="F2791" t="s">
        <v>13639</v>
      </c>
      <c r="G2791">
        <v>2788</v>
      </c>
      <c r="H2791" t="s">
        <v>13640</v>
      </c>
      <c r="I2791" t="s">
        <v>13641</v>
      </c>
      <c r="J2791" t="s">
        <v>13642</v>
      </c>
    </row>
    <row r="2792" spans="6:10">
      <c r="F2792" t="s">
        <v>13643</v>
      </c>
      <c r="G2792">
        <v>2789</v>
      </c>
      <c r="H2792" t="s">
        <v>13644</v>
      </c>
      <c r="I2792" t="s">
        <v>13645</v>
      </c>
      <c r="J2792" t="s">
        <v>13646</v>
      </c>
    </row>
    <row r="2793" spans="6:10">
      <c r="F2793" t="s">
        <v>13647</v>
      </c>
      <c r="G2793">
        <v>2790</v>
      </c>
      <c r="H2793" t="s">
        <v>13648</v>
      </c>
      <c r="I2793" t="s">
        <v>13648</v>
      </c>
      <c r="J2793" t="s">
        <v>13649</v>
      </c>
    </row>
    <row r="2794" spans="6:10">
      <c r="F2794" t="s">
        <v>13650</v>
      </c>
      <c r="G2794">
        <v>2791</v>
      </c>
      <c r="H2794" t="s">
        <v>13651</v>
      </c>
      <c r="I2794" t="s">
        <v>13652</v>
      </c>
      <c r="J2794" t="s">
        <v>13653</v>
      </c>
    </row>
    <row r="2795" spans="6:10">
      <c r="F2795" t="s">
        <v>13654</v>
      </c>
      <c r="G2795">
        <v>2792</v>
      </c>
      <c r="H2795" t="s">
        <v>13655</v>
      </c>
      <c r="I2795" t="s">
        <v>13656</v>
      </c>
      <c r="J2795" t="s">
        <v>13657</v>
      </c>
    </row>
    <row r="2796" spans="6:10">
      <c r="F2796" t="s">
        <v>13658</v>
      </c>
      <c r="G2796">
        <v>2793</v>
      </c>
      <c r="H2796" t="s">
        <v>3456</v>
      </c>
      <c r="I2796" t="s">
        <v>3456</v>
      </c>
      <c r="J2796" t="s">
        <v>13659</v>
      </c>
    </row>
    <row r="2797" spans="6:10">
      <c r="F2797" t="s">
        <v>13660</v>
      </c>
      <c r="G2797">
        <v>2794</v>
      </c>
      <c r="H2797" t="s">
        <v>3352</v>
      </c>
      <c r="I2797" t="s">
        <v>3353</v>
      </c>
      <c r="J2797" t="s">
        <v>13661</v>
      </c>
    </row>
    <row r="2798" spans="6:10">
      <c r="F2798" t="s">
        <v>13662</v>
      </c>
      <c r="G2798">
        <v>2795</v>
      </c>
      <c r="H2798" t="s">
        <v>13663</v>
      </c>
      <c r="I2798" t="s">
        <v>13664</v>
      </c>
      <c r="J2798" t="s">
        <v>13665</v>
      </c>
    </row>
    <row r="2799" spans="6:10">
      <c r="F2799" t="s">
        <v>13666</v>
      </c>
      <c r="G2799">
        <v>2796</v>
      </c>
      <c r="H2799" t="s">
        <v>13667</v>
      </c>
      <c r="I2799" t="s">
        <v>13668</v>
      </c>
      <c r="J2799" t="s">
        <v>13669</v>
      </c>
    </row>
    <row r="2800" spans="6:10">
      <c r="F2800" t="s">
        <v>13670</v>
      </c>
      <c r="G2800">
        <v>2797</v>
      </c>
      <c r="H2800" t="s">
        <v>13671</v>
      </c>
      <c r="I2800" t="s">
        <v>13672</v>
      </c>
      <c r="J2800" t="s">
        <v>13673</v>
      </c>
    </row>
    <row r="2801" spans="6:10">
      <c r="F2801" t="s">
        <v>13674</v>
      </c>
      <c r="G2801">
        <v>2798</v>
      </c>
      <c r="H2801" t="s">
        <v>4501</v>
      </c>
      <c r="I2801" t="s">
        <v>4502</v>
      </c>
      <c r="J2801" t="s">
        <v>13675</v>
      </c>
    </row>
    <row r="2802" spans="6:10">
      <c r="F2802" t="s">
        <v>13676</v>
      </c>
      <c r="G2802">
        <v>2799</v>
      </c>
      <c r="H2802" t="s">
        <v>13677</v>
      </c>
      <c r="I2802" t="s">
        <v>13677</v>
      </c>
      <c r="J2802" t="s">
        <v>13678</v>
      </c>
    </row>
    <row r="2803" spans="6:10">
      <c r="F2803" t="s">
        <v>13679</v>
      </c>
      <c r="G2803">
        <v>2800</v>
      </c>
      <c r="H2803" t="s">
        <v>4460</v>
      </c>
      <c r="I2803" t="s">
        <v>4461</v>
      </c>
      <c r="J2803" t="s">
        <v>13680</v>
      </c>
    </row>
    <row r="2804" spans="6:10">
      <c r="F2804" t="s">
        <v>13681</v>
      </c>
      <c r="G2804">
        <v>2801</v>
      </c>
      <c r="H2804" t="s">
        <v>13682</v>
      </c>
      <c r="I2804" t="s">
        <v>13683</v>
      </c>
      <c r="J2804" t="s">
        <v>13684</v>
      </c>
    </row>
    <row r="2805" spans="6:10">
      <c r="F2805" t="s">
        <v>13685</v>
      </c>
      <c r="G2805">
        <v>2802</v>
      </c>
      <c r="H2805" t="s">
        <v>2836</v>
      </c>
      <c r="I2805" t="s">
        <v>493</v>
      </c>
      <c r="J2805" t="s">
        <v>13686</v>
      </c>
    </row>
    <row r="2806" spans="6:10">
      <c r="F2806" t="s">
        <v>13687</v>
      </c>
      <c r="G2806">
        <v>2803</v>
      </c>
      <c r="H2806" t="s">
        <v>3430</v>
      </c>
      <c r="I2806" t="s">
        <v>3431</v>
      </c>
      <c r="J2806" t="s">
        <v>13688</v>
      </c>
    </row>
    <row r="2807" spans="6:10">
      <c r="F2807" t="s">
        <v>13689</v>
      </c>
      <c r="G2807">
        <v>2804</v>
      </c>
      <c r="H2807" t="s">
        <v>13690</v>
      </c>
      <c r="I2807" t="s">
        <v>13691</v>
      </c>
      <c r="J2807" t="s">
        <v>13692</v>
      </c>
    </row>
    <row r="2808" spans="6:10">
      <c r="F2808" t="s">
        <v>13693</v>
      </c>
      <c r="G2808">
        <v>2805</v>
      </c>
      <c r="H2808" t="s">
        <v>6183</v>
      </c>
      <c r="I2808" t="s">
        <v>6189</v>
      </c>
      <c r="J2808" t="s">
        <v>13694</v>
      </c>
    </row>
    <row r="2809" spans="6:10">
      <c r="F2809" t="s">
        <v>13695</v>
      </c>
      <c r="G2809">
        <v>2806</v>
      </c>
      <c r="H2809" t="s">
        <v>6183</v>
      </c>
      <c r="I2809" t="s">
        <v>6190</v>
      </c>
      <c r="J2809" t="s">
        <v>13696</v>
      </c>
    </row>
    <row r="2810" spans="6:10">
      <c r="F2810" t="s">
        <v>13697</v>
      </c>
      <c r="G2810">
        <v>2807</v>
      </c>
      <c r="H2810" t="s">
        <v>13698</v>
      </c>
      <c r="I2810" t="s">
        <v>13699</v>
      </c>
      <c r="J2810" t="s">
        <v>13700</v>
      </c>
    </row>
    <row r="2811" spans="6:10">
      <c r="F2811" t="s">
        <v>13701</v>
      </c>
      <c r="G2811">
        <v>2808</v>
      </c>
      <c r="H2811" t="s">
        <v>3819</v>
      </c>
      <c r="I2811" t="s">
        <v>3820</v>
      </c>
      <c r="J2811" t="s">
        <v>13702</v>
      </c>
    </row>
    <row r="2812" spans="6:10">
      <c r="F2812" t="s">
        <v>13703</v>
      </c>
      <c r="G2812">
        <v>2809</v>
      </c>
      <c r="H2812" t="s">
        <v>1080</v>
      </c>
      <c r="I2812" t="s">
        <v>1081</v>
      </c>
      <c r="J2812" t="s">
        <v>13704</v>
      </c>
    </row>
    <row r="2813" spans="6:10">
      <c r="F2813" t="s">
        <v>13705</v>
      </c>
      <c r="G2813">
        <v>2810</v>
      </c>
      <c r="H2813" t="s">
        <v>13706</v>
      </c>
      <c r="I2813" t="s">
        <v>13707</v>
      </c>
      <c r="J2813" t="s">
        <v>13708</v>
      </c>
    </row>
    <row r="2814" spans="6:10">
      <c r="F2814" t="s">
        <v>13709</v>
      </c>
      <c r="G2814">
        <v>2811</v>
      </c>
      <c r="H2814" t="s">
        <v>13710</v>
      </c>
      <c r="I2814" t="s">
        <v>13711</v>
      </c>
      <c r="J2814" t="s">
        <v>13712</v>
      </c>
    </row>
    <row r="2815" spans="6:10">
      <c r="F2815" t="s">
        <v>13713</v>
      </c>
      <c r="G2815">
        <v>2812</v>
      </c>
      <c r="H2815" t="s">
        <v>1310</v>
      </c>
      <c r="I2815" t="s">
        <v>1311</v>
      </c>
      <c r="J2815" t="s">
        <v>13714</v>
      </c>
    </row>
    <row r="2816" spans="6:10">
      <c r="F2816" t="s">
        <v>13715</v>
      </c>
      <c r="G2816">
        <v>2813</v>
      </c>
      <c r="H2816" t="s">
        <v>4579</v>
      </c>
      <c r="I2816" t="s">
        <v>4580</v>
      </c>
      <c r="J2816" t="s">
        <v>13716</v>
      </c>
    </row>
    <row r="2817" spans="6:10">
      <c r="F2817" t="s">
        <v>13717</v>
      </c>
      <c r="G2817">
        <v>2814</v>
      </c>
      <c r="H2817" t="s">
        <v>6070</v>
      </c>
      <c r="I2817" t="s">
        <v>6071</v>
      </c>
      <c r="J2817" t="s">
        <v>13718</v>
      </c>
    </row>
    <row r="2818" spans="6:10">
      <c r="F2818" t="s">
        <v>13719</v>
      </c>
      <c r="G2818">
        <v>2815</v>
      </c>
      <c r="H2818" t="s">
        <v>2459</v>
      </c>
      <c r="I2818" t="s">
        <v>2460</v>
      </c>
      <c r="J2818" t="s">
        <v>13720</v>
      </c>
    </row>
    <row r="2819" spans="6:10">
      <c r="F2819" t="s">
        <v>13721</v>
      </c>
      <c r="G2819">
        <v>2816</v>
      </c>
      <c r="H2819" t="s">
        <v>2133</v>
      </c>
      <c r="I2819" t="s">
        <v>2133</v>
      </c>
      <c r="J2819" t="s">
        <v>13722</v>
      </c>
    </row>
    <row r="2820" spans="6:10">
      <c r="F2820" t="s">
        <v>13723</v>
      </c>
      <c r="G2820">
        <v>2817</v>
      </c>
      <c r="H2820" t="s">
        <v>165</v>
      </c>
      <c r="I2820" t="s">
        <v>166</v>
      </c>
      <c r="J2820" t="s">
        <v>13724</v>
      </c>
    </row>
    <row r="2821" spans="6:10">
      <c r="F2821" t="s">
        <v>13725</v>
      </c>
      <c r="G2821">
        <v>2818</v>
      </c>
      <c r="H2821" t="s">
        <v>13726</v>
      </c>
      <c r="I2821" t="s">
        <v>13727</v>
      </c>
      <c r="J2821" t="s">
        <v>13728</v>
      </c>
    </row>
    <row r="2822" spans="6:10">
      <c r="F2822" t="s">
        <v>13729</v>
      </c>
      <c r="G2822">
        <v>2819</v>
      </c>
      <c r="H2822" t="s">
        <v>104</v>
      </c>
      <c r="I2822" t="s">
        <v>105</v>
      </c>
      <c r="J2822" t="s">
        <v>13730</v>
      </c>
    </row>
    <row r="2823" spans="6:10">
      <c r="F2823" t="s">
        <v>13731</v>
      </c>
      <c r="G2823">
        <v>2820</v>
      </c>
      <c r="H2823" t="s">
        <v>13732</v>
      </c>
      <c r="I2823" t="s">
        <v>13732</v>
      </c>
      <c r="J2823" t="s">
        <v>13733</v>
      </c>
    </row>
    <row r="2824" spans="6:10">
      <c r="F2824" t="s">
        <v>13734</v>
      </c>
      <c r="G2824">
        <v>2821</v>
      </c>
      <c r="H2824" t="s">
        <v>13735</v>
      </c>
      <c r="I2824" t="s">
        <v>13736</v>
      </c>
      <c r="J2824" t="s">
        <v>13737</v>
      </c>
    </row>
    <row r="2825" spans="6:10">
      <c r="F2825" t="s">
        <v>13738</v>
      </c>
      <c r="G2825">
        <v>2822</v>
      </c>
      <c r="H2825" t="s">
        <v>5097</v>
      </c>
      <c r="I2825" t="s">
        <v>5098</v>
      </c>
      <c r="J2825" t="s">
        <v>13739</v>
      </c>
    </row>
    <row r="2826" spans="6:10">
      <c r="F2826" t="s">
        <v>13740</v>
      </c>
      <c r="G2826">
        <v>2823</v>
      </c>
      <c r="H2826" t="s">
        <v>4127</v>
      </c>
      <c r="I2826" t="s">
        <v>4128</v>
      </c>
      <c r="J2826" t="s">
        <v>13741</v>
      </c>
    </row>
    <row r="2827" spans="6:10">
      <c r="F2827" t="s">
        <v>13742</v>
      </c>
      <c r="G2827">
        <v>2824</v>
      </c>
      <c r="H2827" t="s">
        <v>13743</v>
      </c>
      <c r="I2827" t="s">
        <v>13744</v>
      </c>
      <c r="J2827" t="s">
        <v>13745</v>
      </c>
    </row>
    <row r="2828" spans="6:10">
      <c r="F2828" t="s">
        <v>13746</v>
      </c>
      <c r="G2828">
        <v>2825</v>
      </c>
      <c r="H2828" t="s">
        <v>538</v>
      </c>
      <c r="I2828" t="s">
        <v>539</v>
      </c>
      <c r="J2828" t="s">
        <v>13747</v>
      </c>
    </row>
    <row r="2829" spans="6:10">
      <c r="F2829" t="s">
        <v>13748</v>
      </c>
      <c r="G2829">
        <v>2826</v>
      </c>
      <c r="H2829" t="s">
        <v>3910</v>
      </c>
      <c r="I2829" t="s">
        <v>3911</v>
      </c>
      <c r="J2829" t="s">
        <v>13749</v>
      </c>
    </row>
    <row r="2830" spans="6:10">
      <c r="F2830" t="s">
        <v>13750</v>
      </c>
      <c r="G2830">
        <v>2827</v>
      </c>
      <c r="H2830" t="s">
        <v>2332</v>
      </c>
      <c r="I2830" t="s">
        <v>2333</v>
      </c>
      <c r="J2830" t="s">
        <v>13751</v>
      </c>
    </row>
    <row r="2831" spans="6:10">
      <c r="F2831" t="s">
        <v>13752</v>
      </c>
      <c r="G2831">
        <v>2828</v>
      </c>
      <c r="H2831" t="s">
        <v>13753</v>
      </c>
      <c r="I2831" t="s">
        <v>13754</v>
      </c>
      <c r="J2831" t="s">
        <v>13755</v>
      </c>
    </row>
    <row r="2832" spans="6:10">
      <c r="F2832" t="s">
        <v>13756</v>
      </c>
      <c r="G2832">
        <v>2829</v>
      </c>
      <c r="H2832" t="s">
        <v>13757</v>
      </c>
      <c r="I2832" t="s">
        <v>13758</v>
      </c>
      <c r="J2832" t="s">
        <v>13759</v>
      </c>
    </row>
    <row r="2833" spans="6:10">
      <c r="F2833" t="s">
        <v>13760</v>
      </c>
      <c r="G2833">
        <v>2830</v>
      </c>
      <c r="H2833" t="s">
        <v>13761</v>
      </c>
      <c r="I2833" t="s">
        <v>13762</v>
      </c>
      <c r="J2833" t="s">
        <v>13763</v>
      </c>
    </row>
    <row r="2834" spans="6:10">
      <c r="F2834" t="s">
        <v>13764</v>
      </c>
      <c r="G2834">
        <v>2831</v>
      </c>
      <c r="H2834" t="s">
        <v>13765</v>
      </c>
      <c r="I2834" t="s">
        <v>13766</v>
      </c>
      <c r="J2834" t="s">
        <v>13767</v>
      </c>
    </row>
    <row r="2835" spans="6:10">
      <c r="F2835" t="s">
        <v>13768</v>
      </c>
      <c r="G2835">
        <v>2832</v>
      </c>
      <c r="H2835" t="s">
        <v>13769</v>
      </c>
      <c r="I2835" t="s">
        <v>13770</v>
      </c>
      <c r="J2835" t="s">
        <v>13771</v>
      </c>
    </row>
    <row r="2836" spans="6:10">
      <c r="F2836" t="s">
        <v>13772</v>
      </c>
      <c r="G2836">
        <v>2833</v>
      </c>
      <c r="H2836" t="s">
        <v>13773</v>
      </c>
      <c r="I2836" t="s">
        <v>13774</v>
      </c>
      <c r="J2836" t="s">
        <v>13775</v>
      </c>
    </row>
    <row r="2837" spans="6:10">
      <c r="F2837" t="s">
        <v>13776</v>
      </c>
      <c r="G2837">
        <v>2834</v>
      </c>
      <c r="H2837" t="s">
        <v>2744</v>
      </c>
      <c r="I2837" t="s">
        <v>2755</v>
      </c>
      <c r="J2837" t="s">
        <v>13777</v>
      </c>
    </row>
    <row r="2838" spans="6:10">
      <c r="F2838" t="s">
        <v>13778</v>
      </c>
      <c r="G2838">
        <v>2835</v>
      </c>
      <c r="H2838" t="s">
        <v>13779</v>
      </c>
      <c r="I2838" t="s">
        <v>13780</v>
      </c>
      <c r="J2838" t="s">
        <v>13781</v>
      </c>
    </row>
    <row r="2839" spans="6:10">
      <c r="F2839" t="s">
        <v>13782</v>
      </c>
      <c r="G2839">
        <v>2836</v>
      </c>
      <c r="H2839" t="s">
        <v>13783</v>
      </c>
      <c r="I2839" t="s">
        <v>13784</v>
      </c>
      <c r="J2839" t="s">
        <v>13785</v>
      </c>
    </row>
    <row r="2840" spans="6:10">
      <c r="F2840" t="s">
        <v>13786</v>
      </c>
      <c r="G2840">
        <v>2837</v>
      </c>
      <c r="H2840" t="s">
        <v>13787</v>
      </c>
      <c r="I2840" t="s">
        <v>13788</v>
      </c>
      <c r="J2840" t="s">
        <v>13789</v>
      </c>
    </row>
    <row r="2841" spans="6:10">
      <c r="F2841" t="s">
        <v>13790</v>
      </c>
      <c r="G2841">
        <v>2838</v>
      </c>
      <c r="H2841" t="s">
        <v>13791</v>
      </c>
      <c r="I2841" t="s">
        <v>13792</v>
      </c>
      <c r="J2841" t="s">
        <v>13793</v>
      </c>
    </row>
    <row r="2842" spans="6:10">
      <c r="F2842" t="s">
        <v>13794</v>
      </c>
      <c r="G2842">
        <v>2839</v>
      </c>
      <c r="H2842" t="s">
        <v>13795</v>
      </c>
      <c r="I2842" t="s">
        <v>13796</v>
      </c>
      <c r="J2842" t="s">
        <v>13797</v>
      </c>
    </row>
    <row r="2843" spans="6:10">
      <c r="F2843" t="s">
        <v>13798</v>
      </c>
      <c r="G2843">
        <v>2840</v>
      </c>
      <c r="H2843" t="s">
        <v>13799</v>
      </c>
      <c r="I2843" t="s">
        <v>13800</v>
      </c>
      <c r="J2843" t="s">
        <v>13801</v>
      </c>
    </row>
    <row r="2844" spans="6:10">
      <c r="F2844" t="s">
        <v>13802</v>
      </c>
      <c r="G2844">
        <v>2841</v>
      </c>
      <c r="H2844" t="s">
        <v>13803</v>
      </c>
      <c r="I2844" t="s">
        <v>13804</v>
      </c>
      <c r="J2844" t="s">
        <v>13805</v>
      </c>
    </row>
    <row r="2845" spans="6:10">
      <c r="F2845" t="s">
        <v>13806</v>
      </c>
      <c r="G2845">
        <v>2842</v>
      </c>
      <c r="H2845" t="s">
        <v>2166</v>
      </c>
      <c r="I2845" t="s">
        <v>2167</v>
      </c>
      <c r="J2845" t="s">
        <v>13807</v>
      </c>
    </row>
    <row r="2846" spans="6:10">
      <c r="F2846" t="s">
        <v>13808</v>
      </c>
      <c r="G2846">
        <v>2843</v>
      </c>
      <c r="H2846" t="s">
        <v>13809</v>
      </c>
      <c r="I2846" t="s">
        <v>13809</v>
      </c>
      <c r="J2846" t="s">
        <v>13810</v>
      </c>
    </row>
    <row r="2847" spans="6:10">
      <c r="F2847" t="s">
        <v>13811</v>
      </c>
      <c r="G2847">
        <v>2844</v>
      </c>
      <c r="H2847" t="s">
        <v>13812</v>
      </c>
      <c r="I2847" t="s">
        <v>13813</v>
      </c>
      <c r="J2847" t="s">
        <v>13814</v>
      </c>
    </row>
    <row r="2848" spans="6:10">
      <c r="F2848" t="s">
        <v>13815</v>
      </c>
      <c r="G2848">
        <v>2845</v>
      </c>
      <c r="H2848" t="s">
        <v>13816</v>
      </c>
      <c r="I2848" t="s">
        <v>13817</v>
      </c>
      <c r="J2848" t="s">
        <v>13818</v>
      </c>
    </row>
    <row r="2849" spans="6:10">
      <c r="F2849" t="s">
        <v>13819</v>
      </c>
      <c r="G2849">
        <v>2846</v>
      </c>
      <c r="H2849" t="s">
        <v>2202</v>
      </c>
      <c r="I2849" t="s">
        <v>2202</v>
      </c>
      <c r="J2849" t="s">
        <v>13820</v>
      </c>
    </row>
    <row r="2850" spans="6:10">
      <c r="F2850" t="s">
        <v>13821</v>
      </c>
      <c r="G2850">
        <v>2847</v>
      </c>
      <c r="H2850" t="s">
        <v>5919</v>
      </c>
      <c r="I2850" t="s">
        <v>5920</v>
      </c>
      <c r="J2850" t="s">
        <v>13822</v>
      </c>
    </row>
    <row r="2851" spans="6:10">
      <c r="F2851" t="s">
        <v>13823</v>
      </c>
      <c r="G2851">
        <v>2848</v>
      </c>
      <c r="H2851" t="s">
        <v>1616</v>
      </c>
      <c r="I2851" t="s">
        <v>1616</v>
      </c>
      <c r="J2851" t="s">
        <v>13824</v>
      </c>
    </row>
    <row r="2852" spans="6:10">
      <c r="F2852" t="s">
        <v>13825</v>
      </c>
      <c r="G2852">
        <v>2849</v>
      </c>
      <c r="H2852" t="s">
        <v>13826</v>
      </c>
      <c r="I2852" t="s">
        <v>13827</v>
      </c>
      <c r="J2852" t="s">
        <v>13828</v>
      </c>
    </row>
    <row r="2853" spans="6:10">
      <c r="F2853" t="s">
        <v>13829</v>
      </c>
      <c r="G2853">
        <v>2850</v>
      </c>
      <c r="H2853" t="s">
        <v>6018</v>
      </c>
      <c r="I2853" t="s">
        <v>6019</v>
      </c>
      <c r="J2853" t="s">
        <v>13830</v>
      </c>
    </row>
    <row r="2854" spans="6:10">
      <c r="F2854" t="s">
        <v>13831</v>
      </c>
      <c r="G2854">
        <v>2851</v>
      </c>
      <c r="H2854" t="s">
        <v>5465</v>
      </c>
      <c r="I2854" t="s">
        <v>5466</v>
      </c>
      <c r="J2854" t="s">
        <v>13832</v>
      </c>
    </row>
    <row r="2855" spans="6:10">
      <c r="F2855" t="s">
        <v>13833</v>
      </c>
      <c r="G2855">
        <v>2852</v>
      </c>
      <c r="H2855" t="s">
        <v>13834</v>
      </c>
      <c r="I2855" t="s">
        <v>13835</v>
      </c>
      <c r="J2855" t="s">
        <v>13836</v>
      </c>
    </row>
    <row r="2856" spans="6:10">
      <c r="F2856" t="s">
        <v>13837</v>
      </c>
      <c r="G2856">
        <v>2853</v>
      </c>
      <c r="H2856" t="s">
        <v>13838</v>
      </c>
      <c r="I2856" t="s">
        <v>13838</v>
      </c>
      <c r="J2856" t="s">
        <v>13839</v>
      </c>
    </row>
    <row r="2857" spans="6:10">
      <c r="F2857" t="s">
        <v>13840</v>
      </c>
      <c r="G2857">
        <v>2854</v>
      </c>
      <c r="H2857" t="s">
        <v>13841</v>
      </c>
      <c r="I2857" t="s">
        <v>13842</v>
      </c>
      <c r="J2857" t="s">
        <v>13843</v>
      </c>
    </row>
    <row r="2858" spans="6:10">
      <c r="F2858" t="s">
        <v>13844</v>
      </c>
      <c r="G2858">
        <v>2855</v>
      </c>
      <c r="H2858" t="s">
        <v>13845</v>
      </c>
      <c r="I2858" t="s">
        <v>13846</v>
      </c>
      <c r="J2858" t="s">
        <v>13847</v>
      </c>
    </row>
    <row r="2859" spans="6:10">
      <c r="F2859" t="s">
        <v>13848</v>
      </c>
      <c r="G2859">
        <v>2856</v>
      </c>
      <c r="H2859" t="s">
        <v>2308</v>
      </c>
      <c r="I2859" t="s">
        <v>2309</v>
      </c>
      <c r="J2859" t="s">
        <v>13849</v>
      </c>
    </row>
    <row r="2860" spans="6:10">
      <c r="F2860" t="s">
        <v>13850</v>
      </c>
      <c r="G2860">
        <v>2857</v>
      </c>
      <c r="H2860" t="s">
        <v>13851</v>
      </c>
      <c r="I2860" t="s">
        <v>13852</v>
      </c>
      <c r="J2860" t="s">
        <v>13853</v>
      </c>
    </row>
    <row r="2861" spans="6:10">
      <c r="F2861" t="s">
        <v>13854</v>
      </c>
      <c r="G2861">
        <v>2858</v>
      </c>
      <c r="H2861" t="s">
        <v>1636</v>
      </c>
      <c r="I2861" t="s">
        <v>1641</v>
      </c>
      <c r="J2861" t="s">
        <v>13855</v>
      </c>
    </row>
    <row r="2862" spans="6:10">
      <c r="F2862" t="s">
        <v>13856</v>
      </c>
      <c r="G2862">
        <v>2859</v>
      </c>
      <c r="H2862" t="s">
        <v>13857</v>
      </c>
      <c r="I2862" t="s">
        <v>13858</v>
      </c>
      <c r="J2862" t="s">
        <v>13859</v>
      </c>
    </row>
    <row r="2863" spans="6:10">
      <c r="F2863" t="s">
        <v>13860</v>
      </c>
      <c r="G2863">
        <v>2860</v>
      </c>
      <c r="H2863" t="s">
        <v>13861</v>
      </c>
      <c r="I2863" t="s">
        <v>13862</v>
      </c>
      <c r="J2863" t="s">
        <v>13863</v>
      </c>
    </row>
    <row r="2864" spans="6:10">
      <c r="F2864" t="s">
        <v>13864</v>
      </c>
      <c r="G2864">
        <v>2861</v>
      </c>
      <c r="H2864" t="s">
        <v>13865</v>
      </c>
      <c r="I2864" t="s">
        <v>13866</v>
      </c>
      <c r="J2864" t="s">
        <v>13867</v>
      </c>
    </row>
    <row r="2865" spans="6:10">
      <c r="F2865" t="s">
        <v>13868</v>
      </c>
      <c r="G2865">
        <v>2862</v>
      </c>
      <c r="H2865" t="s">
        <v>13869</v>
      </c>
      <c r="I2865" t="s">
        <v>13870</v>
      </c>
      <c r="J2865" t="s">
        <v>13871</v>
      </c>
    </row>
    <row r="2866" spans="6:10">
      <c r="F2866" t="s">
        <v>13872</v>
      </c>
      <c r="G2866">
        <v>2863</v>
      </c>
      <c r="H2866" t="s">
        <v>2076</v>
      </c>
      <c r="I2866" t="s">
        <v>2076</v>
      </c>
      <c r="J2866" t="s">
        <v>13873</v>
      </c>
    </row>
    <row r="2867" spans="6:10">
      <c r="F2867" t="s">
        <v>13874</v>
      </c>
      <c r="G2867">
        <v>2864</v>
      </c>
      <c r="H2867" t="s">
        <v>13875</v>
      </c>
      <c r="I2867" t="s">
        <v>13876</v>
      </c>
      <c r="J2867" t="s">
        <v>13877</v>
      </c>
    </row>
    <row r="2868" spans="6:10">
      <c r="F2868" t="s">
        <v>13878</v>
      </c>
      <c r="G2868">
        <v>2865</v>
      </c>
      <c r="H2868" t="s">
        <v>13879</v>
      </c>
      <c r="I2868" t="s">
        <v>13880</v>
      </c>
      <c r="J2868" t="s">
        <v>13881</v>
      </c>
    </row>
    <row r="2869" spans="6:10">
      <c r="F2869" t="s">
        <v>13882</v>
      </c>
      <c r="G2869">
        <v>2866</v>
      </c>
      <c r="H2869" t="s">
        <v>13883</v>
      </c>
      <c r="I2869" t="s">
        <v>13884</v>
      </c>
      <c r="J2869" t="s">
        <v>13885</v>
      </c>
    </row>
    <row r="2870" spans="6:10">
      <c r="F2870" t="s">
        <v>13886</v>
      </c>
      <c r="G2870">
        <v>2867</v>
      </c>
      <c r="H2870" t="s">
        <v>13887</v>
      </c>
      <c r="I2870" t="s">
        <v>13888</v>
      </c>
      <c r="J2870" t="s">
        <v>13889</v>
      </c>
    </row>
    <row r="2871" spans="6:10">
      <c r="F2871" t="s">
        <v>13890</v>
      </c>
      <c r="G2871">
        <v>2868</v>
      </c>
      <c r="H2871" t="s">
        <v>13891</v>
      </c>
      <c r="I2871" t="s">
        <v>13892</v>
      </c>
      <c r="J2871" t="s">
        <v>13893</v>
      </c>
    </row>
    <row r="2872" spans="6:10">
      <c r="F2872" t="s">
        <v>13894</v>
      </c>
      <c r="G2872">
        <v>2869</v>
      </c>
      <c r="H2872" t="s">
        <v>13895</v>
      </c>
      <c r="I2872" t="s">
        <v>13896</v>
      </c>
      <c r="J2872" t="s">
        <v>13897</v>
      </c>
    </row>
    <row r="2873" spans="6:10">
      <c r="F2873" t="s">
        <v>13898</v>
      </c>
      <c r="G2873">
        <v>2870</v>
      </c>
      <c r="H2873" t="s">
        <v>13899</v>
      </c>
      <c r="I2873" t="s">
        <v>13900</v>
      </c>
      <c r="J2873" t="s">
        <v>13901</v>
      </c>
    </row>
    <row r="2874" spans="6:10">
      <c r="F2874" t="s">
        <v>13902</v>
      </c>
      <c r="G2874">
        <v>2871</v>
      </c>
      <c r="H2874" t="s">
        <v>13903</v>
      </c>
      <c r="I2874" t="s">
        <v>13904</v>
      </c>
      <c r="J2874" t="s">
        <v>13905</v>
      </c>
    </row>
    <row r="2875" spans="6:10">
      <c r="F2875" t="s">
        <v>13906</v>
      </c>
      <c r="G2875">
        <v>2872</v>
      </c>
      <c r="H2875" t="s">
        <v>13907</v>
      </c>
      <c r="I2875" t="s">
        <v>13908</v>
      </c>
      <c r="J2875" t="s">
        <v>13909</v>
      </c>
    </row>
    <row r="2876" spans="6:10">
      <c r="F2876" t="s">
        <v>13910</v>
      </c>
      <c r="G2876">
        <v>2873</v>
      </c>
      <c r="H2876" t="s">
        <v>13911</v>
      </c>
      <c r="I2876" t="s">
        <v>13912</v>
      </c>
      <c r="J2876" t="s">
        <v>13913</v>
      </c>
    </row>
    <row r="2877" spans="6:10">
      <c r="F2877" t="s">
        <v>13914</v>
      </c>
      <c r="G2877">
        <v>2874</v>
      </c>
      <c r="H2877" t="s">
        <v>3049</v>
      </c>
      <c r="I2877" t="s">
        <v>3050</v>
      </c>
      <c r="J2877" t="s">
        <v>13915</v>
      </c>
    </row>
    <row r="2878" spans="6:10">
      <c r="F2878" t="s">
        <v>13916</v>
      </c>
      <c r="G2878">
        <v>2875</v>
      </c>
      <c r="H2878" t="s">
        <v>2019</v>
      </c>
      <c r="I2878" t="s">
        <v>2020</v>
      </c>
      <c r="J2878" t="s">
        <v>13917</v>
      </c>
    </row>
    <row r="2879" spans="6:10">
      <c r="F2879" t="s">
        <v>13918</v>
      </c>
      <c r="G2879">
        <v>2876</v>
      </c>
      <c r="H2879" t="s">
        <v>13919</v>
      </c>
      <c r="I2879" t="s">
        <v>13920</v>
      </c>
      <c r="J2879" t="s">
        <v>13921</v>
      </c>
    </row>
    <row r="2880" spans="6:10">
      <c r="F2880" t="s">
        <v>13922</v>
      </c>
      <c r="G2880">
        <v>2877</v>
      </c>
      <c r="H2880" t="s">
        <v>13923</v>
      </c>
      <c r="I2880" t="s">
        <v>13924</v>
      </c>
      <c r="J2880" t="s">
        <v>13925</v>
      </c>
    </row>
    <row r="2881" spans="6:10">
      <c r="F2881" t="s">
        <v>13926</v>
      </c>
      <c r="G2881">
        <v>2878</v>
      </c>
      <c r="H2881" t="s">
        <v>13927</v>
      </c>
      <c r="I2881" t="s">
        <v>13928</v>
      </c>
      <c r="J2881" t="s">
        <v>13929</v>
      </c>
    </row>
    <row r="2882" spans="6:10">
      <c r="F2882" t="s">
        <v>13930</v>
      </c>
      <c r="G2882">
        <v>2879</v>
      </c>
      <c r="H2882" t="s">
        <v>13931</v>
      </c>
      <c r="I2882" t="s">
        <v>13932</v>
      </c>
      <c r="J2882" t="s">
        <v>13933</v>
      </c>
    </row>
    <row r="2883" spans="6:10">
      <c r="F2883" t="s">
        <v>13934</v>
      </c>
      <c r="G2883">
        <v>2880</v>
      </c>
      <c r="H2883" t="s">
        <v>13935</v>
      </c>
      <c r="I2883" t="s">
        <v>13936</v>
      </c>
      <c r="J2883" t="s">
        <v>13937</v>
      </c>
    </row>
    <row r="2884" spans="6:10">
      <c r="F2884" t="s">
        <v>13938</v>
      </c>
      <c r="G2884">
        <v>2881</v>
      </c>
      <c r="H2884" t="s">
        <v>13939</v>
      </c>
      <c r="I2884" t="s">
        <v>13940</v>
      </c>
      <c r="J2884" t="s">
        <v>13941</v>
      </c>
    </row>
    <row r="2885" spans="6:10">
      <c r="F2885" t="s">
        <v>13942</v>
      </c>
      <c r="G2885">
        <v>2882</v>
      </c>
      <c r="H2885" t="s">
        <v>13943</v>
      </c>
      <c r="I2885" t="s">
        <v>13944</v>
      </c>
      <c r="J2885" t="s">
        <v>13945</v>
      </c>
    </row>
    <row r="2886" spans="6:10">
      <c r="F2886" t="s">
        <v>13946</v>
      </c>
      <c r="G2886">
        <v>2883</v>
      </c>
      <c r="H2886" t="s">
        <v>1266</v>
      </c>
      <c r="I2886" t="s">
        <v>1267</v>
      </c>
      <c r="J2886" t="s">
        <v>13947</v>
      </c>
    </row>
    <row r="2887" spans="6:10">
      <c r="F2887" t="s">
        <v>13948</v>
      </c>
      <c r="G2887">
        <v>2884</v>
      </c>
      <c r="H2887" t="s">
        <v>13949</v>
      </c>
      <c r="I2887" t="s">
        <v>13949</v>
      </c>
      <c r="J2887" t="s">
        <v>13950</v>
      </c>
    </row>
    <row r="2888" spans="6:10">
      <c r="F2888" t="s">
        <v>13951</v>
      </c>
      <c r="G2888">
        <v>2885</v>
      </c>
      <c r="H2888" t="s">
        <v>4646</v>
      </c>
      <c r="I2888" t="s">
        <v>4647</v>
      </c>
      <c r="J2888" t="s">
        <v>13952</v>
      </c>
    </row>
    <row r="2889" spans="6:10">
      <c r="F2889" t="s">
        <v>13953</v>
      </c>
      <c r="G2889">
        <v>2886</v>
      </c>
      <c r="H2889" t="s">
        <v>342</v>
      </c>
      <c r="I2889" t="s">
        <v>343</v>
      </c>
      <c r="J2889" t="s">
        <v>13954</v>
      </c>
    </row>
    <row r="2890" spans="6:10">
      <c r="F2890" t="s">
        <v>13955</v>
      </c>
      <c r="G2890">
        <v>2887</v>
      </c>
      <c r="H2890" t="s">
        <v>2506</v>
      </c>
      <c r="I2890" t="s">
        <v>2507</v>
      </c>
      <c r="J2890" t="s">
        <v>13956</v>
      </c>
    </row>
    <row r="2891" spans="6:10">
      <c r="F2891" t="s">
        <v>13957</v>
      </c>
      <c r="G2891">
        <v>2888</v>
      </c>
      <c r="H2891" t="s">
        <v>13958</v>
      </c>
      <c r="I2891" t="s">
        <v>13959</v>
      </c>
      <c r="J2891" t="s">
        <v>13960</v>
      </c>
    </row>
    <row r="2892" spans="6:10">
      <c r="F2892" t="s">
        <v>13961</v>
      </c>
      <c r="G2892">
        <v>2889</v>
      </c>
      <c r="H2892" t="s">
        <v>13962</v>
      </c>
      <c r="I2892" t="s">
        <v>13963</v>
      </c>
      <c r="J2892" t="s">
        <v>13964</v>
      </c>
    </row>
    <row r="2893" spans="6:10">
      <c r="F2893" t="s">
        <v>13965</v>
      </c>
      <c r="G2893">
        <v>2890</v>
      </c>
      <c r="H2893" t="s">
        <v>13966</v>
      </c>
      <c r="I2893" t="s">
        <v>13967</v>
      </c>
      <c r="J2893" t="s">
        <v>13968</v>
      </c>
    </row>
    <row r="2894" spans="6:10">
      <c r="F2894" t="s">
        <v>13969</v>
      </c>
      <c r="G2894">
        <v>2891</v>
      </c>
      <c r="H2894" t="s">
        <v>13970</v>
      </c>
      <c r="I2894" t="s">
        <v>13971</v>
      </c>
      <c r="J2894" t="s">
        <v>13972</v>
      </c>
    </row>
    <row r="2895" spans="6:10">
      <c r="F2895" t="s">
        <v>13973</v>
      </c>
      <c r="G2895">
        <v>2892</v>
      </c>
      <c r="H2895" t="s">
        <v>2162</v>
      </c>
      <c r="I2895" t="s">
        <v>2163</v>
      </c>
      <c r="J2895" t="s">
        <v>13974</v>
      </c>
    </row>
    <row r="2896" spans="6:10">
      <c r="F2896" t="s">
        <v>13975</v>
      </c>
      <c r="G2896">
        <v>2893</v>
      </c>
      <c r="H2896" t="s">
        <v>13976</v>
      </c>
      <c r="I2896" t="s">
        <v>13977</v>
      </c>
      <c r="J2896" t="s">
        <v>13978</v>
      </c>
    </row>
    <row r="2897" spans="6:10">
      <c r="F2897" t="s">
        <v>13979</v>
      </c>
      <c r="G2897">
        <v>2894</v>
      </c>
      <c r="H2897" t="s">
        <v>13980</v>
      </c>
      <c r="I2897" t="s">
        <v>13981</v>
      </c>
      <c r="J2897" t="s">
        <v>13982</v>
      </c>
    </row>
    <row r="2898" spans="6:10">
      <c r="F2898" t="s">
        <v>13983</v>
      </c>
      <c r="G2898">
        <v>2895</v>
      </c>
      <c r="H2898" t="s">
        <v>13984</v>
      </c>
      <c r="I2898" t="s">
        <v>13985</v>
      </c>
      <c r="J2898" t="s">
        <v>13986</v>
      </c>
    </row>
    <row r="2899" spans="6:10">
      <c r="F2899" t="s">
        <v>13987</v>
      </c>
      <c r="G2899">
        <v>2896</v>
      </c>
      <c r="H2899" t="s">
        <v>13988</v>
      </c>
      <c r="I2899" t="s">
        <v>13989</v>
      </c>
      <c r="J2899" t="s">
        <v>13990</v>
      </c>
    </row>
    <row r="2900" spans="6:10">
      <c r="F2900" t="s">
        <v>13991</v>
      </c>
      <c r="G2900">
        <v>2897</v>
      </c>
      <c r="H2900" t="s">
        <v>13267</v>
      </c>
      <c r="I2900" t="s">
        <v>13267</v>
      </c>
      <c r="J2900" t="s">
        <v>13992</v>
      </c>
    </row>
    <row r="2901" spans="6:10">
      <c r="F2901" t="s">
        <v>13993</v>
      </c>
      <c r="G2901">
        <v>2898</v>
      </c>
      <c r="H2901" t="s">
        <v>1137</v>
      </c>
      <c r="I2901" t="s">
        <v>1137</v>
      </c>
      <c r="J2901" t="s">
        <v>13994</v>
      </c>
    </row>
    <row r="2902" spans="6:10">
      <c r="F2902" t="s">
        <v>13995</v>
      </c>
      <c r="G2902">
        <v>2899</v>
      </c>
      <c r="H2902" t="s">
        <v>13996</v>
      </c>
      <c r="I2902" t="s">
        <v>13997</v>
      </c>
      <c r="J2902" t="s">
        <v>13998</v>
      </c>
    </row>
    <row r="2903" spans="6:10">
      <c r="F2903" t="s">
        <v>13999</v>
      </c>
      <c r="G2903">
        <v>2900</v>
      </c>
      <c r="H2903" t="s">
        <v>2134</v>
      </c>
      <c r="I2903" t="s">
        <v>2135</v>
      </c>
      <c r="J2903" t="s">
        <v>14000</v>
      </c>
    </row>
    <row r="2904" spans="6:10">
      <c r="F2904" t="s">
        <v>14001</v>
      </c>
      <c r="G2904">
        <v>2901</v>
      </c>
      <c r="H2904" t="s">
        <v>41</v>
      </c>
      <c r="I2904" t="s">
        <v>42</v>
      </c>
      <c r="J2904" t="s">
        <v>14002</v>
      </c>
    </row>
    <row r="2905" spans="6:10">
      <c r="F2905" t="s">
        <v>14003</v>
      </c>
      <c r="G2905">
        <v>2902</v>
      </c>
      <c r="H2905" t="s">
        <v>5278</v>
      </c>
      <c r="I2905" t="s">
        <v>5278</v>
      </c>
      <c r="J2905" t="s">
        <v>14004</v>
      </c>
    </row>
    <row r="2906" spans="6:10">
      <c r="F2906" t="s">
        <v>14005</v>
      </c>
      <c r="G2906">
        <v>2903</v>
      </c>
      <c r="H2906" t="s">
        <v>2979</v>
      </c>
      <c r="I2906" t="s">
        <v>2980</v>
      </c>
      <c r="J2906" t="s">
        <v>14006</v>
      </c>
    </row>
    <row r="2907" spans="6:10">
      <c r="F2907" t="s">
        <v>14007</v>
      </c>
      <c r="G2907">
        <v>2904</v>
      </c>
      <c r="H2907" t="s">
        <v>3155</v>
      </c>
      <c r="I2907" t="s">
        <v>2135</v>
      </c>
      <c r="J2907" t="s">
        <v>14008</v>
      </c>
    </row>
    <row r="2908" spans="6:10">
      <c r="F2908" t="s">
        <v>14009</v>
      </c>
      <c r="G2908">
        <v>2905</v>
      </c>
      <c r="H2908" t="s">
        <v>765</v>
      </c>
      <c r="I2908" t="s">
        <v>766</v>
      </c>
      <c r="J2908" t="s">
        <v>14010</v>
      </c>
    </row>
    <row r="2909" spans="6:10">
      <c r="F2909" t="s">
        <v>14011</v>
      </c>
      <c r="G2909">
        <v>2906</v>
      </c>
      <c r="H2909" t="s">
        <v>14012</v>
      </c>
      <c r="I2909" t="s">
        <v>14013</v>
      </c>
      <c r="J2909" t="s">
        <v>14014</v>
      </c>
    </row>
    <row r="2910" spans="6:10">
      <c r="F2910" t="s">
        <v>14015</v>
      </c>
      <c r="G2910">
        <v>2907</v>
      </c>
      <c r="H2910" t="s">
        <v>14016</v>
      </c>
      <c r="I2910" t="s">
        <v>14017</v>
      </c>
      <c r="J2910" t="s">
        <v>14018</v>
      </c>
    </row>
    <row r="2911" spans="6:10">
      <c r="F2911" t="s">
        <v>14019</v>
      </c>
      <c r="G2911">
        <v>2908</v>
      </c>
      <c r="H2911" t="s">
        <v>14020</v>
      </c>
      <c r="I2911" t="s">
        <v>14021</v>
      </c>
      <c r="J2911" t="s">
        <v>14022</v>
      </c>
    </row>
    <row r="2912" spans="6:10">
      <c r="F2912" t="s">
        <v>14023</v>
      </c>
      <c r="G2912">
        <v>2909</v>
      </c>
      <c r="H2912" t="s">
        <v>14024</v>
      </c>
      <c r="I2912" t="s">
        <v>14025</v>
      </c>
      <c r="J2912" t="s">
        <v>14026</v>
      </c>
    </row>
    <row r="2913" spans="6:10">
      <c r="F2913" t="s">
        <v>14027</v>
      </c>
      <c r="G2913">
        <v>2910</v>
      </c>
      <c r="H2913" t="s">
        <v>14028</v>
      </c>
      <c r="I2913" t="s">
        <v>14029</v>
      </c>
      <c r="J2913" t="s">
        <v>14030</v>
      </c>
    </row>
    <row r="2914" spans="6:10">
      <c r="F2914" t="s">
        <v>14031</v>
      </c>
      <c r="G2914">
        <v>2911</v>
      </c>
      <c r="H2914" t="s">
        <v>14032</v>
      </c>
      <c r="I2914" t="s">
        <v>14033</v>
      </c>
      <c r="J2914" t="s">
        <v>14034</v>
      </c>
    </row>
    <row r="2915" spans="6:10">
      <c r="F2915" t="s">
        <v>14035</v>
      </c>
      <c r="G2915">
        <v>2912</v>
      </c>
      <c r="H2915" t="s">
        <v>14036</v>
      </c>
      <c r="I2915" t="s">
        <v>14037</v>
      </c>
      <c r="J2915" t="s">
        <v>14038</v>
      </c>
    </row>
    <row r="2916" spans="6:10">
      <c r="F2916" t="s">
        <v>14039</v>
      </c>
      <c r="G2916">
        <v>2913</v>
      </c>
      <c r="H2916" t="s">
        <v>1771</v>
      </c>
      <c r="I2916" t="s">
        <v>1772</v>
      </c>
      <c r="J2916" t="s">
        <v>14040</v>
      </c>
    </row>
    <row r="2917" spans="6:10">
      <c r="F2917" t="s">
        <v>14041</v>
      </c>
      <c r="G2917">
        <v>2914</v>
      </c>
      <c r="H2917" t="s">
        <v>14042</v>
      </c>
      <c r="I2917" t="s">
        <v>14043</v>
      </c>
      <c r="J2917" t="s">
        <v>14044</v>
      </c>
    </row>
    <row r="2918" spans="6:10">
      <c r="F2918" t="s">
        <v>14045</v>
      </c>
      <c r="G2918">
        <v>2915</v>
      </c>
      <c r="H2918" t="s">
        <v>622</v>
      </c>
      <c r="I2918" t="s">
        <v>622</v>
      </c>
      <c r="J2918" t="s">
        <v>14046</v>
      </c>
    </row>
    <row r="2919" spans="6:10">
      <c r="F2919" t="s">
        <v>14047</v>
      </c>
      <c r="G2919">
        <v>2916</v>
      </c>
      <c r="H2919" t="s">
        <v>14048</v>
      </c>
      <c r="I2919" t="s">
        <v>14049</v>
      </c>
      <c r="J2919" t="s">
        <v>14050</v>
      </c>
    </row>
    <row r="2920" spans="6:10">
      <c r="F2920" t="s">
        <v>14051</v>
      </c>
      <c r="G2920">
        <v>2917</v>
      </c>
      <c r="H2920" t="s">
        <v>14052</v>
      </c>
      <c r="I2920" t="s">
        <v>14053</v>
      </c>
      <c r="J2920" t="s">
        <v>14054</v>
      </c>
    </row>
    <row r="2921" spans="6:10">
      <c r="F2921" t="s">
        <v>14055</v>
      </c>
      <c r="G2921">
        <v>2918</v>
      </c>
      <c r="H2921" t="s">
        <v>5103</v>
      </c>
      <c r="I2921" t="s">
        <v>5104</v>
      </c>
      <c r="J2921" t="s">
        <v>14056</v>
      </c>
    </row>
    <row r="2922" spans="6:10">
      <c r="F2922" t="s">
        <v>14057</v>
      </c>
      <c r="G2922">
        <v>2919</v>
      </c>
      <c r="H2922" t="s">
        <v>6146</v>
      </c>
      <c r="I2922" t="s">
        <v>6147</v>
      </c>
      <c r="J2922" t="s">
        <v>14058</v>
      </c>
    </row>
    <row r="2923" spans="6:10">
      <c r="F2923" t="s">
        <v>14059</v>
      </c>
      <c r="G2923">
        <v>2920</v>
      </c>
      <c r="H2923" t="s">
        <v>14060</v>
      </c>
      <c r="I2923" t="s">
        <v>14061</v>
      </c>
      <c r="J2923" t="s">
        <v>14062</v>
      </c>
    </row>
    <row r="2924" spans="6:10">
      <c r="F2924" t="s">
        <v>14063</v>
      </c>
      <c r="G2924">
        <v>2921</v>
      </c>
      <c r="H2924" t="s">
        <v>14064</v>
      </c>
      <c r="I2924" t="s">
        <v>14065</v>
      </c>
      <c r="J2924" t="s">
        <v>14066</v>
      </c>
    </row>
    <row r="2925" spans="6:10">
      <c r="F2925" t="s">
        <v>14067</v>
      </c>
      <c r="G2925">
        <v>2922</v>
      </c>
      <c r="H2925" t="s">
        <v>2173</v>
      </c>
      <c r="I2925" t="s">
        <v>2174</v>
      </c>
      <c r="J2925" t="s">
        <v>14068</v>
      </c>
    </row>
    <row r="2926" spans="6:10">
      <c r="F2926" t="s">
        <v>14069</v>
      </c>
      <c r="G2926">
        <v>2923</v>
      </c>
      <c r="H2926" t="s">
        <v>14070</v>
      </c>
      <c r="I2926" t="s">
        <v>14071</v>
      </c>
      <c r="J2926" t="s">
        <v>14072</v>
      </c>
    </row>
    <row r="2927" spans="6:10">
      <c r="F2927" t="s">
        <v>14073</v>
      </c>
      <c r="G2927">
        <v>2924</v>
      </c>
      <c r="H2927" t="s">
        <v>14074</v>
      </c>
      <c r="I2927" t="s">
        <v>14075</v>
      </c>
      <c r="J2927" t="s">
        <v>14076</v>
      </c>
    </row>
    <row r="2928" spans="6:10">
      <c r="F2928" t="s">
        <v>14077</v>
      </c>
      <c r="G2928">
        <v>2925</v>
      </c>
      <c r="H2928" t="s">
        <v>972</v>
      </c>
      <c r="I2928" t="s">
        <v>972</v>
      </c>
      <c r="J2928" t="s">
        <v>14078</v>
      </c>
    </row>
    <row r="2929" spans="6:10">
      <c r="F2929" t="s">
        <v>14079</v>
      </c>
      <c r="G2929">
        <v>2926</v>
      </c>
      <c r="H2929" t="s">
        <v>670</v>
      </c>
      <c r="I2929" t="s">
        <v>671</v>
      </c>
      <c r="J2929" t="s">
        <v>14080</v>
      </c>
    </row>
    <row r="2930" spans="6:10">
      <c r="F2930" t="s">
        <v>14081</v>
      </c>
      <c r="G2930">
        <v>2927</v>
      </c>
      <c r="H2930" t="s">
        <v>2149</v>
      </c>
      <c r="I2930" t="s">
        <v>2151</v>
      </c>
      <c r="J2930" t="s">
        <v>14082</v>
      </c>
    </row>
    <row r="2931" spans="6:10">
      <c r="F2931" t="s">
        <v>14083</v>
      </c>
      <c r="G2931">
        <v>2928</v>
      </c>
      <c r="H2931" t="s">
        <v>2928</v>
      </c>
      <c r="I2931" t="s">
        <v>2928</v>
      </c>
      <c r="J2931" t="s">
        <v>14084</v>
      </c>
    </row>
    <row r="2932" spans="6:10">
      <c r="F2932" t="s">
        <v>14085</v>
      </c>
      <c r="G2932">
        <v>2929</v>
      </c>
      <c r="H2932" t="s">
        <v>11485</v>
      </c>
      <c r="I2932" t="s">
        <v>7006</v>
      </c>
      <c r="J2932" t="s">
        <v>14086</v>
      </c>
    </row>
    <row r="2933" spans="6:10">
      <c r="F2933" t="s">
        <v>14087</v>
      </c>
      <c r="G2933">
        <v>2930</v>
      </c>
      <c r="H2933" t="s">
        <v>4366</v>
      </c>
      <c r="I2933" t="s">
        <v>4367</v>
      </c>
      <c r="J2933" t="s">
        <v>14088</v>
      </c>
    </row>
    <row r="2934" spans="6:10">
      <c r="F2934" t="s">
        <v>14089</v>
      </c>
      <c r="G2934">
        <v>2931</v>
      </c>
      <c r="H2934" t="s">
        <v>14090</v>
      </c>
      <c r="I2934" t="s">
        <v>14091</v>
      </c>
      <c r="J2934" t="s">
        <v>14092</v>
      </c>
    </row>
    <row r="2935" spans="6:10">
      <c r="F2935" t="s">
        <v>14093</v>
      </c>
      <c r="G2935">
        <v>2932</v>
      </c>
      <c r="H2935" t="s">
        <v>14094</v>
      </c>
      <c r="I2935" t="s">
        <v>5278</v>
      </c>
      <c r="J2935" t="s">
        <v>14095</v>
      </c>
    </row>
    <row r="2936" spans="6:10">
      <c r="F2936" t="s">
        <v>14096</v>
      </c>
      <c r="G2936">
        <v>2933</v>
      </c>
      <c r="H2936" t="s">
        <v>3043</v>
      </c>
      <c r="I2936" t="s">
        <v>3044</v>
      </c>
      <c r="J2936" t="s">
        <v>14097</v>
      </c>
    </row>
    <row r="2937" spans="6:10">
      <c r="F2937" t="s">
        <v>14098</v>
      </c>
      <c r="G2937">
        <v>2934</v>
      </c>
      <c r="H2937" t="s">
        <v>14099</v>
      </c>
      <c r="I2937" t="s">
        <v>14100</v>
      </c>
      <c r="J2937" t="s">
        <v>14101</v>
      </c>
    </row>
    <row r="2938" spans="6:10">
      <c r="F2938" t="s">
        <v>14102</v>
      </c>
      <c r="G2938">
        <v>2935</v>
      </c>
      <c r="H2938" t="s">
        <v>3463</v>
      </c>
      <c r="I2938" t="s">
        <v>3464</v>
      </c>
      <c r="J2938" t="s">
        <v>14103</v>
      </c>
    </row>
    <row r="2939" spans="6:10">
      <c r="F2939" t="s">
        <v>14104</v>
      </c>
      <c r="G2939">
        <v>2936</v>
      </c>
      <c r="H2939" t="s">
        <v>13857</v>
      </c>
      <c r="I2939" t="s">
        <v>14105</v>
      </c>
      <c r="J2939" t="s">
        <v>14106</v>
      </c>
    </row>
    <row r="2940" spans="6:10">
      <c r="F2940" t="s">
        <v>14107</v>
      </c>
      <c r="G2940">
        <v>2937</v>
      </c>
      <c r="H2940" t="s">
        <v>5731</v>
      </c>
      <c r="I2940" t="s">
        <v>5732</v>
      </c>
      <c r="J2940" t="s">
        <v>14108</v>
      </c>
    </row>
    <row r="2941" spans="6:10">
      <c r="F2941" t="s">
        <v>14109</v>
      </c>
      <c r="G2941">
        <v>2938</v>
      </c>
      <c r="H2941" t="s">
        <v>4469</v>
      </c>
      <c r="I2941" t="s">
        <v>4470</v>
      </c>
      <c r="J2941" t="s">
        <v>14110</v>
      </c>
    </row>
    <row r="2942" spans="6:10">
      <c r="F2942" t="s">
        <v>14111</v>
      </c>
      <c r="G2942">
        <v>2939</v>
      </c>
      <c r="H2942" t="s">
        <v>3599</v>
      </c>
      <c r="I2942" t="s">
        <v>3600</v>
      </c>
      <c r="J2942" t="s">
        <v>14112</v>
      </c>
    </row>
    <row r="2943" spans="6:10">
      <c r="F2943" t="s">
        <v>14113</v>
      </c>
      <c r="G2943">
        <v>2940</v>
      </c>
      <c r="H2943" t="s">
        <v>3245</v>
      </c>
      <c r="I2943" t="s">
        <v>3245</v>
      </c>
      <c r="J2943" t="s">
        <v>14114</v>
      </c>
    </row>
    <row r="2944" spans="6:10">
      <c r="F2944" t="s">
        <v>14115</v>
      </c>
      <c r="G2944">
        <v>2941</v>
      </c>
      <c r="H2944" t="s">
        <v>6088</v>
      </c>
      <c r="I2944" t="s">
        <v>4134</v>
      </c>
      <c r="J2944" t="s">
        <v>14116</v>
      </c>
    </row>
    <row r="2945" spans="6:10">
      <c r="F2945" t="s">
        <v>14117</v>
      </c>
      <c r="G2945">
        <v>2942</v>
      </c>
      <c r="H2945" t="s">
        <v>4358</v>
      </c>
      <c r="I2945" t="s">
        <v>4359</v>
      </c>
      <c r="J2945" t="s">
        <v>14118</v>
      </c>
    </row>
    <row r="2946" spans="6:10">
      <c r="F2946" t="s">
        <v>14119</v>
      </c>
      <c r="G2946">
        <v>2943</v>
      </c>
      <c r="H2946" t="s">
        <v>2025</v>
      </c>
      <c r="I2946" t="s">
        <v>2026</v>
      </c>
      <c r="J2946" t="s">
        <v>14120</v>
      </c>
    </row>
    <row r="2947" spans="6:10">
      <c r="F2947" t="s">
        <v>14121</v>
      </c>
      <c r="G2947">
        <v>2944</v>
      </c>
      <c r="H2947" t="s">
        <v>14122</v>
      </c>
      <c r="I2947" t="s">
        <v>14123</v>
      </c>
      <c r="J2947" t="s">
        <v>14124</v>
      </c>
    </row>
    <row r="2948" spans="6:10">
      <c r="F2948" t="s">
        <v>14125</v>
      </c>
      <c r="G2948">
        <v>2945</v>
      </c>
      <c r="H2948" t="s">
        <v>3627</v>
      </c>
      <c r="I2948" t="s">
        <v>3627</v>
      </c>
      <c r="J2948" t="s">
        <v>14126</v>
      </c>
    </row>
    <row r="2949" spans="6:10">
      <c r="F2949" t="s">
        <v>14127</v>
      </c>
      <c r="G2949">
        <v>2946</v>
      </c>
      <c r="H2949" t="s">
        <v>3650</v>
      </c>
      <c r="I2949" t="s">
        <v>3651</v>
      </c>
      <c r="J2949" t="s">
        <v>14128</v>
      </c>
    </row>
    <row r="2950" spans="6:10">
      <c r="F2950" t="s">
        <v>14129</v>
      </c>
      <c r="G2950">
        <v>2947</v>
      </c>
      <c r="H2950" t="s">
        <v>3605</v>
      </c>
      <c r="I2950" t="s">
        <v>14130</v>
      </c>
      <c r="J2950" t="s">
        <v>14131</v>
      </c>
    </row>
    <row r="2951" spans="6:10">
      <c r="F2951" t="s">
        <v>14132</v>
      </c>
      <c r="G2951">
        <v>2948</v>
      </c>
      <c r="H2951" t="s">
        <v>14133</v>
      </c>
      <c r="I2951" t="s">
        <v>14133</v>
      </c>
      <c r="J2951" t="s">
        <v>14134</v>
      </c>
    </row>
    <row r="2952" spans="6:10">
      <c r="F2952" t="s">
        <v>14135</v>
      </c>
      <c r="G2952">
        <v>2949</v>
      </c>
      <c r="H2952" t="s">
        <v>4786</v>
      </c>
      <c r="I2952" t="s">
        <v>4787</v>
      </c>
      <c r="J2952" t="s">
        <v>14136</v>
      </c>
    </row>
    <row r="2953" spans="6:10">
      <c r="F2953" t="s">
        <v>14137</v>
      </c>
      <c r="G2953">
        <v>2950</v>
      </c>
      <c r="H2953" t="s">
        <v>14138</v>
      </c>
      <c r="I2953" t="s">
        <v>14139</v>
      </c>
      <c r="J2953" t="s">
        <v>14140</v>
      </c>
    </row>
    <row r="2954" spans="6:10">
      <c r="F2954" t="s">
        <v>14141</v>
      </c>
      <c r="G2954">
        <v>2951</v>
      </c>
      <c r="H2954" t="s">
        <v>14142</v>
      </c>
      <c r="I2954" t="s">
        <v>14143</v>
      </c>
      <c r="J2954" t="s">
        <v>14144</v>
      </c>
    </row>
    <row r="2955" spans="6:10">
      <c r="F2955" t="s">
        <v>14145</v>
      </c>
      <c r="G2955">
        <v>2952</v>
      </c>
      <c r="H2955" t="s">
        <v>14146</v>
      </c>
      <c r="I2955" t="s">
        <v>14147</v>
      </c>
      <c r="J2955" t="s">
        <v>14148</v>
      </c>
    </row>
    <row r="2956" spans="6:10">
      <c r="F2956" t="s">
        <v>14149</v>
      </c>
      <c r="G2956">
        <v>2953</v>
      </c>
      <c r="H2956" t="s">
        <v>14150</v>
      </c>
      <c r="I2956" t="s">
        <v>14151</v>
      </c>
      <c r="J2956" t="s">
        <v>14152</v>
      </c>
    </row>
    <row r="2957" spans="6:10">
      <c r="F2957" t="s">
        <v>14153</v>
      </c>
      <c r="G2957">
        <v>2954</v>
      </c>
      <c r="H2957" t="s">
        <v>892</v>
      </c>
      <c r="I2957" t="s">
        <v>892</v>
      </c>
      <c r="J2957" t="s">
        <v>14154</v>
      </c>
    </row>
    <row r="2958" spans="6:10">
      <c r="F2958" t="s">
        <v>14155</v>
      </c>
      <c r="G2958">
        <v>2955</v>
      </c>
      <c r="H2958" t="s">
        <v>5199</v>
      </c>
      <c r="I2958" t="s">
        <v>5200</v>
      </c>
      <c r="J2958" t="s">
        <v>14156</v>
      </c>
    </row>
    <row r="2959" spans="6:10">
      <c r="F2959" t="s">
        <v>14157</v>
      </c>
      <c r="G2959">
        <v>2956</v>
      </c>
      <c r="H2959" t="s">
        <v>5233</v>
      </c>
      <c r="I2959" t="s">
        <v>5234</v>
      </c>
      <c r="J2959" t="s">
        <v>14158</v>
      </c>
    </row>
    <row r="2960" spans="6:10">
      <c r="F2960" t="s">
        <v>14159</v>
      </c>
      <c r="G2960">
        <v>2957</v>
      </c>
      <c r="H2960" t="s">
        <v>4173</v>
      </c>
      <c r="I2960" t="s">
        <v>4173</v>
      </c>
      <c r="J2960" t="s">
        <v>14160</v>
      </c>
    </row>
    <row r="2961" spans="6:10">
      <c r="F2961" t="s">
        <v>14161</v>
      </c>
      <c r="G2961">
        <v>2958</v>
      </c>
      <c r="H2961" t="s">
        <v>1193</v>
      </c>
      <c r="I2961" t="s">
        <v>1194</v>
      </c>
      <c r="J2961" t="s">
        <v>14162</v>
      </c>
    </row>
    <row r="2962" spans="6:10">
      <c r="F2962" t="s">
        <v>14163</v>
      </c>
      <c r="G2962">
        <v>2959</v>
      </c>
      <c r="H2962" t="s">
        <v>6150</v>
      </c>
      <c r="I2962" t="s">
        <v>6151</v>
      </c>
      <c r="J2962" t="s">
        <v>14164</v>
      </c>
    </row>
    <row r="2963" spans="6:10">
      <c r="F2963" t="s">
        <v>14165</v>
      </c>
      <c r="G2963">
        <v>2960</v>
      </c>
      <c r="H2963" t="s">
        <v>4125</v>
      </c>
      <c r="I2963" t="s">
        <v>4126</v>
      </c>
      <c r="J2963" t="s">
        <v>14166</v>
      </c>
    </row>
    <row r="2964" spans="6:10">
      <c r="F2964" t="s">
        <v>14167</v>
      </c>
      <c r="G2964">
        <v>2961</v>
      </c>
      <c r="H2964" t="s">
        <v>431</v>
      </c>
      <c r="I2964" t="s">
        <v>432</v>
      </c>
      <c r="J2964" t="s">
        <v>14168</v>
      </c>
    </row>
    <row r="2965" spans="6:10">
      <c r="F2965" t="s">
        <v>14169</v>
      </c>
      <c r="G2965">
        <v>2962</v>
      </c>
      <c r="H2965" t="s">
        <v>14170</v>
      </c>
      <c r="I2965" t="s">
        <v>14171</v>
      </c>
      <c r="J2965" t="s">
        <v>14172</v>
      </c>
    </row>
    <row r="2966" spans="6:10">
      <c r="F2966" t="s">
        <v>14173</v>
      </c>
      <c r="G2966">
        <v>2963</v>
      </c>
      <c r="H2966" t="s">
        <v>6202</v>
      </c>
      <c r="I2966" t="s">
        <v>6203</v>
      </c>
      <c r="J2966" t="s">
        <v>14174</v>
      </c>
    </row>
    <row r="2967" spans="6:10">
      <c r="F2967" t="s">
        <v>14175</v>
      </c>
      <c r="G2967">
        <v>2964</v>
      </c>
      <c r="H2967" t="s">
        <v>14176</v>
      </c>
      <c r="I2967" t="s">
        <v>14177</v>
      </c>
      <c r="J2967" t="s">
        <v>14178</v>
      </c>
    </row>
    <row r="2968" spans="6:10">
      <c r="F2968" t="s">
        <v>14179</v>
      </c>
      <c r="G2968">
        <v>2965</v>
      </c>
      <c r="H2968" t="s">
        <v>4155</v>
      </c>
      <c r="I2968" t="s">
        <v>840</v>
      </c>
      <c r="J2968" t="s">
        <v>14180</v>
      </c>
    </row>
    <row r="2969" spans="6:10">
      <c r="F2969" t="s">
        <v>14181</v>
      </c>
      <c r="G2969">
        <v>2966</v>
      </c>
      <c r="H2969" t="s">
        <v>4170</v>
      </c>
      <c r="I2969" t="s">
        <v>4171</v>
      </c>
      <c r="J2969" t="s">
        <v>14182</v>
      </c>
    </row>
    <row r="2970" spans="6:10">
      <c r="F2970" t="s">
        <v>14183</v>
      </c>
      <c r="G2970">
        <v>2967</v>
      </c>
      <c r="H2970" t="s">
        <v>14184</v>
      </c>
      <c r="I2970" t="s">
        <v>14185</v>
      </c>
      <c r="J2970" t="s">
        <v>14186</v>
      </c>
    </row>
    <row r="2971" spans="6:10">
      <c r="F2971" t="s">
        <v>14187</v>
      </c>
      <c r="G2971">
        <v>2968</v>
      </c>
      <c r="H2971" t="s">
        <v>5115</v>
      </c>
      <c r="I2971" t="s">
        <v>5116</v>
      </c>
      <c r="J2971" t="s">
        <v>14188</v>
      </c>
    </row>
    <row r="2972" spans="6:10">
      <c r="F2972" t="s">
        <v>14189</v>
      </c>
      <c r="G2972">
        <v>2969</v>
      </c>
      <c r="H2972" t="s">
        <v>14190</v>
      </c>
      <c r="I2972" t="s">
        <v>14191</v>
      </c>
      <c r="J2972" t="s">
        <v>14192</v>
      </c>
    </row>
    <row r="2973" spans="6:10">
      <c r="F2973" t="s">
        <v>14193</v>
      </c>
      <c r="G2973">
        <v>2970</v>
      </c>
      <c r="H2973" t="s">
        <v>5704</v>
      </c>
      <c r="I2973" t="s">
        <v>5705</v>
      </c>
      <c r="J2973" t="s">
        <v>14194</v>
      </c>
    </row>
    <row r="2974" spans="6:10">
      <c r="F2974" t="s">
        <v>14195</v>
      </c>
      <c r="G2974">
        <v>2971</v>
      </c>
      <c r="H2974" t="s">
        <v>1618</v>
      </c>
      <c r="I2974" t="s">
        <v>1619</v>
      </c>
      <c r="J2974" t="s">
        <v>14196</v>
      </c>
    </row>
    <row r="2975" spans="6:10">
      <c r="F2975" t="s">
        <v>14197</v>
      </c>
      <c r="G2975">
        <v>2972</v>
      </c>
      <c r="H2975" t="s">
        <v>5205</v>
      </c>
      <c r="I2975" t="s">
        <v>5206</v>
      </c>
      <c r="J2975" t="s">
        <v>14198</v>
      </c>
    </row>
    <row r="2976" spans="6:10">
      <c r="F2976" t="s">
        <v>14199</v>
      </c>
      <c r="G2976">
        <v>2973</v>
      </c>
      <c r="H2976" t="s">
        <v>2012</v>
      </c>
      <c r="I2976" t="s">
        <v>2013</v>
      </c>
      <c r="J2976" t="s">
        <v>14200</v>
      </c>
    </row>
    <row r="2977" spans="6:10">
      <c r="F2977" t="s">
        <v>14201</v>
      </c>
      <c r="G2977">
        <v>2974</v>
      </c>
      <c r="H2977" t="s">
        <v>1102</v>
      </c>
      <c r="I2977" t="s">
        <v>1103</v>
      </c>
      <c r="J2977" t="s">
        <v>14202</v>
      </c>
    </row>
    <row r="2978" spans="6:10">
      <c r="F2978" t="s">
        <v>14203</v>
      </c>
      <c r="G2978">
        <v>2975</v>
      </c>
      <c r="H2978" t="s">
        <v>11485</v>
      </c>
      <c r="I2978" t="s">
        <v>7006</v>
      </c>
      <c r="J2978" t="s">
        <v>14204</v>
      </c>
    </row>
    <row r="2979" spans="6:10">
      <c r="F2979" t="s">
        <v>14205</v>
      </c>
      <c r="G2979">
        <v>2976</v>
      </c>
      <c r="H2979" t="s">
        <v>14206</v>
      </c>
      <c r="I2979" t="s">
        <v>14207</v>
      </c>
      <c r="J2979" t="s">
        <v>14208</v>
      </c>
    </row>
    <row r="2980" spans="6:10">
      <c r="F2980" t="s">
        <v>14209</v>
      </c>
      <c r="G2980">
        <v>2977</v>
      </c>
      <c r="H2980" t="s">
        <v>12679</v>
      </c>
      <c r="I2980" t="s">
        <v>12680</v>
      </c>
      <c r="J2980" t="s">
        <v>14210</v>
      </c>
    </row>
    <row r="2981" spans="6:10">
      <c r="F2981" t="s">
        <v>14211</v>
      </c>
      <c r="G2981">
        <v>2978</v>
      </c>
      <c r="H2981" t="s">
        <v>14212</v>
      </c>
      <c r="I2981" t="s">
        <v>14213</v>
      </c>
      <c r="J2981" t="s">
        <v>14214</v>
      </c>
    </row>
    <row r="2982" spans="6:10">
      <c r="F2982" t="s">
        <v>14215</v>
      </c>
      <c r="G2982">
        <v>2979</v>
      </c>
      <c r="H2982" t="s">
        <v>3178</v>
      </c>
      <c r="I2982" t="s">
        <v>3179</v>
      </c>
      <c r="J2982" t="s">
        <v>14216</v>
      </c>
    </row>
    <row r="2983" spans="6:10">
      <c r="F2983" t="s">
        <v>14217</v>
      </c>
      <c r="G2983">
        <v>2980</v>
      </c>
      <c r="H2983" t="s">
        <v>995</v>
      </c>
      <c r="I2983" t="s">
        <v>995</v>
      </c>
      <c r="J2983" t="s">
        <v>14218</v>
      </c>
    </row>
    <row r="2984" spans="6:10">
      <c r="F2984" t="s">
        <v>14219</v>
      </c>
      <c r="G2984">
        <v>2981</v>
      </c>
      <c r="H2984" t="s">
        <v>14220</v>
      </c>
      <c r="I2984" t="s">
        <v>14221</v>
      </c>
      <c r="J2984" t="s">
        <v>14222</v>
      </c>
    </row>
    <row r="2985" spans="6:10">
      <c r="F2985" t="s">
        <v>14223</v>
      </c>
      <c r="G2985">
        <v>2982</v>
      </c>
      <c r="H2985" t="s">
        <v>3731</v>
      </c>
      <c r="I2985" t="s">
        <v>3731</v>
      </c>
      <c r="J2985" t="s">
        <v>14224</v>
      </c>
    </row>
    <row r="2986" spans="6:10">
      <c r="F2986" t="s">
        <v>14225</v>
      </c>
      <c r="G2986">
        <v>2983</v>
      </c>
      <c r="H2986" t="s">
        <v>14226</v>
      </c>
      <c r="I2986" t="s">
        <v>14227</v>
      </c>
      <c r="J2986" t="s">
        <v>14228</v>
      </c>
    </row>
    <row r="2987" spans="6:10">
      <c r="F2987" t="s">
        <v>14229</v>
      </c>
      <c r="G2987">
        <v>2984</v>
      </c>
      <c r="H2987" t="s">
        <v>128</v>
      </c>
      <c r="I2987" t="s">
        <v>128</v>
      </c>
      <c r="J2987" t="s">
        <v>14230</v>
      </c>
    </row>
    <row r="2988" spans="6:10">
      <c r="F2988" t="s">
        <v>14231</v>
      </c>
      <c r="G2988">
        <v>2985</v>
      </c>
      <c r="H2988" t="s">
        <v>4962</v>
      </c>
      <c r="I2988" t="s">
        <v>4963</v>
      </c>
      <c r="J2988" t="s">
        <v>14232</v>
      </c>
    </row>
    <row r="2989" spans="6:10">
      <c r="F2989" t="s">
        <v>14233</v>
      </c>
      <c r="G2989">
        <v>2986</v>
      </c>
      <c r="H2989" t="s">
        <v>14234</v>
      </c>
      <c r="I2989" t="s">
        <v>14235</v>
      </c>
      <c r="J2989" t="s">
        <v>14236</v>
      </c>
    </row>
    <row r="2990" spans="6:10">
      <c r="F2990" t="s">
        <v>14237</v>
      </c>
      <c r="G2990">
        <v>2987</v>
      </c>
      <c r="H2990" t="s">
        <v>4742</v>
      </c>
      <c r="I2990" t="s">
        <v>4743</v>
      </c>
      <c r="J2990" t="s">
        <v>14238</v>
      </c>
    </row>
    <row r="2991" spans="6:10">
      <c r="F2991" t="s">
        <v>14239</v>
      </c>
      <c r="G2991">
        <v>2988</v>
      </c>
      <c r="H2991" t="s">
        <v>14240</v>
      </c>
      <c r="I2991" t="s">
        <v>14241</v>
      </c>
      <c r="J2991" t="s">
        <v>14242</v>
      </c>
    </row>
    <row r="2992" spans="6:10">
      <c r="F2992" t="s">
        <v>14243</v>
      </c>
      <c r="G2992">
        <v>2989</v>
      </c>
      <c r="H2992" t="s">
        <v>4916</v>
      </c>
      <c r="I2992" t="s">
        <v>4917</v>
      </c>
      <c r="J2992" t="s">
        <v>14244</v>
      </c>
    </row>
    <row r="2993" spans="6:10">
      <c r="F2993" t="s">
        <v>14245</v>
      </c>
      <c r="G2993">
        <v>2990</v>
      </c>
      <c r="H2993" t="s">
        <v>14246</v>
      </c>
      <c r="I2993" t="s">
        <v>14247</v>
      </c>
      <c r="J2993" t="s">
        <v>14248</v>
      </c>
    </row>
    <row r="2994" spans="6:10">
      <c r="F2994" t="s">
        <v>14249</v>
      </c>
      <c r="G2994">
        <v>2991</v>
      </c>
      <c r="H2994" t="s">
        <v>14250</v>
      </c>
      <c r="I2994" t="s">
        <v>14251</v>
      </c>
      <c r="J2994" t="s">
        <v>14252</v>
      </c>
    </row>
    <row r="2995" spans="6:10">
      <c r="F2995" t="s">
        <v>14253</v>
      </c>
      <c r="G2995">
        <v>2992</v>
      </c>
      <c r="H2995" t="s">
        <v>2566</v>
      </c>
      <c r="I2995" t="s">
        <v>2567</v>
      </c>
      <c r="J2995" t="s">
        <v>14254</v>
      </c>
    </row>
    <row r="2996" spans="6:10">
      <c r="F2996" t="s">
        <v>14255</v>
      </c>
      <c r="G2996">
        <v>2993</v>
      </c>
      <c r="H2996" t="s">
        <v>722</v>
      </c>
      <c r="I2996" t="s">
        <v>722</v>
      </c>
      <c r="J2996" t="s">
        <v>14256</v>
      </c>
    </row>
    <row r="2997" spans="6:10">
      <c r="F2997" t="s">
        <v>14257</v>
      </c>
      <c r="G2997">
        <v>2994</v>
      </c>
      <c r="H2997" t="s">
        <v>14258</v>
      </c>
      <c r="I2997" t="s">
        <v>14259</v>
      </c>
      <c r="J2997" t="s">
        <v>14260</v>
      </c>
    </row>
    <row r="2998" spans="6:10">
      <c r="F2998" t="s">
        <v>14261</v>
      </c>
      <c r="G2998">
        <v>2995</v>
      </c>
      <c r="H2998" t="s">
        <v>5709</v>
      </c>
      <c r="I2998" t="s">
        <v>5709</v>
      </c>
      <c r="J2998" t="s">
        <v>14262</v>
      </c>
    </row>
    <row r="2999" spans="6:10">
      <c r="F2999" t="s">
        <v>14263</v>
      </c>
      <c r="G2999">
        <v>2996</v>
      </c>
      <c r="H2999" t="s">
        <v>14264</v>
      </c>
      <c r="I2999" t="s">
        <v>14265</v>
      </c>
      <c r="J2999" t="s">
        <v>14266</v>
      </c>
    </row>
    <row r="3000" spans="6:10">
      <c r="F3000" t="s">
        <v>14267</v>
      </c>
      <c r="G3000">
        <v>2997</v>
      </c>
      <c r="H3000" t="s">
        <v>14268</v>
      </c>
      <c r="I3000" t="s">
        <v>14269</v>
      </c>
      <c r="J3000" t="s">
        <v>14270</v>
      </c>
    </row>
    <row r="3001" spans="6:10">
      <c r="F3001" t="s">
        <v>14271</v>
      </c>
      <c r="G3001">
        <v>2998</v>
      </c>
      <c r="H3001" t="s">
        <v>4878</v>
      </c>
      <c r="I3001" t="s">
        <v>4879</v>
      </c>
      <c r="J3001" t="s">
        <v>14272</v>
      </c>
    </row>
    <row r="3002" spans="6:10">
      <c r="F3002" t="s">
        <v>14273</v>
      </c>
      <c r="G3002">
        <v>2999</v>
      </c>
      <c r="H3002" t="s">
        <v>4652</v>
      </c>
      <c r="I3002" t="s">
        <v>4653</v>
      </c>
      <c r="J3002" t="s">
        <v>14274</v>
      </c>
    </row>
    <row r="3003" spans="6:10">
      <c r="F3003" t="s">
        <v>14275</v>
      </c>
      <c r="G3003">
        <v>3000</v>
      </c>
      <c r="H3003" t="s">
        <v>4810</v>
      </c>
      <c r="I3003" t="s">
        <v>4249</v>
      </c>
      <c r="J3003" t="s">
        <v>14276</v>
      </c>
    </row>
    <row r="3004" spans="6:10">
      <c r="F3004" t="s">
        <v>14277</v>
      </c>
      <c r="G3004">
        <v>3001</v>
      </c>
      <c r="H3004" t="s">
        <v>2414</v>
      </c>
      <c r="I3004" t="s">
        <v>2415</v>
      </c>
      <c r="J3004" t="s">
        <v>14278</v>
      </c>
    </row>
    <row r="3005" spans="6:10">
      <c r="F3005" t="s">
        <v>14279</v>
      </c>
      <c r="G3005">
        <v>3002</v>
      </c>
      <c r="H3005" t="s">
        <v>3592</v>
      </c>
      <c r="I3005" t="s">
        <v>3592</v>
      </c>
      <c r="J3005" t="s">
        <v>14280</v>
      </c>
    </row>
    <row r="3006" spans="6:10">
      <c r="F3006" t="s">
        <v>14281</v>
      </c>
      <c r="G3006">
        <v>3003</v>
      </c>
      <c r="H3006" t="s">
        <v>14282</v>
      </c>
      <c r="I3006" t="s">
        <v>14283</v>
      </c>
      <c r="J3006" t="s">
        <v>14284</v>
      </c>
    </row>
    <row r="3007" spans="6:10">
      <c r="F3007" t="s">
        <v>14285</v>
      </c>
      <c r="G3007">
        <v>3004</v>
      </c>
      <c r="H3007" t="s">
        <v>5173</v>
      </c>
      <c r="I3007" t="s">
        <v>5173</v>
      </c>
      <c r="J3007" t="s">
        <v>14286</v>
      </c>
    </row>
    <row r="3008" spans="6:10">
      <c r="F3008" t="s">
        <v>14287</v>
      </c>
      <c r="G3008">
        <v>3005</v>
      </c>
      <c r="H3008" t="s">
        <v>14288</v>
      </c>
      <c r="I3008" t="s">
        <v>14289</v>
      </c>
      <c r="J3008" t="s">
        <v>14290</v>
      </c>
    </row>
    <row r="3009" spans="6:10">
      <c r="F3009" t="s">
        <v>14291</v>
      </c>
      <c r="G3009">
        <v>3006</v>
      </c>
      <c r="H3009" t="s">
        <v>14292</v>
      </c>
      <c r="I3009" t="s">
        <v>14293</v>
      </c>
      <c r="J3009" t="s">
        <v>14294</v>
      </c>
    </row>
    <row r="3010" spans="6:10">
      <c r="F3010" t="s">
        <v>14295</v>
      </c>
      <c r="G3010">
        <v>3007</v>
      </c>
      <c r="H3010" t="s">
        <v>14296</v>
      </c>
      <c r="I3010" t="s">
        <v>14297</v>
      </c>
      <c r="J3010" t="s">
        <v>14298</v>
      </c>
    </row>
    <row r="3011" spans="6:10">
      <c r="F3011" t="s">
        <v>14299</v>
      </c>
      <c r="G3011">
        <v>3008</v>
      </c>
      <c r="H3011" t="s">
        <v>14300</v>
      </c>
      <c r="I3011" t="s">
        <v>14301</v>
      </c>
      <c r="J3011" t="s">
        <v>14302</v>
      </c>
    </row>
    <row r="3012" spans="6:10">
      <c r="F3012" t="s">
        <v>14303</v>
      </c>
      <c r="G3012">
        <v>3009</v>
      </c>
      <c r="H3012" t="s">
        <v>14304</v>
      </c>
      <c r="I3012" t="s">
        <v>14305</v>
      </c>
      <c r="J3012" t="s">
        <v>14306</v>
      </c>
    </row>
    <row r="3013" spans="6:10">
      <c r="F3013" t="s">
        <v>14307</v>
      </c>
      <c r="G3013">
        <v>3010</v>
      </c>
      <c r="H3013" t="s">
        <v>1251</v>
      </c>
      <c r="I3013" t="s">
        <v>1251</v>
      </c>
      <c r="J3013" t="s">
        <v>14308</v>
      </c>
    </row>
    <row r="3014" spans="6:10">
      <c r="F3014" t="s">
        <v>14309</v>
      </c>
      <c r="H3014" t="s">
        <v>5736</v>
      </c>
      <c r="I3014" t="s">
        <v>5737</v>
      </c>
      <c r="J3014" t="s">
        <v>14310</v>
      </c>
    </row>
    <row r="3015" spans="6:10">
      <c r="F3015" t="s">
        <v>14311</v>
      </c>
      <c r="G3015">
        <v>3012</v>
      </c>
      <c r="H3015" t="s">
        <v>14312</v>
      </c>
      <c r="I3015" t="s">
        <v>14313</v>
      </c>
      <c r="J3015" t="s">
        <v>14314</v>
      </c>
    </row>
    <row r="3016" spans="6:10">
      <c r="F3016" t="s">
        <v>14315</v>
      </c>
      <c r="G3016">
        <v>3013</v>
      </c>
      <c r="H3016" t="s">
        <v>3065</v>
      </c>
      <c r="I3016" t="s">
        <v>3066</v>
      </c>
      <c r="J3016" t="s">
        <v>14316</v>
      </c>
    </row>
    <row r="3017" spans="6:10">
      <c r="F3017" t="s">
        <v>14317</v>
      </c>
      <c r="G3017">
        <v>3014</v>
      </c>
      <c r="H3017" t="s">
        <v>6037</v>
      </c>
      <c r="I3017" t="s">
        <v>6038</v>
      </c>
      <c r="J3017" t="s">
        <v>14318</v>
      </c>
    </row>
    <row r="3018" spans="6:10">
      <c r="F3018" t="s">
        <v>14319</v>
      </c>
      <c r="G3018">
        <v>3015</v>
      </c>
      <c r="H3018" t="s">
        <v>5651</v>
      </c>
      <c r="I3018" t="s">
        <v>5652</v>
      </c>
      <c r="J3018" t="s">
        <v>14320</v>
      </c>
    </row>
    <row r="3019" spans="6:10">
      <c r="F3019" t="s">
        <v>14321</v>
      </c>
      <c r="G3019">
        <v>3016</v>
      </c>
      <c r="H3019" t="s">
        <v>5616</v>
      </c>
      <c r="I3019" t="s">
        <v>5617</v>
      </c>
      <c r="J3019" t="s">
        <v>14322</v>
      </c>
    </row>
    <row r="3020" spans="6:10">
      <c r="F3020" t="s">
        <v>14323</v>
      </c>
      <c r="G3020">
        <v>3017</v>
      </c>
      <c r="H3020" t="s">
        <v>5984</v>
      </c>
      <c r="I3020" t="s">
        <v>5985</v>
      </c>
      <c r="J3020" t="s">
        <v>14324</v>
      </c>
    </row>
    <row r="3021" spans="6:10">
      <c r="F3021" t="s">
        <v>14325</v>
      </c>
      <c r="G3021">
        <v>3018</v>
      </c>
      <c r="H3021" t="s">
        <v>14326</v>
      </c>
      <c r="I3021" t="s">
        <v>14327</v>
      </c>
      <c r="J3021" t="s">
        <v>14328</v>
      </c>
    </row>
    <row r="3022" spans="6:10">
      <c r="F3022" t="s">
        <v>14329</v>
      </c>
      <c r="G3022">
        <v>3019</v>
      </c>
      <c r="H3022" t="s">
        <v>70</v>
      </c>
      <c r="I3022" t="s">
        <v>71</v>
      </c>
      <c r="J3022" t="s">
        <v>14330</v>
      </c>
    </row>
    <row r="3023" spans="6:10">
      <c r="F3023" t="s">
        <v>14331</v>
      </c>
      <c r="G3023">
        <v>3020</v>
      </c>
      <c r="H3023" t="s">
        <v>3533</v>
      </c>
      <c r="I3023" t="s">
        <v>3534</v>
      </c>
      <c r="J3023" t="s">
        <v>14332</v>
      </c>
    </row>
    <row r="3024" spans="6:10">
      <c r="F3024" t="s">
        <v>14333</v>
      </c>
      <c r="G3024">
        <v>3021</v>
      </c>
      <c r="H3024" t="s">
        <v>14334</v>
      </c>
      <c r="I3024" t="s">
        <v>14335</v>
      </c>
      <c r="J3024" t="s">
        <v>14336</v>
      </c>
    </row>
    <row r="3025" spans="6:10">
      <c r="F3025" t="s">
        <v>14337</v>
      </c>
      <c r="G3025">
        <v>3022</v>
      </c>
      <c r="H3025" t="s">
        <v>100</v>
      </c>
      <c r="I3025" t="s">
        <v>101</v>
      </c>
      <c r="J3025" t="s">
        <v>14338</v>
      </c>
    </row>
    <row r="3026" spans="6:10">
      <c r="F3026" t="s">
        <v>14339</v>
      </c>
      <c r="G3026">
        <v>3023</v>
      </c>
      <c r="H3026" t="s">
        <v>5683</v>
      </c>
      <c r="I3026" t="s">
        <v>5683</v>
      </c>
      <c r="J3026" t="s">
        <v>14340</v>
      </c>
    </row>
    <row r="3027" spans="6:10">
      <c r="F3027" t="s">
        <v>14341</v>
      </c>
      <c r="G3027">
        <v>3024</v>
      </c>
      <c r="H3027" t="s">
        <v>4342</v>
      </c>
      <c r="I3027" t="s">
        <v>4342</v>
      </c>
      <c r="J3027" t="s">
        <v>14342</v>
      </c>
    </row>
    <row r="3028" spans="6:10">
      <c r="F3028" t="s">
        <v>14343</v>
      </c>
      <c r="G3028">
        <v>3025</v>
      </c>
      <c r="H3028" t="s">
        <v>4083</v>
      </c>
      <c r="I3028" t="s">
        <v>4084</v>
      </c>
      <c r="J3028" t="s">
        <v>14344</v>
      </c>
    </row>
    <row r="3029" spans="6:10">
      <c r="F3029" t="s">
        <v>14345</v>
      </c>
      <c r="G3029">
        <v>3026</v>
      </c>
      <c r="H3029" t="s">
        <v>1504</v>
      </c>
      <c r="I3029" t="s">
        <v>1505</v>
      </c>
      <c r="J3029" t="s">
        <v>14346</v>
      </c>
    </row>
    <row r="3030" spans="6:10">
      <c r="F3030" t="s">
        <v>14347</v>
      </c>
      <c r="G3030">
        <v>3027</v>
      </c>
      <c r="H3030" t="s">
        <v>350</v>
      </c>
      <c r="I3030" t="s">
        <v>351</v>
      </c>
      <c r="J3030" t="s">
        <v>14348</v>
      </c>
    </row>
    <row r="3031" spans="6:10">
      <c r="F3031" t="s">
        <v>14349</v>
      </c>
      <c r="G3031">
        <v>3028</v>
      </c>
      <c r="H3031" t="s">
        <v>1068</v>
      </c>
      <c r="I3031" t="s">
        <v>1069</v>
      </c>
      <c r="J3031" t="s">
        <v>14350</v>
      </c>
    </row>
    <row r="3032" spans="6:10">
      <c r="F3032" t="s">
        <v>14351</v>
      </c>
      <c r="G3032">
        <v>3029</v>
      </c>
      <c r="H3032" t="s">
        <v>14352</v>
      </c>
      <c r="I3032" t="s">
        <v>14353</v>
      </c>
      <c r="J3032" t="s">
        <v>14354</v>
      </c>
    </row>
    <row r="3033" spans="6:10">
      <c r="F3033" t="s">
        <v>14355</v>
      </c>
      <c r="G3033">
        <v>3030</v>
      </c>
      <c r="H3033" t="s">
        <v>4499</v>
      </c>
      <c r="I3033" t="s">
        <v>4500</v>
      </c>
      <c r="J3033" t="s">
        <v>14356</v>
      </c>
    </row>
    <row r="3034" spans="6:10">
      <c r="F3034" t="s">
        <v>14357</v>
      </c>
      <c r="G3034">
        <v>3031</v>
      </c>
      <c r="H3034" t="s">
        <v>1498</v>
      </c>
      <c r="I3034" t="s">
        <v>1498</v>
      </c>
      <c r="J3034" t="s">
        <v>14358</v>
      </c>
    </row>
    <row r="3035" spans="6:10">
      <c r="F3035" t="s">
        <v>14359</v>
      </c>
      <c r="G3035">
        <v>3032</v>
      </c>
      <c r="H3035" t="s">
        <v>281</v>
      </c>
      <c r="I3035" t="s">
        <v>282</v>
      </c>
      <c r="J3035" t="s">
        <v>14360</v>
      </c>
    </row>
    <row r="3036" spans="6:10">
      <c r="F3036" t="s">
        <v>14361</v>
      </c>
      <c r="G3036">
        <v>3033</v>
      </c>
      <c r="H3036" t="s">
        <v>4059</v>
      </c>
      <c r="I3036" t="s">
        <v>4060</v>
      </c>
      <c r="J3036" t="s">
        <v>14362</v>
      </c>
    </row>
    <row r="3037" spans="6:10">
      <c r="F3037" t="s">
        <v>14363</v>
      </c>
      <c r="G3037">
        <v>3034</v>
      </c>
      <c r="H3037" t="s">
        <v>14364</v>
      </c>
      <c r="I3037" t="s">
        <v>14365</v>
      </c>
      <c r="J3037" t="s">
        <v>14366</v>
      </c>
    </row>
    <row r="3038" spans="6:10">
      <c r="F3038" t="s">
        <v>14367</v>
      </c>
      <c r="G3038">
        <v>3035</v>
      </c>
      <c r="H3038" t="s">
        <v>3466</v>
      </c>
      <c r="I3038" t="s">
        <v>3466</v>
      </c>
      <c r="J3038" t="s">
        <v>14368</v>
      </c>
    </row>
    <row r="3039" spans="6:10">
      <c r="F3039" t="s">
        <v>14369</v>
      </c>
      <c r="G3039">
        <v>3036</v>
      </c>
      <c r="H3039" t="s">
        <v>14370</v>
      </c>
      <c r="I3039" t="s">
        <v>14371</v>
      </c>
      <c r="J3039" t="s">
        <v>14372</v>
      </c>
    </row>
    <row r="3040" spans="6:10">
      <c r="F3040" t="s">
        <v>14373</v>
      </c>
      <c r="G3040">
        <v>3037</v>
      </c>
      <c r="H3040" t="s">
        <v>14374</v>
      </c>
      <c r="I3040" t="s">
        <v>14375</v>
      </c>
      <c r="J3040" t="s">
        <v>14376</v>
      </c>
    </row>
    <row r="3041" spans="6:10">
      <c r="F3041" t="s">
        <v>14377</v>
      </c>
      <c r="G3041">
        <v>3038</v>
      </c>
      <c r="H3041" t="s">
        <v>14378</v>
      </c>
      <c r="I3041" t="s">
        <v>14379</v>
      </c>
      <c r="J3041" t="s">
        <v>14380</v>
      </c>
    </row>
    <row r="3042" spans="6:10">
      <c r="F3042" t="s">
        <v>14381</v>
      </c>
      <c r="G3042">
        <v>3039</v>
      </c>
      <c r="H3042" t="s">
        <v>3542</v>
      </c>
      <c r="I3042" t="s">
        <v>3543</v>
      </c>
      <c r="J3042" t="s">
        <v>14382</v>
      </c>
    </row>
    <row r="3043" spans="6:10">
      <c r="F3043" t="s">
        <v>14383</v>
      </c>
      <c r="G3043">
        <v>3040</v>
      </c>
      <c r="H3043" t="s">
        <v>4182</v>
      </c>
      <c r="I3043" t="s">
        <v>1317</v>
      </c>
      <c r="J3043" t="s">
        <v>14384</v>
      </c>
    </row>
    <row r="3044" spans="6:10">
      <c r="F3044" t="s">
        <v>14385</v>
      </c>
      <c r="G3044">
        <v>3041</v>
      </c>
      <c r="H3044" t="s">
        <v>6228</v>
      </c>
      <c r="I3044" t="s">
        <v>6227</v>
      </c>
      <c r="J3044" t="s">
        <v>14386</v>
      </c>
    </row>
    <row r="3045" spans="6:10">
      <c r="F3045" t="s">
        <v>14387</v>
      </c>
      <c r="G3045">
        <v>3042</v>
      </c>
      <c r="H3045" t="s">
        <v>14388</v>
      </c>
      <c r="I3045" t="s">
        <v>14389</v>
      </c>
      <c r="J3045" t="s">
        <v>14390</v>
      </c>
    </row>
    <row r="3046" spans="6:10">
      <c r="F3046" t="s">
        <v>14391</v>
      </c>
      <c r="G3046">
        <v>3043</v>
      </c>
      <c r="H3046" t="s">
        <v>4418</v>
      </c>
      <c r="I3046" t="s">
        <v>4419</v>
      </c>
      <c r="J3046" t="s">
        <v>14392</v>
      </c>
    </row>
    <row r="3047" spans="6:10">
      <c r="F3047" t="s">
        <v>14393</v>
      </c>
      <c r="G3047">
        <v>3044</v>
      </c>
      <c r="H3047" t="s">
        <v>4033</v>
      </c>
      <c r="I3047" t="s">
        <v>4033</v>
      </c>
      <c r="J3047" t="s">
        <v>14394</v>
      </c>
    </row>
    <row r="3048" spans="6:10">
      <c r="F3048" t="s">
        <v>14395</v>
      </c>
      <c r="G3048">
        <v>3045</v>
      </c>
      <c r="H3048" t="s">
        <v>14396</v>
      </c>
      <c r="I3048" t="s">
        <v>11734</v>
      </c>
      <c r="J3048" t="s">
        <v>14397</v>
      </c>
    </row>
    <row r="3049" spans="6:10">
      <c r="F3049" t="s">
        <v>14398</v>
      </c>
      <c r="G3049">
        <v>3046</v>
      </c>
      <c r="H3049" t="s">
        <v>2818</v>
      </c>
      <c r="I3049" t="s">
        <v>14399</v>
      </c>
      <c r="J3049" t="s">
        <v>14400</v>
      </c>
    </row>
    <row r="3050" spans="6:10">
      <c r="F3050" t="s">
        <v>14401</v>
      </c>
      <c r="G3050">
        <v>3047</v>
      </c>
      <c r="H3050" t="s">
        <v>14402</v>
      </c>
      <c r="I3050" t="s">
        <v>14403</v>
      </c>
      <c r="J3050" t="s">
        <v>14404</v>
      </c>
    </row>
    <row r="3051" spans="6:10">
      <c r="F3051" t="s">
        <v>14405</v>
      </c>
      <c r="G3051">
        <v>3048</v>
      </c>
      <c r="H3051" t="s">
        <v>14406</v>
      </c>
      <c r="I3051" t="s">
        <v>14407</v>
      </c>
      <c r="J3051" t="s">
        <v>14408</v>
      </c>
    </row>
    <row r="3052" spans="6:10">
      <c r="F3052" t="s">
        <v>14409</v>
      </c>
      <c r="G3052">
        <v>3049</v>
      </c>
      <c r="H3052" t="s">
        <v>14410</v>
      </c>
      <c r="I3052" t="s">
        <v>14411</v>
      </c>
      <c r="J3052" t="s">
        <v>14412</v>
      </c>
    </row>
    <row r="3053" spans="6:10">
      <c r="F3053" t="s">
        <v>14413</v>
      </c>
      <c r="G3053">
        <v>3050</v>
      </c>
      <c r="H3053" t="s">
        <v>4988</v>
      </c>
      <c r="I3053" t="s">
        <v>4989</v>
      </c>
      <c r="J3053" t="s">
        <v>14414</v>
      </c>
    </row>
    <row r="3054" spans="6:10">
      <c r="F3054" t="s">
        <v>14415</v>
      </c>
      <c r="G3054">
        <v>3051</v>
      </c>
      <c r="H3054" t="s">
        <v>14416</v>
      </c>
      <c r="I3054" t="s">
        <v>14417</v>
      </c>
      <c r="J3054" t="s">
        <v>14418</v>
      </c>
    </row>
    <row r="3055" spans="6:10">
      <c r="F3055" t="s">
        <v>14419</v>
      </c>
      <c r="G3055">
        <v>3052</v>
      </c>
      <c r="H3055" t="s">
        <v>3740</v>
      </c>
      <c r="I3055" t="s">
        <v>3740</v>
      </c>
      <c r="J3055" t="s">
        <v>14420</v>
      </c>
    </row>
    <row r="3056" spans="6:10">
      <c r="F3056" t="s">
        <v>14421</v>
      </c>
      <c r="G3056">
        <v>3053</v>
      </c>
      <c r="H3056" t="s">
        <v>1119</v>
      </c>
      <c r="I3056" t="s">
        <v>1120</v>
      </c>
      <c r="J3056" t="s">
        <v>14422</v>
      </c>
    </row>
    <row r="3057" spans="6:10">
      <c r="F3057" t="s">
        <v>14423</v>
      </c>
      <c r="G3057">
        <v>3054</v>
      </c>
      <c r="H3057" t="s">
        <v>725</v>
      </c>
      <c r="I3057" t="s">
        <v>726</v>
      </c>
      <c r="J3057" t="s">
        <v>14424</v>
      </c>
    </row>
    <row r="3058" spans="6:10">
      <c r="F3058" t="s">
        <v>14425</v>
      </c>
      <c r="G3058">
        <v>3055</v>
      </c>
      <c r="H3058" t="s">
        <v>2885</v>
      </c>
      <c r="I3058" t="s">
        <v>2887</v>
      </c>
      <c r="J3058" t="s">
        <v>14426</v>
      </c>
    </row>
    <row r="3059" spans="6:10">
      <c r="F3059" t="s">
        <v>14427</v>
      </c>
      <c r="G3059">
        <v>3056</v>
      </c>
      <c r="H3059" t="s">
        <v>14428</v>
      </c>
      <c r="I3059" t="s">
        <v>14429</v>
      </c>
      <c r="J3059" t="s">
        <v>14430</v>
      </c>
    </row>
    <row r="3060" spans="6:10">
      <c r="F3060" t="s">
        <v>14431</v>
      </c>
      <c r="G3060">
        <v>3057</v>
      </c>
      <c r="H3060" t="s">
        <v>14432</v>
      </c>
      <c r="I3060" t="s">
        <v>14433</v>
      </c>
      <c r="J3060" t="s">
        <v>14434</v>
      </c>
    </row>
    <row r="3061" spans="6:10">
      <c r="F3061" t="s">
        <v>14435</v>
      </c>
      <c r="G3061">
        <v>3058</v>
      </c>
      <c r="H3061" t="s">
        <v>9046</v>
      </c>
      <c r="I3061" t="s">
        <v>9060</v>
      </c>
      <c r="J3061" t="s">
        <v>14436</v>
      </c>
    </row>
    <row r="3062" spans="6:10">
      <c r="F3062" t="s">
        <v>14437</v>
      </c>
      <c r="G3062">
        <v>3059</v>
      </c>
      <c r="H3062" t="s">
        <v>5040</v>
      </c>
      <c r="I3062" t="s">
        <v>5041</v>
      </c>
      <c r="J3062" t="s">
        <v>14438</v>
      </c>
    </row>
    <row r="3063" spans="6:10">
      <c r="F3063" t="s">
        <v>14439</v>
      </c>
      <c r="G3063">
        <v>3060</v>
      </c>
      <c r="H3063" t="s">
        <v>3692</v>
      </c>
      <c r="I3063" t="s">
        <v>3692</v>
      </c>
      <c r="J3063" t="s">
        <v>14440</v>
      </c>
    </row>
    <row r="3064" spans="6:10">
      <c r="F3064" t="s">
        <v>14441</v>
      </c>
      <c r="G3064">
        <v>3061</v>
      </c>
      <c r="H3064" t="s">
        <v>14442</v>
      </c>
      <c r="I3064" t="s">
        <v>14443</v>
      </c>
      <c r="J3064" t="s">
        <v>14444</v>
      </c>
    </row>
    <row r="3065" spans="6:10">
      <c r="F3065" t="s">
        <v>14445</v>
      </c>
      <c r="G3065">
        <v>3062</v>
      </c>
      <c r="H3065" t="s">
        <v>5655</v>
      </c>
      <c r="I3065" t="s">
        <v>5656</v>
      </c>
      <c r="J3065" t="s">
        <v>14446</v>
      </c>
    </row>
    <row r="3066" spans="6:10">
      <c r="F3066" t="s">
        <v>14447</v>
      </c>
      <c r="G3066">
        <v>3063</v>
      </c>
      <c r="H3066" t="s">
        <v>14448</v>
      </c>
      <c r="I3066" t="s">
        <v>14449</v>
      </c>
      <c r="J3066" t="s">
        <v>14450</v>
      </c>
    </row>
    <row r="3067" spans="6:10">
      <c r="F3067" t="s">
        <v>14451</v>
      </c>
      <c r="G3067">
        <v>3064</v>
      </c>
      <c r="H3067" t="s">
        <v>1208</v>
      </c>
      <c r="I3067" t="s">
        <v>1208</v>
      </c>
      <c r="J3067" t="s">
        <v>14452</v>
      </c>
    </row>
    <row r="3068" spans="6:10">
      <c r="F3068" t="s">
        <v>14453</v>
      </c>
      <c r="G3068">
        <v>3065</v>
      </c>
      <c r="H3068" t="s">
        <v>4210</v>
      </c>
      <c r="I3068" t="s">
        <v>4211</v>
      </c>
      <c r="J3068" t="s">
        <v>14454</v>
      </c>
    </row>
    <row r="3069" spans="6:10">
      <c r="F3069" t="s">
        <v>14455</v>
      </c>
      <c r="G3069">
        <v>3066</v>
      </c>
      <c r="H3069" t="s">
        <v>6020</v>
      </c>
      <c r="I3069" t="s">
        <v>6021</v>
      </c>
      <c r="J3069" t="s">
        <v>14456</v>
      </c>
    </row>
    <row r="3070" spans="6:10">
      <c r="F3070" t="s">
        <v>14457</v>
      </c>
      <c r="G3070">
        <v>3067</v>
      </c>
      <c r="H3070" t="s">
        <v>2058</v>
      </c>
      <c r="I3070" t="s">
        <v>2059</v>
      </c>
      <c r="J3070" t="s">
        <v>14458</v>
      </c>
    </row>
    <row r="3071" spans="6:10">
      <c r="F3071" t="s">
        <v>14459</v>
      </c>
      <c r="G3071">
        <v>3068</v>
      </c>
      <c r="H3071" t="s">
        <v>14460</v>
      </c>
      <c r="I3071" t="s">
        <v>14461</v>
      </c>
      <c r="J3071" t="s">
        <v>14462</v>
      </c>
    </row>
    <row r="3072" spans="6:10">
      <c r="F3072" t="s">
        <v>14463</v>
      </c>
      <c r="G3072">
        <v>3069</v>
      </c>
      <c r="H3072" t="s">
        <v>2861</v>
      </c>
      <c r="I3072" t="s">
        <v>2862</v>
      </c>
      <c r="J3072" t="s">
        <v>14464</v>
      </c>
    </row>
    <row r="3073" spans="6:10">
      <c r="F3073" t="s">
        <v>14465</v>
      </c>
      <c r="G3073">
        <v>3070</v>
      </c>
      <c r="H3073" t="s">
        <v>1899</v>
      </c>
      <c r="I3073" t="s">
        <v>1905</v>
      </c>
      <c r="J3073" t="s">
        <v>14466</v>
      </c>
    </row>
    <row r="3074" spans="6:10">
      <c r="F3074" t="s">
        <v>14467</v>
      </c>
      <c r="G3074">
        <v>3071</v>
      </c>
      <c r="H3074" t="s">
        <v>14468</v>
      </c>
      <c r="I3074" t="s">
        <v>14469</v>
      </c>
      <c r="J3074" t="s">
        <v>14470</v>
      </c>
    </row>
    <row r="3075" spans="6:10">
      <c r="F3075" t="s">
        <v>14471</v>
      </c>
      <c r="G3075">
        <v>3072</v>
      </c>
      <c r="H3075" t="s">
        <v>2164</v>
      </c>
      <c r="I3075" t="s">
        <v>2165</v>
      </c>
      <c r="J3075" t="s">
        <v>14472</v>
      </c>
    </row>
    <row r="3076" spans="6:10">
      <c r="F3076" t="s">
        <v>14473</v>
      </c>
      <c r="G3076">
        <v>3073</v>
      </c>
      <c r="H3076" t="s">
        <v>3597</v>
      </c>
      <c r="I3076" t="s">
        <v>3597</v>
      </c>
      <c r="J3076" t="s">
        <v>14474</v>
      </c>
    </row>
    <row r="3077" spans="6:10">
      <c r="F3077" t="s">
        <v>14475</v>
      </c>
      <c r="G3077">
        <v>3074</v>
      </c>
      <c r="H3077" t="s">
        <v>5011</v>
      </c>
      <c r="I3077" t="s">
        <v>5012</v>
      </c>
      <c r="J3077" t="s">
        <v>14476</v>
      </c>
    </row>
    <row r="3078" spans="6:10">
      <c r="F3078" t="s">
        <v>14477</v>
      </c>
      <c r="G3078">
        <v>3075</v>
      </c>
      <c r="H3078" t="s">
        <v>2795</v>
      </c>
      <c r="I3078" t="s">
        <v>2796</v>
      </c>
      <c r="J3078" t="s">
        <v>14478</v>
      </c>
    </row>
    <row r="3079" spans="6:10">
      <c r="F3079" t="s">
        <v>14479</v>
      </c>
      <c r="G3079">
        <v>3076</v>
      </c>
      <c r="H3079" t="s">
        <v>1936</v>
      </c>
      <c r="I3079" t="s">
        <v>1938</v>
      </c>
      <c r="J3079" t="s">
        <v>14480</v>
      </c>
    </row>
    <row r="3080" spans="6:10">
      <c r="F3080" t="s">
        <v>14481</v>
      </c>
      <c r="G3080">
        <v>3077</v>
      </c>
      <c r="H3080" t="s">
        <v>2320</v>
      </c>
      <c r="I3080" t="s">
        <v>2321</v>
      </c>
      <c r="J3080" t="s">
        <v>14482</v>
      </c>
    </row>
    <row r="3081" spans="6:10">
      <c r="F3081" t="s">
        <v>14483</v>
      </c>
      <c r="G3081">
        <v>3078</v>
      </c>
      <c r="H3081" t="s">
        <v>14484</v>
      </c>
      <c r="I3081" t="s">
        <v>14485</v>
      </c>
      <c r="J3081" t="s">
        <v>14486</v>
      </c>
    </row>
    <row r="3082" spans="6:10">
      <c r="F3082" t="s">
        <v>14487</v>
      </c>
      <c r="G3082">
        <v>3079</v>
      </c>
      <c r="H3082" t="s">
        <v>14488</v>
      </c>
      <c r="I3082" t="s">
        <v>14489</v>
      </c>
      <c r="J3082" t="s">
        <v>14490</v>
      </c>
    </row>
    <row r="3083" spans="6:10">
      <c r="F3083" t="s">
        <v>14491</v>
      </c>
      <c r="G3083">
        <v>3080</v>
      </c>
      <c r="H3083" t="s">
        <v>14492</v>
      </c>
      <c r="I3083" t="s">
        <v>14493</v>
      </c>
      <c r="J3083" t="s">
        <v>14494</v>
      </c>
    </row>
    <row r="3084" spans="6:10">
      <c r="F3084" t="s">
        <v>14495</v>
      </c>
      <c r="G3084">
        <v>3081</v>
      </c>
      <c r="H3084" t="s">
        <v>2622</v>
      </c>
      <c r="I3084" t="s">
        <v>2623</v>
      </c>
      <c r="J3084" t="s">
        <v>14496</v>
      </c>
    </row>
    <row r="3085" spans="6:10">
      <c r="F3085" t="s">
        <v>14497</v>
      </c>
      <c r="G3085">
        <v>3082</v>
      </c>
      <c r="H3085" t="s">
        <v>2383</v>
      </c>
      <c r="I3085" t="s">
        <v>2385</v>
      </c>
      <c r="J3085" t="s">
        <v>14498</v>
      </c>
    </row>
    <row r="3086" spans="6:10">
      <c r="F3086" t="s">
        <v>14499</v>
      </c>
      <c r="G3086">
        <v>3083</v>
      </c>
      <c r="H3086" t="s">
        <v>14500</v>
      </c>
      <c r="I3086" t="s">
        <v>14501</v>
      </c>
      <c r="J3086" t="s">
        <v>14502</v>
      </c>
    </row>
    <row r="3087" spans="6:10">
      <c r="F3087" t="s">
        <v>14503</v>
      </c>
      <c r="G3087">
        <v>3084</v>
      </c>
      <c r="H3087" t="s">
        <v>14504</v>
      </c>
      <c r="I3087" t="s">
        <v>14505</v>
      </c>
      <c r="J3087" t="s">
        <v>14506</v>
      </c>
    </row>
    <row r="3088" spans="6:10">
      <c r="F3088" t="s">
        <v>14507</v>
      </c>
      <c r="G3088">
        <v>3085</v>
      </c>
      <c r="H3088" t="s">
        <v>14508</v>
      </c>
      <c r="I3088" t="s">
        <v>14509</v>
      </c>
      <c r="J3088" t="s">
        <v>14510</v>
      </c>
    </row>
    <row r="3089" spans="6:10">
      <c r="F3089" t="s">
        <v>14511</v>
      </c>
      <c r="G3089">
        <v>3086</v>
      </c>
      <c r="H3089" t="s">
        <v>14512</v>
      </c>
      <c r="I3089" t="s">
        <v>14513</v>
      </c>
      <c r="J3089" t="s">
        <v>14514</v>
      </c>
    </row>
    <row r="3090" spans="6:10">
      <c r="F3090" t="s">
        <v>14515</v>
      </c>
      <c r="G3090">
        <v>3087</v>
      </c>
      <c r="H3090" t="s">
        <v>7261</v>
      </c>
      <c r="I3090" t="s">
        <v>7262</v>
      </c>
      <c r="J3090" t="s">
        <v>14516</v>
      </c>
    </row>
    <row r="3091" spans="6:10">
      <c r="F3091" t="s">
        <v>14517</v>
      </c>
      <c r="G3091">
        <v>3088</v>
      </c>
      <c r="H3091" t="s">
        <v>14518</v>
      </c>
      <c r="I3091" t="s">
        <v>14519</v>
      </c>
      <c r="J3091" t="s">
        <v>14520</v>
      </c>
    </row>
    <row r="3092" spans="6:10">
      <c r="F3092" t="s">
        <v>14521</v>
      </c>
      <c r="G3092">
        <v>3089</v>
      </c>
      <c r="H3092" t="s">
        <v>13267</v>
      </c>
      <c r="I3092" t="s">
        <v>13267</v>
      </c>
      <c r="J3092" t="s">
        <v>14522</v>
      </c>
    </row>
    <row r="3093" spans="6:10">
      <c r="F3093" t="s">
        <v>14523</v>
      </c>
      <c r="G3093">
        <v>3090</v>
      </c>
      <c r="H3093" t="s">
        <v>2714</v>
      </c>
      <c r="I3093" t="s">
        <v>2715</v>
      </c>
      <c r="J3093" t="s">
        <v>14524</v>
      </c>
    </row>
    <row r="3094" spans="6:10">
      <c r="F3094" t="s">
        <v>14525</v>
      </c>
      <c r="G3094">
        <v>3091</v>
      </c>
      <c r="H3094" t="s">
        <v>14526</v>
      </c>
      <c r="I3094" t="s">
        <v>14527</v>
      </c>
      <c r="J3094" t="s">
        <v>14528</v>
      </c>
    </row>
    <row r="3095" spans="6:10">
      <c r="F3095" t="s">
        <v>14529</v>
      </c>
      <c r="G3095">
        <v>3092</v>
      </c>
      <c r="H3095" t="s">
        <v>14530</v>
      </c>
      <c r="I3095" t="s">
        <v>5402</v>
      </c>
      <c r="J3095" t="s">
        <v>14531</v>
      </c>
    </row>
    <row r="3096" spans="6:10">
      <c r="F3096" t="s">
        <v>14532</v>
      </c>
      <c r="G3096">
        <v>3093</v>
      </c>
      <c r="H3096" t="s">
        <v>14533</v>
      </c>
      <c r="I3096" t="s">
        <v>14534</v>
      </c>
      <c r="J3096" t="s">
        <v>14535</v>
      </c>
    </row>
    <row r="3097" spans="6:10">
      <c r="F3097" t="s">
        <v>14536</v>
      </c>
      <c r="G3097">
        <v>3094</v>
      </c>
      <c r="H3097" t="s">
        <v>14537</v>
      </c>
      <c r="I3097" t="s">
        <v>14538</v>
      </c>
      <c r="J3097" t="s">
        <v>14539</v>
      </c>
    </row>
    <row r="3098" spans="6:10">
      <c r="F3098" t="s">
        <v>14540</v>
      </c>
      <c r="G3098">
        <v>3095</v>
      </c>
      <c r="H3098" t="s">
        <v>5939</v>
      </c>
      <c r="I3098" t="s">
        <v>5940</v>
      </c>
      <c r="J3098" t="s">
        <v>14541</v>
      </c>
    </row>
    <row r="3099" spans="6:10">
      <c r="F3099" t="s">
        <v>14542</v>
      </c>
      <c r="G3099">
        <v>3096</v>
      </c>
      <c r="H3099" t="s">
        <v>2532</v>
      </c>
      <c r="I3099" t="s">
        <v>2532</v>
      </c>
      <c r="J3099" t="s">
        <v>14543</v>
      </c>
    </row>
    <row r="3100" spans="6:10">
      <c r="F3100" t="s">
        <v>14544</v>
      </c>
      <c r="G3100">
        <v>3097</v>
      </c>
      <c r="H3100" t="s">
        <v>9642</v>
      </c>
      <c r="I3100" t="s">
        <v>14545</v>
      </c>
      <c r="J3100" t="s">
        <v>14546</v>
      </c>
    </row>
    <row r="3101" spans="6:10">
      <c r="F3101" t="s">
        <v>14547</v>
      </c>
      <c r="G3101">
        <v>3098</v>
      </c>
      <c r="H3101" t="s">
        <v>14548</v>
      </c>
      <c r="I3101" t="s">
        <v>14549</v>
      </c>
      <c r="J3101" t="s">
        <v>14550</v>
      </c>
    </row>
    <row r="3102" spans="6:10">
      <c r="F3102" t="s">
        <v>14551</v>
      </c>
      <c r="G3102">
        <v>3099</v>
      </c>
      <c r="H3102" t="s">
        <v>2239</v>
      </c>
      <c r="I3102" t="s">
        <v>2240</v>
      </c>
      <c r="J3102" t="s">
        <v>14552</v>
      </c>
    </row>
    <row r="3103" spans="6:10">
      <c r="F3103" t="s">
        <v>14553</v>
      </c>
      <c r="G3103">
        <v>3100</v>
      </c>
      <c r="H3103" t="s">
        <v>2271</v>
      </c>
      <c r="I3103" t="s">
        <v>2271</v>
      </c>
      <c r="J3103" t="s">
        <v>14554</v>
      </c>
    </row>
    <row r="3104" spans="6:10">
      <c r="F3104" t="s">
        <v>14555</v>
      </c>
      <c r="G3104">
        <v>3101</v>
      </c>
      <c r="H3104" t="s">
        <v>979</v>
      </c>
      <c r="I3104" t="s">
        <v>979</v>
      </c>
      <c r="J3104" t="s">
        <v>14556</v>
      </c>
    </row>
    <row r="3105" spans="6:10">
      <c r="F3105" t="s">
        <v>14557</v>
      </c>
      <c r="G3105">
        <v>3102</v>
      </c>
      <c r="H3105" t="s">
        <v>14558</v>
      </c>
      <c r="I3105" t="s">
        <v>14559</v>
      </c>
      <c r="J3105" t="s">
        <v>14560</v>
      </c>
    </row>
    <row r="3106" spans="6:10">
      <c r="F3106" t="s">
        <v>14561</v>
      </c>
      <c r="G3106">
        <v>3103</v>
      </c>
      <c r="H3106" t="s">
        <v>14562</v>
      </c>
      <c r="I3106" t="s">
        <v>14563</v>
      </c>
      <c r="J3106" t="s">
        <v>14564</v>
      </c>
    </row>
    <row r="3107" spans="6:10">
      <c r="F3107" t="s">
        <v>14565</v>
      </c>
      <c r="G3107">
        <v>3104</v>
      </c>
      <c r="H3107" t="s">
        <v>4306</v>
      </c>
      <c r="I3107" t="s">
        <v>4307</v>
      </c>
      <c r="J3107" t="s">
        <v>14566</v>
      </c>
    </row>
    <row r="3108" spans="6:10">
      <c r="F3108" t="s">
        <v>14567</v>
      </c>
      <c r="G3108">
        <v>3105</v>
      </c>
      <c r="H3108" t="s">
        <v>14568</v>
      </c>
      <c r="I3108" t="s">
        <v>14569</v>
      </c>
      <c r="J3108" t="s">
        <v>14570</v>
      </c>
    </row>
    <row r="3109" spans="6:10">
      <c r="F3109" t="s">
        <v>14571</v>
      </c>
      <c r="G3109">
        <v>3106</v>
      </c>
      <c r="H3109" t="s">
        <v>14572</v>
      </c>
      <c r="I3109" t="s">
        <v>14573</v>
      </c>
      <c r="J3109" t="s">
        <v>14574</v>
      </c>
    </row>
    <row r="3110" spans="6:10">
      <c r="F3110" t="s">
        <v>14575</v>
      </c>
      <c r="G3110">
        <v>3107</v>
      </c>
      <c r="H3110" t="s">
        <v>2514</v>
      </c>
      <c r="I3110" t="s">
        <v>2515</v>
      </c>
      <c r="J3110" t="s">
        <v>14576</v>
      </c>
    </row>
    <row r="3111" spans="6:10">
      <c r="F3111" t="s">
        <v>14577</v>
      </c>
      <c r="G3111">
        <v>3108</v>
      </c>
      <c r="H3111" t="s">
        <v>14578</v>
      </c>
      <c r="I3111" t="s">
        <v>14579</v>
      </c>
      <c r="J3111" t="s">
        <v>14580</v>
      </c>
    </row>
    <row r="3112" spans="6:10">
      <c r="F3112" t="s">
        <v>14581</v>
      </c>
      <c r="G3112">
        <v>3109</v>
      </c>
      <c r="H3112" t="s">
        <v>3451</v>
      </c>
      <c r="I3112" t="s">
        <v>3452</v>
      </c>
      <c r="J3112" t="s">
        <v>14582</v>
      </c>
    </row>
    <row r="3113" spans="6:10">
      <c r="F3113" t="s">
        <v>14583</v>
      </c>
      <c r="G3113">
        <v>3110</v>
      </c>
      <c r="H3113" t="s">
        <v>14584</v>
      </c>
      <c r="I3113" t="s">
        <v>14585</v>
      </c>
      <c r="J3113" t="s">
        <v>14586</v>
      </c>
    </row>
    <row r="3114" spans="6:10">
      <c r="F3114" t="s">
        <v>14587</v>
      </c>
      <c r="G3114">
        <v>3111</v>
      </c>
      <c r="H3114" t="s">
        <v>13267</v>
      </c>
      <c r="I3114" t="s">
        <v>13267</v>
      </c>
      <c r="J3114" t="s">
        <v>14588</v>
      </c>
    </row>
    <row r="3115" spans="6:10">
      <c r="F3115" t="s">
        <v>14589</v>
      </c>
      <c r="G3115">
        <v>3112</v>
      </c>
      <c r="H3115" t="s">
        <v>1138</v>
      </c>
      <c r="I3115" t="s">
        <v>1139</v>
      </c>
      <c r="J3115" t="s">
        <v>14590</v>
      </c>
    </row>
    <row r="3116" spans="6:10">
      <c r="F3116" t="s">
        <v>14591</v>
      </c>
      <c r="G3116">
        <v>3113</v>
      </c>
      <c r="H3116" t="s">
        <v>14592</v>
      </c>
      <c r="I3116" t="s">
        <v>14593</v>
      </c>
      <c r="J3116" t="s">
        <v>14594</v>
      </c>
    </row>
    <row r="3117" spans="6:10">
      <c r="F3117" t="s">
        <v>14595</v>
      </c>
      <c r="G3117">
        <v>3114</v>
      </c>
      <c r="H3117" t="s">
        <v>1956</v>
      </c>
      <c r="I3117" t="s">
        <v>1957</v>
      </c>
      <c r="J3117" t="s">
        <v>14596</v>
      </c>
    </row>
    <row r="3118" spans="6:10">
      <c r="F3118" t="s">
        <v>14597</v>
      </c>
      <c r="G3118">
        <v>3115</v>
      </c>
      <c r="H3118" t="s">
        <v>14598</v>
      </c>
      <c r="I3118" t="s">
        <v>14599</v>
      </c>
      <c r="J3118" t="s">
        <v>14600</v>
      </c>
    </row>
    <row r="3119" spans="6:10">
      <c r="F3119" t="s">
        <v>14601</v>
      </c>
      <c r="G3119">
        <v>3116</v>
      </c>
      <c r="H3119" t="s">
        <v>14602</v>
      </c>
      <c r="I3119" t="s">
        <v>14603</v>
      </c>
      <c r="J3119" t="s">
        <v>14604</v>
      </c>
    </row>
    <row r="3120" spans="6:10">
      <c r="F3120" t="s">
        <v>14605</v>
      </c>
      <c r="G3120">
        <v>3117</v>
      </c>
      <c r="H3120" t="s">
        <v>14606</v>
      </c>
      <c r="I3120" t="s">
        <v>14607</v>
      </c>
      <c r="J3120" t="s">
        <v>14608</v>
      </c>
    </row>
    <row r="3121" spans="6:10">
      <c r="F3121" t="s">
        <v>14609</v>
      </c>
      <c r="G3121">
        <v>3118</v>
      </c>
      <c r="H3121" t="s">
        <v>22185</v>
      </c>
      <c r="I3121" t="s">
        <v>22186</v>
      </c>
      <c r="J3121" t="s">
        <v>14610</v>
      </c>
    </row>
    <row r="3122" spans="6:10">
      <c r="F3122" t="s">
        <v>14611</v>
      </c>
      <c r="G3122">
        <v>3119</v>
      </c>
      <c r="H3122" t="s">
        <v>14612</v>
      </c>
      <c r="I3122" t="s">
        <v>14613</v>
      </c>
      <c r="J3122" t="s">
        <v>14614</v>
      </c>
    </row>
    <row r="3123" spans="6:10">
      <c r="F3123" t="s">
        <v>14615</v>
      </c>
      <c r="G3123">
        <v>3120</v>
      </c>
      <c r="H3123" t="s">
        <v>14616</v>
      </c>
      <c r="I3123" t="s">
        <v>14616</v>
      </c>
      <c r="J3123" t="s">
        <v>14617</v>
      </c>
    </row>
    <row r="3124" spans="6:10">
      <c r="F3124" t="s">
        <v>14618</v>
      </c>
      <c r="G3124">
        <v>3121</v>
      </c>
      <c r="H3124" t="s">
        <v>14619</v>
      </c>
      <c r="I3124" t="s">
        <v>14620</v>
      </c>
      <c r="J3124" t="s">
        <v>14621</v>
      </c>
    </row>
    <row r="3125" spans="6:10">
      <c r="F3125" t="s">
        <v>14622</v>
      </c>
      <c r="G3125">
        <v>3122</v>
      </c>
      <c r="H3125" t="s">
        <v>14623</v>
      </c>
      <c r="I3125" t="s">
        <v>14624</v>
      </c>
      <c r="J3125" t="s">
        <v>14625</v>
      </c>
    </row>
    <row r="3126" spans="6:10">
      <c r="F3126" t="s">
        <v>14626</v>
      </c>
      <c r="G3126">
        <v>3123</v>
      </c>
      <c r="H3126" t="s">
        <v>1015</v>
      </c>
      <c r="I3126" t="s">
        <v>1016</v>
      </c>
      <c r="J3126" t="s">
        <v>14627</v>
      </c>
    </row>
    <row r="3127" spans="6:10">
      <c r="F3127" t="s">
        <v>14628</v>
      </c>
      <c r="G3127">
        <v>3124</v>
      </c>
      <c r="H3127" t="s">
        <v>2901</v>
      </c>
      <c r="I3127" t="s">
        <v>2902</v>
      </c>
      <c r="J3127" t="s">
        <v>14629</v>
      </c>
    </row>
    <row r="3128" spans="6:10">
      <c r="F3128" t="s">
        <v>14630</v>
      </c>
      <c r="G3128">
        <v>3125</v>
      </c>
      <c r="H3128" t="s">
        <v>14631</v>
      </c>
      <c r="I3128" t="s">
        <v>14632</v>
      </c>
      <c r="J3128" t="s">
        <v>14633</v>
      </c>
    </row>
    <row r="3129" spans="6:10">
      <c r="F3129" t="s">
        <v>14634</v>
      </c>
      <c r="G3129">
        <v>3126</v>
      </c>
      <c r="H3129" t="s">
        <v>4016</v>
      </c>
      <c r="I3129" t="s">
        <v>4017</v>
      </c>
      <c r="J3129" t="s">
        <v>14635</v>
      </c>
    </row>
    <row r="3130" spans="6:10">
      <c r="F3130" t="s">
        <v>14636</v>
      </c>
      <c r="G3130">
        <v>3127</v>
      </c>
      <c r="H3130" t="s">
        <v>14637</v>
      </c>
      <c r="I3130" t="s">
        <v>14638</v>
      </c>
      <c r="J3130" t="s">
        <v>14639</v>
      </c>
    </row>
    <row r="3131" spans="6:10">
      <c r="F3131" t="s">
        <v>14640</v>
      </c>
      <c r="G3131">
        <v>3128</v>
      </c>
      <c r="H3131" t="s">
        <v>3385</v>
      </c>
      <c r="I3131" t="s">
        <v>3386</v>
      </c>
      <c r="J3131" t="s">
        <v>14641</v>
      </c>
    </row>
    <row r="3132" spans="6:10">
      <c r="F3132" t="s">
        <v>14642</v>
      </c>
      <c r="G3132">
        <v>3129</v>
      </c>
      <c r="H3132" t="s">
        <v>14643</v>
      </c>
      <c r="I3132" t="s">
        <v>14644</v>
      </c>
      <c r="J3132" t="s">
        <v>14645</v>
      </c>
    </row>
    <row r="3133" spans="6:10">
      <c r="F3133" t="s">
        <v>14646</v>
      </c>
      <c r="G3133">
        <v>3130</v>
      </c>
      <c r="H3133" t="s">
        <v>14647</v>
      </c>
      <c r="I3133" t="s">
        <v>14648</v>
      </c>
      <c r="J3133" t="s">
        <v>14649</v>
      </c>
    </row>
    <row r="3134" spans="6:10">
      <c r="F3134" t="s">
        <v>14650</v>
      </c>
      <c r="G3134">
        <v>3131</v>
      </c>
      <c r="H3134" t="s">
        <v>985</v>
      </c>
      <c r="I3134" t="s">
        <v>985</v>
      </c>
      <c r="J3134" t="s">
        <v>14651</v>
      </c>
    </row>
    <row r="3135" spans="6:10">
      <c r="F3135" t="s">
        <v>14652</v>
      </c>
      <c r="G3135">
        <v>3132</v>
      </c>
      <c r="H3135" t="s">
        <v>2168</v>
      </c>
      <c r="I3135" t="s">
        <v>1061</v>
      </c>
      <c r="J3135" t="s">
        <v>14653</v>
      </c>
    </row>
    <row r="3136" spans="6:10">
      <c r="F3136" t="s">
        <v>14654</v>
      </c>
      <c r="G3136">
        <v>3133</v>
      </c>
      <c r="H3136" t="s">
        <v>14655</v>
      </c>
      <c r="I3136" t="s">
        <v>14656</v>
      </c>
      <c r="J3136" t="s">
        <v>14657</v>
      </c>
    </row>
    <row r="3137" spans="6:10">
      <c r="F3137" t="s">
        <v>14658</v>
      </c>
      <c r="G3137">
        <v>3134</v>
      </c>
      <c r="H3137" t="s">
        <v>14659</v>
      </c>
      <c r="I3137" t="s">
        <v>14660</v>
      </c>
      <c r="J3137" t="s">
        <v>14661</v>
      </c>
    </row>
    <row r="3138" spans="6:10">
      <c r="F3138" t="s">
        <v>14662</v>
      </c>
      <c r="G3138">
        <v>3135</v>
      </c>
      <c r="H3138" t="s">
        <v>14663</v>
      </c>
      <c r="I3138" t="s">
        <v>14664</v>
      </c>
      <c r="J3138" t="s">
        <v>14665</v>
      </c>
    </row>
    <row r="3139" spans="6:10">
      <c r="F3139" t="s">
        <v>14666</v>
      </c>
      <c r="G3139">
        <v>3136</v>
      </c>
      <c r="H3139" t="s">
        <v>2698</v>
      </c>
      <c r="I3139" t="s">
        <v>2699</v>
      </c>
      <c r="J3139" t="s">
        <v>14667</v>
      </c>
    </row>
    <row r="3140" spans="6:10">
      <c r="F3140" t="s">
        <v>14668</v>
      </c>
      <c r="G3140">
        <v>3137</v>
      </c>
      <c r="H3140" t="s">
        <v>14669</v>
      </c>
      <c r="I3140" t="s">
        <v>14670</v>
      </c>
      <c r="J3140" t="s">
        <v>14671</v>
      </c>
    </row>
    <row r="3141" spans="6:10">
      <c r="F3141" t="s">
        <v>14672</v>
      </c>
      <c r="G3141">
        <v>3138</v>
      </c>
      <c r="H3141" t="s">
        <v>14673</v>
      </c>
      <c r="I3141" t="s">
        <v>14674</v>
      </c>
      <c r="J3141" t="s">
        <v>14675</v>
      </c>
    </row>
    <row r="3142" spans="6:10">
      <c r="F3142" t="s">
        <v>14676</v>
      </c>
      <c r="G3142">
        <v>3139</v>
      </c>
      <c r="H3142" t="s">
        <v>5963</v>
      </c>
      <c r="I3142" t="s">
        <v>5964</v>
      </c>
      <c r="J3142" t="s">
        <v>14677</v>
      </c>
    </row>
    <row r="3143" spans="6:10">
      <c r="F3143" t="s">
        <v>14678</v>
      </c>
      <c r="G3143">
        <v>3140</v>
      </c>
      <c r="H3143" t="s">
        <v>4960</v>
      </c>
      <c r="I3143" t="s">
        <v>4960</v>
      </c>
      <c r="J3143" t="s">
        <v>14679</v>
      </c>
    </row>
    <row r="3144" spans="6:10">
      <c r="F3144" t="s">
        <v>14680</v>
      </c>
      <c r="G3144">
        <v>3141</v>
      </c>
      <c r="H3144" t="s">
        <v>14681</v>
      </c>
      <c r="I3144" t="s">
        <v>14682</v>
      </c>
      <c r="J3144" t="s">
        <v>14683</v>
      </c>
    </row>
    <row r="3145" spans="6:10">
      <c r="F3145" t="s">
        <v>14684</v>
      </c>
      <c r="G3145">
        <v>3142</v>
      </c>
      <c r="H3145" t="s">
        <v>14685</v>
      </c>
      <c r="I3145" t="s">
        <v>14686</v>
      </c>
      <c r="J3145" t="s">
        <v>14687</v>
      </c>
    </row>
    <row r="3146" spans="6:10">
      <c r="F3146" t="s">
        <v>14688</v>
      </c>
      <c r="G3146">
        <v>3143</v>
      </c>
      <c r="H3146" t="s">
        <v>548</v>
      </c>
      <c r="I3146" t="s">
        <v>590</v>
      </c>
      <c r="J3146" t="s">
        <v>14689</v>
      </c>
    </row>
    <row r="3147" spans="6:10">
      <c r="F3147" t="s">
        <v>14690</v>
      </c>
      <c r="G3147">
        <v>3144</v>
      </c>
      <c r="H3147" t="s">
        <v>14691</v>
      </c>
      <c r="I3147" t="s">
        <v>14692</v>
      </c>
      <c r="J3147" t="s">
        <v>14693</v>
      </c>
    </row>
    <row r="3148" spans="6:10">
      <c r="F3148" t="s">
        <v>14694</v>
      </c>
      <c r="G3148">
        <v>3145</v>
      </c>
      <c r="H3148" t="s">
        <v>14074</v>
      </c>
      <c r="I3148" t="s">
        <v>14075</v>
      </c>
      <c r="J3148" t="s">
        <v>14695</v>
      </c>
    </row>
    <row r="3149" spans="6:10">
      <c r="F3149" t="s">
        <v>14696</v>
      </c>
      <c r="G3149">
        <v>3146</v>
      </c>
      <c r="H3149" t="s">
        <v>803</v>
      </c>
      <c r="I3149" t="s">
        <v>804</v>
      </c>
      <c r="J3149" t="s">
        <v>14697</v>
      </c>
    </row>
    <row r="3150" spans="6:10">
      <c r="F3150" t="s">
        <v>14698</v>
      </c>
      <c r="G3150">
        <v>3147</v>
      </c>
      <c r="H3150" t="s">
        <v>14699</v>
      </c>
      <c r="I3150" t="s">
        <v>14700</v>
      </c>
      <c r="J3150" t="s">
        <v>14701</v>
      </c>
    </row>
    <row r="3151" spans="6:10">
      <c r="F3151" t="s">
        <v>14702</v>
      </c>
      <c r="G3151">
        <v>3148</v>
      </c>
      <c r="H3151" t="s">
        <v>14703</v>
      </c>
      <c r="I3151" t="s">
        <v>14703</v>
      </c>
      <c r="J3151" t="s">
        <v>14704</v>
      </c>
    </row>
    <row r="3152" spans="6:10">
      <c r="F3152" t="s">
        <v>14705</v>
      </c>
      <c r="G3152">
        <v>3149</v>
      </c>
      <c r="H3152" t="s">
        <v>5516</v>
      </c>
      <c r="I3152" t="s">
        <v>5517</v>
      </c>
      <c r="J3152" t="s">
        <v>14706</v>
      </c>
    </row>
    <row r="3153" spans="6:10">
      <c r="F3153" t="s">
        <v>14707</v>
      </c>
      <c r="G3153">
        <v>3150</v>
      </c>
      <c r="H3153" t="s">
        <v>920</v>
      </c>
      <c r="I3153" t="s">
        <v>921</v>
      </c>
      <c r="J3153" t="s">
        <v>14708</v>
      </c>
    </row>
    <row r="3154" spans="6:10">
      <c r="F3154" t="s">
        <v>14709</v>
      </c>
      <c r="G3154">
        <v>3151</v>
      </c>
      <c r="H3154" t="s">
        <v>14710</v>
      </c>
      <c r="I3154" t="s">
        <v>14711</v>
      </c>
      <c r="J3154" t="s">
        <v>14712</v>
      </c>
    </row>
    <row r="3155" spans="6:10">
      <c r="F3155" t="s">
        <v>14713</v>
      </c>
      <c r="G3155">
        <v>3152</v>
      </c>
      <c r="H3155" t="s">
        <v>3502</v>
      </c>
      <c r="I3155" t="s">
        <v>3503</v>
      </c>
      <c r="J3155" t="s">
        <v>14714</v>
      </c>
    </row>
    <row r="3156" spans="6:10">
      <c r="F3156" t="s">
        <v>14715</v>
      </c>
      <c r="G3156">
        <v>3153</v>
      </c>
      <c r="H3156" t="s">
        <v>5216</v>
      </c>
      <c r="I3156" t="s">
        <v>5216</v>
      </c>
      <c r="J3156" t="s">
        <v>14716</v>
      </c>
    </row>
    <row r="3157" spans="6:10">
      <c r="F3157" t="s">
        <v>14717</v>
      </c>
      <c r="G3157">
        <v>3154</v>
      </c>
      <c r="H3157" t="s">
        <v>14718</v>
      </c>
      <c r="I3157" t="s">
        <v>14719</v>
      </c>
      <c r="J3157" t="s">
        <v>14720</v>
      </c>
    </row>
    <row r="3158" spans="6:10">
      <c r="F3158" t="s">
        <v>14721</v>
      </c>
      <c r="G3158">
        <v>3155</v>
      </c>
      <c r="H3158" t="s">
        <v>14722</v>
      </c>
      <c r="I3158" t="s">
        <v>14723</v>
      </c>
      <c r="J3158" t="s">
        <v>14724</v>
      </c>
    </row>
    <row r="3159" spans="6:10">
      <c r="F3159" t="s">
        <v>14725</v>
      </c>
      <c r="G3159">
        <v>3156</v>
      </c>
      <c r="H3159" t="s">
        <v>14703</v>
      </c>
      <c r="I3159" t="s">
        <v>14703</v>
      </c>
      <c r="J3159" t="s">
        <v>14726</v>
      </c>
    </row>
    <row r="3160" spans="6:10">
      <c r="F3160" t="s">
        <v>14727</v>
      </c>
      <c r="G3160">
        <v>3157</v>
      </c>
      <c r="H3160" t="s">
        <v>14728</v>
      </c>
      <c r="I3160" t="s">
        <v>14729</v>
      </c>
      <c r="J3160" t="s">
        <v>14730</v>
      </c>
    </row>
    <row r="3161" spans="6:10">
      <c r="F3161" t="s">
        <v>14731</v>
      </c>
      <c r="G3161">
        <v>3158</v>
      </c>
      <c r="H3161" t="s">
        <v>3861</v>
      </c>
      <c r="I3161" t="s">
        <v>3862</v>
      </c>
      <c r="J3161" t="s">
        <v>14732</v>
      </c>
    </row>
    <row r="3162" spans="6:10">
      <c r="F3162" t="s">
        <v>14733</v>
      </c>
      <c r="G3162">
        <v>3159</v>
      </c>
      <c r="H3162" t="s">
        <v>14734</v>
      </c>
      <c r="I3162" t="s">
        <v>14735</v>
      </c>
      <c r="J3162" t="s">
        <v>14736</v>
      </c>
    </row>
    <row r="3163" spans="6:10">
      <c r="F3163" t="s">
        <v>14737</v>
      </c>
      <c r="G3163">
        <v>3160</v>
      </c>
      <c r="H3163" t="s">
        <v>2996</v>
      </c>
      <c r="I3163" t="s">
        <v>2996</v>
      </c>
      <c r="J3163" t="s">
        <v>14738</v>
      </c>
    </row>
    <row r="3164" spans="6:10">
      <c r="F3164" t="s">
        <v>14739</v>
      </c>
      <c r="G3164">
        <v>3161</v>
      </c>
      <c r="H3164" t="s">
        <v>2248</v>
      </c>
      <c r="I3164" t="s">
        <v>2248</v>
      </c>
      <c r="J3164" t="s">
        <v>14740</v>
      </c>
    </row>
    <row r="3165" spans="6:10">
      <c r="F3165" t="s">
        <v>14741</v>
      </c>
      <c r="G3165">
        <v>3162</v>
      </c>
      <c r="H3165" t="s">
        <v>950</v>
      </c>
      <c r="I3165" t="s">
        <v>951</v>
      </c>
      <c r="J3165" t="s">
        <v>14742</v>
      </c>
    </row>
    <row r="3166" spans="6:10">
      <c r="F3166" t="s">
        <v>14743</v>
      </c>
      <c r="G3166">
        <v>3163</v>
      </c>
      <c r="H3166" t="s">
        <v>5526</v>
      </c>
      <c r="I3166" t="s">
        <v>5527</v>
      </c>
      <c r="J3166" t="s">
        <v>14744</v>
      </c>
    </row>
    <row r="3167" spans="6:10">
      <c r="F3167" t="s">
        <v>14745</v>
      </c>
      <c r="G3167">
        <v>3164</v>
      </c>
      <c r="H3167" t="s">
        <v>3569</v>
      </c>
      <c r="I3167" t="s">
        <v>3570</v>
      </c>
      <c r="J3167" t="s">
        <v>14746</v>
      </c>
    </row>
    <row r="3168" spans="6:10">
      <c r="F3168" t="s">
        <v>14747</v>
      </c>
      <c r="G3168">
        <v>3165</v>
      </c>
      <c r="H3168" t="s">
        <v>4900</v>
      </c>
      <c r="I3168" t="s">
        <v>4901</v>
      </c>
      <c r="J3168" t="s">
        <v>14748</v>
      </c>
    </row>
    <row r="3169" spans="6:10">
      <c r="F3169" t="s">
        <v>14749</v>
      </c>
      <c r="G3169">
        <v>3166</v>
      </c>
      <c r="H3169" t="s">
        <v>13267</v>
      </c>
      <c r="I3169" t="s">
        <v>13267</v>
      </c>
      <c r="J3169" t="s">
        <v>14750</v>
      </c>
    </row>
    <row r="3170" spans="6:10">
      <c r="F3170" t="s">
        <v>14751</v>
      </c>
      <c r="G3170">
        <v>3167</v>
      </c>
      <c r="H3170" t="s">
        <v>325</v>
      </c>
      <c r="I3170" t="s">
        <v>326</v>
      </c>
      <c r="J3170" t="s">
        <v>14752</v>
      </c>
    </row>
    <row r="3171" spans="6:10">
      <c r="F3171" t="s">
        <v>14753</v>
      </c>
      <c r="G3171">
        <v>3168</v>
      </c>
      <c r="H3171" t="s">
        <v>14754</v>
      </c>
      <c r="I3171" t="s">
        <v>14755</v>
      </c>
      <c r="J3171" t="s">
        <v>14756</v>
      </c>
    </row>
    <row r="3172" spans="6:10">
      <c r="F3172" t="s">
        <v>14757</v>
      </c>
      <c r="G3172">
        <v>3169</v>
      </c>
      <c r="H3172" t="s">
        <v>40</v>
      </c>
      <c r="I3172" t="s">
        <v>40</v>
      </c>
      <c r="J3172" t="s">
        <v>14758</v>
      </c>
    </row>
    <row r="3173" spans="6:10">
      <c r="F3173" t="s">
        <v>14759</v>
      </c>
      <c r="G3173">
        <v>3170</v>
      </c>
      <c r="H3173" t="s">
        <v>2602</v>
      </c>
      <c r="I3173" t="s">
        <v>2603</v>
      </c>
      <c r="J3173" t="s">
        <v>14760</v>
      </c>
    </row>
    <row r="3174" spans="6:10">
      <c r="F3174" t="s">
        <v>14761</v>
      </c>
      <c r="G3174">
        <v>3171</v>
      </c>
      <c r="H3174" t="s">
        <v>1786</v>
      </c>
      <c r="I3174" t="s">
        <v>1787</v>
      </c>
      <c r="J3174" t="s">
        <v>14762</v>
      </c>
    </row>
    <row r="3175" spans="6:10">
      <c r="F3175" t="s">
        <v>14763</v>
      </c>
      <c r="G3175">
        <v>3172</v>
      </c>
      <c r="H3175" t="s">
        <v>2684</v>
      </c>
      <c r="I3175" t="s">
        <v>2685</v>
      </c>
      <c r="J3175" t="s">
        <v>14764</v>
      </c>
    </row>
    <row r="3176" spans="6:10">
      <c r="F3176" t="s">
        <v>14765</v>
      </c>
      <c r="G3176">
        <v>3173</v>
      </c>
      <c r="H3176" t="s">
        <v>3001</v>
      </c>
      <c r="I3176" t="s">
        <v>3002</v>
      </c>
      <c r="J3176" t="s">
        <v>14766</v>
      </c>
    </row>
    <row r="3177" spans="6:10">
      <c r="F3177" t="s">
        <v>14767</v>
      </c>
      <c r="G3177">
        <v>3174</v>
      </c>
      <c r="H3177" t="s">
        <v>6174</v>
      </c>
      <c r="I3177" t="s">
        <v>6175</v>
      </c>
      <c r="J3177" t="s">
        <v>14768</v>
      </c>
    </row>
    <row r="3178" spans="6:10">
      <c r="F3178" t="s">
        <v>14769</v>
      </c>
      <c r="G3178">
        <v>3175</v>
      </c>
      <c r="H3178" t="s">
        <v>3134</v>
      </c>
      <c r="I3178" t="s">
        <v>3135</v>
      </c>
      <c r="J3178" t="s">
        <v>14770</v>
      </c>
    </row>
    <row r="3179" spans="6:10">
      <c r="F3179" t="s">
        <v>14771</v>
      </c>
      <c r="G3179">
        <v>3176</v>
      </c>
      <c r="H3179" t="s">
        <v>14772</v>
      </c>
      <c r="I3179" t="s">
        <v>14773</v>
      </c>
      <c r="J3179" t="s">
        <v>14774</v>
      </c>
    </row>
    <row r="3180" spans="6:10">
      <c r="F3180" t="s">
        <v>14775</v>
      </c>
      <c r="G3180">
        <v>3177</v>
      </c>
      <c r="H3180" t="s">
        <v>938</v>
      </c>
      <c r="I3180" t="s">
        <v>939</v>
      </c>
      <c r="J3180" t="s">
        <v>14776</v>
      </c>
    </row>
    <row r="3181" spans="6:10">
      <c r="F3181" t="s">
        <v>14777</v>
      </c>
      <c r="G3181">
        <v>3178</v>
      </c>
      <c r="H3181" t="s">
        <v>4270</v>
      </c>
      <c r="I3181" t="s">
        <v>4271</v>
      </c>
      <c r="J3181" t="s">
        <v>14778</v>
      </c>
    </row>
    <row r="3182" spans="6:10">
      <c r="F3182" t="s">
        <v>14779</v>
      </c>
      <c r="G3182">
        <v>3179</v>
      </c>
      <c r="H3182" t="s">
        <v>14780</v>
      </c>
      <c r="I3182" t="s">
        <v>14781</v>
      </c>
      <c r="J3182" t="s">
        <v>14782</v>
      </c>
    </row>
    <row r="3183" spans="6:10">
      <c r="F3183" t="s">
        <v>14783</v>
      </c>
      <c r="G3183">
        <v>3180</v>
      </c>
      <c r="H3183" t="s">
        <v>12988</v>
      </c>
      <c r="I3183" t="s">
        <v>14784</v>
      </c>
      <c r="J3183" t="s">
        <v>14785</v>
      </c>
    </row>
    <row r="3184" spans="6:10">
      <c r="F3184" t="s">
        <v>14786</v>
      </c>
      <c r="G3184">
        <v>3181</v>
      </c>
      <c r="H3184" t="s">
        <v>3390</v>
      </c>
      <c r="I3184" t="s">
        <v>3390</v>
      </c>
      <c r="J3184" t="s">
        <v>14787</v>
      </c>
    </row>
    <row r="3185" spans="6:10">
      <c r="F3185" t="s">
        <v>14788</v>
      </c>
      <c r="G3185">
        <v>3182</v>
      </c>
      <c r="H3185" t="s">
        <v>36</v>
      </c>
      <c r="I3185" t="s">
        <v>37</v>
      </c>
      <c r="J3185" t="s">
        <v>14789</v>
      </c>
    </row>
    <row r="3186" spans="6:10">
      <c r="F3186" t="s">
        <v>14790</v>
      </c>
      <c r="G3186">
        <v>3183</v>
      </c>
      <c r="H3186" t="s">
        <v>3116</v>
      </c>
      <c r="I3186" t="s">
        <v>3117</v>
      </c>
      <c r="J3186" t="s">
        <v>14791</v>
      </c>
    </row>
    <row r="3187" spans="6:10">
      <c r="F3187" t="s">
        <v>14792</v>
      </c>
      <c r="G3187">
        <v>3184</v>
      </c>
      <c r="H3187" t="s">
        <v>400</v>
      </c>
      <c r="I3187" t="s">
        <v>401</v>
      </c>
      <c r="J3187" t="s">
        <v>14793</v>
      </c>
    </row>
    <row r="3188" spans="6:10">
      <c r="F3188" t="s">
        <v>14794</v>
      </c>
      <c r="G3188">
        <v>3185</v>
      </c>
      <c r="H3188" t="s">
        <v>3387</v>
      </c>
      <c r="I3188" t="s">
        <v>3388</v>
      </c>
      <c r="J3188" t="s">
        <v>14795</v>
      </c>
    </row>
    <row r="3189" spans="6:10">
      <c r="F3189" t="s">
        <v>14796</v>
      </c>
      <c r="G3189">
        <v>3186</v>
      </c>
      <c r="H3189" t="s">
        <v>14797</v>
      </c>
      <c r="I3189" t="s">
        <v>14798</v>
      </c>
      <c r="J3189" t="s">
        <v>14799</v>
      </c>
    </row>
    <row r="3190" spans="6:10">
      <c r="F3190" t="s">
        <v>14800</v>
      </c>
      <c r="G3190">
        <v>3187</v>
      </c>
      <c r="H3190" t="s">
        <v>1983</v>
      </c>
      <c r="I3190" t="s">
        <v>1984</v>
      </c>
      <c r="J3190" t="s">
        <v>14801</v>
      </c>
    </row>
    <row r="3191" spans="6:10">
      <c r="F3191" t="s">
        <v>14802</v>
      </c>
      <c r="G3191">
        <v>3188</v>
      </c>
      <c r="H3191" t="s">
        <v>4680</v>
      </c>
      <c r="I3191" t="s">
        <v>4681</v>
      </c>
      <c r="J3191" t="s">
        <v>14803</v>
      </c>
    </row>
    <row r="3192" spans="6:10">
      <c r="F3192" t="s">
        <v>14804</v>
      </c>
      <c r="G3192">
        <v>3189</v>
      </c>
      <c r="H3192" t="s">
        <v>4040</v>
      </c>
      <c r="I3192" t="s">
        <v>4040</v>
      </c>
      <c r="J3192" t="s">
        <v>14805</v>
      </c>
    </row>
    <row r="3193" spans="6:10">
      <c r="F3193" t="s">
        <v>14806</v>
      </c>
      <c r="G3193">
        <v>3190</v>
      </c>
      <c r="H3193" t="s">
        <v>14807</v>
      </c>
      <c r="I3193" t="s">
        <v>14807</v>
      </c>
      <c r="J3193" t="s">
        <v>14808</v>
      </c>
    </row>
    <row r="3194" spans="6:10">
      <c r="F3194" t="s">
        <v>14809</v>
      </c>
      <c r="G3194">
        <v>3191</v>
      </c>
      <c r="H3194" t="s">
        <v>2171</v>
      </c>
      <c r="I3194" t="s">
        <v>2172</v>
      </c>
      <c r="J3194" t="s">
        <v>14810</v>
      </c>
    </row>
    <row r="3195" spans="6:10">
      <c r="F3195" t="s">
        <v>14811</v>
      </c>
      <c r="G3195">
        <v>3192</v>
      </c>
      <c r="H3195" t="s">
        <v>4227</v>
      </c>
      <c r="I3195" t="s">
        <v>4228</v>
      </c>
      <c r="J3195" t="s">
        <v>14812</v>
      </c>
    </row>
    <row r="3196" spans="6:10">
      <c r="F3196" t="s">
        <v>14813</v>
      </c>
      <c r="G3196">
        <v>3193</v>
      </c>
      <c r="H3196" t="s">
        <v>14814</v>
      </c>
      <c r="I3196" t="s">
        <v>14815</v>
      </c>
      <c r="J3196" t="s">
        <v>14816</v>
      </c>
    </row>
    <row r="3197" spans="6:10">
      <c r="F3197" t="s">
        <v>14817</v>
      </c>
      <c r="G3197">
        <v>3194</v>
      </c>
      <c r="H3197" t="s">
        <v>13326</v>
      </c>
      <c r="I3197" t="s">
        <v>14818</v>
      </c>
      <c r="J3197" t="s">
        <v>14819</v>
      </c>
    </row>
    <row r="3198" spans="6:10">
      <c r="F3198" t="s">
        <v>14820</v>
      </c>
      <c r="G3198">
        <v>3195</v>
      </c>
      <c r="H3198" t="s">
        <v>14821</v>
      </c>
      <c r="I3198" t="s">
        <v>14822</v>
      </c>
      <c r="J3198" t="s">
        <v>14823</v>
      </c>
    </row>
    <row r="3199" spans="6:10">
      <c r="F3199" t="s">
        <v>14824</v>
      </c>
      <c r="G3199">
        <v>3196</v>
      </c>
      <c r="H3199" t="s">
        <v>2207</v>
      </c>
      <c r="I3199" t="s">
        <v>2208</v>
      </c>
      <c r="J3199" t="s">
        <v>14825</v>
      </c>
    </row>
    <row r="3200" spans="6:10">
      <c r="F3200" t="s">
        <v>14826</v>
      </c>
      <c r="G3200">
        <v>3197</v>
      </c>
      <c r="H3200" t="s">
        <v>687</v>
      </c>
      <c r="I3200" t="s">
        <v>690</v>
      </c>
      <c r="J3200" t="s">
        <v>14827</v>
      </c>
    </row>
    <row r="3201" spans="6:10">
      <c r="F3201" t="s">
        <v>14828</v>
      </c>
      <c r="G3201">
        <v>3198</v>
      </c>
      <c r="H3201" t="s">
        <v>3593</v>
      </c>
      <c r="I3201" t="s">
        <v>3594</v>
      </c>
      <c r="J3201" t="s">
        <v>14829</v>
      </c>
    </row>
    <row r="3202" spans="6:10">
      <c r="F3202" t="s">
        <v>14830</v>
      </c>
      <c r="G3202">
        <v>3199</v>
      </c>
      <c r="H3202" t="s">
        <v>14831</v>
      </c>
      <c r="I3202" t="s">
        <v>14832</v>
      </c>
      <c r="J3202" t="s">
        <v>14833</v>
      </c>
    </row>
    <row r="3203" spans="6:10">
      <c r="F3203" t="s">
        <v>14834</v>
      </c>
      <c r="G3203">
        <v>3200</v>
      </c>
      <c r="H3203" t="s">
        <v>727</v>
      </c>
      <c r="I3203" t="s">
        <v>728</v>
      </c>
      <c r="J3203" t="s">
        <v>14835</v>
      </c>
    </row>
    <row r="3204" spans="6:10">
      <c r="F3204" t="s">
        <v>14836</v>
      </c>
      <c r="G3204">
        <v>3201</v>
      </c>
      <c r="H3204" t="s">
        <v>1617</v>
      </c>
      <c r="I3204" t="s">
        <v>1617</v>
      </c>
      <c r="J3204" t="s">
        <v>14837</v>
      </c>
    </row>
    <row r="3205" spans="6:10">
      <c r="F3205" t="s">
        <v>14838</v>
      </c>
      <c r="G3205">
        <v>3202</v>
      </c>
      <c r="H3205" t="s">
        <v>1093</v>
      </c>
      <c r="I3205" t="s">
        <v>1093</v>
      </c>
      <c r="J3205" t="s">
        <v>14839</v>
      </c>
    </row>
    <row r="3206" spans="6:10">
      <c r="F3206" t="s">
        <v>14840</v>
      </c>
      <c r="G3206">
        <v>3203</v>
      </c>
      <c r="H3206" t="s">
        <v>4043</v>
      </c>
      <c r="I3206" t="s">
        <v>4044</v>
      </c>
      <c r="J3206" t="s">
        <v>14841</v>
      </c>
    </row>
    <row r="3207" spans="6:10">
      <c r="F3207" t="s">
        <v>14842</v>
      </c>
      <c r="G3207">
        <v>3204</v>
      </c>
      <c r="H3207" t="s">
        <v>2973</v>
      </c>
      <c r="I3207" t="s">
        <v>2973</v>
      </c>
      <c r="J3207" t="s">
        <v>14843</v>
      </c>
    </row>
    <row r="3208" spans="6:10">
      <c r="F3208" t="s">
        <v>14844</v>
      </c>
      <c r="G3208">
        <v>3205</v>
      </c>
      <c r="H3208" t="s">
        <v>1502</v>
      </c>
      <c r="I3208" t="s">
        <v>1503</v>
      </c>
      <c r="J3208" t="s">
        <v>14845</v>
      </c>
    </row>
    <row r="3209" spans="6:10">
      <c r="F3209" t="s">
        <v>14846</v>
      </c>
      <c r="G3209">
        <v>3206</v>
      </c>
      <c r="H3209" t="s">
        <v>5502</v>
      </c>
      <c r="I3209" t="s">
        <v>5503</v>
      </c>
      <c r="J3209" t="s">
        <v>14847</v>
      </c>
    </row>
    <row r="3210" spans="6:10">
      <c r="F3210" t="s">
        <v>14848</v>
      </c>
      <c r="G3210">
        <v>3207</v>
      </c>
      <c r="H3210" t="s">
        <v>946</v>
      </c>
      <c r="I3210" t="s">
        <v>947</v>
      </c>
      <c r="J3210" t="s">
        <v>14849</v>
      </c>
    </row>
    <row r="3211" spans="6:10">
      <c r="F3211" t="s">
        <v>14850</v>
      </c>
      <c r="G3211">
        <v>3208</v>
      </c>
      <c r="H3211" t="s">
        <v>1636</v>
      </c>
      <c r="I3211" t="s">
        <v>1642</v>
      </c>
      <c r="J3211" t="s">
        <v>14851</v>
      </c>
    </row>
    <row r="3212" spans="6:10">
      <c r="F3212" t="s">
        <v>14852</v>
      </c>
      <c r="G3212">
        <v>3209</v>
      </c>
      <c r="H3212" t="s">
        <v>1633</v>
      </c>
      <c r="I3212" t="s">
        <v>1634</v>
      </c>
      <c r="J3212" t="s">
        <v>14853</v>
      </c>
    </row>
    <row r="3213" spans="6:10">
      <c r="F3213" t="s">
        <v>14854</v>
      </c>
      <c r="G3213">
        <v>3210</v>
      </c>
      <c r="H3213" t="s">
        <v>14855</v>
      </c>
      <c r="I3213" t="s">
        <v>14856</v>
      </c>
      <c r="J3213" t="s">
        <v>14857</v>
      </c>
    </row>
    <row r="3214" spans="6:10">
      <c r="F3214" t="s">
        <v>14858</v>
      </c>
      <c r="G3214">
        <v>3211</v>
      </c>
      <c r="H3214" t="s">
        <v>2023</v>
      </c>
      <c r="I3214" t="s">
        <v>2024</v>
      </c>
      <c r="J3214" t="s">
        <v>14859</v>
      </c>
    </row>
    <row r="3215" spans="6:10">
      <c r="F3215" t="s">
        <v>14860</v>
      </c>
      <c r="G3215">
        <v>3212</v>
      </c>
      <c r="H3215" t="s">
        <v>14861</v>
      </c>
      <c r="I3215" t="s">
        <v>14862</v>
      </c>
      <c r="J3215" t="s">
        <v>14863</v>
      </c>
    </row>
    <row r="3216" spans="6:10">
      <c r="F3216" t="s">
        <v>14864</v>
      </c>
      <c r="G3216">
        <v>3213</v>
      </c>
      <c r="H3216" t="s">
        <v>14865</v>
      </c>
      <c r="I3216" t="s">
        <v>14866</v>
      </c>
      <c r="J3216" t="s">
        <v>14867</v>
      </c>
    </row>
    <row r="3217" spans="6:10">
      <c r="F3217" t="s">
        <v>14868</v>
      </c>
      <c r="G3217">
        <v>3214</v>
      </c>
      <c r="H3217" t="s">
        <v>14869</v>
      </c>
      <c r="I3217" t="s">
        <v>14870</v>
      </c>
      <c r="J3217" t="s">
        <v>14871</v>
      </c>
    </row>
    <row r="3218" spans="6:10">
      <c r="F3218" t="s">
        <v>14872</v>
      </c>
      <c r="G3218">
        <v>3215</v>
      </c>
      <c r="H3218" t="s">
        <v>9046</v>
      </c>
      <c r="I3218" t="s">
        <v>9046</v>
      </c>
      <c r="J3218" t="s">
        <v>14873</v>
      </c>
    </row>
    <row r="3219" spans="6:10">
      <c r="F3219" t="s">
        <v>14874</v>
      </c>
      <c r="G3219">
        <v>3216</v>
      </c>
      <c r="H3219" t="s">
        <v>14875</v>
      </c>
      <c r="I3219" t="s">
        <v>14876</v>
      </c>
      <c r="J3219" t="s">
        <v>14877</v>
      </c>
    </row>
    <row r="3220" spans="6:10">
      <c r="F3220" t="s">
        <v>14878</v>
      </c>
      <c r="G3220">
        <v>3217</v>
      </c>
      <c r="H3220" t="s">
        <v>5028</v>
      </c>
      <c r="I3220" t="s">
        <v>5028</v>
      </c>
      <c r="J3220" t="s">
        <v>14879</v>
      </c>
    </row>
    <row r="3221" spans="6:10">
      <c r="F3221" t="s">
        <v>14880</v>
      </c>
      <c r="G3221">
        <v>3218</v>
      </c>
      <c r="H3221" t="s">
        <v>14881</v>
      </c>
      <c r="I3221" t="s">
        <v>14882</v>
      </c>
      <c r="J3221" t="s">
        <v>14883</v>
      </c>
    </row>
    <row r="3222" spans="6:10">
      <c r="F3222" t="s">
        <v>14884</v>
      </c>
      <c r="G3222">
        <v>3219</v>
      </c>
      <c r="H3222" t="s">
        <v>2193</v>
      </c>
      <c r="I3222" t="s">
        <v>2194</v>
      </c>
      <c r="J3222" t="s">
        <v>14885</v>
      </c>
    </row>
    <row r="3223" spans="6:10">
      <c r="F3223" t="s">
        <v>14886</v>
      </c>
      <c r="G3223">
        <v>3220</v>
      </c>
      <c r="H3223" t="s">
        <v>14887</v>
      </c>
      <c r="I3223" t="s">
        <v>14888</v>
      </c>
      <c r="J3223" t="s">
        <v>14889</v>
      </c>
    </row>
    <row r="3224" spans="6:10">
      <c r="F3224" t="s">
        <v>14890</v>
      </c>
      <c r="G3224">
        <v>3221</v>
      </c>
      <c r="H3224" t="s">
        <v>4808</v>
      </c>
      <c r="I3224" t="s">
        <v>4809</v>
      </c>
      <c r="J3224" t="s">
        <v>14891</v>
      </c>
    </row>
    <row r="3225" spans="6:10">
      <c r="F3225" t="s">
        <v>14892</v>
      </c>
      <c r="G3225">
        <v>3222</v>
      </c>
      <c r="H3225" t="s">
        <v>4494</v>
      </c>
      <c r="I3225" t="s">
        <v>4495</v>
      </c>
      <c r="J3225" t="s">
        <v>14893</v>
      </c>
    </row>
    <row r="3226" spans="6:10">
      <c r="F3226" t="s">
        <v>14894</v>
      </c>
      <c r="G3226">
        <v>3223</v>
      </c>
      <c r="H3226" t="s">
        <v>14895</v>
      </c>
      <c r="I3226" t="s">
        <v>14896</v>
      </c>
      <c r="J3226" t="s">
        <v>14897</v>
      </c>
    </row>
    <row r="3227" spans="6:10">
      <c r="F3227" t="s">
        <v>14898</v>
      </c>
      <c r="G3227">
        <v>3224</v>
      </c>
      <c r="H3227" t="s">
        <v>14899</v>
      </c>
      <c r="I3227" t="s">
        <v>14900</v>
      </c>
      <c r="J3227" t="s">
        <v>14901</v>
      </c>
    </row>
    <row r="3228" spans="6:10">
      <c r="F3228" t="s">
        <v>14902</v>
      </c>
      <c r="G3228">
        <v>3225</v>
      </c>
      <c r="H3228" t="s">
        <v>14903</v>
      </c>
      <c r="I3228" t="s">
        <v>14139</v>
      </c>
      <c r="J3228" t="s">
        <v>14904</v>
      </c>
    </row>
    <row r="3229" spans="6:10">
      <c r="F3229" t="s">
        <v>14905</v>
      </c>
      <c r="G3229">
        <v>3226</v>
      </c>
      <c r="H3229" t="s">
        <v>14906</v>
      </c>
      <c r="I3229" t="s">
        <v>14907</v>
      </c>
      <c r="J3229" t="s">
        <v>14908</v>
      </c>
    </row>
    <row r="3230" spans="6:10">
      <c r="F3230" t="s">
        <v>14909</v>
      </c>
      <c r="G3230">
        <v>3227</v>
      </c>
      <c r="H3230" t="s">
        <v>14910</v>
      </c>
      <c r="I3230" t="s">
        <v>14911</v>
      </c>
      <c r="J3230" t="s">
        <v>14912</v>
      </c>
    </row>
    <row r="3231" spans="6:10">
      <c r="F3231" t="s">
        <v>14913</v>
      </c>
      <c r="G3231">
        <v>3228</v>
      </c>
      <c r="H3231" t="s">
        <v>14914</v>
      </c>
      <c r="I3231" t="s">
        <v>14915</v>
      </c>
      <c r="J3231" t="s">
        <v>14916</v>
      </c>
    </row>
    <row r="3232" spans="6:10">
      <c r="F3232" t="s">
        <v>14917</v>
      </c>
      <c r="G3232">
        <v>3229</v>
      </c>
      <c r="H3232" t="s">
        <v>14918</v>
      </c>
      <c r="I3232" t="s">
        <v>14919</v>
      </c>
      <c r="J3232" t="s">
        <v>14920</v>
      </c>
    </row>
    <row r="3233" spans="6:10">
      <c r="F3233" t="s">
        <v>14921</v>
      </c>
      <c r="G3233">
        <v>3230</v>
      </c>
      <c r="H3233" t="s">
        <v>14922</v>
      </c>
      <c r="I3233" t="s">
        <v>14923</v>
      </c>
      <c r="J3233" t="s">
        <v>14924</v>
      </c>
    </row>
    <row r="3234" spans="6:10">
      <c r="F3234" t="s">
        <v>14925</v>
      </c>
      <c r="G3234">
        <v>3231</v>
      </c>
      <c r="H3234" t="s">
        <v>14926</v>
      </c>
      <c r="I3234" t="s">
        <v>14927</v>
      </c>
      <c r="J3234" t="s">
        <v>14928</v>
      </c>
    </row>
    <row r="3235" spans="6:10">
      <c r="F3235" t="s">
        <v>14929</v>
      </c>
      <c r="G3235">
        <v>3232</v>
      </c>
      <c r="H3235" t="s">
        <v>3632</v>
      </c>
      <c r="I3235" t="s">
        <v>3633</v>
      </c>
      <c r="J3235" t="s">
        <v>14930</v>
      </c>
    </row>
    <row r="3236" spans="6:10">
      <c r="F3236" t="s">
        <v>14931</v>
      </c>
      <c r="G3236">
        <v>3233</v>
      </c>
      <c r="H3236" t="s">
        <v>2664</v>
      </c>
      <c r="I3236" t="s">
        <v>2665</v>
      </c>
      <c r="J3236" t="s">
        <v>14932</v>
      </c>
    </row>
    <row r="3237" spans="6:10">
      <c r="F3237" t="s">
        <v>14933</v>
      </c>
      <c r="G3237">
        <v>3234</v>
      </c>
      <c r="H3237" t="s">
        <v>2318</v>
      </c>
      <c r="I3237" t="s">
        <v>2319</v>
      </c>
      <c r="J3237" t="s">
        <v>14934</v>
      </c>
    </row>
    <row r="3238" spans="6:10">
      <c r="F3238" t="s">
        <v>14935</v>
      </c>
      <c r="G3238">
        <v>3235</v>
      </c>
      <c r="H3238" t="s">
        <v>5917</v>
      </c>
      <c r="I3238" t="s">
        <v>5918</v>
      </c>
      <c r="J3238" t="s">
        <v>14936</v>
      </c>
    </row>
    <row r="3239" spans="6:10">
      <c r="F3239" t="s">
        <v>14937</v>
      </c>
      <c r="G3239">
        <v>3236</v>
      </c>
      <c r="H3239" t="s">
        <v>1201</v>
      </c>
      <c r="I3239" t="s">
        <v>1202</v>
      </c>
      <c r="J3239" t="s">
        <v>14938</v>
      </c>
    </row>
    <row r="3240" spans="6:10">
      <c r="F3240" t="s">
        <v>14939</v>
      </c>
      <c r="G3240">
        <v>3237</v>
      </c>
      <c r="H3240" t="s">
        <v>192</v>
      </c>
      <c r="I3240" t="s">
        <v>193</v>
      </c>
      <c r="J3240" t="s">
        <v>14940</v>
      </c>
    </row>
    <row r="3241" spans="6:10">
      <c r="F3241" t="s">
        <v>14941</v>
      </c>
      <c r="G3241">
        <v>3238</v>
      </c>
      <c r="H3241" t="s">
        <v>3251</v>
      </c>
      <c r="I3241" t="s">
        <v>3251</v>
      </c>
      <c r="J3241" t="s">
        <v>14942</v>
      </c>
    </row>
    <row r="3242" spans="6:10">
      <c r="F3242" t="s">
        <v>14943</v>
      </c>
      <c r="G3242">
        <v>3239</v>
      </c>
      <c r="H3242" t="s">
        <v>4720</v>
      </c>
      <c r="I3242" t="s">
        <v>4721</v>
      </c>
      <c r="J3242" t="s">
        <v>14944</v>
      </c>
    </row>
    <row r="3243" spans="6:10">
      <c r="F3243" t="s">
        <v>14945</v>
      </c>
      <c r="G3243">
        <v>3240</v>
      </c>
      <c r="H3243" t="s">
        <v>5003</v>
      </c>
      <c r="I3243" t="s">
        <v>5004</v>
      </c>
      <c r="J3243" t="s">
        <v>14946</v>
      </c>
    </row>
    <row r="3244" spans="6:10">
      <c r="F3244" t="s">
        <v>14947</v>
      </c>
      <c r="G3244">
        <v>3241</v>
      </c>
      <c r="H3244" t="s">
        <v>14948</v>
      </c>
      <c r="I3244" t="s">
        <v>14949</v>
      </c>
      <c r="J3244" t="s">
        <v>14950</v>
      </c>
    </row>
    <row r="3245" spans="6:10">
      <c r="F3245" t="s">
        <v>14951</v>
      </c>
      <c r="G3245">
        <v>3242</v>
      </c>
      <c r="H3245" t="s">
        <v>2668</v>
      </c>
      <c r="I3245" t="s">
        <v>2669</v>
      </c>
      <c r="J3245" t="s">
        <v>14952</v>
      </c>
    </row>
    <row r="3246" spans="6:10">
      <c r="F3246" t="s">
        <v>14953</v>
      </c>
      <c r="G3246">
        <v>3243</v>
      </c>
      <c r="H3246" t="s">
        <v>14954</v>
      </c>
      <c r="I3246" t="s">
        <v>9863</v>
      </c>
      <c r="J3246" t="s">
        <v>14955</v>
      </c>
    </row>
    <row r="3247" spans="6:10">
      <c r="F3247" t="s">
        <v>14956</v>
      </c>
      <c r="G3247">
        <v>3244</v>
      </c>
      <c r="H3247" t="s">
        <v>14957</v>
      </c>
      <c r="I3247" t="s">
        <v>14958</v>
      </c>
      <c r="J3247" t="s">
        <v>14959</v>
      </c>
    </row>
    <row r="3248" spans="6:10">
      <c r="F3248" t="s">
        <v>14960</v>
      </c>
      <c r="G3248">
        <v>3245</v>
      </c>
      <c r="H3248" t="s">
        <v>5542</v>
      </c>
      <c r="I3248" t="s">
        <v>667</v>
      </c>
      <c r="J3248" t="s">
        <v>14961</v>
      </c>
    </row>
    <row r="3249" spans="6:10">
      <c r="F3249" t="s">
        <v>14962</v>
      </c>
      <c r="G3249">
        <v>3246</v>
      </c>
      <c r="H3249" t="s">
        <v>4619</v>
      </c>
      <c r="I3249" t="s">
        <v>4619</v>
      </c>
      <c r="J3249" t="s">
        <v>14963</v>
      </c>
    </row>
    <row r="3250" spans="6:10">
      <c r="F3250" t="s">
        <v>14964</v>
      </c>
      <c r="G3250">
        <v>3247</v>
      </c>
      <c r="H3250" t="s">
        <v>14965</v>
      </c>
      <c r="I3250" t="s">
        <v>14966</v>
      </c>
      <c r="J3250" t="s">
        <v>14967</v>
      </c>
    </row>
    <row r="3251" spans="6:10">
      <c r="F3251" t="s">
        <v>14968</v>
      </c>
      <c r="G3251">
        <v>3248</v>
      </c>
      <c r="H3251" t="s">
        <v>14969</v>
      </c>
      <c r="I3251" t="s">
        <v>14970</v>
      </c>
      <c r="J3251" t="s">
        <v>14971</v>
      </c>
    </row>
    <row r="3252" spans="6:10">
      <c r="F3252" t="s">
        <v>14972</v>
      </c>
      <c r="G3252">
        <v>3249</v>
      </c>
      <c r="H3252" t="s">
        <v>14973</v>
      </c>
      <c r="I3252" t="s">
        <v>14974</v>
      </c>
      <c r="J3252" t="s">
        <v>14975</v>
      </c>
    </row>
    <row r="3253" spans="6:10">
      <c r="F3253" t="s">
        <v>14976</v>
      </c>
      <c r="G3253">
        <v>3250</v>
      </c>
      <c r="H3253" t="s">
        <v>6206</v>
      </c>
      <c r="I3253" t="s">
        <v>6207</v>
      </c>
      <c r="J3253" t="s">
        <v>14977</v>
      </c>
    </row>
    <row r="3254" spans="6:10">
      <c r="F3254" t="s">
        <v>14978</v>
      </c>
      <c r="G3254">
        <v>3251</v>
      </c>
      <c r="H3254" t="s">
        <v>1240</v>
      </c>
      <c r="I3254" t="s">
        <v>1241</v>
      </c>
      <c r="J3254" t="s">
        <v>14979</v>
      </c>
    </row>
    <row r="3255" spans="6:10">
      <c r="F3255" t="s">
        <v>14980</v>
      </c>
      <c r="G3255">
        <v>3252</v>
      </c>
      <c r="H3255" t="s">
        <v>4535</v>
      </c>
      <c r="I3255" t="s">
        <v>4536</v>
      </c>
      <c r="J3255" t="s">
        <v>14981</v>
      </c>
    </row>
    <row r="3256" spans="6:10">
      <c r="F3256" t="s">
        <v>14982</v>
      </c>
      <c r="G3256">
        <v>3253</v>
      </c>
      <c r="H3256" t="s">
        <v>3215</v>
      </c>
      <c r="I3256" t="s">
        <v>3216</v>
      </c>
      <c r="J3256" t="s">
        <v>14983</v>
      </c>
    </row>
    <row r="3257" spans="6:10">
      <c r="F3257" t="s">
        <v>14984</v>
      </c>
      <c r="G3257">
        <v>3254</v>
      </c>
      <c r="H3257" t="s">
        <v>14985</v>
      </c>
      <c r="I3257" t="s">
        <v>14986</v>
      </c>
      <c r="J3257" t="s">
        <v>14987</v>
      </c>
    </row>
    <row r="3258" spans="6:10">
      <c r="F3258" t="s">
        <v>14988</v>
      </c>
      <c r="G3258">
        <v>3255</v>
      </c>
      <c r="H3258" t="s">
        <v>3414</v>
      </c>
      <c r="I3258" t="s">
        <v>1370</v>
      </c>
      <c r="J3258" t="s">
        <v>14989</v>
      </c>
    </row>
    <row r="3259" spans="6:10">
      <c r="F3259" t="s">
        <v>14990</v>
      </c>
      <c r="G3259">
        <v>3256</v>
      </c>
      <c r="H3259" t="s">
        <v>2859</v>
      </c>
      <c r="I3259" t="s">
        <v>2860</v>
      </c>
      <c r="J3259" t="s">
        <v>14991</v>
      </c>
    </row>
    <row r="3260" spans="6:10">
      <c r="F3260" t="s">
        <v>14992</v>
      </c>
      <c r="G3260">
        <v>3257</v>
      </c>
      <c r="H3260" t="s">
        <v>14993</v>
      </c>
      <c r="I3260" t="s">
        <v>14994</v>
      </c>
      <c r="J3260" t="s">
        <v>14995</v>
      </c>
    </row>
    <row r="3261" spans="6:10">
      <c r="F3261" t="s">
        <v>14996</v>
      </c>
      <c r="G3261">
        <v>3258</v>
      </c>
      <c r="H3261" t="s">
        <v>14997</v>
      </c>
      <c r="I3261" t="s">
        <v>14998</v>
      </c>
      <c r="J3261" t="s">
        <v>14999</v>
      </c>
    </row>
    <row r="3262" spans="6:10">
      <c r="F3262" t="s">
        <v>15000</v>
      </c>
      <c r="G3262">
        <v>3259</v>
      </c>
      <c r="H3262" t="s">
        <v>3225</v>
      </c>
      <c r="I3262" t="s">
        <v>3226</v>
      </c>
      <c r="J3262" t="s">
        <v>15001</v>
      </c>
    </row>
    <row r="3263" spans="6:10">
      <c r="F3263" t="s">
        <v>15002</v>
      </c>
      <c r="G3263">
        <v>3260</v>
      </c>
      <c r="H3263" t="s">
        <v>15003</v>
      </c>
      <c r="I3263" t="s">
        <v>15003</v>
      </c>
      <c r="J3263" t="s">
        <v>15004</v>
      </c>
    </row>
    <row r="3264" spans="6:10">
      <c r="F3264" t="s">
        <v>15005</v>
      </c>
      <c r="G3264">
        <v>3261</v>
      </c>
      <c r="H3264" t="s">
        <v>5455</v>
      </c>
      <c r="I3264" t="s">
        <v>5456</v>
      </c>
      <c r="J3264" t="s">
        <v>15006</v>
      </c>
    </row>
    <row r="3265" spans="6:10">
      <c r="F3265" t="s">
        <v>15007</v>
      </c>
      <c r="G3265">
        <v>3262</v>
      </c>
      <c r="H3265" t="s">
        <v>2431</v>
      </c>
      <c r="I3265" t="s">
        <v>2432</v>
      </c>
      <c r="J3265" t="s">
        <v>15008</v>
      </c>
    </row>
    <row r="3266" spans="6:10">
      <c r="F3266" t="s">
        <v>15009</v>
      </c>
      <c r="G3266">
        <v>3263</v>
      </c>
      <c r="H3266" t="s">
        <v>15010</v>
      </c>
      <c r="I3266" t="s">
        <v>15011</v>
      </c>
      <c r="J3266" t="s">
        <v>15012</v>
      </c>
    </row>
    <row r="3267" spans="6:10">
      <c r="F3267" t="s">
        <v>15013</v>
      </c>
      <c r="G3267">
        <v>3264</v>
      </c>
      <c r="H3267" t="s">
        <v>2185</v>
      </c>
      <c r="I3267" t="s">
        <v>2186</v>
      </c>
      <c r="J3267" t="s">
        <v>15014</v>
      </c>
    </row>
    <row r="3268" spans="6:10">
      <c r="F3268" t="s">
        <v>15015</v>
      </c>
      <c r="G3268">
        <v>3265</v>
      </c>
      <c r="H3268" t="s">
        <v>2455</v>
      </c>
      <c r="I3268" t="s">
        <v>2455</v>
      </c>
      <c r="J3268" t="s">
        <v>15016</v>
      </c>
    </row>
    <row r="3269" spans="6:10">
      <c r="F3269" t="s">
        <v>15017</v>
      </c>
      <c r="G3269">
        <v>3266</v>
      </c>
      <c r="H3269" t="s">
        <v>82</v>
      </c>
      <c r="I3269" t="s">
        <v>83</v>
      </c>
      <c r="J3269" t="s">
        <v>15018</v>
      </c>
    </row>
    <row r="3270" spans="6:10">
      <c r="F3270" t="s">
        <v>15019</v>
      </c>
      <c r="G3270">
        <v>3267</v>
      </c>
      <c r="H3270" t="s">
        <v>15020</v>
      </c>
      <c r="I3270" t="s">
        <v>15021</v>
      </c>
      <c r="J3270" t="s">
        <v>15022</v>
      </c>
    </row>
    <row r="3271" spans="6:10">
      <c r="F3271" t="s">
        <v>15023</v>
      </c>
      <c r="G3271">
        <v>3268</v>
      </c>
      <c r="H3271" t="s">
        <v>3819</v>
      </c>
      <c r="I3271" t="s">
        <v>2870</v>
      </c>
      <c r="J3271" t="s">
        <v>15024</v>
      </c>
    </row>
    <row r="3272" spans="6:10">
      <c r="F3272" t="s">
        <v>15025</v>
      </c>
      <c r="G3272">
        <v>3269</v>
      </c>
      <c r="H3272" t="s">
        <v>4945</v>
      </c>
      <c r="I3272" t="s">
        <v>4946</v>
      </c>
      <c r="J3272" t="s">
        <v>15026</v>
      </c>
    </row>
    <row r="3273" spans="6:10">
      <c r="F3273" t="s">
        <v>15027</v>
      </c>
      <c r="G3273">
        <v>3270</v>
      </c>
      <c r="H3273" t="s">
        <v>15028</v>
      </c>
      <c r="I3273" t="s">
        <v>15029</v>
      </c>
      <c r="J3273" t="s">
        <v>15030</v>
      </c>
    </row>
    <row r="3274" spans="6:10">
      <c r="F3274" t="s">
        <v>15031</v>
      </c>
      <c r="G3274">
        <v>3271</v>
      </c>
      <c r="H3274" t="s">
        <v>15032</v>
      </c>
      <c r="I3274" t="s">
        <v>15033</v>
      </c>
      <c r="J3274" t="s">
        <v>15034</v>
      </c>
    </row>
    <row r="3275" spans="6:10">
      <c r="F3275" t="s">
        <v>15035</v>
      </c>
      <c r="G3275">
        <v>3272</v>
      </c>
      <c r="H3275" t="s">
        <v>15036</v>
      </c>
      <c r="I3275" t="s">
        <v>15037</v>
      </c>
      <c r="J3275" t="s">
        <v>15038</v>
      </c>
    </row>
    <row r="3276" spans="6:10">
      <c r="F3276" t="s">
        <v>15039</v>
      </c>
      <c r="G3276">
        <v>3273</v>
      </c>
      <c r="H3276" t="s">
        <v>15040</v>
      </c>
      <c r="I3276" t="s">
        <v>15041</v>
      </c>
      <c r="J3276" t="s">
        <v>15042</v>
      </c>
    </row>
    <row r="3277" spans="6:10">
      <c r="F3277" t="s">
        <v>15043</v>
      </c>
      <c r="G3277">
        <v>3274</v>
      </c>
      <c r="H3277" t="s">
        <v>2008</v>
      </c>
      <c r="I3277" t="s">
        <v>2009</v>
      </c>
      <c r="J3277" t="s">
        <v>15044</v>
      </c>
    </row>
    <row r="3278" spans="6:10">
      <c r="F3278" t="s">
        <v>15045</v>
      </c>
      <c r="G3278">
        <v>3275</v>
      </c>
      <c r="H3278" t="s">
        <v>5042</v>
      </c>
      <c r="I3278" t="s">
        <v>5043</v>
      </c>
      <c r="J3278" t="s">
        <v>15046</v>
      </c>
    </row>
    <row r="3279" spans="6:10">
      <c r="F3279" t="s">
        <v>15047</v>
      </c>
      <c r="G3279">
        <v>3276</v>
      </c>
      <c r="H3279" t="s">
        <v>15048</v>
      </c>
      <c r="I3279" t="s">
        <v>15049</v>
      </c>
      <c r="J3279" t="s">
        <v>15050</v>
      </c>
    </row>
    <row r="3280" spans="6:10">
      <c r="F3280" t="s">
        <v>15051</v>
      </c>
      <c r="G3280">
        <v>3277</v>
      </c>
      <c r="H3280" t="s">
        <v>5052</v>
      </c>
      <c r="I3280" t="s">
        <v>5053</v>
      </c>
      <c r="J3280" t="s">
        <v>15052</v>
      </c>
    </row>
    <row r="3281" spans="6:10">
      <c r="F3281" t="s">
        <v>15053</v>
      </c>
      <c r="G3281">
        <v>3278</v>
      </c>
      <c r="H3281" t="s">
        <v>15054</v>
      </c>
      <c r="I3281" t="s">
        <v>15055</v>
      </c>
      <c r="J3281" t="s">
        <v>15056</v>
      </c>
    </row>
    <row r="3282" spans="6:10">
      <c r="F3282" t="s">
        <v>15057</v>
      </c>
      <c r="G3282">
        <v>3279</v>
      </c>
      <c r="H3282" t="s">
        <v>15058</v>
      </c>
      <c r="I3282" t="s">
        <v>15059</v>
      </c>
      <c r="J3282" t="s">
        <v>15060</v>
      </c>
    </row>
    <row r="3283" spans="6:10">
      <c r="F3283" t="s">
        <v>15061</v>
      </c>
      <c r="G3283">
        <v>3280</v>
      </c>
      <c r="H3283" t="s">
        <v>4484</v>
      </c>
      <c r="I3283" t="s">
        <v>4485</v>
      </c>
      <c r="J3283" t="s">
        <v>15062</v>
      </c>
    </row>
    <row r="3284" spans="6:10">
      <c r="F3284" t="s">
        <v>15063</v>
      </c>
      <c r="G3284">
        <v>3281</v>
      </c>
      <c r="H3284" t="s">
        <v>1420</v>
      </c>
      <c r="I3284" t="s">
        <v>1421</v>
      </c>
      <c r="J3284" t="s">
        <v>15064</v>
      </c>
    </row>
    <row r="3285" spans="6:10">
      <c r="F3285" t="s">
        <v>15065</v>
      </c>
      <c r="G3285">
        <v>3282</v>
      </c>
      <c r="H3285" t="s">
        <v>15066</v>
      </c>
      <c r="I3285" t="s">
        <v>15067</v>
      </c>
      <c r="J3285" t="s">
        <v>15068</v>
      </c>
    </row>
    <row r="3286" spans="6:10">
      <c r="F3286" t="s">
        <v>15069</v>
      </c>
      <c r="G3286">
        <v>3283</v>
      </c>
      <c r="H3286" t="s">
        <v>15070</v>
      </c>
      <c r="I3286" t="s">
        <v>15071</v>
      </c>
      <c r="J3286" t="s">
        <v>15072</v>
      </c>
    </row>
    <row r="3287" spans="6:10">
      <c r="F3287" t="s">
        <v>15073</v>
      </c>
      <c r="G3287">
        <v>3284</v>
      </c>
      <c r="H3287" t="s">
        <v>6003</v>
      </c>
      <c r="I3287" t="s">
        <v>6003</v>
      </c>
      <c r="J3287" t="s">
        <v>15074</v>
      </c>
    </row>
    <row r="3288" spans="6:10">
      <c r="F3288" t="s">
        <v>15075</v>
      </c>
      <c r="G3288">
        <v>3285</v>
      </c>
      <c r="H3288" t="s">
        <v>5897</v>
      </c>
      <c r="I3288" t="s">
        <v>5898</v>
      </c>
      <c r="J3288" t="s">
        <v>15076</v>
      </c>
    </row>
    <row r="3289" spans="6:10">
      <c r="F3289" t="s">
        <v>15077</v>
      </c>
      <c r="G3289">
        <v>3286</v>
      </c>
      <c r="H3289" t="s">
        <v>3426</v>
      </c>
      <c r="I3289" t="s">
        <v>3427</v>
      </c>
      <c r="J3289" t="s">
        <v>15078</v>
      </c>
    </row>
    <row r="3290" spans="6:10">
      <c r="F3290" t="s">
        <v>15079</v>
      </c>
      <c r="G3290">
        <v>3287</v>
      </c>
      <c r="H3290" t="s">
        <v>4758</v>
      </c>
      <c r="I3290" t="s">
        <v>4759</v>
      </c>
      <c r="J3290" t="s">
        <v>15080</v>
      </c>
    </row>
    <row r="3291" spans="6:10">
      <c r="F3291" t="s">
        <v>15081</v>
      </c>
      <c r="G3291">
        <v>3288</v>
      </c>
      <c r="H3291" t="s">
        <v>2756</v>
      </c>
      <c r="I3291" t="s">
        <v>2757</v>
      </c>
      <c r="J3291" t="s">
        <v>15082</v>
      </c>
    </row>
    <row r="3292" spans="6:10">
      <c r="F3292" t="s">
        <v>15083</v>
      </c>
      <c r="G3292">
        <v>3289</v>
      </c>
      <c r="H3292" t="s">
        <v>4699</v>
      </c>
      <c r="I3292" t="s">
        <v>4700</v>
      </c>
      <c r="J3292" t="s">
        <v>15084</v>
      </c>
    </row>
    <row r="3293" spans="6:10">
      <c r="F3293" t="s">
        <v>15085</v>
      </c>
      <c r="G3293">
        <v>3290</v>
      </c>
      <c r="H3293" t="s">
        <v>5275</v>
      </c>
      <c r="I3293" t="s">
        <v>5275</v>
      </c>
      <c r="J3293" t="s">
        <v>15086</v>
      </c>
    </row>
    <row r="3294" spans="6:10">
      <c r="F3294" t="s">
        <v>15087</v>
      </c>
      <c r="G3294">
        <v>3291</v>
      </c>
      <c r="H3294" t="s">
        <v>2502</v>
      </c>
      <c r="I3294" t="s">
        <v>2503</v>
      </c>
      <c r="J3294" t="s">
        <v>15088</v>
      </c>
    </row>
    <row r="3295" spans="6:10">
      <c r="F3295" t="s">
        <v>15089</v>
      </c>
      <c r="G3295">
        <v>3292</v>
      </c>
      <c r="H3295" t="s">
        <v>14869</v>
      </c>
      <c r="I3295" t="s">
        <v>15090</v>
      </c>
      <c r="J3295" t="s">
        <v>15091</v>
      </c>
    </row>
    <row r="3296" spans="6:10">
      <c r="F3296" t="s">
        <v>15092</v>
      </c>
      <c r="G3296">
        <v>3293</v>
      </c>
      <c r="H3296" t="s">
        <v>2230</v>
      </c>
      <c r="I3296" t="s">
        <v>2231</v>
      </c>
      <c r="J3296" t="s">
        <v>15093</v>
      </c>
    </row>
    <row r="3297" spans="6:10">
      <c r="F3297" t="s">
        <v>15094</v>
      </c>
      <c r="G3297">
        <v>3294</v>
      </c>
      <c r="H3297" t="s">
        <v>1707</v>
      </c>
      <c r="I3297" t="s">
        <v>1708</v>
      </c>
      <c r="J3297" t="s">
        <v>15095</v>
      </c>
    </row>
    <row r="3298" spans="6:10">
      <c r="F3298" t="s">
        <v>15096</v>
      </c>
      <c r="G3298">
        <v>3295</v>
      </c>
      <c r="H3298" t="s">
        <v>304</v>
      </c>
      <c r="I3298" t="s">
        <v>305</v>
      </c>
      <c r="J3298" t="s">
        <v>15097</v>
      </c>
    </row>
    <row r="3299" spans="6:10">
      <c r="F3299" t="s">
        <v>15098</v>
      </c>
      <c r="G3299">
        <v>3296</v>
      </c>
      <c r="H3299" t="s">
        <v>3241</v>
      </c>
      <c r="I3299" t="s">
        <v>3241</v>
      </c>
      <c r="J3299" t="s">
        <v>15099</v>
      </c>
    </row>
    <row r="3300" spans="6:10">
      <c r="F3300" t="s">
        <v>15100</v>
      </c>
      <c r="G3300">
        <v>3297</v>
      </c>
      <c r="H3300" t="s">
        <v>285</v>
      </c>
      <c r="I3300" t="s">
        <v>286</v>
      </c>
      <c r="J3300" t="s">
        <v>15101</v>
      </c>
    </row>
    <row r="3301" spans="6:10">
      <c r="F3301" t="s">
        <v>15102</v>
      </c>
      <c r="G3301">
        <v>3298</v>
      </c>
      <c r="H3301" t="s">
        <v>15103</v>
      </c>
      <c r="I3301" t="s">
        <v>15104</v>
      </c>
      <c r="J3301" t="s">
        <v>15105</v>
      </c>
    </row>
    <row r="3302" spans="6:10">
      <c r="F3302" t="s">
        <v>15106</v>
      </c>
      <c r="G3302">
        <v>3299</v>
      </c>
      <c r="H3302" t="s">
        <v>1030</v>
      </c>
      <c r="I3302" t="s">
        <v>1031</v>
      </c>
      <c r="J3302" t="s">
        <v>15107</v>
      </c>
    </row>
    <row r="3303" spans="6:10">
      <c r="F3303" t="s">
        <v>15108</v>
      </c>
      <c r="G3303">
        <v>3300</v>
      </c>
      <c r="H3303" t="s">
        <v>15109</v>
      </c>
      <c r="I3303" t="s">
        <v>15110</v>
      </c>
      <c r="J3303" t="s">
        <v>15111</v>
      </c>
    </row>
    <row r="3304" spans="6:10">
      <c r="F3304" t="s">
        <v>15112</v>
      </c>
      <c r="G3304">
        <v>3301</v>
      </c>
      <c r="H3304" t="s">
        <v>15113</v>
      </c>
      <c r="I3304" t="s">
        <v>15114</v>
      </c>
      <c r="J3304" t="s">
        <v>15115</v>
      </c>
    </row>
    <row r="3305" spans="6:10">
      <c r="F3305" t="s">
        <v>15116</v>
      </c>
      <c r="G3305">
        <v>3302</v>
      </c>
      <c r="H3305" t="s">
        <v>2062</v>
      </c>
      <c r="I3305" t="s">
        <v>2063</v>
      </c>
      <c r="J3305" t="s">
        <v>15117</v>
      </c>
    </row>
    <row r="3306" spans="6:10">
      <c r="F3306" t="s">
        <v>15118</v>
      </c>
      <c r="G3306">
        <v>3303</v>
      </c>
      <c r="H3306" t="s">
        <v>15119</v>
      </c>
      <c r="I3306" t="s">
        <v>15120</v>
      </c>
      <c r="J3306" t="s">
        <v>15121</v>
      </c>
    </row>
    <row r="3307" spans="6:10">
      <c r="F3307" t="s">
        <v>15122</v>
      </c>
      <c r="G3307">
        <v>3304</v>
      </c>
      <c r="H3307" t="s">
        <v>672</v>
      </c>
      <c r="I3307" t="s">
        <v>673</v>
      </c>
      <c r="J3307" t="s">
        <v>15123</v>
      </c>
    </row>
    <row r="3308" spans="6:10">
      <c r="F3308" t="s">
        <v>15124</v>
      </c>
      <c r="G3308">
        <v>3305</v>
      </c>
      <c r="H3308" t="s">
        <v>1612</v>
      </c>
      <c r="I3308" t="s">
        <v>1613</v>
      </c>
      <c r="J3308" t="s">
        <v>15125</v>
      </c>
    </row>
    <row r="3309" spans="6:10">
      <c r="F3309" t="s">
        <v>15126</v>
      </c>
      <c r="G3309">
        <v>3306</v>
      </c>
      <c r="H3309" t="s">
        <v>5497</v>
      </c>
      <c r="I3309" t="s">
        <v>5498</v>
      </c>
      <c r="J3309" t="s">
        <v>15127</v>
      </c>
    </row>
    <row r="3310" spans="6:10">
      <c r="F3310" t="s">
        <v>15128</v>
      </c>
      <c r="G3310">
        <v>3307</v>
      </c>
      <c r="H3310" t="s">
        <v>2249</v>
      </c>
      <c r="I3310" t="s">
        <v>2250</v>
      </c>
      <c r="J3310" t="s">
        <v>15129</v>
      </c>
    </row>
    <row r="3311" spans="6:10">
      <c r="F3311" t="s">
        <v>15130</v>
      </c>
      <c r="G3311">
        <v>3308</v>
      </c>
      <c r="H3311" t="s">
        <v>15131</v>
      </c>
      <c r="I3311" t="s">
        <v>15132</v>
      </c>
      <c r="J3311" t="s">
        <v>15133</v>
      </c>
    </row>
    <row r="3312" spans="6:10">
      <c r="F3312" t="s">
        <v>15134</v>
      </c>
      <c r="G3312">
        <v>3309</v>
      </c>
      <c r="H3312" t="s">
        <v>15135</v>
      </c>
      <c r="I3312" t="s">
        <v>15136</v>
      </c>
      <c r="J3312" t="s">
        <v>15137</v>
      </c>
    </row>
    <row r="3313" spans="6:10">
      <c r="F3313" t="s">
        <v>15138</v>
      </c>
      <c r="G3313">
        <v>3310</v>
      </c>
      <c r="H3313" t="s">
        <v>2087</v>
      </c>
      <c r="I3313" t="s">
        <v>2088</v>
      </c>
      <c r="J3313" t="s">
        <v>15139</v>
      </c>
    </row>
    <row r="3314" spans="6:10">
      <c r="F3314" t="s">
        <v>15140</v>
      </c>
      <c r="G3314">
        <v>3311</v>
      </c>
      <c r="H3314" t="s">
        <v>15141</v>
      </c>
      <c r="I3314" t="s">
        <v>15142</v>
      </c>
      <c r="J3314" t="s">
        <v>15143</v>
      </c>
    </row>
    <row r="3315" spans="6:10">
      <c r="F3315" t="s">
        <v>15144</v>
      </c>
      <c r="G3315">
        <v>3312</v>
      </c>
      <c r="H3315" t="s">
        <v>15145</v>
      </c>
      <c r="I3315" t="s">
        <v>15146</v>
      </c>
      <c r="J3315" t="s">
        <v>15147</v>
      </c>
    </row>
    <row r="3316" spans="6:10">
      <c r="F3316" t="s">
        <v>15148</v>
      </c>
      <c r="G3316">
        <v>3313</v>
      </c>
      <c r="H3316" t="s">
        <v>5400</v>
      </c>
      <c r="I3316" t="s">
        <v>5400</v>
      </c>
      <c r="J3316" t="s">
        <v>15149</v>
      </c>
    </row>
    <row r="3317" spans="6:10">
      <c r="F3317" t="s">
        <v>15150</v>
      </c>
      <c r="G3317">
        <v>3314</v>
      </c>
      <c r="H3317" t="s">
        <v>4353</v>
      </c>
      <c r="I3317" t="s">
        <v>4354</v>
      </c>
      <c r="J3317" t="s">
        <v>15151</v>
      </c>
    </row>
    <row r="3318" spans="6:10">
      <c r="F3318" t="s">
        <v>15152</v>
      </c>
      <c r="G3318">
        <v>3315</v>
      </c>
      <c r="H3318" t="s">
        <v>5380</v>
      </c>
      <c r="I3318" t="s">
        <v>5381</v>
      </c>
      <c r="J3318" t="s">
        <v>15153</v>
      </c>
    </row>
    <row r="3319" spans="6:10">
      <c r="F3319" t="s">
        <v>15154</v>
      </c>
      <c r="G3319">
        <v>3316</v>
      </c>
      <c r="H3319" t="s">
        <v>15155</v>
      </c>
      <c r="I3319" t="s">
        <v>15156</v>
      </c>
      <c r="J3319" t="s">
        <v>15157</v>
      </c>
    </row>
    <row r="3320" spans="6:10">
      <c r="F3320" t="s">
        <v>15158</v>
      </c>
      <c r="G3320">
        <v>3317</v>
      </c>
      <c r="H3320" t="s">
        <v>3458</v>
      </c>
      <c r="I3320" t="s">
        <v>530</v>
      </c>
      <c r="J3320" t="s">
        <v>15159</v>
      </c>
    </row>
    <row r="3321" spans="6:10">
      <c r="F3321" t="s">
        <v>15160</v>
      </c>
      <c r="G3321">
        <v>3318</v>
      </c>
      <c r="H3321" t="s">
        <v>2347</v>
      </c>
      <c r="I3321" t="s">
        <v>2348</v>
      </c>
      <c r="J3321" t="s">
        <v>15161</v>
      </c>
    </row>
    <row r="3322" spans="6:10">
      <c r="F3322" t="s">
        <v>15162</v>
      </c>
      <c r="G3322">
        <v>3319</v>
      </c>
      <c r="H3322" t="s">
        <v>5998</v>
      </c>
      <c r="I3322" t="s">
        <v>5999</v>
      </c>
      <c r="J3322" t="s">
        <v>15163</v>
      </c>
    </row>
    <row r="3323" spans="6:10">
      <c r="F3323" t="s">
        <v>15164</v>
      </c>
      <c r="G3323">
        <v>3320</v>
      </c>
      <c r="H3323" t="s">
        <v>15165</v>
      </c>
      <c r="I3323" t="s">
        <v>15166</v>
      </c>
      <c r="J3323" t="s">
        <v>15167</v>
      </c>
    </row>
    <row r="3324" spans="6:10">
      <c r="F3324" t="s">
        <v>15168</v>
      </c>
      <c r="G3324">
        <v>3321</v>
      </c>
      <c r="H3324" t="s">
        <v>15169</v>
      </c>
      <c r="I3324" t="s">
        <v>15170</v>
      </c>
      <c r="J3324" t="s">
        <v>15171</v>
      </c>
    </row>
    <row r="3325" spans="6:10">
      <c r="F3325" t="s">
        <v>15172</v>
      </c>
      <c r="G3325">
        <v>3322</v>
      </c>
      <c r="H3325" t="s">
        <v>650</v>
      </c>
      <c r="I3325" t="s">
        <v>651</v>
      </c>
      <c r="J3325" t="s">
        <v>15173</v>
      </c>
    </row>
    <row r="3326" spans="6:10">
      <c r="F3326" t="s">
        <v>15174</v>
      </c>
      <c r="G3326">
        <v>3323</v>
      </c>
      <c r="H3326" t="s">
        <v>15175</v>
      </c>
      <c r="I3326" t="s">
        <v>15176</v>
      </c>
      <c r="J3326" t="s">
        <v>15177</v>
      </c>
    </row>
    <row r="3327" spans="6:10">
      <c r="F3327" t="s">
        <v>15178</v>
      </c>
      <c r="G3327">
        <v>3324</v>
      </c>
      <c r="H3327" t="s">
        <v>15179</v>
      </c>
      <c r="I3327" t="s">
        <v>15180</v>
      </c>
      <c r="J3327" t="s">
        <v>15181</v>
      </c>
    </row>
    <row r="3328" spans="6:10">
      <c r="F3328" t="s">
        <v>15182</v>
      </c>
      <c r="G3328">
        <v>3325</v>
      </c>
      <c r="H3328" t="s">
        <v>15183</v>
      </c>
      <c r="I3328" t="s">
        <v>15184</v>
      </c>
      <c r="J3328" t="s">
        <v>15185</v>
      </c>
    </row>
    <row r="3329" spans="6:10">
      <c r="F3329" t="s">
        <v>15186</v>
      </c>
      <c r="G3329">
        <v>3326</v>
      </c>
      <c r="H3329" t="s">
        <v>15187</v>
      </c>
      <c r="I3329" t="s">
        <v>15188</v>
      </c>
      <c r="J3329" t="s">
        <v>15189</v>
      </c>
    </row>
    <row r="3330" spans="6:10">
      <c r="F3330" t="s">
        <v>15190</v>
      </c>
      <c r="G3330">
        <v>3327</v>
      </c>
      <c r="H3330" t="s">
        <v>720</v>
      </c>
      <c r="I3330" t="s">
        <v>721</v>
      </c>
      <c r="J3330" t="s">
        <v>15191</v>
      </c>
    </row>
    <row r="3331" spans="6:10">
      <c r="F3331" t="s">
        <v>15192</v>
      </c>
      <c r="G3331">
        <v>3328</v>
      </c>
      <c r="H3331" t="s">
        <v>5163</v>
      </c>
      <c r="I3331" t="s">
        <v>5164</v>
      </c>
      <c r="J3331" t="s">
        <v>15193</v>
      </c>
    </row>
    <row r="3332" spans="6:10">
      <c r="F3332" t="s">
        <v>15194</v>
      </c>
      <c r="G3332">
        <v>3329</v>
      </c>
      <c r="H3332" t="s">
        <v>5382</v>
      </c>
      <c r="I3332" t="s">
        <v>5383</v>
      </c>
      <c r="J3332" t="s">
        <v>15195</v>
      </c>
    </row>
    <row r="3333" spans="6:10">
      <c r="F3333" t="s">
        <v>15196</v>
      </c>
      <c r="G3333">
        <v>3330</v>
      </c>
      <c r="H3333" t="s">
        <v>3755</v>
      </c>
      <c r="I3333" t="s">
        <v>3756</v>
      </c>
      <c r="J3333" t="s">
        <v>15197</v>
      </c>
    </row>
    <row r="3334" spans="6:10">
      <c r="F3334" t="s">
        <v>15198</v>
      </c>
      <c r="G3334">
        <v>3331</v>
      </c>
      <c r="H3334" t="s">
        <v>3377</v>
      </c>
      <c r="I3334" t="s">
        <v>3378</v>
      </c>
      <c r="J3334" t="s">
        <v>15199</v>
      </c>
    </row>
    <row r="3335" spans="6:10">
      <c r="F3335" t="s">
        <v>15200</v>
      </c>
      <c r="G3335">
        <v>3332</v>
      </c>
      <c r="H3335" t="s">
        <v>5937</v>
      </c>
      <c r="I3335" t="s">
        <v>5938</v>
      </c>
      <c r="J3335" t="s">
        <v>15201</v>
      </c>
    </row>
    <row r="3336" spans="6:10">
      <c r="F3336" t="s">
        <v>15202</v>
      </c>
      <c r="G3336">
        <v>3333</v>
      </c>
      <c r="H3336" t="s">
        <v>15203</v>
      </c>
      <c r="I3336" t="s">
        <v>15204</v>
      </c>
      <c r="J3336" t="s">
        <v>15205</v>
      </c>
    </row>
    <row r="3337" spans="6:10">
      <c r="F3337" t="s">
        <v>15206</v>
      </c>
      <c r="G3337">
        <v>3334</v>
      </c>
      <c r="H3337" t="s">
        <v>4225</v>
      </c>
      <c r="I3337" t="s">
        <v>4226</v>
      </c>
      <c r="J3337" t="s">
        <v>15207</v>
      </c>
    </row>
    <row r="3338" spans="6:10">
      <c r="F3338" t="s">
        <v>15208</v>
      </c>
      <c r="G3338">
        <v>3335</v>
      </c>
      <c r="H3338" t="s">
        <v>3601</v>
      </c>
      <c r="I3338" t="s">
        <v>3602</v>
      </c>
      <c r="J3338" t="s">
        <v>15209</v>
      </c>
    </row>
    <row r="3339" spans="6:10">
      <c r="F3339" t="s">
        <v>15210</v>
      </c>
      <c r="G3339">
        <v>3336</v>
      </c>
      <c r="H3339" t="s">
        <v>3110</v>
      </c>
      <c r="I3339" t="s">
        <v>3111</v>
      </c>
      <c r="J3339" t="s">
        <v>15211</v>
      </c>
    </row>
    <row r="3340" spans="6:10">
      <c r="F3340" t="s">
        <v>15212</v>
      </c>
      <c r="G3340">
        <v>3337</v>
      </c>
      <c r="H3340" t="s">
        <v>5252</v>
      </c>
      <c r="I3340" t="s">
        <v>5252</v>
      </c>
      <c r="J3340" t="s">
        <v>15213</v>
      </c>
    </row>
    <row r="3341" spans="6:10">
      <c r="F3341" t="s">
        <v>15214</v>
      </c>
      <c r="G3341">
        <v>3338</v>
      </c>
      <c r="H3341" t="s">
        <v>15215</v>
      </c>
      <c r="I3341" t="s">
        <v>15216</v>
      </c>
      <c r="J3341" t="s">
        <v>15217</v>
      </c>
    </row>
    <row r="3342" spans="6:10">
      <c r="F3342" t="s">
        <v>15218</v>
      </c>
      <c r="G3342">
        <v>3339</v>
      </c>
      <c r="H3342" t="s">
        <v>988</v>
      </c>
      <c r="I3342" t="s">
        <v>989</v>
      </c>
      <c r="J3342" t="s">
        <v>15219</v>
      </c>
    </row>
    <row r="3343" spans="6:10">
      <c r="F3343" t="s">
        <v>15220</v>
      </c>
      <c r="G3343">
        <v>3340</v>
      </c>
      <c r="H3343" t="s">
        <v>1809</v>
      </c>
      <c r="I3343" t="s">
        <v>1810</v>
      </c>
      <c r="J3343" t="s">
        <v>15221</v>
      </c>
    </row>
    <row r="3344" spans="6:10">
      <c r="F3344" t="s">
        <v>15222</v>
      </c>
      <c r="G3344">
        <v>3341</v>
      </c>
      <c r="H3344" t="s">
        <v>1146</v>
      </c>
      <c r="I3344" t="s">
        <v>1147</v>
      </c>
      <c r="J3344" t="s">
        <v>15223</v>
      </c>
    </row>
    <row r="3345" spans="6:10">
      <c r="F3345" t="s">
        <v>15224</v>
      </c>
      <c r="G3345">
        <v>3342</v>
      </c>
      <c r="H3345" t="s">
        <v>15225</v>
      </c>
      <c r="I3345" t="s">
        <v>15226</v>
      </c>
      <c r="J3345" t="s">
        <v>15227</v>
      </c>
    </row>
    <row r="3346" spans="6:10">
      <c r="F3346" t="s">
        <v>15228</v>
      </c>
      <c r="G3346">
        <v>3343</v>
      </c>
      <c r="H3346" t="s">
        <v>3282</v>
      </c>
      <c r="I3346" t="s">
        <v>3282</v>
      </c>
      <c r="J3346" t="s">
        <v>15229</v>
      </c>
    </row>
    <row r="3347" spans="6:10">
      <c r="F3347" t="s">
        <v>15230</v>
      </c>
      <c r="G3347">
        <v>3344</v>
      </c>
      <c r="H3347" t="s">
        <v>15231</v>
      </c>
      <c r="I3347" t="s">
        <v>15232</v>
      </c>
      <c r="J3347" t="s">
        <v>15233</v>
      </c>
    </row>
    <row r="3348" spans="6:10">
      <c r="F3348" t="s">
        <v>15234</v>
      </c>
      <c r="G3348">
        <v>3345</v>
      </c>
      <c r="H3348" t="s">
        <v>891</v>
      </c>
      <c r="I3348" t="s">
        <v>891</v>
      </c>
      <c r="J3348" t="s">
        <v>15235</v>
      </c>
    </row>
    <row r="3349" spans="6:10">
      <c r="F3349" t="s">
        <v>15236</v>
      </c>
      <c r="G3349">
        <v>3346</v>
      </c>
      <c r="H3349" t="s">
        <v>5115</v>
      </c>
      <c r="I3349" t="s">
        <v>2603</v>
      </c>
      <c r="J3349" t="s">
        <v>15237</v>
      </c>
    </row>
    <row r="3350" spans="6:10">
      <c r="F3350" t="s">
        <v>15238</v>
      </c>
      <c r="G3350">
        <v>3347</v>
      </c>
      <c r="H3350" t="s">
        <v>2504</v>
      </c>
      <c r="I3350" t="s">
        <v>2505</v>
      </c>
      <c r="J3350" t="s">
        <v>15239</v>
      </c>
    </row>
    <row r="3351" spans="6:10">
      <c r="F3351" t="s">
        <v>15240</v>
      </c>
      <c r="G3351">
        <v>3348</v>
      </c>
      <c r="H3351" t="s">
        <v>15241</v>
      </c>
      <c r="I3351" t="s">
        <v>15242</v>
      </c>
      <c r="J3351" t="s">
        <v>15243</v>
      </c>
    </row>
    <row r="3352" spans="6:10">
      <c r="F3352" t="s">
        <v>15244</v>
      </c>
      <c r="G3352">
        <v>3349</v>
      </c>
      <c r="H3352" t="s">
        <v>2077</v>
      </c>
      <c r="I3352" t="s">
        <v>2078</v>
      </c>
      <c r="J3352" t="s">
        <v>15245</v>
      </c>
    </row>
    <row r="3353" spans="6:10">
      <c r="F3353" t="s">
        <v>15246</v>
      </c>
      <c r="G3353">
        <v>3350</v>
      </c>
      <c r="H3353" t="s">
        <v>1017</v>
      </c>
      <c r="I3353" t="s">
        <v>1018</v>
      </c>
      <c r="J3353" t="s">
        <v>15247</v>
      </c>
    </row>
    <row r="3354" spans="6:10">
      <c r="F3354" t="s">
        <v>15248</v>
      </c>
      <c r="G3354">
        <v>3351</v>
      </c>
      <c r="H3354" t="s">
        <v>982</v>
      </c>
      <c r="I3354" t="s">
        <v>982</v>
      </c>
      <c r="J3354" t="s">
        <v>15249</v>
      </c>
    </row>
    <row r="3355" spans="6:10">
      <c r="F3355" t="s">
        <v>15250</v>
      </c>
      <c r="G3355">
        <v>3352</v>
      </c>
      <c r="H3355" t="s">
        <v>6134</v>
      </c>
      <c r="I3355" t="s">
        <v>6135</v>
      </c>
      <c r="J3355" t="s">
        <v>15251</v>
      </c>
    </row>
    <row r="3356" spans="6:10">
      <c r="F3356" t="s">
        <v>15252</v>
      </c>
      <c r="G3356">
        <v>3353</v>
      </c>
      <c r="H3356" t="s">
        <v>15253</v>
      </c>
      <c r="I3356" t="s">
        <v>15254</v>
      </c>
      <c r="J3356" t="s">
        <v>15255</v>
      </c>
    </row>
    <row r="3357" spans="6:10">
      <c r="F3357" t="s">
        <v>15256</v>
      </c>
      <c r="G3357">
        <v>3354</v>
      </c>
      <c r="H3357" t="s">
        <v>15257</v>
      </c>
      <c r="I3357" t="s">
        <v>15258</v>
      </c>
      <c r="J3357" t="s">
        <v>15259</v>
      </c>
    </row>
    <row r="3358" spans="6:10">
      <c r="F3358" t="s">
        <v>15260</v>
      </c>
      <c r="G3358">
        <v>3355</v>
      </c>
      <c r="H3358" t="s">
        <v>1007</v>
      </c>
      <c r="I3358" t="s">
        <v>1008</v>
      </c>
      <c r="J3358" t="s">
        <v>15261</v>
      </c>
    </row>
    <row r="3359" spans="6:10">
      <c r="F3359" t="s">
        <v>15262</v>
      </c>
      <c r="G3359">
        <v>3356</v>
      </c>
      <c r="H3359" t="s">
        <v>3243</v>
      </c>
      <c r="I3359" t="s">
        <v>3244</v>
      </c>
      <c r="J3359" t="s">
        <v>15263</v>
      </c>
    </row>
    <row r="3360" spans="6:10">
      <c r="F3360" t="s">
        <v>15264</v>
      </c>
      <c r="G3360">
        <v>3357</v>
      </c>
      <c r="H3360" t="s">
        <v>15265</v>
      </c>
      <c r="I3360" t="s">
        <v>15266</v>
      </c>
      <c r="J3360" t="s">
        <v>15267</v>
      </c>
    </row>
    <row r="3361" spans="6:10">
      <c r="F3361" t="s">
        <v>15268</v>
      </c>
      <c r="G3361">
        <v>3358</v>
      </c>
      <c r="H3361" t="s">
        <v>15269</v>
      </c>
      <c r="I3361" t="s">
        <v>15270</v>
      </c>
      <c r="J3361" t="s">
        <v>15271</v>
      </c>
    </row>
    <row r="3362" spans="6:10">
      <c r="F3362" t="s">
        <v>15272</v>
      </c>
      <c r="G3362">
        <v>3359</v>
      </c>
      <c r="H3362" t="s">
        <v>930</v>
      </c>
      <c r="I3362" t="s">
        <v>931</v>
      </c>
      <c r="J3362" t="s">
        <v>15273</v>
      </c>
    </row>
    <row r="3363" spans="6:10">
      <c r="F3363" t="s">
        <v>15274</v>
      </c>
      <c r="G3363">
        <v>3360</v>
      </c>
      <c r="H3363" t="s">
        <v>1365</v>
      </c>
      <c r="I3363" t="s">
        <v>1366</v>
      </c>
      <c r="J3363" t="s">
        <v>15275</v>
      </c>
    </row>
    <row r="3364" spans="6:10">
      <c r="F3364" t="s">
        <v>15276</v>
      </c>
      <c r="G3364">
        <v>3361</v>
      </c>
      <c r="H3364" t="s">
        <v>687</v>
      </c>
      <c r="I3364" t="s">
        <v>691</v>
      </c>
      <c r="J3364" t="s">
        <v>15277</v>
      </c>
    </row>
    <row r="3365" spans="6:10">
      <c r="F3365" t="s">
        <v>15278</v>
      </c>
      <c r="G3365">
        <v>3362</v>
      </c>
      <c r="H3365" t="s">
        <v>687</v>
      </c>
      <c r="I3365" t="s">
        <v>692</v>
      </c>
      <c r="J3365" t="s">
        <v>15279</v>
      </c>
    </row>
    <row r="3366" spans="6:10">
      <c r="F3366" t="s">
        <v>15280</v>
      </c>
      <c r="G3366">
        <v>3363</v>
      </c>
      <c r="H3366" t="s">
        <v>1791</v>
      </c>
      <c r="I3366" t="s">
        <v>1792</v>
      </c>
      <c r="J3366" t="s">
        <v>15281</v>
      </c>
    </row>
    <row r="3367" spans="6:10">
      <c r="F3367" t="s">
        <v>15282</v>
      </c>
      <c r="G3367">
        <v>3364</v>
      </c>
      <c r="H3367" t="s">
        <v>5692</v>
      </c>
      <c r="I3367" t="s">
        <v>5693</v>
      </c>
      <c r="J3367" t="s">
        <v>15283</v>
      </c>
    </row>
    <row r="3368" spans="6:10">
      <c r="F3368" t="s">
        <v>15284</v>
      </c>
      <c r="G3368">
        <v>3365</v>
      </c>
      <c r="H3368" t="s">
        <v>4008</v>
      </c>
      <c r="I3368" t="s">
        <v>4009</v>
      </c>
      <c r="J3368" t="s">
        <v>15285</v>
      </c>
    </row>
    <row r="3369" spans="6:10">
      <c r="F3369" t="s">
        <v>15286</v>
      </c>
      <c r="G3369">
        <v>3366</v>
      </c>
      <c r="H3369" t="s">
        <v>2984</v>
      </c>
      <c r="I3369" t="s">
        <v>2984</v>
      </c>
      <c r="J3369" t="s">
        <v>15287</v>
      </c>
    </row>
    <row r="3370" spans="6:10">
      <c r="F3370" t="s">
        <v>15288</v>
      </c>
      <c r="G3370">
        <v>3367</v>
      </c>
      <c r="H3370" t="s">
        <v>15289</v>
      </c>
      <c r="I3370" t="s">
        <v>15290</v>
      </c>
      <c r="J3370" t="s">
        <v>15291</v>
      </c>
    </row>
    <row r="3371" spans="6:10">
      <c r="F3371" t="s">
        <v>15292</v>
      </c>
      <c r="G3371">
        <v>3368</v>
      </c>
      <c r="H3371" t="s">
        <v>973</v>
      </c>
      <c r="I3371" t="s">
        <v>973</v>
      </c>
      <c r="J3371" t="s">
        <v>15293</v>
      </c>
    </row>
    <row r="3372" spans="6:10">
      <c r="F3372" t="s">
        <v>15294</v>
      </c>
      <c r="G3372">
        <v>3369</v>
      </c>
      <c r="H3372" t="s">
        <v>15295</v>
      </c>
      <c r="I3372" t="s">
        <v>15296</v>
      </c>
      <c r="J3372" t="s">
        <v>15297</v>
      </c>
    </row>
    <row r="3373" spans="6:10">
      <c r="F3373" t="s">
        <v>15298</v>
      </c>
      <c r="G3373">
        <v>3370</v>
      </c>
      <c r="H3373" t="s">
        <v>3685</v>
      </c>
      <c r="I3373" t="s">
        <v>3686</v>
      </c>
      <c r="J3373" t="s">
        <v>15299</v>
      </c>
    </row>
    <row r="3374" spans="6:10">
      <c r="F3374" t="s">
        <v>15300</v>
      </c>
      <c r="G3374">
        <v>3371</v>
      </c>
      <c r="H3374" t="s">
        <v>3211</v>
      </c>
      <c r="I3374" t="s">
        <v>3212</v>
      </c>
      <c r="J3374" t="s">
        <v>15301</v>
      </c>
    </row>
    <row r="3375" spans="6:10">
      <c r="F3375" t="s">
        <v>15302</v>
      </c>
      <c r="G3375">
        <v>3372</v>
      </c>
      <c r="H3375" t="s">
        <v>15303</v>
      </c>
      <c r="I3375" t="s">
        <v>15304</v>
      </c>
      <c r="J3375" t="s">
        <v>15305</v>
      </c>
    </row>
    <row r="3376" spans="6:10">
      <c r="F3376" t="s">
        <v>15306</v>
      </c>
      <c r="G3376">
        <v>3373</v>
      </c>
      <c r="H3376" t="s">
        <v>4531</v>
      </c>
      <c r="I3376" t="s">
        <v>4532</v>
      </c>
      <c r="J3376" t="s">
        <v>15307</v>
      </c>
    </row>
    <row r="3377" spans="6:10">
      <c r="F3377" t="s">
        <v>15308</v>
      </c>
      <c r="G3377">
        <v>3374</v>
      </c>
      <c r="H3377" t="s">
        <v>15309</v>
      </c>
      <c r="I3377" t="s">
        <v>15310</v>
      </c>
      <c r="J3377" t="s">
        <v>15311</v>
      </c>
    </row>
    <row r="3378" spans="6:10">
      <c r="F3378" t="s">
        <v>15312</v>
      </c>
      <c r="G3378">
        <v>3375</v>
      </c>
      <c r="H3378" t="s">
        <v>157</v>
      </c>
      <c r="I3378" t="s">
        <v>158</v>
      </c>
      <c r="J3378" t="s">
        <v>15313</v>
      </c>
    </row>
    <row r="3379" spans="6:10">
      <c r="F3379" t="s">
        <v>15314</v>
      </c>
      <c r="G3379">
        <v>3376</v>
      </c>
      <c r="H3379" t="s">
        <v>3781</v>
      </c>
      <c r="I3379" t="s">
        <v>3781</v>
      </c>
      <c r="J3379" t="s">
        <v>15315</v>
      </c>
    </row>
    <row r="3380" spans="6:10">
      <c r="F3380" t="s">
        <v>15316</v>
      </c>
      <c r="G3380">
        <v>3377</v>
      </c>
      <c r="H3380" t="s">
        <v>1074</v>
      </c>
      <c r="I3380" t="s">
        <v>1074</v>
      </c>
      <c r="J3380" t="s">
        <v>15317</v>
      </c>
    </row>
    <row r="3381" spans="6:10">
      <c r="F3381" t="s">
        <v>15318</v>
      </c>
      <c r="G3381">
        <v>3378</v>
      </c>
      <c r="H3381" t="s">
        <v>4330</v>
      </c>
      <c r="I3381" t="s">
        <v>4330</v>
      </c>
      <c r="J3381" t="s">
        <v>15319</v>
      </c>
    </row>
    <row r="3382" spans="6:10">
      <c r="F3382" t="s">
        <v>15320</v>
      </c>
      <c r="G3382">
        <v>3379</v>
      </c>
      <c r="H3382" t="s">
        <v>382</v>
      </c>
      <c r="I3382" t="s">
        <v>383</v>
      </c>
      <c r="J3382" t="s">
        <v>15321</v>
      </c>
    </row>
    <row r="3383" spans="6:10">
      <c r="F3383" t="s">
        <v>15322</v>
      </c>
      <c r="G3383">
        <v>3380</v>
      </c>
      <c r="H3383" t="s">
        <v>3209</v>
      </c>
      <c r="I3383" t="s">
        <v>3210</v>
      </c>
      <c r="J3383" t="s">
        <v>15323</v>
      </c>
    </row>
    <row r="3384" spans="6:10">
      <c r="F3384" t="s">
        <v>15324</v>
      </c>
      <c r="G3384">
        <v>3381</v>
      </c>
      <c r="H3384" t="s">
        <v>3718</v>
      </c>
      <c r="I3384" t="s">
        <v>3719</v>
      </c>
      <c r="J3384" t="s">
        <v>15325</v>
      </c>
    </row>
    <row r="3385" spans="6:10">
      <c r="F3385" t="s">
        <v>15326</v>
      </c>
      <c r="G3385">
        <v>3382</v>
      </c>
      <c r="H3385" t="s">
        <v>5945</v>
      </c>
      <c r="I3385" t="s">
        <v>5946</v>
      </c>
      <c r="J3385" t="s">
        <v>15327</v>
      </c>
    </row>
    <row r="3386" spans="6:10">
      <c r="F3386" t="s">
        <v>15328</v>
      </c>
      <c r="G3386">
        <v>3383</v>
      </c>
      <c r="H3386" t="s">
        <v>5592</v>
      </c>
      <c r="I3386" t="s">
        <v>5592</v>
      </c>
      <c r="J3386" t="s">
        <v>15329</v>
      </c>
    </row>
    <row r="3387" spans="6:10">
      <c r="F3387" t="s">
        <v>15330</v>
      </c>
      <c r="G3387">
        <v>3384</v>
      </c>
      <c r="H3387" t="s">
        <v>15331</v>
      </c>
      <c r="I3387" t="s">
        <v>15332</v>
      </c>
      <c r="J3387" t="s">
        <v>15333</v>
      </c>
    </row>
    <row r="3388" spans="6:10">
      <c r="F3388" t="s">
        <v>15334</v>
      </c>
      <c r="G3388">
        <v>3385</v>
      </c>
      <c r="H3388" t="s">
        <v>15335</v>
      </c>
      <c r="I3388" t="s">
        <v>15336</v>
      </c>
      <c r="J3388" t="s">
        <v>15337</v>
      </c>
    </row>
    <row r="3389" spans="6:10">
      <c r="F3389" t="s">
        <v>15338</v>
      </c>
      <c r="G3389">
        <v>3386</v>
      </c>
      <c r="H3389" t="s">
        <v>3682</v>
      </c>
      <c r="I3389" t="s">
        <v>3682</v>
      </c>
      <c r="J3389" t="s">
        <v>15339</v>
      </c>
    </row>
    <row r="3390" spans="6:10">
      <c r="F3390" t="s">
        <v>15340</v>
      </c>
      <c r="G3390">
        <v>3387</v>
      </c>
      <c r="H3390" t="s">
        <v>4817</v>
      </c>
      <c r="I3390" t="s">
        <v>4818</v>
      </c>
      <c r="J3390" t="s">
        <v>15341</v>
      </c>
    </row>
    <row r="3391" spans="6:10">
      <c r="F3391" t="s">
        <v>15342</v>
      </c>
      <c r="G3391">
        <v>3388</v>
      </c>
      <c r="H3391" t="s">
        <v>15343</v>
      </c>
      <c r="I3391" t="s">
        <v>1486</v>
      </c>
      <c r="J3391" t="s">
        <v>15344</v>
      </c>
    </row>
    <row r="3392" spans="6:10">
      <c r="F3392" t="s">
        <v>15345</v>
      </c>
      <c r="G3392">
        <v>3389</v>
      </c>
      <c r="H3392" t="s">
        <v>15346</v>
      </c>
      <c r="I3392" t="s">
        <v>15347</v>
      </c>
      <c r="J3392" t="s">
        <v>15348</v>
      </c>
    </row>
    <row r="3393" spans="6:10">
      <c r="F3393" t="s">
        <v>15349</v>
      </c>
      <c r="G3393">
        <v>3390</v>
      </c>
      <c r="H3393" t="s">
        <v>15350</v>
      </c>
      <c r="I3393" t="s">
        <v>15270</v>
      </c>
      <c r="J3393" t="s">
        <v>15351</v>
      </c>
    </row>
    <row r="3394" spans="6:10">
      <c r="F3394" t="s">
        <v>15352</v>
      </c>
      <c r="G3394">
        <v>3391</v>
      </c>
      <c r="H3394" t="s">
        <v>4021</v>
      </c>
      <c r="I3394" t="s">
        <v>4021</v>
      </c>
      <c r="J3394" t="s">
        <v>15353</v>
      </c>
    </row>
    <row r="3395" spans="6:10">
      <c r="F3395" t="s">
        <v>15354</v>
      </c>
      <c r="G3395">
        <v>3392</v>
      </c>
      <c r="H3395" t="s">
        <v>5179</v>
      </c>
      <c r="I3395" t="s">
        <v>5179</v>
      </c>
      <c r="J3395" t="s">
        <v>15355</v>
      </c>
    </row>
    <row r="3396" spans="6:10">
      <c r="F3396" t="s">
        <v>15356</v>
      </c>
      <c r="G3396">
        <v>3393</v>
      </c>
      <c r="H3396" t="s">
        <v>3469</v>
      </c>
      <c r="I3396" t="s">
        <v>3469</v>
      </c>
      <c r="J3396" t="s">
        <v>15357</v>
      </c>
    </row>
    <row r="3397" spans="6:10">
      <c r="F3397" t="s">
        <v>15358</v>
      </c>
      <c r="G3397">
        <v>3394</v>
      </c>
      <c r="H3397" t="s">
        <v>3254</v>
      </c>
      <c r="I3397" t="s">
        <v>3255</v>
      </c>
      <c r="J3397" t="s">
        <v>15359</v>
      </c>
    </row>
    <row r="3398" spans="6:10">
      <c r="F3398" t="s">
        <v>15360</v>
      </c>
      <c r="G3398">
        <v>3395</v>
      </c>
      <c r="H3398" t="s">
        <v>3889</v>
      </c>
      <c r="I3398" t="s">
        <v>3889</v>
      </c>
      <c r="J3398" t="s">
        <v>15361</v>
      </c>
    </row>
    <row r="3399" spans="6:10">
      <c r="F3399" t="s">
        <v>15362</v>
      </c>
      <c r="G3399">
        <v>3396</v>
      </c>
      <c r="H3399" t="s">
        <v>4603</v>
      </c>
      <c r="I3399" t="s">
        <v>4603</v>
      </c>
      <c r="J3399" t="s">
        <v>15363</v>
      </c>
    </row>
    <row r="3400" spans="6:10">
      <c r="F3400" t="s">
        <v>15364</v>
      </c>
      <c r="G3400">
        <v>3397</v>
      </c>
      <c r="H3400" t="s">
        <v>867</v>
      </c>
      <c r="I3400" t="s">
        <v>867</v>
      </c>
      <c r="J3400" t="s">
        <v>15365</v>
      </c>
    </row>
    <row r="3401" spans="6:10">
      <c r="F3401" t="s">
        <v>15366</v>
      </c>
      <c r="G3401">
        <v>3398</v>
      </c>
      <c r="H3401" t="s">
        <v>5145</v>
      </c>
      <c r="I3401" t="s">
        <v>5145</v>
      </c>
      <c r="J3401" t="s">
        <v>15367</v>
      </c>
    </row>
    <row r="3402" spans="6:10">
      <c r="F3402" t="s">
        <v>15368</v>
      </c>
      <c r="G3402">
        <v>3399</v>
      </c>
      <c r="H3402" t="s">
        <v>1260</v>
      </c>
      <c r="I3402" t="s">
        <v>1261</v>
      </c>
      <c r="J3402" t="s">
        <v>15369</v>
      </c>
    </row>
    <row r="3403" spans="6:10">
      <c r="F3403" t="s">
        <v>15370</v>
      </c>
      <c r="G3403">
        <v>3400</v>
      </c>
      <c r="H3403" t="s">
        <v>1203</v>
      </c>
      <c r="I3403" t="s">
        <v>1203</v>
      </c>
      <c r="J3403" t="s">
        <v>15371</v>
      </c>
    </row>
    <row r="3404" spans="6:10">
      <c r="F3404" t="s">
        <v>15372</v>
      </c>
      <c r="G3404">
        <v>3401</v>
      </c>
      <c r="H3404" t="s">
        <v>1775</v>
      </c>
      <c r="I3404" t="s">
        <v>1776</v>
      </c>
      <c r="J3404" t="s">
        <v>15373</v>
      </c>
    </row>
    <row r="3405" spans="6:10">
      <c r="F3405" t="s">
        <v>15374</v>
      </c>
      <c r="G3405">
        <v>3402</v>
      </c>
      <c r="H3405" t="s">
        <v>3827</v>
      </c>
      <c r="I3405" t="s">
        <v>3827</v>
      </c>
      <c r="J3405" t="s">
        <v>15375</v>
      </c>
    </row>
    <row r="3406" spans="6:10">
      <c r="F3406" t="s">
        <v>15376</v>
      </c>
      <c r="G3406">
        <v>3403</v>
      </c>
      <c r="H3406" t="s">
        <v>2262</v>
      </c>
      <c r="I3406" t="s">
        <v>2263</v>
      </c>
      <c r="J3406" t="s">
        <v>15377</v>
      </c>
    </row>
    <row r="3407" spans="6:10">
      <c r="F3407" t="s">
        <v>15378</v>
      </c>
      <c r="G3407">
        <v>3404</v>
      </c>
      <c r="H3407" t="s">
        <v>3646</v>
      </c>
      <c r="I3407" t="s">
        <v>3647</v>
      </c>
      <c r="J3407" t="s">
        <v>15379</v>
      </c>
    </row>
    <row r="3408" spans="6:10">
      <c r="F3408" t="s">
        <v>15380</v>
      </c>
      <c r="G3408">
        <v>3405</v>
      </c>
      <c r="H3408" t="s">
        <v>15331</v>
      </c>
      <c r="I3408" t="s">
        <v>15332</v>
      </c>
      <c r="J3408" t="s">
        <v>15381</v>
      </c>
    </row>
    <row r="3409" spans="6:10">
      <c r="F3409" t="s">
        <v>15382</v>
      </c>
      <c r="G3409">
        <v>3406</v>
      </c>
      <c r="H3409" t="s">
        <v>3223</v>
      </c>
      <c r="I3409" t="s">
        <v>3224</v>
      </c>
      <c r="J3409" t="s">
        <v>15383</v>
      </c>
    </row>
    <row r="3410" spans="6:10">
      <c r="F3410" t="s">
        <v>15384</v>
      </c>
      <c r="G3410">
        <v>3407</v>
      </c>
      <c r="H3410" t="s">
        <v>3213</v>
      </c>
      <c r="I3410" t="s">
        <v>3214</v>
      </c>
      <c r="J3410" t="s">
        <v>15385</v>
      </c>
    </row>
    <row r="3411" spans="6:10">
      <c r="F3411" t="s">
        <v>15386</v>
      </c>
      <c r="G3411">
        <v>3408</v>
      </c>
      <c r="H3411" t="s">
        <v>5593</v>
      </c>
      <c r="I3411" t="s">
        <v>5594</v>
      </c>
      <c r="J3411" t="s">
        <v>15387</v>
      </c>
    </row>
    <row r="3412" spans="6:10">
      <c r="F3412" t="s">
        <v>15388</v>
      </c>
      <c r="G3412">
        <v>3409</v>
      </c>
      <c r="H3412" t="s">
        <v>4013</v>
      </c>
      <c r="I3412" t="s">
        <v>4013</v>
      </c>
      <c r="J3412" t="s">
        <v>15389</v>
      </c>
    </row>
    <row r="3413" spans="6:10">
      <c r="F3413" t="s">
        <v>15390</v>
      </c>
      <c r="G3413">
        <v>3410</v>
      </c>
      <c r="H3413" t="s">
        <v>1034</v>
      </c>
      <c r="I3413" t="s">
        <v>1035</v>
      </c>
      <c r="J3413" t="s">
        <v>15391</v>
      </c>
    </row>
    <row r="3414" spans="6:10">
      <c r="F3414" t="s">
        <v>15392</v>
      </c>
      <c r="G3414">
        <v>3411</v>
      </c>
      <c r="H3414" t="s">
        <v>15393</v>
      </c>
      <c r="I3414" t="s">
        <v>15394</v>
      </c>
      <c r="J3414" t="s">
        <v>15395</v>
      </c>
    </row>
    <row r="3415" spans="6:10">
      <c r="F3415" t="s">
        <v>15396</v>
      </c>
      <c r="G3415">
        <v>3412</v>
      </c>
      <c r="H3415" t="s">
        <v>15397</v>
      </c>
      <c r="I3415" t="s">
        <v>15398</v>
      </c>
      <c r="J3415" t="s">
        <v>15399</v>
      </c>
    </row>
    <row r="3416" spans="6:10">
      <c r="F3416" t="s">
        <v>15400</v>
      </c>
      <c r="G3416">
        <v>3413</v>
      </c>
      <c r="H3416" t="s">
        <v>15401</v>
      </c>
      <c r="I3416" t="s">
        <v>15402</v>
      </c>
      <c r="J3416" t="s">
        <v>15403</v>
      </c>
    </row>
    <row r="3417" spans="6:10">
      <c r="F3417" t="s">
        <v>15404</v>
      </c>
      <c r="G3417">
        <v>3414</v>
      </c>
      <c r="H3417" t="s">
        <v>15405</v>
      </c>
      <c r="I3417" t="s">
        <v>15406</v>
      </c>
      <c r="J3417" t="s">
        <v>15407</v>
      </c>
    </row>
    <row r="3418" spans="6:10">
      <c r="F3418" t="s">
        <v>15408</v>
      </c>
      <c r="G3418">
        <v>3415</v>
      </c>
      <c r="H3418" t="s">
        <v>15409</v>
      </c>
      <c r="I3418" t="s">
        <v>15410</v>
      </c>
      <c r="J3418" t="s">
        <v>15411</v>
      </c>
    </row>
    <row r="3419" spans="6:10">
      <c r="F3419" t="s">
        <v>15412</v>
      </c>
      <c r="G3419">
        <v>3416</v>
      </c>
      <c r="H3419" t="s">
        <v>15413</v>
      </c>
      <c r="I3419" t="s">
        <v>15414</v>
      </c>
      <c r="J3419" t="s">
        <v>15415</v>
      </c>
    </row>
    <row r="3420" spans="6:10">
      <c r="F3420" t="s">
        <v>15416</v>
      </c>
      <c r="G3420">
        <v>3417</v>
      </c>
      <c r="H3420" t="s">
        <v>4999</v>
      </c>
      <c r="I3420" t="s">
        <v>5000</v>
      </c>
      <c r="J3420" t="s">
        <v>15417</v>
      </c>
    </row>
    <row r="3421" spans="6:10">
      <c r="F3421" t="s">
        <v>15418</v>
      </c>
      <c r="G3421">
        <v>3418</v>
      </c>
      <c r="H3421" t="s">
        <v>15419</v>
      </c>
      <c r="I3421" t="s">
        <v>15420</v>
      </c>
      <c r="J3421" t="s">
        <v>15421</v>
      </c>
    </row>
    <row r="3422" spans="6:10">
      <c r="F3422" t="s">
        <v>15422</v>
      </c>
      <c r="G3422">
        <v>3419</v>
      </c>
      <c r="H3422" t="s">
        <v>3302</v>
      </c>
      <c r="I3422" t="s">
        <v>3303</v>
      </c>
      <c r="J3422" t="s">
        <v>15423</v>
      </c>
    </row>
    <row r="3423" spans="6:10">
      <c r="F3423" t="s">
        <v>15424</v>
      </c>
      <c r="G3423">
        <v>3420</v>
      </c>
      <c r="H3423" t="s">
        <v>15425</v>
      </c>
      <c r="I3423" t="s">
        <v>15426</v>
      </c>
      <c r="J3423" t="s">
        <v>15427</v>
      </c>
    </row>
    <row r="3424" spans="6:10">
      <c r="F3424" t="s">
        <v>15428</v>
      </c>
      <c r="G3424">
        <v>3421</v>
      </c>
      <c r="H3424" t="s">
        <v>15429</v>
      </c>
      <c r="I3424" t="s">
        <v>15430</v>
      </c>
      <c r="J3424" t="s">
        <v>15431</v>
      </c>
    </row>
    <row r="3425" spans="6:10">
      <c r="F3425" t="s">
        <v>15432</v>
      </c>
      <c r="G3425">
        <v>3422</v>
      </c>
      <c r="H3425" t="s">
        <v>3897</v>
      </c>
      <c r="I3425" t="s">
        <v>3897</v>
      </c>
      <c r="J3425" t="s">
        <v>15433</v>
      </c>
    </row>
    <row r="3426" spans="6:10">
      <c r="F3426" t="s">
        <v>15434</v>
      </c>
      <c r="G3426">
        <v>3423</v>
      </c>
      <c r="H3426" t="s">
        <v>1579</v>
      </c>
      <c r="I3426" t="s">
        <v>1580</v>
      </c>
      <c r="J3426" t="s">
        <v>15435</v>
      </c>
    </row>
    <row r="3427" spans="6:10">
      <c r="F3427" t="s">
        <v>15436</v>
      </c>
      <c r="G3427">
        <v>3424</v>
      </c>
      <c r="H3427" t="s">
        <v>5046</v>
      </c>
      <c r="I3427" t="s">
        <v>5047</v>
      </c>
      <c r="J3427" t="s">
        <v>15437</v>
      </c>
    </row>
    <row r="3428" spans="6:10">
      <c r="F3428" t="s">
        <v>15438</v>
      </c>
      <c r="G3428">
        <v>3425</v>
      </c>
      <c r="H3428" t="s">
        <v>15439</v>
      </c>
      <c r="I3428" t="s">
        <v>15440</v>
      </c>
      <c r="J3428" t="s">
        <v>15441</v>
      </c>
    </row>
    <row r="3429" spans="6:10">
      <c r="F3429" t="s">
        <v>15442</v>
      </c>
      <c r="G3429">
        <v>3426</v>
      </c>
      <c r="H3429" t="s">
        <v>15443</v>
      </c>
      <c r="I3429" t="s">
        <v>15444</v>
      </c>
      <c r="J3429" t="s">
        <v>15445</v>
      </c>
    </row>
    <row r="3430" spans="6:10">
      <c r="F3430" t="s">
        <v>15446</v>
      </c>
      <c r="G3430">
        <v>3427</v>
      </c>
      <c r="H3430" t="s">
        <v>15447</v>
      </c>
      <c r="I3430" t="s">
        <v>15448</v>
      </c>
      <c r="J3430" t="s">
        <v>15449</v>
      </c>
    </row>
    <row r="3431" spans="6:10">
      <c r="F3431" t="s">
        <v>15450</v>
      </c>
      <c r="G3431">
        <v>3428</v>
      </c>
      <c r="H3431" t="s">
        <v>7129</v>
      </c>
      <c r="I3431" t="s">
        <v>7129</v>
      </c>
      <c r="J3431" t="s">
        <v>15451</v>
      </c>
    </row>
    <row r="3432" spans="6:10">
      <c r="F3432" t="s">
        <v>15452</v>
      </c>
      <c r="G3432">
        <v>3429</v>
      </c>
      <c r="H3432" t="s">
        <v>4037</v>
      </c>
      <c r="I3432" t="s">
        <v>4037</v>
      </c>
      <c r="J3432" t="s">
        <v>15453</v>
      </c>
    </row>
    <row r="3433" spans="6:10">
      <c r="F3433" t="s">
        <v>15454</v>
      </c>
      <c r="G3433">
        <v>3430</v>
      </c>
      <c r="H3433" t="s">
        <v>3790</v>
      </c>
      <c r="I3433" t="s">
        <v>3791</v>
      </c>
      <c r="J3433" t="s">
        <v>15455</v>
      </c>
    </row>
    <row r="3434" spans="6:10">
      <c r="F3434" t="s">
        <v>15456</v>
      </c>
      <c r="G3434">
        <v>3431</v>
      </c>
      <c r="H3434" t="s">
        <v>15457</v>
      </c>
      <c r="I3434" t="s">
        <v>15458</v>
      </c>
      <c r="J3434" t="s">
        <v>15459</v>
      </c>
    </row>
    <row r="3435" spans="6:10">
      <c r="F3435" t="s">
        <v>15460</v>
      </c>
      <c r="G3435">
        <v>3432</v>
      </c>
      <c r="H3435" t="s">
        <v>2818</v>
      </c>
      <c r="I3435" t="s">
        <v>2833</v>
      </c>
      <c r="J3435" t="s">
        <v>15461</v>
      </c>
    </row>
    <row r="3436" spans="6:10">
      <c r="F3436" t="s">
        <v>15462</v>
      </c>
      <c r="G3436">
        <v>3433</v>
      </c>
      <c r="H3436" t="s">
        <v>3401</v>
      </c>
      <c r="I3436" t="s">
        <v>3402</v>
      </c>
      <c r="J3436" t="s">
        <v>15463</v>
      </c>
    </row>
    <row r="3437" spans="6:10">
      <c r="F3437" t="s">
        <v>15464</v>
      </c>
      <c r="G3437">
        <v>3434</v>
      </c>
      <c r="H3437" t="s">
        <v>398</v>
      </c>
      <c r="I3437" t="s">
        <v>399</v>
      </c>
      <c r="J3437" t="s">
        <v>15465</v>
      </c>
    </row>
    <row r="3438" spans="6:10">
      <c r="F3438" t="s">
        <v>15466</v>
      </c>
      <c r="G3438">
        <v>3435</v>
      </c>
      <c r="H3438" t="s">
        <v>15467</v>
      </c>
      <c r="I3438" t="s">
        <v>15467</v>
      </c>
      <c r="J3438" t="s">
        <v>15468</v>
      </c>
    </row>
    <row r="3439" spans="6:10">
      <c r="F3439" t="s">
        <v>15469</v>
      </c>
      <c r="G3439">
        <v>3436</v>
      </c>
      <c r="H3439" t="s">
        <v>1826</v>
      </c>
      <c r="I3439" t="s">
        <v>1827</v>
      </c>
      <c r="J3439" t="s">
        <v>15470</v>
      </c>
    </row>
    <row r="3440" spans="6:10">
      <c r="F3440" t="s">
        <v>15471</v>
      </c>
      <c r="G3440">
        <v>13672183733</v>
      </c>
      <c r="H3440" t="s">
        <v>5084</v>
      </c>
      <c r="I3440" t="s">
        <v>5084</v>
      </c>
      <c r="J3440" t="s">
        <v>15472</v>
      </c>
    </row>
    <row r="3441" spans="6:10">
      <c r="F3441" t="s">
        <v>15473</v>
      </c>
      <c r="G3441">
        <v>15413655770</v>
      </c>
      <c r="H3441" t="s">
        <v>4643</v>
      </c>
      <c r="I3441" t="s">
        <v>4643</v>
      </c>
      <c r="J3441" t="s">
        <v>15474</v>
      </c>
    </row>
    <row r="3442" spans="6:10">
      <c r="F3442" t="s">
        <v>15475</v>
      </c>
      <c r="G3442">
        <v>15115651793</v>
      </c>
      <c r="H3442" t="s">
        <v>4381</v>
      </c>
      <c r="I3442" t="s">
        <v>4382</v>
      </c>
      <c r="J3442" t="s">
        <v>15476</v>
      </c>
    </row>
    <row r="3443" spans="6:10">
      <c r="F3443" t="s">
        <v>15477</v>
      </c>
      <c r="G3443">
        <v>3440</v>
      </c>
      <c r="H3443" t="s">
        <v>3866</v>
      </c>
      <c r="I3443" t="s">
        <v>3867</v>
      </c>
      <c r="J3443" t="s">
        <v>15478</v>
      </c>
    </row>
    <row r="3444" spans="6:10">
      <c r="F3444" t="s">
        <v>15479</v>
      </c>
      <c r="G3444">
        <v>3441</v>
      </c>
      <c r="H3444" t="s">
        <v>15480</v>
      </c>
      <c r="I3444" t="s">
        <v>15481</v>
      </c>
      <c r="J3444" t="s">
        <v>15482</v>
      </c>
    </row>
    <row r="3445" spans="6:10">
      <c r="F3445" t="s">
        <v>15483</v>
      </c>
      <c r="G3445">
        <v>3442</v>
      </c>
      <c r="H3445" t="s">
        <v>1890</v>
      </c>
      <c r="I3445" t="s">
        <v>1891</v>
      </c>
      <c r="J3445" t="s">
        <v>15484</v>
      </c>
    </row>
    <row r="3446" spans="6:10">
      <c r="F3446" t="s">
        <v>15485</v>
      </c>
      <c r="G3446">
        <v>3443</v>
      </c>
      <c r="H3446" t="s">
        <v>1816</v>
      </c>
      <c r="I3446" t="s">
        <v>1817</v>
      </c>
      <c r="J3446" t="s">
        <v>15486</v>
      </c>
    </row>
    <row r="3447" spans="6:10">
      <c r="F3447" t="s">
        <v>15487</v>
      </c>
      <c r="G3447">
        <v>3444</v>
      </c>
      <c r="H3447" t="s">
        <v>15488</v>
      </c>
      <c r="I3447" t="s">
        <v>15489</v>
      </c>
      <c r="J3447" t="s">
        <v>15490</v>
      </c>
    </row>
    <row r="3448" spans="6:10">
      <c r="F3448" t="s">
        <v>15491</v>
      </c>
      <c r="G3448">
        <v>3445</v>
      </c>
      <c r="H3448" t="s">
        <v>4385</v>
      </c>
      <c r="I3448" t="s">
        <v>4386</v>
      </c>
      <c r="J3448" t="s">
        <v>15492</v>
      </c>
    </row>
    <row r="3449" spans="6:10">
      <c r="F3449" t="s">
        <v>15493</v>
      </c>
      <c r="G3449">
        <v>3446</v>
      </c>
      <c r="H3449" t="s">
        <v>3263</v>
      </c>
      <c r="I3449" t="s">
        <v>3264</v>
      </c>
      <c r="J3449" t="s">
        <v>15494</v>
      </c>
    </row>
    <row r="3450" spans="6:10">
      <c r="F3450" t="s">
        <v>15495</v>
      </c>
      <c r="G3450">
        <v>3447</v>
      </c>
      <c r="H3450" t="s">
        <v>4185</v>
      </c>
      <c r="I3450" t="s">
        <v>4186</v>
      </c>
      <c r="J3450" t="s">
        <v>15496</v>
      </c>
    </row>
    <row r="3451" spans="6:10">
      <c r="F3451" t="s">
        <v>15497</v>
      </c>
      <c r="G3451">
        <v>14845583755</v>
      </c>
      <c r="H3451" t="s">
        <v>3235</v>
      </c>
      <c r="I3451" t="s">
        <v>3235</v>
      </c>
      <c r="J3451" t="s">
        <v>15498</v>
      </c>
    </row>
    <row r="3452" spans="6:10">
      <c r="F3452" t="s">
        <v>15499</v>
      </c>
      <c r="G3452">
        <v>3449</v>
      </c>
      <c r="H3452" t="s">
        <v>2596</v>
      </c>
      <c r="I3452" t="s">
        <v>2597</v>
      </c>
      <c r="J3452" t="s">
        <v>15500</v>
      </c>
    </row>
    <row r="3453" spans="6:10">
      <c r="F3453" t="s">
        <v>15501</v>
      </c>
      <c r="G3453">
        <v>3450</v>
      </c>
      <c r="H3453" t="s">
        <v>3739</v>
      </c>
      <c r="I3453" t="s">
        <v>3739</v>
      </c>
      <c r="J3453" t="s">
        <v>15502</v>
      </c>
    </row>
    <row r="3454" spans="6:10">
      <c r="F3454" t="s">
        <v>15503</v>
      </c>
      <c r="G3454">
        <v>3451</v>
      </c>
      <c r="H3454" t="s">
        <v>2330</v>
      </c>
      <c r="I3454" t="s">
        <v>2331</v>
      </c>
      <c r="J3454" t="s">
        <v>15504</v>
      </c>
    </row>
    <row r="3455" spans="6:10">
      <c r="F3455" t="s">
        <v>15505</v>
      </c>
      <c r="G3455">
        <v>3452</v>
      </c>
      <c r="H3455" t="s">
        <v>9046</v>
      </c>
      <c r="I3455" t="s">
        <v>9046</v>
      </c>
      <c r="J3455" t="s">
        <v>15506</v>
      </c>
    </row>
    <row r="3456" spans="6:10">
      <c r="F3456" t="s">
        <v>15507</v>
      </c>
      <c r="G3456">
        <v>3453</v>
      </c>
      <c r="H3456" t="s">
        <v>15508</v>
      </c>
      <c r="I3456" t="s">
        <v>15509</v>
      </c>
      <c r="J3456" t="s">
        <v>15510</v>
      </c>
    </row>
    <row r="3457" spans="6:10">
      <c r="F3457" t="s">
        <v>15511</v>
      </c>
      <c r="G3457">
        <v>3454</v>
      </c>
      <c r="H3457" t="s">
        <v>15512</v>
      </c>
      <c r="I3457" t="s">
        <v>15513</v>
      </c>
      <c r="J3457" t="s">
        <v>15514</v>
      </c>
    </row>
    <row r="3458" spans="6:10">
      <c r="F3458" t="s">
        <v>15515</v>
      </c>
      <c r="G3458">
        <v>3455</v>
      </c>
      <c r="H3458" t="s">
        <v>5322</v>
      </c>
      <c r="I3458" t="s">
        <v>5323</v>
      </c>
      <c r="J3458" t="s">
        <v>15516</v>
      </c>
    </row>
    <row r="3459" spans="6:10">
      <c r="F3459" t="s">
        <v>15517</v>
      </c>
      <c r="G3459">
        <v>3456</v>
      </c>
      <c r="H3459" t="s">
        <v>2510</v>
      </c>
      <c r="I3459" t="s">
        <v>2511</v>
      </c>
      <c r="J3459" t="s">
        <v>15518</v>
      </c>
    </row>
    <row r="3460" spans="6:10">
      <c r="F3460" t="s">
        <v>15519</v>
      </c>
      <c r="G3460">
        <v>3457</v>
      </c>
      <c r="H3460" t="s">
        <v>15520</v>
      </c>
      <c r="I3460" t="s">
        <v>15521</v>
      </c>
      <c r="J3460" t="s">
        <v>15522</v>
      </c>
    </row>
    <row r="3461" spans="6:10">
      <c r="F3461" t="s">
        <v>15523</v>
      </c>
      <c r="G3461">
        <v>3458</v>
      </c>
      <c r="H3461" t="s">
        <v>4375</v>
      </c>
      <c r="I3461" t="s">
        <v>4376</v>
      </c>
      <c r="J3461" t="s">
        <v>15524</v>
      </c>
    </row>
    <row r="3462" spans="6:10">
      <c r="F3462" t="s">
        <v>15525</v>
      </c>
      <c r="G3462">
        <v>3459</v>
      </c>
      <c r="H3462" t="s">
        <v>14869</v>
      </c>
      <c r="I3462" t="s">
        <v>14869</v>
      </c>
      <c r="J3462" t="s">
        <v>15526</v>
      </c>
    </row>
    <row r="3463" spans="6:10">
      <c r="F3463" t="s">
        <v>15527</v>
      </c>
      <c r="G3463">
        <v>3460</v>
      </c>
      <c r="H3463" t="s">
        <v>15528</v>
      </c>
      <c r="I3463" t="s">
        <v>13727</v>
      </c>
      <c r="J3463" t="s">
        <v>15529</v>
      </c>
    </row>
    <row r="3464" spans="6:10">
      <c r="F3464" t="s">
        <v>15530</v>
      </c>
      <c r="G3464">
        <v>3461</v>
      </c>
      <c r="H3464" t="s">
        <v>15531</v>
      </c>
      <c r="I3464" t="s">
        <v>15532</v>
      </c>
      <c r="J3464" t="s">
        <v>15533</v>
      </c>
    </row>
    <row r="3465" spans="6:10">
      <c r="F3465" t="s">
        <v>15534</v>
      </c>
      <c r="G3465">
        <v>10738260746</v>
      </c>
      <c r="H3465" t="s">
        <v>460</v>
      </c>
      <c r="I3465" t="s">
        <v>460</v>
      </c>
      <c r="J3465" t="s">
        <v>15535</v>
      </c>
    </row>
    <row r="3466" spans="6:10">
      <c r="F3466" t="s">
        <v>15536</v>
      </c>
      <c r="G3466">
        <v>5625455309</v>
      </c>
      <c r="H3466" t="s">
        <v>5812</v>
      </c>
      <c r="I3466" t="s">
        <v>5812</v>
      </c>
      <c r="J3466" t="s">
        <v>15537</v>
      </c>
    </row>
    <row r="3467" spans="6:10">
      <c r="F3467" t="s">
        <v>15538</v>
      </c>
      <c r="G3467">
        <v>3464</v>
      </c>
      <c r="H3467" t="s">
        <v>3664</v>
      </c>
      <c r="I3467" t="s">
        <v>3664</v>
      </c>
      <c r="J3467" t="s">
        <v>15539</v>
      </c>
    </row>
    <row r="3468" spans="6:10">
      <c r="F3468" t="s">
        <v>15540</v>
      </c>
      <c r="G3468">
        <v>3465</v>
      </c>
      <c r="H3468" t="s">
        <v>15541</v>
      </c>
      <c r="I3468" t="s">
        <v>15542</v>
      </c>
      <c r="J3468" t="s">
        <v>15543</v>
      </c>
    </row>
    <row r="3469" spans="6:10">
      <c r="F3469" t="s">
        <v>15544</v>
      </c>
      <c r="G3469">
        <v>3466</v>
      </c>
      <c r="H3469" t="s">
        <v>5951</v>
      </c>
      <c r="I3469" t="s">
        <v>5952</v>
      </c>
      <c r="J3469" t="s">
        <v>15545</v>
      </c>
    </row>
    <row r="3470" spans="6:10">
      <c r="F3470" t="s">
        <v>15546</v>
      </c>
      <c r="G3470">
        <v>3467</v>
      </c>
      <c r="H3470" t="s">
        <v>55</v>
      </c>
      <c r="I3470" t="s">
        <v>56</v>
      </c>
      <c r="J3470" t="s">
        <v>15547</v>
      </c>
    </row>
    <row r="3471" spans="6:10">
      <c r="F3471" t="s">
        <v>15548</v>
      </c>
      <c r="G3471">
        <v>3468</v>
      </c>
      <c r="H3471" t="s">
        <v>15549</v>
      </c>
      <c r="I3471" t="s">
        <v>15550</v>
      </c>
      <c r="J3471" t="s">
        <v>15551</v>
      </c>
    </row>
    <row r="3472" spans="6:10">
      <c r="F3472" t="s">
        <v>15552</v>
      </c>
      <c r="G3472">
        <v>3469</v>
      </c>
      <c r="H3472" t="s">
        <v>3565</v>
      </c>
      <c r="I3472" t="s">
        <v>3566</v>
      </c>
      <c r="J3472" t="s">
        <v>15553</v>
      </c>
    </row>
    <row r="3473" spans="6:10">
      <c r="F3473" t="s">
        <v>15554</v>
      </c>
      <c r="G3473">
        <v>3470</v>
      </c>
      <c r="H3473" t="s">
        <v>138</v>
      </c>
      <c r="I3473" t="s">
        <v>139</v>
      </c>
      <c r="J3473" t="s">
        <v>15555</v>
      </c>
    </row>
    <row r="3474" spans="6:10">
      <c r="F3474" t="s">
        <v>15556</v>
      </c>
      <c r="G3474">
        <v>3471</v>
      </c>
      <c r="H3474" t="s">
        <v>3710</v>
      </c>
      <c r="I3474" t="s">
        <v>3711</v>
      </c>
      <c r="J3474" t="s">
        <v>15557</v>
      </c>
    </row>
    <row r="3475" spans="6:10">
      <c r="F3475" t="s">
        <v>15558</v>
      </c>
      <c r="G3475">
        <v>3472</v>
      </c>
      <c r="H3475" t="s">
        <v>15559</v>
      </c>
      <c r="I3475" t="s">
        <v>15560</v>
      </c>
      <c r="J3475" t="s">
        <v>15561</v>
      </c>
    </row>
    <row r="3476" spans="6:10">
      <c r="F3476" t="s">
        <v>15562</v>
      </c>
      <c r="G3476">
        <v>3473</v>
      </c>
      <c r="H3476" t="s">
        <v>3433</v>
      </c>
      <c r="I3476" t="s">
        <v>3434</v>
      </c>
      <c r="J3476" t="s">
        <v>15563</v>
      </c>
    </row>
    <row r="3477" spans="6:10">
      <c r="F3477" t="s">
        <v>15564</v>
      </c>
      <c r="G3477">
        <v>3474</v>
      </c>
      <c r="H3477" t="s">
        <v>4686</v>
      </c>
      <c r="I3477" t="s">
        <v>4687</v>
      </c>
      <c r="J3477" t="s">
        <v>15565</v>
      </c>
    </row>
    <row r="3478" spans="6:10">
      <c r="F3478" t="s">
        <v>15566</v>
      </c>
      <c r="G3478">
        <v>3475</v>
      </c>
      <c r="H3478" t="s">
        <v>1922</v>
      </c>
      <c r="I3478" t="s">
        <v>1923</v>
      </c>
      <c r="J3478" t="s">
        <v>15567</v>
      </c>
    </row>
    <row r="3479" spans="6:10">
      <c r="F3479" t="s">
        <v>15568</v>
      </c>
      <c r="G3479">
        <v>3476</v>
      </c>
      <c r="H3479" t="s">
        <v>395</v>
      </c>
      <c r="I3479" t="s">
        <v>395</v>
      </c>
      <c r="J3479" t="s">
        <v>15569</v>
      </c>
    </row>
    <row r="3480" spans="6:10">
      <c r="F3480" t="s">
        <v>15570</v>
      </c>
      <c r="G3480">
        <v>3477</v>
      </c>
      <c r="H3480" t="s">
        <v>15571</v>
      </c>
      <c r="I3480" t="s">
        <v>15572</v>
      </c>
      <c r="J3480" t="s">
        <v>15573</v>
      </c>
    </row>
    <row r="3481" spans="6:10">
      <c r="F3481" t="s">
        <v>15574</v>
      </c>
      <c r="G3481">
        <v>3478</v>
      </c>
      <c r="H3481" t="s">
        <v>5482</v>
      </c>
      <c r="I3481" t="s">
        <v>5483</v>
      </c>
      <c r="J3481" t="s">
        <v>15575</v>
      </c>
    </row>
    <row r="3482" spans="6:10">
      <c r="F3482" t="s">
        <v>15576</v>
      </c>
      <c r="G3482">
        <v>3479</v>
      </c>
      <c r="H3482" t="s">
        <v>15577</v>
      </c>
      <c r="I3482" t="s">
        <v>15578</v>
      </c>
      <c r="J3482" t="s">
        <v>15579</v>
      </c>
    </row>
    <row r="3483" spans="6:10">
      <c r="F3483" t="s">
        <v>15580</v>
      </c>
      <c r="G3483">
        <v>3480</v>
      </c>
      <c r="H3483" t="s">
        <v>3480</v>
      </c>
      <c r="I3483" t="s">
        <v>3481</v>
      </c>
      <c r="J3483" t="s">
        <v>15581</v>
      </c>
    </row>
    <row r="3484" spans="6:10">
      <c r="F3484" t="s">
        <v>15582</v>
      </c>
      <c r="G3484">
        <v>3481</v>
      </c>
      <c r="H3484" t="s">
        <v>4672</v>
      </c>
      <c r="I3484" t="s">
        <v>4673</v>
      </c>
      <c r="J3484" t="s">
        <v>15583</v>
      </c>
    </row>
    <row r="3485" spans="6:10">
      <c r="F3485" t="s">
        <v>15584</v>
      </c>
      <c r="G3485">
        <v>3482</v>
      </c>
      <c r="H3485" t="s">
        <v>3323</v>
      </c>
      <c r="I3485" t="s">
        <v>3324</v>
      </c>
      <c r="J3485" t="s">
        <v>15585</v>
      </c>
    </row>
    <row r="3486" spans="6:10">
      <c r="F3486" t="s">
        <v>15586</v>
      </c>
      <c r="G3486">
        <v>3483</v>
      </c>
      <c r="H3486" t="s">
        <v>5399</v>
      </c>
      <c r="I3486" t="s">
        <v>5399</v>
      </c>
      <c r="J3486" t="s">
        <v>15587</v>
      </c>
    </row>
    <row r="3487" spans="6:10">
      <c r="F3487" t="s">
        <v>15588</v>
      </c>
      <c r="G3487">
        <v>3484</v>
      </c>
      <c r="H3487" t="s">
        <v>409</v>
      </c>
      <c r="I3487" t="s">
        <v>410</v>
      </c>
      <c r="J3487" t="s">
        <v>15589</v>
      </c>
    </row>
    <row r="3488" spans="6:10">
      <c r="F3488" t="s">
        <v>15590</v>
      </c>
      <c r="G3488">
        <v>3485</v>
      </c>
      <c r="H3488" t="s">
        <v>3653</v>
      </c>
      <c r="I3488" t="s">
        <v>3653</v>
      </c>
      <c r="J3488" t="s">
        <v>15591</v>
      </c>
    </row>
    <row r="3489" spans="6:10">
      <c r="F3489" t="s">
        <v>15592</v>
      </c>
      <c r="G3489">
        <v>3486</v>
      </c>
      <c r="H3489" t="s">
        <v>2374</v>
      </c>
      <c r="I3489" t="s">
        <v>2374</v>
      </c>
      <c r="J3489" t="s">
        <v>15593</v>
      </c>
    </row>
    <row r="3490" spans="6:10">
      <c r="F3490" t="s">
        <v>15594</v>
      </c>
      <c r="G3490">
        <v>3487</v>
      </c>
      <c r="H3490" t="s">
        <v>1604</v>
      </c>
      <c r="I3490" t="s">
        <v>1605</v>
      </c>
      <c r="J3490" t="s">
        <v>15595</v>
      </c>
    </row>
    <row r="3491" spans="6:10">
      <c r="F3491" t="s">
        <v>15596</v>
      </c>
      <c r="G3491">
        <v>3488</v>
      </c>
      <c r="H3491" t="s">
        <v>13812</v>
      </c>
      <c r="I3491" t="s">
        <v>13813</v>
      </c>
      <c r="J3491" t="s">
        <v>15597</v>
      </c>
    </row>
    <row r="3492" spans="6:10">
      <c r="F3492" t="s">
        <v>15598</v>
      </c>
      <c r="G3492">
        <v>3489</v>
      </c>
      <c r="H3492" t="s">
        <v>5101</v>
      </c>
      <c r="I3492" t="s">
        <v>5102</v>
      </c>
      <c r="J3492" t="s">
        <v>15599</v>
      </c>
    </row>
    <row r="3493" spans="6:10">
      <c r="F3493" t="s">
        <v>15600</v>
      </c>
      <c r="G3493">
        <v>3490</v>
      </c>
      <c r="H3493" t="s">
        <v>4362</v>
      </c>
      <c r="I3493" t="s">
        <v>4363</v>
      </c>
      <c r="J3493" t="s">
        <v>15601</v>
      </c>
    </row>
    <row r="3494" spans="6:10">
      <c r="F3494" t="s">
        <v>15602</v>
      </c>
      <c r="G3494">
        <v>3491</v>
      </c>
      <c r="H3494" t="s">
        <v>5384</v>
      </c>
      <c r="I3494" t="s">
        <v>5384</v>
      </c>
      <c r="J3494" t="s">
        <v>15603</v>
      </c>
    </row>
    <row r="3495" spans="6:10">
      <c r="F3495" t="s">
        <v>15604</v>
      </c>
      <c r="G3495">
        <v>3492</v>
      </c>
      <c r="H3495" t="s">
        <v>43</v>
      </c>
      <c r="I3495" t="s">
        <v>44</v>
      </c>
      <c r="J3495" t="s">
        <v>15605</v>
      </c>
    </row>
    <row r="3496" spans="6:10">
      <c r="F3496" t="s">
        <v>15606</v>
      </c>
      <c r="G3496">
        <v>3493</v>
      </c>
      <c r="H3496" t="s">
        <v>15607</v>
      </c>
      <c r="I3496" t="s">
        <v>15608</v>
      </c>
      <c r="J3496" t="s">
        <v>15609</v>
      </c>
    </row>
    <row r="3497" spans="6:10">
      <c r="F3497" t="s">
        <v>15610</v>
      </c>
      <c r="G3497">
        <v>3494</v>
      </c>
      <c r="H3497" t="s">
        <v>15611</v>
      </c>
      <c r="I3497" t="s">
        <v>15612</v>
      </c>
      <c r="J3497" t="s">
        <v>15613</v>
      </c>
    </row>
    <row r="3498" spans="6:10">
      <c r="F3498" t="s">
        <v>15614</v>
      </c>
      <c r="G3498">
        <v>3495</v>
      </c>
      <c r="H3498" t="s">
        <v>15615</v>
      </c>
      <c r="I3498" t="s">
        <v>15616</v>
      </c>
      <c r="J3498" t="s">
        <v>15617</v>
      </c>
    </row>
    <row r="3499" spans="6:10">
      <c r="F3499" t="s">
        <v>15618</v>
      </c>
      <c r="G3499">
        <v>3496</v>
      </c>
      <c r="H3499" t="s">
        <v>5425</v>
      </c>
      <c r="I3499" t="s">
        <v>5426</v>
      </c>
      <c r="J3499" t="s">
        <v>15619</v>
      </c>
    </row>
    <row r="3500" spans="6:10">
      <c r="F3500" t="s">
        <v>15620</v>
      </c>
      <c r="G3500">
        <v>3497</v>
      </c>
      <c r="H3500" t="s">
        <v>15621</v>
      </c>
      <c r="I3500" t="s">
        <v>15622</v>
      </c>
      <c r="J3500" t="s">
        <v>15623</v>
      </c>
    </row>
    <row r="3501" spans="6:10">
      <c r="F3501" t="s">
        <v>15624</v>
      </c>
      <c r="G3501">
        <v>3498</v>
      </c>
      <c r="H3501" t="s">
        <v>11878</v>
      </c>
      <c r="I3501" t="s">
        <v>11878</v>
      </c>
      <c r="J3501" t="s">
        <v>15625</v>
      </c>
    </row>
    <row r="3502" spans="6:10">
      <c r="F3502" t="s">
        <v>15626</v>
      </c>
      <c r="G3502">
        <v>3499</v>
      </c>
      <c r="H3502" t="s">
        <v>15627</v>
      </c>
      <c r="I3502" t="s">
        <v>15628</v>
      </c>
      <c r="J3502" t="s">
        <v>15629</v>
      </c>
    </row>
    <row r="3503" spans="6:10">
      <c r="F3503" t="s">
        <v>15630</v>
      </c>
      <c r="G3503">
        <v>3500</v>
      </c>
      <c r="H3503" t="s">
        <v>3104</v>
      </c>
      <c r="I3503" t="s">
        <v>3104</v>
      </c>
      <c r="J3503" t="s">
        <v>15631</v>
      </c>
    </row>
    <row r="3504" spans="6:10">
      <c r="F3504" t="s">
        <v>15632</v>
      </c>
      <c r="G3504">
        <v>3501</v>
      </c>
      <c r="H3504" t="s">
        <v>3934</v>
      </c>
      <c r="I3504" t="s">
        <v>3935</v>
      </c>
      <c r="J3504" t="s">
        <v>15633</v>
      </c>
    </row>
    <row r="3505" spans="6:10">
      <c r="F3505" t="s">
        <v>15634</v>
      </c>
      <c r="G3505">
        <v>3502</v>
      </c>
      <c r="H3505" t="s">
        <v>5151</v>
      </c>
      <c r="I3505" t="s">
        <v>5152</v>
      </c>
      <c r="J3505" t="s">
        <v>15635</v>
      </c>
    </row>
    <row r="3506" spans="6:10">
      <c r="F3506" t="s">
        <v>15636</v>
      </c>
      <c r="G3506">
        <v>3503</v>
      </c>
      <c r="H3506" t="s">
        <v>6095</v>
      </c>
      <c r="I3506" t="s">
        <v>6096</v>
      </c>
      <c r="J3506" t="s">
        <v>15637</v>
      </c>
    </row>
    <row r="3507" spans="6:10">
      <c r="F3507" t="s">
        <v>15638</v>
      </c>
      <c r="G3507">
        <v>3504</v>
      </c>
      <c r="H3507" t="s">
        <v>548</v>
      </c>
      <c r="I3507" t="s">
        <v>591</v>
      </c>
      <c r="J3507" t="s">
        <v>15639</v>
      </c>
    </row>
    <row r="3508" spans="6:10">
      <c r="F3508" t="s">
        <v>15640</v>
      </c>
      <c r="G3508">
        <v>3505</v>
      </c>
      <c r="H3508" t="s">
        <v>5495</v>
      </c>
      <c r="I3508" t="s">
        <v>5496</v>
      </c>
      <c r="J3508" t="s">
        <v>15641</v>
      </c>
    </row>
    <row r="3509" spans="6:10">
      <c r="F3509" t="s">
        <v>15642</v>
      </c>
      <c r="G3509">
        <v>3506</v>
      </c>
      <c r="H3509" t="s">
        <v>1358</v>
      </c>
      <c r="I3509" t="s">
        <v>1358</v>
      </c>
      <c r="J3509" t="s">
        <v>15643</v>
      </c>
    </row>
    <row r="3510" spans="6:10">
      <c r="F3510" t="s">
        <v>15644</v>
      </c>
      <c r="G3510">
        <v>3507</v>
      </c>
      <c r="H3510" t="s">
        <v>2879</v>
      </c>
      <c r="I3510" t="s">
        <v>2879</v>
      </c>
      <c r="J3510" t="s">
        <v>15645</v>
      </c>
    </row>
    <row r="3511" spans="6:10">
      <c r="F3511" t="s">
        <v>15646</v>
      </c>
      <c r="G3511">
        <v>3508</v>
      </c>
      <c r="H3511" t="s">
        <v>4344</v>
      </c>
      <c r="I3511" t="s">
        <v>4344</v>
      </c>
      <c r="J3511" t="s">
        <v>15647</v>
      </c>
    </row>
    <row r="3512" spans="6:10">
      <c r="F3512" t="s">
        <v>15648</v>
      </c>
      <c r="G3512">
        <v>3509</v>
      </c>
      <c r="H3512" t="s">
        <v>5188</v>
      </c>
      <c r="I3512" t="s">
        <v>5189</v>
      </c>
      <c r="J3512" t="s">
        <v>15649</v>
      </c>
    </row>
    <row r="3513" spans="6:10">
      <c r="F3513" t="s">
        <v>15650</v>
      </c>
      <c r="G3513">
        <v>3510</v>
      </c>
      <c r="H3513" t="s">
        <v>15651</v>
      </c>
      <c r="I3513" t="s">
        <v>15652</v>
      </c>
      <c r="J3513" t="s">
        <v>15653</v>
      </c>
    </row>
    <row r="3514" spans="6:10">
      <c r="F3514" t="s">
        <v>15654</v>
      </c>
      <c r="G3514">
        <v>3511</v>
      </c>
      <c r="H3514" t="s">
        <v>1220</v>
      </c>
      <c r="I3514" t="s">
        <v>1221</v>
      </c>
      <c r="J3514" t="s">
        <v>15655</v>
      </c>
    </row>
    <row r="3515" spans="6:10">
      <c r="F3515" t="s">
        <v>15656</v>
      </c>
      <c r="G3515">
        <v>3512</v>
      </c>
      <c r="H3515" t="s">
        <v>4464</v>
      </c>
      <c r="I3515" t="s">
        <v>4465</v>
      </c>
      <c r="J3515" t="s">
        <v>15657</v>
      </c>
    </row>
    <row r="3516" spans="6:10">
      <c r="F3516" t="s">
        <v>15658</v>
      </c>
      <c r="G3516">
        <v>3513</v>
      </c>
      <c r="H3516" t="s">
        <v>2561</v>
      </c>
      <c r="I3516" t="s">
        <v>2562</v>
      </c>
      <c r="J3516" t="s">
        <v>15659</v>
      </c>
    </row>
    <row r="3517" spans="6:10">
      <c r="F3517" t="s">
        <v>15660</v>
      </c>
      <c r="G3517">
        <v>3514</v>
      </c>
      <c r="H3517" t="s">
        <v>5852</v>
      </c>
      <c r="I3517" t="s">
        <v>5853</v>
      </c>
      <c r="J3517" t="s">
        <v>15661</v>
      </c>
    </row>
    <row r="3518" spans="6:10">
      <c r="F3518" t="s">
        <v>15662</v>
      </c>
      <c r="G3518">
        <v>3515</v>
      </c>
      <c r="H3518" t="s">
        <v>15663</v>
      </c>
      <c r="I3518" t="s">
        <v>15664</v>
      </c>
      <c r="J3518" t="s">
        <v>15665</v>
      </c>
    </row>
    <row r="3519" spans="6:10">
      <c r="F3519" t="s">
        <v>15666</v>
      </c>
      <c r="G3519">
        <v>3516</v>
      </c>
      <c r="H3519" t="s">
        <v>2533</v>
      </c>
      <c r="I3519" t="s">
        <v>2533</v>
      </c>
      <c r="J3519" t="s">
        <v>15667</v>
      </c>
    </row>
    <row r="3520" spans="6:10">
      <c r="F3520" t="s">
        <v>15668</v>
      </c>
      <c r="G3520">
        <v>3517</v>
      </c>
      <c r="H3520" t="s">
        <v>3430</v>
      </c>
      <c r="I3520" t="s">
        <v>3432</v>
      </c>
      <c r="J3520" t="s">
        <v>15669</v>
      </c>
    </row>
    <row r="3521" spans="6:10">
      <c r="F3521" t="s">
        <v>15670</v>
      </c>
      <c r="G3521">
        <v>3518</v>
      </c>
      <c r="H3521" t="s">
        <v>15671</v>
      </c>
      <c r="I3521" t="s">
        <v>15672</v>
      </c>
      <c r="J3521" t="s">
        <v>15673</v>
      </c>
    </row>
    <row r="3522" spans="6:10">
      <c r="F3522" t="s">
        <v>15674</v>
      </c>
      <c r="G3522">
        <v>3519</v>
      </c>
      <c r="H3522" t="s">
        <v>1518</v>
      </c>
      <c r="I3522" t="s">
        <v>1519</v>
      </c>
      <c r="J3522" t="s">
        <v>15675</v>
      </c>
    </row>
    <row r="3523" spans="6:10">
      <c r="F3523" t="s">
        <v>15676</v>
      </c>
      <c r="G3523">
        <v>3520</v>
      </c>
      <c r="H3523" t="s">
        <v>15677</v>
      </c>
      <c r="I3523" t="s">
        <v>15678</v>
      </c>
      <c r="J3523" t="s">
        <v>15679</v>
      </c>
    </row>
    <row r="3524" spans="6:10">
      <c r="F3524" t="s">
        <v>15680</v>
      </c>
      <c r="G3524">
        <v>3521</v>
      </c>
      <c r="H3524" t="s">
        <v>15681</v>
      </c>
      <c r="I3524" t="s">
        <v>15682</v>
      </c>
      <c r="J3524" t="s">
        <v>15683</v>
      </c>
    </row>
    <row r="3525" spans="6:10">
      <c r="F3525" t="s">
        <v>15684</v>
      </c>
      <c r="G3525">
        <v>3522</v>
      </c>
      <c r="H3525" t="s">
        <v>6104</v>
      </c>
      <c r="I3525" t="s">
        <v>6105</v>
      </c>
      <c r="J3525" t="s">
        <v>15685</v>
      </c>
    </row>
    <row r="3526" spans="6:10">
      <c r="F3526" t="s">
        <v>15686</v>
      </c>
      <c r="G3526">
        <v>3523</v>
      </c>
      <c r="H3526" t="s">
        <v>15687</v>
      </c>
      <c r="I3526" t="s">
        <v>15688</v>
      </c>
      <c r="J3526" t="s">
        <v>15689</v>
      </c>
    </row>
    <row r="3527" spans="6:10">
      <c r="F3527" t="s">
        <v>15690</v>
      </c>
      <c r="G3527">
        <v>3524</v>
      </c>
      <c r="H3527" t="s">
        <v>5529</v>
      </c>
      <c r="I3527" t="s">
        <v>5529</v>
      </c>
      <c r="J3527" t="s">
        <v>15691</v>
      </c>
    </row>
    <row r="3528" spans="6:10">
      <c r="F3528" t="s">
        <v>15692</v>
      </c>
      <c r="G3528">
        <v>3525</v>
      </c>
      <c r="H3528" t="s">
        <v>2993</v>
      </c>
      <c r="I3528" t="s">
        <v>2993</v>
      </c>
      <c r="J3528" t="s">
        <v>15693</v>
      </c>
    </row>
    <row r="3529" spans="6:10">
      <c r="F3529" t="s">
        <v>15694</v>
      </c>
      <c r="G3529">
        <v>3526</v>
      </c>
      <c r="H3529" t="s">
        <v>2568</v>
      </c>
      <c r="I3529" t="s">
        <v>2568</v>
      </c>
      <c r="J3529" t="s">
        <v>15695</v>
      </c>
    </row>
    <row r="3530" spans="6:10">
      <c r="F3530" t="s">
        <v>15696</v>
      </c>
      <c r="G3530">
        <v>3527</v>
      </c>
      <c r="H3530" t="s">
        <v>5680</v>
      </c>
      <c r="I3530" t="s">
        <v>5680</v>
      </c>
      <c r="J3530" t="s">
        <v>15697</v>
      </c>
    </row>
    <row r="3531" spans="6:10">
      <c r="F3531" t="s">
        <v>15698</v>
      </c>
      <c r="G3531">
        <v>3528</v>
      </c>
      <c r="H3531" t="s">
        <v>5718</v>
      </c>
      <c r="I3531" t="s">
        <v>5718</v>
      </c>
      <c r="J3531" t="s">
        <v>15699</v>
      </c>
    </row>
    <row r="3532" spans="6:10">
      <c r="F3532" t="s">
        <v>15700</v>
      </c>
      <c r="G3532">
        <v>3529</v>
      </c>
      <c r="H3532" t="s">
        <v>15701</v>
      </c>
      <c r="I3532" t="s">
        <v>15702</v>
      </c>
      <c r="J3532" t="s">
        <v>15703</v>
      </c>
    </row>
    <row r="3533" spans="6:10">
      <c r="F3533" t="s">
        <v>15704</v>
      </c>
      <c r="G3533">
        <v>3530</v>
      </c>
      <c r="H3533" t="s">
        <v>1075</v>
      </c>
      <c r="I3533" t="s">
        <v>1076</v>
      </c>
      <c r="J3533" t="s">
        <v>15705</v>
      </c>
    </row>
    <row r="3534" spans="6:10">
      <c r="F3534" t="s">
        <v>15706</v>
      </c>
      <c r="G3534">
        <v>3531</v>
      </c>
      <c r="H3534" t="s">
        <v>2551</v>
      </c>
      <c r="I3534" t="s">
        <v>2552</v>
      </c>
      <c r="J3534" t="s">
        <v>15707</v>
      </c>
    </row>
    <row r="3535" spans="6:10">
      <c r="F3535" t="s">
        <v>15708</v>
      </c>
      <c r="G3535">
        <v>3532</v>
      </c>
      <c r="H3535" t="s">
        <v>976</v>
      </c>
      <c r="I3535" t="s">
        <v>977</v>
      </c>
      <c r="J3535" t="s">
        <v>15709</v>
      </c>
    </row>
    <row r="3536" spans="6:10">
      <c r="F3536" t="s">
        <v>15710</v>
      </c>
      <c r="G3536">
        <v>3533</v>
      </c>
      <c r="H3536" t="s">
        <v>5085</v>
      </c>
      <c r="I3536" t="s">
        <v>5085</v>
      </c>
      <c r="J3536" t="s">
        <v>15711</v>
      </c>
    </row>
    <row r="3537" spans="6:10">
      <c r="F3537" t="s">
        <v>15712</v>
      </c>
      <c r="G3537">
        <v>3534</v>
      </c>
      <c r="H3537" t="s">
        <v>15713</v>
      </c>
      <c r="I3537" t="s">
        <v>15714</v>
      </c>
      <c r="J3537" t="s">
        <v>15715</v>
      </c>
    </row>
    <row r="3538" spans="6:10">
      <c r="F3538" t="s">
        <v>15716</v>
      </c>
      <c r="G3538">
        <v>3535</v>
      </c>
      <c r="H3538" t="s">
        <v>15717</v>
      </c>
      <c r="I3538" t="s">
        <v>15718</v>
      </c>
      <c r="J3538" t="s">
        <v>15719</v>
      </c>
    </row>
    <row r="3539" spans="6:10">
      <c r="F3539" t="s">
        <v>15720</v>
      </c>
      <c r="G3539">
        <v>3536</v>
      </c>
      <c r="H3539" t="s">
        <v>15721</v>
      </c>
      <c r="I3539" t="s">
        <v>15722</v>
      </c>
      <c r="J3539" t="s">
        <v>15723</v>
      </c>
    </row>
    <row r="3540" spans="6:10">
      <c r="F3540" t="s">
        <v>15724</v>
      </c>
      <c r="G3540">
        <v>3537</v>
      </c>
      <c r="H3540" t="s">
        <v>2056</v>
      </c>
      <c r="I3540" t="s">
        <v>2057</v>
      </c>
      <c r="J3540" t="s">
        <v>15725</v>
      </c>
    </row>
    <row r="3541" spans="6:10">
      <c r="F3541" t="s">
        <v>15726</v>
      </c>
      <c r="G3541">
        <v>3538</v>
      </c>
      <c r="H3541" t="s">
        <v>15727</v>
      </c>
      <c r="I3541" t="s">
        <v>15728</v>
      </c>
      <c r="J3541" t="s">
        <v>15729</v>
      </c>
    </row>
    <row r="3542" spans="6:10">
      <c r="F3542" t="s">
        <v>15730</v>
      </c>
      <c r="G3542">
        <v>3539</v>
      </c>
      <c r="H3542" t="s">
        <v>6089</v>
      </c>
      <c r="I3542" t="s">
        <v>6090</v>
      </c>
      <c r="J3542" t="s">
        <v>15731</v>
      </c>
    </row>
    <row r="3543" spans="6:10">
      <c r="F3543" t="s">
        <v>15732</v>
      </c>
      <c r="G3543">
        <v>3540</v>
      </c>
      <c r="H3543" t="s">
        <v>2044</v>
      </c>
      <c r="I3543" t="s">
        <v>2045</v>
      </c>
      <c r="J3543" t="s">
        <v>15733</v>
      </c>
    </row>
    <row r="3544" spans="6:10">
      <c r="F3544" t="s">
        <v>15734</v>
      </c>
      <c r="G3544">
        <v>3541</v>
      </c>
      <c r="H3544" t="s">
        <v>2242</v>
      </c>
      <c r="I3544" t="s">
        <v>2242</v>
      </c>
      <c r="J3544" t="s">
        <v>15735</v>
      </c>
    </row>
    <row r="3545" spans="6:10">
      <c r="F3545" t="s">
        <v>15736</v>
      </c>
      <c r="G3545">
        <v>3542</v>
      </c>
      <c r="H3545" t="s">
        <v>15737</v>
      </c>
      <c r="I3545" t="s">
        <v>15738</v>
      </c>
      <c r="J3545" t="s">
        <v>15739</v>
      </c>
    </row>
    <row r="3546" spans="6:10">
      <c r="F3546" t="s">
        <v>15740</v>
      </c>
      <c r="G3546">
        <v>3543</v>
      </c>
      <c r="H3546" t="s">
        <v>863</v>
      </c>
      <c r="I3546" t="s">
        <v>864</v>
      </c>
      <c r="J3546" t="s">
        <v>15741</v>
      </c>
    </row>
    <row r="3547" spans="6:10">
      <c r="F3547" t="s">
        <v>15742</v>
      </c>
      <c r="G3547">
        <v>3544</v>
      </c>
      <c r="H3547" t="s">
        <v>3130</v>
      </c>
      <c r="I3547" t="s">
        <v>3131</v>
      </c>
      <c r="J3547" t="s">
        <v>15743</v>
      </c>
    </row>
    <row r="3548" spans="6:10">
      <c r="F3548" t="s">
        <v>15744</v>
      </c>
      <c r="G3548">
        <v>3545</v>
      </c>
      <c r="H3548" t="s">
        <v>15745</v>
      </c>
      <c r="I3548" t="s">
        <v>15746</v>
      </c>
      <c r="J3548" t="s">
        <v>15747</v>
      </c>
    </row>
    <row r="3549" spans="6:10">
      <c r="F3549" t="s">
        <v>15748</v>
      </c>
      <c r="G3549">
        <v>3546</v>
      </c>
      <c r="H3549" t="s">
        <v>3735</v>
      </c>
      <c r="I3549" t="s">
        <v>3735</v>
      </c>
      <c r="J3549" t="s">
        <v>15749</v>
      </c>
    </row>
    <row r="3550" spans="6:10">
      <c r="F3550" t="s">
        <v>15750</v>
      </c>
      <c r="G3550">
        <v>3547</v>
      </c>
      <c r="H3550" t="s">
        <v>4039</v>
      </c>
      <c r="I3550" t="s">
        <v>4039</v>
      </c>
      <c r="J3550" t="s">
        <v>15751</v>
      </c>
    </row>
    <row r="3551" spans="6:10">
      <c r="F3551" t="s">
        <v>15752</v>
      </c>
      <c r="G3551">
        <v>3548</v>
      </c>
      <c r="H3551" t="s">
        <v>3291</v>
      </c>
      <c r="I3551" t="s">
        <v>3292</v>
      </c>
      <c r="J3551" t="s">
        <v>15753</v>
      </c>
    </row>
    <row r="3552" spans="6:10">
      <c r="F3552" t="s">
        <v>15754</v>
      </c>
      <c r="G3552">
        <v>3549</v>
      </c>
      <c r="H3552" t="s">
        <v>2534</v>
      </c>
      <c r="I3552" t="s">
        <v>2535</v>
      </c>
      <c r="J3552" t="s">
        <v>15755</v>
      </c>
    </row>
    <row r="3553" spans="6:10">
      <c r="F3553" t="s">
        <v>15756</v>
      </c>
      <c r="G3553">
        <v>3550</v>
      </c>
      <c r="H3553" t="s">
        <v>89</v>
      </c>
      <c r="I3553" t="s">
        <v>90</v>
      </c>
      <c r="J3553" t="s">
        <v>15757</v>
      </c>
    </row>
    <row r="3554" spans="6:10">
      <c r="F3554" t="s">
        <v>15758</v>
      </c>
      <c r="G3554">
        <v>3551</v>
      </c>
      <c r="H3554" t="s">
        <v>1244</v>
      </c>
      <c r="I3554" t="s">
        <v>1245</v>
      </c>
      <c r="J3554" t="s">
        <v>15759</v>
      </c>
    </row>
    <row r="3555" spans="6:10">
      <c r="F3555" t="s">
        <v>15760</v>
      </c>
      <c r="G3555">
        <v>3552</v>
      </c>
      <c r="H3555" t="s">
        <v>3327</v>
      </c>
      <c r="I3555" t="s">
        <v>3328</v>
      </c>
      <c r="J3555" t="s">
        <v>15761</v>
      </c>
    </row>
    <row r="3556" spans="6:10">
      <c r="F3556" t="s">
        <v>15762</v>
      </c>
      <c r="G3556">
        <v>3553</v>
      </c>
      <c r="H3556" t="s">
        <v>15763</v>
      </c>
      <c r="I3556" t="s">
        <v>15764</v>
      </c>
      <c r="J3556" t="s">
        <v>15765</v>
      </c>
    </row>
    <row r="3557" spans="6:10">
      <c r="F3557" t="s">
        <v>15766</v>
      </c>
      <c r="G3557">
        <v>3554</v>
      </c>
      <c r="H3557" t="s">
        <v>675</v>
      </c>
      <c r="I3557" t="s">
        <v>676</v>
      </c>
      <c r="J3557" t="s">
        <v>15767</v>
      </c>
    </row>
    <row r="3558" spans="6:10">
      <c r="F3558" t="s">
        <v>15768</v>
      </c>
      <c r="G3558">
        <v>3555</v>
      </c>
      <c r="H3558" t="s">
        <v>4697</v>
      </c>
      <c r="I3558" t="s">
        <v>4698</v>
      </c>
      <c r="J3558" t="s">
        <v>15769</v>
      </c>
    </row>
    <row r="3559" spans="6:10">
      <c r="F3559" t="s">
        <v>15770</v>
      </c>
      <c r="G3559">
        <v>3556</v>
      </c>
      <c r="H3559" t="s">
        <v>4596</v>
      </c>
      <c r="I3559" t="s">
        <v>4597</v>
      </c>
      <c r="J3559" t="s">
        <v>15771</v>
      </c>
    </row>
    <row r="3560" spans="6:10">
      <c r="F3560" t="s">
        <v>15772</v>
      </c>
      <c r="G3560">
        <v>3557</v>
      </c>
      <c r="H3560" t="s">
        <v>4034</v>
      </c>
      <c r="I3560" t="s">
        <v>4034</v>
      </c>
      <c r="J3560" t="s">
        <v>15773</v>
      </c>
    </row>
    <row r="3561" spans="6:10">
      <c r="F3561" t="s">
        <v>15774</v>
      </c>
      <c r="G3561">
        <v>3558</v>
      </c>
      <c r="H3561" t="s">
        <v>15775</v>
      </c>
      <c r="I3561" t="s">
        <v>15776</v>
      </c>
      <c r="J3561" t="s">
        <v>15777</v>
      </c>
    </row>
    <row r="3562" spans="6:10">
      <c r="F3562" t="s">
        <v>15778</v>
      </c>
      <c r="G3562">
        <v>3559</v>
      </c>
      <c r="H3562" t="s">
        <v>15779</v>
      </c>
      <c r="I3562" t="s">
        <v>15780</v>
      </c>
      <c r="J3562" t="s">
        <v>15781</v>
      </c>
    </row>
    <row r="3563" spans="6:10">
      <c r="F3563" t="s">
        <v>15782</v>
      </c>
      <c r="G3563">
        <v>3560</v>
      </c>
      <c r="H3563" t="s">
        <v>6132</v>
      </c>
      <c r="I3563" t="s">
        <v>6133</v>
      </c>
      <c r="J3563" t="s">
        <v>15783</v>
      </c>
    </row>
    <row r="3564" spans="6:10">
      <c r="F3564" t="s">
        <v>15784</v>
      </c>
      <c r="G3564">
        <v>3561</v>
      </c>
      <c r="H3564" t="s">
        <v>15785</v>
      </c>
      <c r="I3564" t="s">
        <v>15786</v>
      </c>
      <c r="J3564" t="s">
        <v>15787</v>
      </c>
    </row>
    <row r="3565" spans="6:10">
      <c r="F3565" t="s">
        <v>15788</v>
      </c>
      <c r="G3565">
        <v>3562</v>
      </c>
      <c r="H3565" t="s">
        <v>15789</v>
      </c>
      <c r="I3565" t="s">
        <v>15790</v>
      </c>
      <c r="J3565" t="s">
        <v>15791</v>
      </c>
    </row>
    <row r="3566" spans="6:10">
      <c r="F3566" t="s">
        <v>15792</v>
      </c>
      <c r="G3566">
        <v>3563</v>
      </c>
      <c r="H3566" t="s">
        <v>640</v>
      </c>
      <c r="I3566" t="s">
        <v>641</v>
      </c>
      <c r="J3566" t="s">
        <v>15793</v>
      </c>
    </row>
    <row r="3567" spans="6:10">
      <c r="F3567" t="s">
        <v>15794</v>
      </c>
      <c r="G3567">
        <v>3564</v>
      </c>
      <c r="H3567" t="s">
        <v>5739</v>
      </c>
      <c r="I3567" t="s">
        <v>5739</v>
      </c>
      <c r="J3567" t="s">
        <v>15795</v>
      </c>
    </row>
    <row r="3568" spans="6:10">
      <c r="F3568" t="s">
        <v>15796</v>
      </c>
      <c r="G3568">
        <v>3565</v>
      </c>
      <c r="H3568" t="s">
        <v>15797</v>
      </c>
      <c r="I3568" t="s">
        <v>15798</v>
      </c>
      <c r="J3568" t="s">
        <v>15799</v>
      </c>
    </row>
    <row r="3569" spans="6:10">
      <c r="F3569" t="s">
        <v>15800</v>
      </c>
      <c r="G3569">
        <v>10369625714</v>
      </c>
      <c r="H3569" t="s">
        <v>5742</v>
      </c>
      <c r="I3569" t="s">
        <v>5743</v>
      </c>
      <c r="J3569" t="s">
        <v>15801</v>
      </c>
    </row>
    <row r="3570" spans="6:10">
      <c r="F3570" t="s">
        <v>15802</v>
      </c>
      <c r="G3570">
        <v>28662620850</v>
      </c>
      <c r="H3570" t="s">
        <v>5281</v>
      </c>
      <c r="I3570" t="s">
        <v>5281</v>
      </c>
      <c r="J3570" t="s">
        <v>15803</v>
      </c>
    </row>
    <row r="3571" spans="6:10">
      <c r="F3571" t="s">
        <v>15804</v>
      </c>
      <c r="G3571">
        <v>89815483404</v>
      </c>
      <c r="H3571" t="s">
        <v>3022</v>
      </c>
      <c r="I3571" t="s">
        <v>3022</v>
      </c>
      <c r="J3571" t="s">
        <v>15805</v>
      </c>
    </row>
    <row r="3572" spans="6:10">
      <c r="F3572" t="s">
        <v>15806</v>
      </c>
      <c r="G3572">
        <v>11222341719</v>
      </c>
      <c r="H3572" t="s">
        <v>2201</v>
      </c>
      <c r="I3572" t="s">
        <v>2201</v>
      </c>
      <c r="J3572" t="s">
        <v>15807</v>
      </c>
    </row>
    <row r="3573" spans="6:10">
      <c r="F3573" t="s">
        <v>15808</v>
      </c>
      <c r="G3573">
        <v>8174360735</v>
      </c>
      <c r="H3573" t="s">
        <v>368</v>
      </c>
      <c r="I3573" t="s">
        <v>368</v>
      </c>
      <c r="J3573" t="s">
        <v>15809</v>
      </c>
    </row>
    <row r="3574" spans="6:10">
      <c r="F3574" t="s">
        <v>15810</v>
      </c>
      <c r="G3574">
        <v>10298351790</v>
      </c>
      <c r="H3574" t="s">
        <v>1593</v>
      </c>
      <c r="I3574" t="s">
        <v>1593</v>
      </c>
      <c r="J3574" t="s">
        <v>15811</v>
      </c>
    </row>
    <row r="3575" spans="6:10">
      <c r="F3575" t="s">
        <v>15812</v>
      </c>
      <c r="G3575">
        <v>3572</v>
      </c>
      <c r="H3575" t="s">
        <v>1649</v>
      </c>
      <c r="I3575" t="s">
        <v>1650</v>
      </c>
      <c r="J3575" t="s">
        <v>15813</v>
      </c>
    </row>
    <row r="3576" spans="6:10">
      <c r="F3576" t="s">
        <v>15814</v>
      </c>
      <c r="G3576">
        <v>3573</v>
      </c>
      <c r="H3576" t="s">
        <v>4258</v>
      </c>
      <c r="I3576" t="s">
        <v>4259</v>
      </c>
      <c r="J3576" t="s">
        <v>15815</v>
      </c>
    </row>
    <row r="3577" spans="6:10">
      <c r="F3577" t="s">
        <v>15816</v>
      </c>
      <c r="G3577">
        <v>3574</v>
      </c>
      <c r="H3577" t="s">
        <v>3994</v>
      </c>
      <c r="I3577" t="s">
        <v>3994</v>
      </c>
      <c r="J3577" t="s">
        <v>15817</v>
      </c>
    </row>
    <row r="3578" spans="6:10">
      <c r="F3578" t="s">
        <v>15818</v>
      </c>
      <c r="G3578">
        <v>186380747</v>
      </c>
      <c r="H3578" t="s">
        <v>3920</v>
      </c>
      <c r="I3578" t="s">
        <v>3920</v>
      </c>
      <c r="J3578" t="s">
        <v>15819</v>
      </c>
    </row>
    <row r="3579" spans="6:10">
      <c r="F3579" t="s">
        <v>15820</v>
      </c>
      <c r="G3579">
        <v>3576</v>
      </c>
      <c r="H3579" t="s">
        <v>3218</v>
      </c>
      <c r="I3579" t="s">
        <v>3218</v>
      </c>
      <c r="J3579" t="s">
        <v>15821</v>
      </c>
    </row>
    <row r="3580" spans="6:10">
      <c r="F3580" t="s">
        <v>15822</v>
      </c>
      <c r="G3580">
        <v>3577</v>
      </c>
      <c r="H3580" t="s">
        <v>3076</v>
      </c>
      <c r="I3580" t="s">
        <v>3076</v>
      </c>
      <c r="J3580" t="s">
        <v>15823</v>
      </c>
    </row>
    <row r="3581" spans="6:10">
      <c r="F3581" t="s">
        <v>15824</v>
      </c>
      <c r="G3581">
        <v>3578</v>
      </c>
      <c r="H3581" t="s">
        <v>4602</v>
      </c>
      <c r="I3581" t="s">
        <v>4602</v>
      </c>
      <c r="J3581" t="s">
        <v>15825</v>
      </c>
    </row>
    <row r="3582" spans="6:10">
      <c r="F3582" t="s">
        <v>15826</v>
      </c>
      <c r="G3582">
        <v>3579</v>
      </c>
      <c r="H3582" t="s">
        <v>175</v>
      </c>
      <c r="I3582" t="s">
        <v>175</v>
      </c>
      <c r="J3582" t="s">
        <v>15827</v>
      </c>
    </row>
    <row r="3583" spans="6:10">
      <c r="F3583" t="s">
        <v>15828</v>
      </c>
      <c r="G3583">
        <v>3580</v>
      </c>
      <c r="H3583" t="s">
        <v>2083</v>
      </c>
      <c r="I3583" t="s">
        <v>2083</v>
      </c>
      <c r="J3583" t="s">
        <v>15829</v>
      </c>
    </row>
    <row r="3584" spans="6:10">
      <c r="F3584" t="s">
        <v>15830</v>
      </c>
      <c r="G3584">
        <v>3581</v>
      </c>
      <c r="H3584" t="s">
        <v>4523</v>
      </c>
      <c r="I3584" t="s">
        <v>4524</v>
      </c>
      <c r="J3584" t="s">
        <v>15831</v>
      </c>
    </row>
    <row r="3585" spans="6:10">
      <c r="F3585" t="s">
        <v>15832</v>
      </c>
      <c r="G3585">
        <v>2893338739</v>
      </c>
      <c r="H3585" t="s">
        <v>5315</v>
      </c>
      <c r="I3585" t="s">
        <v>5316</v>
      </c>
      <c r="J3585" t="s">
        <v>15833</v>
      </c>
    </row>
    <row r="3586" spans="6:10">
      <c r="F3586" t="s">
        <v>15834</v>
      </c>
      <c r="G3586">
        <v>3583</v>
      </c>
      <c r="H3586" t="s">
        <v>5467</v>
      </c>
      <c r="I3586" t="s">
        <v>5468</v>
      </c>
      <c r="J3586" t="s">
        <v>15835</v>
      </c>
    </row>
    <row r="3587" spans="6:10">
      <c r="F3587" t="s">
        <v>15836</v>
      </c>
      <c r="G3587">
        <v>3584</v>
      </c>
      <c r="H3587" t="s">
        <v>1253</v>
      </c>
      <c r="I3587" t="s">
        <v>1253</v>
      </c>
      <c r="J3587" t="s">
        <v>15837</v>
      </c>
    </row>
    <row r="3588" spans="6:10">
      <c r="F3588" t="s">
        <v>15838</v>
      </c>
      <c r="G3588">
        <v>3585</v>
      </c>
      <c r="H3588" t="s">
        <v>1687</v>
      </c>
      <c r="I3588" t="s">
        <v>1688</v>
      </c>
      <c r="J3588" t="s">
        <v>15839</v>
      </c>
    </row>
    <row r="3589" spans="6:10">
      <c r="F3589" t="s">
        <v>15840</v>
      </c>
      <c r="G3589">
        <v>3586</v>
      </c>
      <c r="H3589" t="s">
        <v>4959</v>
      </c>
      <c r="I3589" t="s">
        <v>4959</v>
      </c>
      <c r="J3589" t="s">
        <v>15841</v>
      </c>
    </row>
    <row r="3590" spans="6:10">
      <c r="F3590" t="s">
        <v>15842</v>
      </c>
      <c r="G3590">
        <v>3587</v>
      </c>
      <c r="H3590" t="s">
        <v>5612</v>
      </c>
      <c r="I3590" t="s">
        <v>5613</v>
      </c>
      <c r="J3590" t="s">
        <v>15843</v>
      </c>
    </row>
    <row r="3591" spans="6:10">
      <c r="F3591" t="s">
        <v>15844</v>
      </c>
      <c r="G3591">
        <v>3588</v>
      </c>
      <c r="H3591" t="s">
        <v>4046</v>
      </c>
      <c r="I3591" t="s">
        <v>4046</v>
      </c>
      <c r="J3591" t="s">
        <v>15845</v>
      </c>
    </row>
    <row r="3592" spans="6:10">
      <c r="F3592" t="s">
        <v>15846</v>
      </c>
      <c r="G3592">
        <v>3589</v>
      </c>
      <c r="H3592" t="s">
        <v>2111</v>
      </c>
      <c r="I3592" t="s">
        <v>2112</v>
      </c>
      <c r="J3592" t="s">
        <v>15847</v>
      </c>
    </row>
    <row r="3593" spans="6:10">
      <c r="F3593" t="s">
        <v>15848</v>
      </c>
      <c r="G3593">
        <v>3590</v>
      </c>
      <c r="H3593" t="s">
        <v>15849</v>
      </c>
      <c r="I3593" t="s">
        <v>15850</v>
      </c>
      <c r="J3593" t="s">
        <v>15851</v>
      </c>
    </row>
    <row r="3594" spans="6:10">
      <c r="F3594" t="s">
        <v>15852</v>
      </c>
      <c r="G3594">
        <v>3591</v>
      </c>
      <c r="H3594" t="s">
        <v>1566</v>
      </c>
      <c r="I3594" t="s">
        <v>1566</v>
      </c>
      <c r="J3594" t="s">
        <v>15853</v>
      </c>
    </row>
    <row r="3595" spans="6:10">
      <c r="F3595" t="s">
        <v>15854</v>
      </c>
      <c r="G3595">
        <v>3592</v>
      </c>
      <c r="H3595" t="s">
        <v>4222</v>
      </c>
      <c r="I3595" t="s">
        <v>4222</v>
      </c>
      <c r="J3595" t="s">
        <v>15855</v>
      </c>
    </row>
    <row r="3596" spans="6:10">
      <c r="F3596" t="s">
        <v>15856</v>
      </c>
      <c r="G3596">
        <v>3593</v>
      </c>
      <c r="H3596" t="s">
        <v>1649</v>
      </c>
      <c r="I3596" t="s">
        <v>1651</v>
      </c>
      <c r="J3596" t="s">
        <v>15857</v>
      </c>
    </row>
    <row r="3597" spans="6:10">
      <c r="F3597" t="s">
        <v>15858</v>
      </c>
      <c r="G3597">
        <v>3594</v>
      </c>
      <c r="H3597" t="s">
        <v>15859</v>
      </c>
      <c r="I3597" t="s">
        <v>15860</v>
      </c>
      <c r="J3597" t="s">
        <v>15861</v>
      </c>
    </row>
    <row r="3598" spans="6:10">
      <c r="F3598" t="s">
        <v>15862</v>
      </c>
      <c r="G3598">
        <v>3595</v>
      </c>
      <c r="H3598" t="s">
        <v>1993</v>
      </c>
      <c r="I3598" t="s">
        <v>1993</v>
      </c>
      <c r="J3598" t="s">
        <v>15863</v>
      </c>
    </row>
    <row r="3599" spans="6:10">
      <c r="F3599" t="s">
        <v>15864</v>
      </c>
      <c r="G3599">
        <v>3596</v>
      </c>
      <c r="H3599" t="s">
        <v>15865</v>
      </c>
      <c r="I3599" t="s">
        <v>15866</v>
      </c>
      <c r="J3599" t="s">
        <v>15867</v>
      </c>
    </row>
    <row r="3600" spans="6:10">
      <c r="F3600" t="s">
        <v>15868</v>
      </c>
      <c r="G3600">
        <v>3597</v>
      </c>
      <c r="H3600" t="s">
        <v>4011</v>
      </c>
      <c r="I3600" t="s">
        <v>4012</v>
      </c>
      <c r="J3600" t="s">
        <v>15869</v>
      </c>
    </row>
    <row r="3601" spans="6:10">
      <c r="F3601" t="s">
        <v>15870</v>
      </c>
      <c r="G3601">
        <v>3598</v>
      </c>
      <c r="H3601" t="s">
        <v>5155</v>
      </c>
      <c r="I3601" t="s">
        <v>5156</v>
      </c>
      <c r="J3601" t="s">
        <v>15871</v>
      </c>
    </row>
    <row r="3602" spans="6:10">
      <c r="F3602" t="s">
        <v>15872</v>
      </c>
      <c r="G3602">
        <v>3599</v>
      </c>
      <c r="H3602" t="s">
        <v>3918</v>
      </c>
      <c r="I3602" t="s">
        <v>3919</v>
      </c>
      <c r="J3602" t="s">
        <v>15873</v>
      </c>
    </row>
    <row r="3603" spans="6:10">
      <c r="F3603" t="s">
        <v>15874</v>
      </c>
      <c r="G3603">
        <v>3600</v>
      </c>
      <c r="H3603" t="s">
        <v>5714</v>
      </c>
      <c r="I3603" t="s">
        <v>5715</v>
      </c>
      <c r="J3603" t="s">
        <v>15875</v>
      </c>
    </row>
    <row r="3604" spans="6:10">
      <c r="F3604" t="s">
        <v>15876</v>
      </c>
      <c r="G3604">
        <v>3601</v>
      </c>
      <c r="H3604" t="s">
        <v>1742</v>
      </c>
      <c r="I3604" t="s">
        <v>1743</v>
      </c>
      <c r="J3604" t="s">
        <v>15877</v>
      </c>
    </row>
    <row r="3605" spans="6:10">
      <c r="F3605" t="s">
        <v>15878</v>
      </c>
      <c r="G3605">
        <v>3602</v>
      </c>
      <c r="H3605" t="s">
        <v>15879</v>
      </c>
      <c r="I3605" t="s">
        <v>15880</v>
      </c>
      <c r="J3605" t="s">
        <v>15881</v>
      </c>
    </row>
    <row r="3606" spans="6:10">
      <c r="F3606" t="s">
        <v>15882</v>
      </c>
      <c r="G3606">
        <v>3603</v>
      </c>
      <c r="H3606" t="s">
        <v>195</v>
      </c>
      <c r="I3606" t="s">
        <v>196</v>
      </c>
      <c r="J3606" t="s">
        <v>15883</v>
      </c>
    </row>
    <row r="3607" spans="6:10">
      <c r="F3607" t="s">
        <v>15884</v>
      </c>
      <c r="G3607">
        <v>3604</v>
      </c>
      <c r="H3607" t="s">
        <v>2282</v>
      </c>
      <c r="I3607" t="s">
        <v>2283</v>
      </c>
      <c r="J3607" t="s">
        <v>15885</v>
      </c>
    </row>
    <row r="3608" spans="6:10">
      <c r="F3608" t="s">
        <v>15886</v>
      </c>
      <c r="G3608">
        <v>3605</v>
      </c>
      <c r="H3608" t="s">
        <v>1233</v>
      </c>
      <c r="I3608" t="s">
        <v>1233</v>
      </c>
      <c r="J3608" t="s">
        <v>15887</v>
      </c>
    </row>
    <row r="3609" spans="6:10">
      <c r="F3609" t="s">
        <v>15888</v>
      </c>
      <c r="G3609">
        <v>3606</v>
      </c>
      <c r="H3609" t="s">
        <v>1872</v>
      </c>
      <c r="I3609" t="s">
        <v>1873</v>
      </c>
      <c r="J3609" t="s">
        <v>15889</v>
      </c>
    </row>
    <row r="3610" spans="6:10">
      <c r="F3610" t="s">
        <v>15890</v>
      </c>
      <c r="G3610">
        <v>3607</v>
      </c>
      <c r="H3610" t="s">
        <v>5670</v>
      </c>
      <c r="I3610" t="s">
        <v>5671</v>
      </c>
      <c r="J3610" t="s">
        <v>15891</v>
      </c>
    </row>
    <row r="3611" spans="6:10">
      <c r="F3611" t="s">
        <v>15892</v>
      </c>
      <c r="G3611">
        <v>3608</v>
      </c>
      <c r="H3611" t="s">
        <v>3045</v>
      </c>
      <c r="I3611" t="s">
        <v>3046</v>
      </c>
      <c r="J3611" t="s">
        <v>15893</v>
      </c>
    </row>
    <row r="3612" spans="6:10">
      <c r="F3612" t="s">
        <v>15894</v>
      </c>
      <c r="G3612">
        <v>3609</v>
      </c>
      <c r="H3612" t="s">
        <v>411</v>
      </c>
      <c r="I3612" t="s">
        <v>412</v>
      </c>
      <c r="J3612" t="s">
        <v>15895</v>
      </c>
    </row>
    <row r="3613" spans="6:10">
      <c r="F3613" t="s">
        <v>15896</v>
      </c>
      <c r="G3613">
        <v>3610</v>
      </c>
      <c r="H3613" t="s">
        <v>1087</v>
      </c>
      <c r="I3613" t="s">
        <v>1087</v>
      </c>
      <c r="J3613" t="s">
        <v>15897</v>
      </c>
    </row>
    <row r="3614" spans="6:10">
      <c r="F3614" t="s">
        <v>15898</v>
      </c>
      <c r="G3614">
        <v>12406524701</v>
      </c>
      <c r="H3614" t="s">
        <v>2065</v>
      </c>
      <c r="I3614" t="s">
        <v>2065</v>
      </c>
      <c r="J3614" t="s">
        <v>15899</v>
      </c>
    </row>
    <row r="3615" spans="6:10">
      <c r="F3615" t="s">
        <v>15900</v>
      </c>
      <c r="G3615">
        <v>3612</v>
      </c>
      <c r="H3615" t="s">
        <v>1557</v>
      </c>
      <c r="I3615" t="s">
        <v>1558</v>
      </c>
      <c r="J3615" t="s">
        <v>15901</v>
      </c>
    </row>
    <row r="3616" spans="6:10">
      <c r="F3616" t="s">
        <v>15902</v>
      </c>
      <c r="G3616">
        <v>3613</v>
      </c>
      <c r="H3616" t="s">
        <v>1499</v>
      </c>
      <c r="I3616" t="s">
        <v>1500</v>
      </c>
      <c r="J3616" t="s">
        <v>15903</v>
      </c>
    </row>
    <row r="3617" spans="6:10">
      <c r="F3617" t="s">
        <v>15904</v>
      </c>
      <c r="G3617">
        <v>3614</v>
      </c>
      <c r="H3617" t="s">
        <v>767</v>
      </c>
      <c r="I3617" t="s">
        <v>770</v>
      </c>
      <c r="J3617" t="s">
        <v>15905</v>
      </c>
    </row>
    <row r="3618" spans="6:10">
      <c r="F3618" t="s">
        <v>15906</v>
      </c>
      <c r="G3618">
        <v>3615</v>
      </c>
      <c r="H3618" t="s">
        <v>15907</v>
      </c>
      <c r="I3618" t="s">
        <v>15908</v>
      </c>
      <c r="J3618" t="s">
        <v>15909</v>
      </c>
    </row>
    <row r="3619" spans="6:10">
      <c r="F3619" t="s">
        <v>15910</v>
      </c>
      <c r="G3619">
        <v>3616</v>
      </c>
      <c r="H3619" t="s">
        <v>1056</v>
      </c>
      <c r="I3619" t="s">
        <v>1056</v>
      </c>
      <c r="J3619" t="s">
        <v>15911</v>
      </c>
    </row>
    <row r="3620" spans="6:10">
      <c r="F3620" t="s">
        <v>15912</v>
      </c>
      <c r="G3620">
        <v>3617</v>
      </c>
      <c r="H3620" t="s">
        <v>613</v>
      </c>
      <c r="I3620" t="s">
        <v>613</v>
      </c>
      <c r="J3620" t="s">
        <v>15913</v>
      </c>
    </row>
    <row r="3621" spans="6:10">
      <c r="F3621" t="s">
        <v>15914</v>
      </c>
      <c r="G3621">
        <v>3618</v>
      </c>
      <c r="H3621" t="s">
        <v>3921</v>
      </c>
      <c r="I3621" t="s">
        <v>3921</v>
      </c>
      <c r="J3621" t="s">
        <v>15915</v>
      </c>
    </row>
    <row r="3622" spans="6:10">
      <c r="F3622" t="s">
        <v>15916</v>
      </c>
      <c r="G3622">
        <v>3619</v>
      </c>
      <c r="H3622" t="s">
        <v>3623</v>
      </c>
      <c r="I3622" t="s">
        <v>3624</v>
      </c>
      <c r="J3622" t="s">
        <v>15917</v>
      </c>
    </row>
    <row r="3623" spans="6:10">
      <c r="F3623" t="s">
        <v>15918</v>
      </c>
      <c r="G3623">
        <v>3620</v>
      </c>
      <c r="H3623" t="s">
        <v>5359</v>
      </c>
      <c r="I3623" t="s">
        <v>5358</v>
      </c>
      <c r="J3623" t="s">
        <v>15919</v>
      </c>
    </row>
    <row r="3624" spans="6:10">
      <c r="F3624" t="s">
        <v>15920</v>
      </c>
      <c r="G3624">
        <v>3621</v>
      </c>
      <c r="H3624" t="s">
        <v>15921</v>
      </c>
      <c r="I3624" t="s">
        <v>15922</v>
      </c>
      <c r="J3624" t="s">
        <v>15923</v>
      </c>
    </row>
    <row r="3625" spans="6:10">
      <c r="F3625" t="s">
        <v>15924</v>
      </c>
      <c r="G3625">
        <v>3622</v>
      </c>
      <c r="H3625" t="s">
        <v>15925</v>
      </c>
      <c r="I3625" t="s">
        <v>15926</v>
      </c>
      <c r="J3625" t="s">
        <v>15927</v>
      </c>
    </row>
    <row r="3626" spans="6:10">
      <c r="F3626" t="s">
        <v>15928</v>
      </c>
      <c r="G3626">
        <v>3623</v>
      </c>
      <c r="H3626" t="s">
        <v>15929</v>
      </c>
      <c r="I3626" t="s">
        <v>15930</v>
      </c>
      <c r="J3626" t="s">
        <v>15931</v>
      </c>
    </row>
    <row r="3627" spans="6:10">
      <c r="F3627" t="s">
        <v>15932</v>
      </c>
      <c r="G3627">
        <v>3624</v>
      </c>
      <c r="H3627" t="s">
        <v>15933</v>
      </c>
      <c r="I3627" t="s">
        <v>15934</v>
      </c>
      <c r="J3627" t="s">
        <v>15935</v>
      </c>
    </row>
    <row r="3628" spans="6:10">
      <c r="F3628" t="s">
        <v>15936</v>
      </c>
      <c r="G3628">
        <v>3625</v>
      </c>
      <c r="H3628" t="s">
        <v>1636</v>
      </c>
      <c r="I3628" t="s">
        <v>1643</v>
      </c>
      <c r="J3628" t="s">
        <v>15937</v>
      </c>
    </row>
    <row r="3629" spans="6:10">
      <c r="F3629" t="s">
        <v>15938</v>
      </c>
      <c r="G3629">
        <v>3626</v>
      </c>
      <c r="H3629" t="s">
        <v>1550</v>
      </c>
      <c r="I3629" t="s">
        <v>1550</v>
      </c>
      <c r="J3629" t="s">
        <v>15939</v>
      </c>
    </row>
    <row r="3630" spans="6:10">
      <c r="F3630" t="s">
        <v>15940</v>
      </c>
      <c r="G3630">
        <v>3627</v>
      </c>
      <c r="H3630" t="s">
        <v>2529</v>
      </c>
      <c r="I3630" t="s">
        <v>2529</v>
      </c>
      <c r="J3630" t="s">
        <v>15941</v>
      </c>
    </row>
    <row r="3631" spans="6:10">
      <c r="F3631" t="s">
        <v>15942</v>
      </c>
      <c r="G3631">
        <v>3628</v>
      </c>
      <c r="H3631" t="s">
        <v>2273</v>
      </c>
      <c r="I3631" t="s">
        <v>2274</v>
      </c>
      <c r="J3631" t="s">
        <v>15943</v>
      </c>
    </row>
    <row r="3632" spans="6:10">
      <c r="F3632" t="s">
        <v>15944</v>
      </c>
      <c r="G3632">
        <v>3629</v>
      </c>
      <c r="H3632" t="s">
        <v>1058</v>
      </c>
      <c r="I3632" t="s">
        <v>1058</v>
      </c>
      <c r="J3632" t="s">
        <v>15945</v>
      </c>
    </row>
    <row r="3633" spans="6:10">
      <c r="F3633" t="s">
        <v>15946</v>
      </c>
      <c r="G3633">
        <v>3630</v>
      </c>
      <c r="H3633" t="s">
        <v>5024</v>
      </c>
      <c r="I3633" t="s">
        <v>5025</v>
      </c>
      <c r="J3633" t="s">
        <v>15947</v>
      </c>
    </row>
    <row r="3634" spans="6:10">
      <c r="F3634" t="s">
        <v>15948</v>
      </c>
      <c r="G3634">
        <v>3631</v>
      </c>
      <c r="H3634" t="s">
        <v>4576</v>
      </c>
      <c r="I3634" t="s">
        <v>4576</v>
      </c>
      <c r="J3634" t="s">
        <v>15949</v>
      </c>
    </row>
    <row r="3635" spans="6:10">
      <c r="F3635" t="s">
        <v>15950</v>
      </c>
      <c r="G3635">
        <v>3632</v>
      </c>
      <c r="H3635" t="s">
        <v>3582</v>
      </c>
      <c r="I3635" t="s">
        <v>3582</v>
      </c>
      <c r="J3635" t="s">
        <v>15951</v>
      </c>
    </row>
    <row r="3636" spans="6:10">
      <c r="F3636" t="s">
        <v>15952</v>
      </c>
      <c r="G3636">
        <v>3633</v>
      </c>
      <c r="H3636" t="s">
        <v>197</v>
      </c>
      <c r="I3636" t="s">
        <v>197</v>
      </c>
      <c r="J3636" t="s">
        <v>15953</v>
      </c>
    </row>
    <row r="3637" spans="6:10">
      <c r="F3637" t="s">
        <v>15954</v>
      </c>
      <c r="G3637">
        <v>3634</v>
      </c>
      <c r="H3637" t="s">
        <v>15955</v>
      </c>
      <c r="I3637" t="s">
        <v>15956</v>
      </c>
      <c r="J3637" t="s">
        <v>15957</v>
      </c>
    </row>
    <row r="3638" spans="6:10">
      <c r="F3638" t="s">
        <v>15958</v>
      </c>
      <c r="G3638">
        <v>3635</v>
      </c>
      <c r="H3638" t="s">
        <v>202</v>
      </c>
      <c r="I3638" t="s">
        <v>202</v>
      </c>
      <c r="J3638" t="s">
        <v>15959</v>
      </c>
    </row>
    <row r="3639" spans="6:10">
      <c r="F3639" t="s">
        <v>15960</v>
      </c>
      <c r="G3639">
        <v>3636</v>
      </c>
      <c r="H3639" t="s">
        <v>1918</v>
      </c>
      <c r="I3639" t="s">
        <v>1919</v>
      </c>
      <c r="J3639" t="s">
        <v>15961</v>
      </c>
    </row>
    <row r="3640" spans="6:10">
      <c r="F3640" t="s">
        <v>15962</v>
      </c>
      <c r="G3640">
        <v>3637</v>
      </c>
      <c r="H3640" t="s">
        <v>5521</v>
      </c>
      <c r="I3640" t="s">
        <v>5522</v>
      </c>
      <c r="J3640" t="s">
        <v>15963</v>
      </c>
    </row>
    <row r="3641" spans="6:10">
      <c r="F3641" t="s">
        <v>15964</v>
      </c>
      <c r="G3641">
        <v>3638</v>
      </c>
      <c r="H3641" t="s">
        <v>5148</v>
      </c>
      <c r="I3641" t="s">
        <v>5149</v>
      </c>
      <c r="J3641" t="s">
        <v>15965</v>
      </c>
    </row>
    <row r="3642" spans="6:10">
      <c r="F3642" t="s">
        <v>15966</v>
      </c>
      <c r="G3642">
        <v>3639</v>
      </c>
      <c r="H3642" t="s">
        <v>3665</v>
      </c>
      <c r="I3642" t="s">
        <v>3665</v>
      </c>
      <c r="J3642" t="s">
        <v>15967</v>
      </c>
    </row>
    <row r="3643" spans="6:10">
      <c r="F3643" t="s">
        <v>15968</v>
      </c>
      <c r="G3643">
        <v>3640</v>
      </c>
      <c r="H3643" t="s">
        <v>5660</v>
      </c>
      <c r="I3643" t="s">
        <v>5661</v>
      </c>
      <c r="J3643" t="s">
        <v>15969</v>
      </c>
    </row>
    <row r="3644" spans="6:10">
      <c r="F3644" t="s">
        <v>15970</v>
      </c>
      <c r="G3644">
        <v>3641</v>
      </c>
      <c r="H3644" t="s">
        <v>3951</v>
      </c>
      <c r="I3644" t="s">
        <v>3952</v>
      </c>
      <c r="J3644" t="s">
        <v>15971</v>
      </c>
    </row>
    <row r="3645" spans="6:10">
      <c r="F3645" t="s">
        <v>15972</v>
      </c>
      <c r="G3645">
        <v>3642</v>
      </c>
      <c r="H3645" t="s">
        <v>1783</v>
      </c>
      <c r="I3645" t="s">
        <v>1784</v>
      </c>
      <c r="J3645" t="s">
        <v>15973</v>
      </c>
    </row>
    <row r="3646" spans="6:10">
      <c r="F3646" t="s">
        <v>15974</v>
      </c>
      <c r="G3646">
        <v>3643</v>
      </c>
      <c r="H3646" t="s">
        <v>3496</v>
      </c>
      <c r="I3646" t="s">
        <v>3497</v>
      </c>
      <c r="J3646" t="s">
        <v>15975</v>
      </c>
    </row>
    <row r="3647" spans="6:10">
      <c r="F3647" t="s">
        <v>15976</v>
      </c>
      <c r="G3647">
        <v>40901292818</v>
      </c>
      <c r="H3647" t="s">
        <v>249</v>
      </c>
      <c r="I3647" t="s">
        <v>250</v>
      </c>
      <c r="J3647" t="s">
        <v>15977</v>
      </c>
    </row>
    <row r="3648" spans="6:10">
      <c r="F3648" t="s">
        <v>15978</v>
      </c>
      <c r="G3648">
        <v>14988147860</v>
      </c>
      <c r="H3648" t="s">
        <v>5403</v>
      </c>
      <c r="I3648" t="s">
        <v>5404</v>
      </c>
      <c r="J3648" t="s">
        <v>15979</v>
      </c>
    </row>
    <row r="3649" spans="6:10">
      <c r="F3649" t="s">
        <v>15980</v>
      </c>
      <c r="G3649">
        <v>31164659839</v>
      </c>
      <c r="H3649" t="s">
        <v>5253</v>
      </c>
      <c r="I3649" t="s">
        <v>5253</v>
      </c>
      <c r="J3649" t="s">
        <v>15981</v>
      </c>
    </row>
    <row r="3650" spans="6:10">
      <c r="F3650" t="s">
        <v>15982</v>
      </c>
      <c r="G3650">
        <v>3647</v>
      </c>
      <c r="H3650" t="s">
        <v>5050</v>
      </c>
      <c r="I3650" t="s">
        <v>5050</v>
      </c>
      <c r="J3650" t="s">
        <v>15983</v>
      </c>
    </row>
    <row r="3651" spans="6:10">
      <c r="F3651" t="s">
        <v>15984</v>
      </c>
      <c r="G3651">
        <v>3648</v>
      </c>
      <c r="H3651" t="s">
        <v>1064</v>
      </c>
      <c r="I3651" t="s">
        <v>1065</v>
      </c>
      <c r="J3651" t="s">
        <v>15985</v>
      </c>
    </row>
    <row r="3652" spans="6:10">
      <c r="F3652" t="s">
        <v>15986</v>
      </c>
      <c r="G3652">
        <v>3649</v>
      </c>
      <c r="H3652" t="s">
        <v>3859</v>
      </c>
      <c r="I3652" t="s">
        <v>3859</v>
      </c>
      <c r="J3652" t="s">
        <v>15987</v>
      </c>
    </row>
    <row r="3653" spans="6:10">
      <c r="F3653" t="s">
        <v>15988</v>
      </c>
      <c r="G3653">
        <v>3650</v>
      </c>
      <c r="H3653" t="s">
        <v>760</v>
      </c>
      <c r="I3653" t="s">
        <v>761</v>
      </c>
      <c r="J3653" t="s">
        <v>15989</v>
      </c>
    </row>
    <row r="3654" spans="6:10">
      <c r="F3654" t="s">
        <v>15990</v>
      </c>
      <c r="G3654">
        <v>3651</v>
      </c>
      <c r="H3654" t="s">
        <v>2251</v>
      </c>
      <c r="I3654" t="s">
        <v>2251</v>
      </c>
      <c r="J3654" t="s">
        <v>15991</v>
      </c>
    </row>
    <row r="3655" spans="6:10">
      <c r="F3655" t="s">
        <v>15992</v>
      </c>
      <c r="G3655">
        <v>3652</v>
      </c>
      <c r="H3655" t="s">
        <v>267</v>
      </c>
      <c r="I3655" t="s">
        <v>268</v>
      </c>
      <c r="J3655" t="s">
        <v>15993</v>
      </c>
    </row>
    <row r="3656" spans="6:10">
      <c r="F3656" t="s">
        <v>15994</v>
      </c>
      <c r="G3656">
        <v>3653</v>
      </c>
      <c r="H3656" t="s">
        <v>3173</v>
      </c>
      <c r="I3656" t="s">
        <v>3173</v>
      </c>
      <c r="J3656" t="s">
        <v>15995</v>
      </c>
    </row>
    <row r="3657" spans="6:10">
      <c r="F3657" t="s">
        <v>15996</v>
      </c>
      <c r="G3657">
        <v>3654</v>
      </c>
      <c r="H3657" t="s">
        <v>3242</v>
      </c>
      <c r="I3657" t="s">
        <v>3242</v>
      </c>
      <c r="J3657" t="s">
        <v>15997</v>
      </c>
    </row>
    <row r="3658" spans="6:10">
      <c r="F3658" t="s">
        <v>15998</v>
      </c>
      <c r="G3658">
        <v>3655</v>
      </c>
      <c r="H3658" t="s">
        <v>5903</v>
      </c>
      <c r="I3658" t="s">
        <v>5903</v>
      </c>
      <c r="J3658" t="s">
        <v>15999</v>
      </c>
    </row>
    <row r="3659" spans="6:10">
      <c r="F3659" t="s">
        <v>16000</v>
      </c>
      <c r="G3659">
        <v>3656</v>
      </c>
      <c r="H3659" t="s">
        <v>16001</v>
      </c>
      <c r="I3659" t="s">
        <v>16002</v>
      </c>
      <c r="J3659" t="s">
        <v>16003</v>
      </c>
    </row>
    <row r="3660" spans="6:10">
      <c r="F3660" t="s">
        <v>16004</v>
      </c>
      <c r="G3660">
        <v>3657</v>
      </c>
      <c r="H3660" t="s">
        <v>4246</v>
      </c>
      <c r="I3660" t="s">
        <v>4247</v>
      </c>
      <c r="J3660" t="s">
        <v>16005</v>
      </c>
    </row>
    <row r="3661" spans="6:10">
      <c r="F3661" t="s">
        <v>16006</v>
      </c>
      <c r="G3661">
        <v>3658</v>
      </c>
      <c r="H3661" t="s">
        <v>3280</v>
      </c>
      <c r="I3661" t="s">
        <v>3280</v>
      </c>
      <c r="J3661" t="s">
        <v>16007</v>
      </c>
    </row>
    <row r="3662" spans="6:10">
      <c r="F3662" t="s">
        <v>16008</v>
      </c>
      <c r="G3662">
        <v>3659</v>
      </c>
      <c r="H3662" t="s">
        <v>322</v>
      </c>
      <c r="I3662" t="s">
        <v>322</v>
      </c>
      <c r="J3662" t="s">
        <v>16009</v>
      </c>
    </row>
    <row r="3663" spans="6:10">
      <c r="F3663" t="s">
        <v>16010</v>
      </c>
      <c r="G3663">
        <v>3660</v>
      </c>
      <c r="H3663" t="s">
        <v>2602</v>
      </c>
      <c r="I3663" t="s">
        <v>2604</v>
      </c>
      <c r="J3663" t="s">
        <v>16011</v>
      </c>
    </row>
    <row r="3664" spans="6:10">
      <c r="F3664" t="s">
        <v>16012</v>
      </c>
      <c r="G3664">
        <v>3661</v>
      </c>
      <c r="H3664" t="s">
        <v>2523</v>
      </c>
      <c r="I3664" t="s">
        <v>2524</v>
      </c>
      <c r="J3664" t="s">
        <v>16013</v>
      </c>
    </row>
    <row r="3665" spans="6:10">
      <c r="F3665" t="s">
        <v>16014</v>
      </c>
      <c r="G3665">
        <v>3662</v>
      </c>
      <c r="H3665" t="s">
        <v>3870</v>
      </c>
      <c r="I3665" t="s">
        <v>3871</v>
      </c>
      <c r="J3665" t="s">
        <v>16015</v>
      </c>
    </row>
    <row r="3666" spans="6:10">
      <c r="F3666" t="s">
        <v>16016</v>
      </c>
      <c r="G3666">
        <v>3663</v>
      </c>
      <c r="H3666" t="s">
        <v>5140</v>
      </c>
      <c r="I3666" t="s">
        <v>5141</v>
      </c>
      <c r="J3666" t="s">
        <v>16017</v>
      </c>
    </row>
    <row r="3667" spans="6:10">
      <c r="F3667" t="s">
        <v>16018</v>
      </c>
      <c r="G3667">
        <v>3664</v>
      </c>
      <c r="H3667" t="s">
        <v>16019</v>
      </c>
      <c r="I3667" t="s">
        <v>16020</v>
      </c>
      <c r="J3667" t="s">
        <v>16021</v>
      </c>
    </row>
    <row r="3668" spans="6:10">
      <c r="F3668" t="s">
        <v>16022</v>
      </c>
      <c r="G3668">
        <v>39556746811</v>
      </c>
      <c r="H3668" t="s">
        <v>118</v>
      </c>
      <c r="I3668" t="s">
        <v>118</v>
      </c>
      <c r="J3668" t="s">
        <v>16023</v>
      </c>
    </row>
    <row r="3669" spans="6:10">
      <c r="F3669" t="s">
        <v>16024</v>
      </c>
      <c r="G3669">
        <v>5730466544</v>
      </c>
      <c r="H3669" t="s">
        <v>3580</v>
      </c>
      <c r="I3669" t="s">
        <v>3581</v>
      </c>
      <c r="J3669" t="s">
        <v>16025</v>
      </c>
    </row>
    <row r="3670" spans="6:10">
      <c r="F3670" t="s">
        <v>16026</v>
      </c>
      <c r="G3670">
        <v>36753778810</v>
      </c>
      <c r="H3670" t="s">
        <v>1660</v>
      </c>
      <c r="I3670" t="s">
        <v>1660</v>
      </c>
      <c r="J3670" t="s">
        <v>16027</v>
      </c>
    </row>
    <row r="3671" spans="6:10">
      <c r="F3671" t="s">
        <v>16028</v>
      </c>
      <c r="G3671">
        <v>48277721854</v>
      </c>
      <c r="H3671" t="s">
        <v>5808</v>
      </c>
      <c r="I3671" t="s">
        <v>5808</v>
      </c>
      <c r="J3671" t="s">
        <v>16029</v>
      </c>
    </row>
    <row r="3672" spans="6:10">
      <c r="F3672" t="s">
        <v>16030</v>
      </c>
      <c r="G3672">
        <v>3669</v>
      </c>
      <c r="H3672" t="s">
        <v>4333</v>
      </c>
      <c r="I3672" t="s">
        <v>4334</v>
      </c>
      <c r="J3672" t="s">
        <v>16031</v>
      </c>
    </row>
    <row r="3673" spans="6:10">
      <c r="F3673" t="s">
        <v>16032</v>
      </c>
      <c r="G3673">
        <v>3670</v>
      </c>
      <c r="H3673" t="s">
        <v>731</v>
      </c>
      <c r="I3673" t="s">
        <v>731</v>
      </c>
      <c r="J3673" t="s">
        <v>16033</v>
      </c>
    </row>
    <row r="3674" spans="6:10">
      <c r="F3674" t="s">
        <v>16034</v>
      </c>
      <c r="G3674">
        <v>3671</v>
      </c>
      <c r="H3674" t="s">
        <v>4371</v>
      </c>
      <c r="I3674" t="s">
        <v>4371</v>
      </c>
      <c r="J3674" t="s">
        <v>16035</v>
      </c>
    </row>
    <row r="3675" spans="6:10">
      <c r="F3675" t="s">
        <v>16036</v>
      </c>
      <c r="G3675">
        <v>3672</v>
      </c>
      <c r="H3675" t="s">
        <v>3316</v>
      </c>
      <c r="I3675" t="s">
        <v>3317</v>
      </c>
      <c r="J3675" t="s">
        <v>16037</v>
      </c>
    </row>
    <row r="3676" spans="6:10">
      <c r="F3676" t="s">
        <v>16038</v>
      </c>
      <c r="G3676">
        <v>3673</v>
      </c>
      <c r="H3676" t="s">
        <v>4416</v>
      </c>
      <c r="I3676" t="s">
        <v>4417</v>
      </c>
      <c r="J3676" t="s">
        <v>16039</v>
      </c>
    </row>
    <row r="3677" spans="6:10">
      <c r="F3677" t="s">
        <v>16040</v>
      </c>
      <c r="G3677">
        <v>3674</v>
      </c>
      <c r="H3677" t="s">
        <v>910</v>
      </c>
      <c r="I3677" t="s">
        <v>911</v>
      </c>
      <c r="J3677" t="s">
        <v>16041</v>
      </c>
    </row>
    <row r="3678" spans="6:10">
      <c r="F3678" t="s">
        <v>16042</v>
      </c>
      <c r="G3678">
        <v>3675</v>
      </c>
      <c r="H3678" t="s">
        <v>2945</v>
      </c>
      <c r="I3678" t="s">
        <v>2946</v>
      </c>
      <c r="J3678" t="s">
        <v>16043</v>
      </c>
    </row>
    <row r="3679" spans="6:10">
      <c r="F3679" t="s">
        <v>16044</v>
      </c>
      <c r="G3679">
        <v>3676</v>
      </c>
      <c r="H3679" t="s">
        <v>6204</v>
      </c>
      <c r="I3679" t="s">
        <v>6205</v>
      </c>
      <c r="J3679" t="s">
        <v>16045</v>
      </c>
    </row>
    <row r="3680" spans="6:10">
      <c r="F3680" t="s">
        <v>16046</v>
      </c>
      <c r="G3680">
        <v>3677</v>
      </c>
      <c r="H3680" t="s">
        <v>16047</v>
      </c>
      <c r="I3680" t="s">
        <v>16048</v>
      </c>
      <c r="J3680" t="s">
        <v>16049</v>
      </c>
    </row>
    <row r="3681" spans="6:10">
      <c r="F3681" t="s">
        <v>16050</v>
      </c>
      <c r="G3681">
        <v>3678</v>
      </c>
      <c r="H3681" t="s">
        <v>16051</v>
      </c>
      <c r="I3681" t="s">
        <v>16052</v>
      </c>
      <c r="J3681" t="s">
        <v>16053</v>
      </c>
    </row>
    <row r="3682" spans="6:10">
      <c r="F3682" t="s">
        <v>16054</v>
      </c>
      <c r="G3682">
        <v>3679</v>
      </c>
      <c r="H3682" t="s">
        <v>3126</v>
      </c>
      <c r="I3682" t="s">
        <v>3126</v>
      </c>
      <c r="J3682" t="s">
        <v>16055</v>
      </c>
    </row>
    <row r="3683" spans="6:10">
      <c r="F3683" t="s">
        <v>16056</v>
      </c>
      <c r="G3683">
        <v>3680</v>
      </c>
      <c r="H3683" t="s">
        <v>5273</v>
      </c>
      <c r="I3683" t="s">
        <v>5274</v>
      </c>
      <c r="J3683" t="s">
        <v>16057</v>
      </c>
    </row>
    <row r="3684" spans="6:10">
      <c r="F3684" t="s">
        <v>16058</v>
      </c>
      <c r="G3684">
        <v>3681</v>
      </c>
      <c r="H3684" t="s">
        <v>5308</v>
      </c>
      <c r="I3684" t="s">
        <v>5308</v>
      </c>
      <c r="J3684" t="s">
        <v>16059</v>
      </c>
    </row>
    <row r="3685" spans="6:10">
      <c r="F3685" t="s">
        <v>16060</v>
      </c>
      <c r="G3685">
        <v>3682</v>
      </c>
      <c r="H3685" t="s">
        <v>16061</v>
      </c>
      <c r="I3685" t="s">
        <v>16062</v>
      </c>
      <c r="J3685" t="s">
        <v>16063</v>
      </c>
    </row>
    <row r="3686" spans="6:10">
      <c r="F3686" t="s">
        <v>16064</v>
      </c>
      <c r="G3686">
        <v>1807852148</v>
      </c>
      <c r="H3686" t="s">
        <v>3811</v>
      </c>
      <c r="I3686" t="s">
        <v>3812</v>
      </c>
      <c r="J3686" t="s">
        <v>16065</v>
      </c>
    </row>
    <row r="3687" spans="6:10">
      <c r="F3687" t="s">
        <v>16066</v>
      </c>
      <c r="G3687">
        <v>3684</v>
      </c>
      <c r="H3687" t="s">
        <v>5015</v>
      </c>
      <c r="I3687" t="s">
        <v>5015</v>
      </c>
      <c r="J3687" t="s">
        <v>16067</v>
      </c>
    </row>
    <row r="3688" spans="6:10">
      <c r="F3688" t="s">
        <v>16068</v>
      </c>
      <c r="G3688">
        <v>3685</v>
      </c>
      <c r="H3688" t="s">
        <v>2085</v>
      </c>
      <c r="I3688" t="s">
        <v>2086</v>
      </c>
      <c r="J3688" t="s">
        <v>16069</v>
      </c>
    </row>
    <row r="3689" spans="6:10">
      <c r="F3689" t="s">
        <v>16070</v>
      </c>
      <c r="G3689">
        <v>3686</v>
      </c>
      <c r="H3689" t="s">
        <v>21240</v>
      </c>
      <c r="I3689" t="s">
        <v>21241</v>
      </c>
      <c r="J3689" t="s">
        <v>16071</v>
      </c>
    </row>
    <row r="3690" spans="6:10">
      <c r="F3690" t="s">
        <v>16072</v>
      </c>
      <c r="G3690">
        <v>3687</v>
      </c>
      <c r="H3690" t="s">
        <v>887</v>
      </c>
      <c r="I3690" t="s">
        <v>887</v>
      </c>
      <c r="J3690" t="s">
        <v>16073</v>
      </c>
    </row>
    <row r="3691" spans="6:10">
      <c r="F3691" t="s">
        <v>16074</v>
      </c>
      <c r="G3691">
        <v>3688</v>
      </c>
      <c r="H3691" t="s">
        <v>1994</v>
      </c>
      <c r="I3691" t="s">
        <v>1994</v>
      </c>
      <c r="J3691" t="s">
        <v>16075</v>
      </c>
    </row>
    <row r="3692" spans="6:10">
      <c r="F3692" t="s">
        <v>16076</v>
      </c>
      <c r="G3692">
        <v>3689</v>
      </c>
      <c r="H3692" t="s">
        <v>3310</v>
      </c>
      <c r="I3692" t="s">
        <v>3310</v>
      </c>
      <c r="J3692" t="s">
        <v>16077</v>
      </c>
    </row>
    <row r="3693" spans="6:10">
      <c r="F3693" t="s">
        <v>16078</v>
      </c>
      <c r="G3693">
        <v>3690</v>
      </c>
      <c r="H3693" t="s">
        <v>5480</v>
      </c>
      <c r="I3693" t="s">
        <v>5481</v>
      </c>
      <c r="J3693" t="s">
        <v>16079</v>
      </c>
    </row>
    <row r="3694" spans="6:10">
      <c r="F3694" t="s">
        <v>16080</v>
      </c>
      <c r="G3694">
        <v>3691</v>
      </c>
      <c r="H3694" t="s">
        <v>16081</v>
      </c>
      <c r="I3694" t="s">
        <v>16082</v>
      </c>
      <c r="J3694" t="s">
        <v>16083</v>
      </c>
    </row>
    <row r="3695" spans="6:10">
      <c r="F3695" t="s">
        <v>16084</v>
      </c>
      <c r="G3695">
        <v>15376092461</v>
      </c>
      <c r="H3695" t="s">
        <v>3071</v>
      </c>
      <c r="I3695" t="s">
        <v>3072</v>
      </c>
      <c r="J3695" t="s">
        <v>16085</v>
      </c>
    </row>
    <row r="3696" spans="6:10">
      <c r="F3696" t="s">
        <v>16086</v>
      </c>
      <c r="G3696">
        <v>3693</v>
      </c>
      <c r="H3696" t="s">
        <v>3732</v>
      </c>
      <c r="I3696" t="s">
        <v>3733</v>
      </c>
      <c r="J3696" t="s">
        <v>16087</v>
      </c>
    </row>
    <row r="3697" spans="6:10">
      <c r="F3697" t="s">
        <v>16088</v>
      </c>
      <c r="G3697">
        <v>3694</v>
      </c>
      <c r="H3697" t="s">
        <v>4049</v>
      </c>
      <c r="I3697" t="s">
        <v>4049</v>
      </c>
      <c r="J3697" t="s">
        <v>16089</v>
      </c>
    </row>
    <row r="3698" spans="6:10">
      <c r="F3698" t="s">
        <v>16090</v>
      </c>
      <c r="G3698">
        <v>3695</v>
      </c>
      <c r="H3698" t="s">
        <v>1232</v>
      </c>
      <c r="I3698" t="s">
        <v>1232</v>
      </c>
      <c r="J3698" t="s">
        <v>16091</v>
      </c>
    </row>
    <row r="3699" spans="6:10">
      <c r="F3699" t="s">
        <v>16092</v>
      </c>
      <c r="G3699">
        <v>3696</v>
      </c>
      <c r="H3699" t="s">
        <v>2910</v>
      </c>
      <c r="I3699" t="s">
        <v>2911</v>
      </c>
      <c r="J3699" t="s">
        <v>16093</v>
      </c>
    </row>
    <row r="3700" spans="6:10">
      <c r="F3700" t="s">
        <v>16094</v>
      </c>
      <c r="G3700">
        <v>3697</v>
      </c>
      <c r="H3700" t="s">
        <v>1072</v>
      </c>
      <c r="I3700" t="s">
        <v>1073</v>
      </c>
      <c r="J3700" t="s">
        <v>16095</v>
      </c>
    </row>
    <row r="3701" spans="6:10">
      <c r="F3701" t="s">
        <v>16096</v>
      </c>
      <c r="G3701">
        <v>3698</v>
      </c>
      <c r="H3701" t="s">
        <v>3793</v>
      </c>
      <c r="I3701" t="s">
        <v>3794</v>
      </c>
      <c r="J3701" t="s">
        <v>16097</v>
      </c>
    </row>
    <row r="3702" spans="6:10">
      <c r="F3702" t="s">
        <v>16098</v>
      </c>
      <c r="G3702">
        <v>3699</v>
      </c>
      <c r="H3702" t="s">
        <v>2360</v>
      </c>
      <c r="I3702" t="s">
        <v>2361</v>
      </c>
      <c r="J3702" t="s">
        <v>16099</v>
      </c>
    </row>
    <row r="3703" spans="6:10">
      <c r="F3703" t="s">
        <v>16100</v>
      </c>
      <c r="G3703">
        <v>3700</v>
      </c>
      <c r="H3703" t="s">
        <v>7261</v>
      </c>
      <c r="I3703" t="s">
        <v>7262</v>
      </c>
      <c r="J3703" t="s">
        <v>16101</v>
      </c>
    </row>
    <row r="3704" spans="6:10">
      <c r="F3704" t="s">
        <v>16102</v>
      </c>
      <c r="G3704">
        <v>3701</v>
      </c>
      <c r="H3704" t="s">
        <v>5662</v>
      </c>
      <c r="I3704" t="s">
        <v>5663</v>
      </c>
      <c r="J3704" t="s">
        <v>16103</v>
      </c>
    </row>
    <row r="3705" spans="6:10">
      <c r="F3705" t="s">
        <v>16104</v>
      </c>
      <c r="G3705">
        <v>3702</v>
      </c>
      <c r="H3705" t="s">
        <v>4205</v>
      </c>
      <c r="I3705" t="s">
        <v>4206</v>
      </c>
      <c r="J3705" t="s">
        <v>16105</v>
      </c>
    </row>
    <row r="3706" spans="6:10">
      <c r="F3706" t="s">
        <v>16106</v>
      </c>
      <c r="G3706">
        <v>3703</v>
      </c>
      <c r="H3706" t="s">
        <v>5727</v>
      </c>
      <c r="I3706" t="s">
        <v>5728</v>
      </c>
      <c r="J3706" t="s">
        <v>16107</v>
      </c>
    </row>
    <row r="3707" spans="6:10">
      <c r="F3707" t="s">
        <v>16108</v>
      </c>
      <c r="G3707">
        <v>3704</v>
      </c>
      <c r="H3707" t="s">
        <v>5604</v>
      </c>
      <c r="I3707" t="s">
        <v>5605</v>
      </c>
      <c r="J3707" t="s">
        <v>16109</v>
      </c>
    </row>
    <row r="3708" spans="6:10">
      <c r="F3708" t="s">
        <v>16110</v>
      </c>
      <c r="G3708">
        <v>3705</v>
      </c>
      <c r="H3708" t="s">
        <v>5816</v>
      </c>
      <c r="I3708" t="s">
        <v>5817</v>
      </c>
      <c r="J3708" t="s">
        <v>16111</v>
      </c>
    </row>
    <row r="3709" spans="6:10">
      <c r="F3709" t="s">
        <v>16112</v>
      </c>
      <c r="G3709">
        <v>3706</v>
      </c>
      <c r="H3709" t="s">
        <v>1293</v>
      </c>
      <c r="I3709" t="s">
        <v>1294</v>
      </c>
      <c r="J3709" t="s">
        <v>16113</v>
      </c>
    </row>
    <row r="3710" spans="6:10">
      <c r="F3710" t="s">
        <v>16114</v>
      </c>
      <c r="G3710">
        <v>3707</v>
      </c>
      <c r="H3710" t="s">
        <v>16115</v>
      </c>
      <c r="I3710" t="s">
        <v>16116</v>
      </c>
      <c r="J3710" t="s">
        <v>16117</v>
      </c>
    </row>
    <row r="3711" spans="6:10">
      <c r="F3711" t="s">
        <v>16118</v>
      </c>
      <c r="G3711">
        <v>3708</v>
      </c>
      <c r="H3711" t="s">
        <v>2871</v>
      </c>
      <c r="I3711" t="s">
        <v>2872</v>
      </c>
      <c r="J3711" t="s">
        <v>16119</v>
      </c>
    </row>
    <row r="3712" spans="6:10">
      <c r="F3712" t="s">
        <v>16120</v>
      </c>
      <c r="G3712">
        <v>3709</v>
      </c>
      <c r="H3712" t="s">
        <v>6152</v>
      </c>
      <c r="I3712" t="s">
        <v>6153</v>
      </c>
      <c r="J3712" t="s">
        <v>16121</v>
      </c>
    </row>
    <row r="3713" spans="6:10">
      <c r="F3713" t="s">
        <v>16122</v>
      </c>
      <c r="G3713">
        <v>3710</v>
      </c>
      <c r="H3713" t="s">
        <v>940</v>
      </c>
      <c r="I3713" t="s">
        <v>941</v>
      </c>
      <c r="J3713" t="s">
        <v>16123</v>
      </c>
    </row>
    <row r="3714" spans="6:10">
      <c r="F3714" t="s">
        <v>16124</v>
      </c>
      <c r="G3714">
        <v>3711</v>
      </c>
      <c r="H3714" t="s">
        <v>616</v>
      </c>
      <c r="I3714" t="s">
        <v>617</v>
      </c>
      <c r="J3714" t="s">
        <v>16125</v>
      </c>
    </row>
    <row r="3715" spans="6:10">
      <c r="F3715" t="s">
        <v>16126</v>
      </c>
      <c r="G3715">
        <v>3712</v>
      </c>
      <c r="H3715" t="s">
        <v>2912</v>
      </c>
      <c r="I3715" t="s">
        <v>2912</v>
      </c>
      <c r="J3715" t="s">
        <v>16127</v>
      </c>
    </row>
    <row r="3716" spans="6:10">
      <c r="F3716" t="s">
        <v>16128</v>
      </c>
      <c r="G3716">
        <v>3713</v>
      </c>
      <c r="H3716" t="s">
        <v>3132</v>
      </c>
      <c r="I3716" t="s">
        <v>3133</v>
      </c>
      <c r="J3716" t="s">
        <v>16129</v>
      </c>
    </row>
    <row r="3717" spans="6:10">
      <c r="F3717" t="s">
        <v>16130</v>
      </c>
      <c r="G3717">
        <v>14730512901</v>
      </c>
      <c r="H3717" t="s">
        <v>4613</v>
      </c>
      <c r="I3717" t="s">
        <v>4614</v>
      </c>
      <c r="J3717" t="s">
        <v>16131</v>
      </c>
    </row>
    <row r="3718" spans="6:10">
      <c r="F3718" t="s">
        <v>16132</v>
      </c>
      <c r="G3718">
        <v>46175133889</v>
      </c>
      <c r="H3718" t="s">
        <v>3487</v>
      </c>
      <c r="I3718" t="s">
        <v>3488</v>
      </c>
      <c r="J3718" t="s">
        <v>16133</v>
      </c>
    </row>
    <row r="3719" spans="6:10">
      <c r="F3719" t="s">
        <v>16134</v>
      </c>
      <c r="G3719">
        <v>3716</v>
      </c>
      <c r="H3719" t="s">
        <v>16135</v>
      </c>
      <c r="I3719" t="s">
        <v>16136</v>
      </c>
      <c r="J3719" t="s">
        <v>16137</v>
      </c>
    </row>
    <row r="3720" spans="6:10">
      <c r="F3720" t="s">
        <v>16138</v>
      </c>
      <c r="G3720">
        <v>3717</v>
      </c>
      <c r="H3720" t="s">
        <v>16139</v>
      </c>
      <c r="I3720" t="s">
        <v>16140</v>
      </c>
      <c r="J3720" t="s">
        <v>16141</v>
      </c>
    </row>
    <row r="3721" spans="6:10">
      <c r="F3721" t="s">
        <v>16142</v>
      </c>
      <c r="G3721">
        <v>3718</v>
      </c>
      <c r="H3721" t="s">
        <v>5306</v>
      </c>
      <c r="I3721" t="s">
        <v>5307</v>
      </c>
      <c r="J3721" t="s">
        <v>16143</v>
      </c>
    </row>
    <row r="3722" spans="6:10">
      <c r="F3722" t="s">
        <v>16144</v>
      </c>
      <c r="G3722">
        <v>3719</v>
      </c>
      <c r="H3722" t="s">
        <v>2514</v>
      </c>
      <c r="I3722" t="s">
        <v>2516</v>
      </c>
      <c r="J3722" t="s">
        <v>16145</v>
      </c>
    </row>
    <row r="3723" spans="6:10">
      <c r="F3723" t="s">
        <v>16146</v>
      </c>
      <c r="G3723">
        <v>3720</v>
      </c>
      <c r="H3723" t="s">
        <v>3868</v>
      </c>
      <c r="I3723" t="s">
        <v>3869</v>
      </c>
      <c r="J3723" t="s">
        <v>16147</v>
      </c>
    </row>
    <row r="3724" spans="6:10">
      <c r="F3724" t="s">
        <v>16148</v>
      </c>
      <c r="G3724">
        <v>3721</v>
      </c>
      <c r="H3724" t="s">
        <v>14074</v>
      </c>
      <c r="I3724" t="s">
        <v>16149</v>
      </c>
      <c r="J3724" t="s">
        <v>16150</v>
      </c>
    </row>
    <row r="3725" spans="6:10">
      <c r="F3725" t="s">
        <v>16151</v>
      </c>
      <c r="G3725">
        <v>3722</v>
      </c>
      <c r="H3725" t="s">
        <v>3256</v>
      </c>
      <c r="I3725" t="s">
        <v>3256</v>
      </c>
      <c r="J3725" t="s">
        <v>16152</v>
      </c>
    </row>
    <row r="3726" spans="6:10">
      <c r="F3726" t="s">
        <v>16153</v>
      </c>
      <c r="G3726">
        <v>44089786800</v>
      </c>
      <c r="H3726" t="s">
        <v>5437</v>
      </c>
      <c r="I3726" t="s">
        <v>5437</v>
      </c>
      <c r="J3726" t="s">
        <v>16154</v>
      </c>
    </row>
    <row r="3727" spans="6:10">
      <c r="F3727" t="s">
        <v>16155</v>
      </c>
      <c r="G3727">
        <v>3724</v>
      </c>
      <c r="H3727" t="s">
        <v>16156</v>
      </c>
      <c r="I3727" t="s">
        <v>16157</v>
      </c>
      <c r="J3727" t="s">
        <v>16158</v>
      </c>
    </row>
    <row r="3728" spans="6:10">
      <c r="F3728" t="s">
        <v>16159</v>
      </c>
      <c r="G3728">
        <v>3725</v>
      </c>
      <c r="H3728" t="s">
        <v>3807</v>
      </c>
      <c r="I3728" t="s">
        <v>3808</v>
      </c>
      <c r="J3728" t="s">
        <v>16160</v>
      </c>
    </row>
    <row r="3729" spans="6:10">
      <c r="F3729" t="s">
        <v>16161</v>
      </c>
      <c r="G3729">
        <v>3726</v>
      </c>
      <c r="H3729" t="s">
        <v>2987</v>
      </c>
      <c r="I3729" t="s">
        <v>2988</v>
      </c>
      <c r="J3729" t="s">
        <v>16162</v>
      </c>
    </row>
    <row r="3730" spans="6:10">
      <c r="F3730" t="s">
        <v>16163</v>
      </c>
      <c r="G3730">
        <v>3727</v>
      </c>
      <c r="H3730" t="s">
        <v>238</v>
      </c>
      <c r="I3730" t="s">
        <v>239</v>
      </c>
      <c r="J3730" t="s">
        <v>16164</v>
      </c>
    </row>
    <row r="3731" spans="6:10">
      <c r="F3731" t="s">
        <v>16165</v>
      </c>
      <c r="G3731">
        <v>3728</v>
      </c>
      <c r="H3731" t="s">
        <v>16166</v>
      </c>
      <c r="I3731" t="s">
        <v>16167</v>
      </c>
      <c r="J3731" t="s">
        <v>16168</v>
      </c>
    </row>
    <row r="3732" spans="6:10">
      <c r="F3732" t="s">
        <v>16169</v>
      </c>
      <c r="G3732">
        <v>3729</v>
      </c>
      <c r="H3732" t="s">
        <v>16170</v>
      </c>
      <c r="I3732" t="s">
        <v>16171</v>
      </c>
      <c r="J3732" t="s">
        <v>16172</v>
      </c>
    </row>
    <row r="3733" spans="6:10">
      <c r="F3733" t="s">
        <v>16173</v>
      </c>
      <c r="G3733">
        <v>3730</v>
      </c>
      <c r="H3733" t="s">
        <v>16174</v>
      </c>
      <c r="I3733" t="s">
        <v>16175</v>
      </c>
      <c r="J3733" t="s">
        <v>16176</v>
      </c>
    </row>
    <row r="3734" spans="6:10">
      <c r="F3734" t="s">
        <v>16177</v>
      </c>
      <c r="G3734">
        <v>3731</v>
      </c>
      <c r="H3734" t="s">
        <v>16178</v>
      </c>
      <c r="I3734" t="s">
        <v>16179</v>
      </c>
      <c r="J3734" t="s">
        <v>16180</v>
      </c>
    </row>
    <row r="3735" spans="6:10">
      <c r="F3735" t="s">
        <v>16181</v>
      </c>
      <c r="G3735">
        <v>3732</v>
      </c>
      <c r="H3735" t="s">
        <v>6072</v>
      </c>
      <c r="I3735" t="s">
        <v>6073</v>
      </c>
      <c r="J3735" t="s">
        <v>16182</v>
      </c>
    </row>
    <row r="3736" spans="6:10">
      <c r="F3736" t="s">
        <v>16183</v>
      </c>
      <c r="G3736">
        <v>3733</v>
      </c>
      <c r="H3736" t="s">
        <v>16184</v>
      </c>
      <c r="I3736" t="s">
        <v>16185</v>
      </c>
      <c r="J3736" t="s">
        <v>16186</v>
      </c>
    </row>
    <row r="3737" spans="6:10">
      <c r="F3737" t="s">
        <v>16187</v>
      </c>
      <c r="G3737">
        <v>3734</v>
      </c>
      <c r="H3737" t="s">
        <v>16188</v>
      </c>
      <c r="I3737" t="s">
        <v>16189</v>
      </c>
      <c r="J3737" t="s">
        <v>16190</v>
      </c>
    </row>
    <row r="3738" spans="6:10">
      <c r="F3738" t="s">
        <v>16191</v>
      </c>
      <c r="G3738">
        <v>3735</v>
      </c>
      <c r="H3738" t="s">
        <v>132</v>
      </c>
      <c r="I3738" t="s">
        <v>133</v>
      </c>
      <c r="J3738" t="s">
        <v>16192</v>
      </c>
    </row>
    <row r="3739" spans="6:10">
      <c r="F3739" t="s">
        <v>16193</v>
      </c>
      <c r="G3739">
        <v>3736</v>
      </c>
      <c r="H3739" t="s">
        <v>1183</v>
      </c>
      <c r="I3739" t="s">
        <v>1184</v>
      </c>
      <c r="J3739" t="s">
        <v>16194</v>
      </c>
    </row>
    <row r="3740" spans="6:10">
      <c r="F3740" t="s">
        <v>16195</v>
      </c>
      <c r="G3740">
        <v>3737</v>
      </c>
      <c r="H3740" t="s">
        <v>16196</v>
      </c>
      <c r="I3740" t="s">
        <v>16197</v>
      </c>
      <c r="J3740" t="s">
        <v>16198</v>
      </c>
    </row>
    <row r="3741" spans="6:10">
      <c r="F3741" t="s">
        <v>16199</v>
      </c>
      <c r="G3741">
        <v>3738</v>
      </c>
      <c r="H3741" t="s">
        <v>16200</v>
      </c>
      <c r="I3741" t="s">
        <v>16201</v>
      </c>
      <c r="J3741" t="s">
        <v>16202</v>
      </c>
    </row>
    <row r="3742" spans="6:10">
      <c r="F3742" t="s">
        <v>16203</v>
      </c>
      <c r="G3742">
        <v>3739</v>
      </c>
      <c r="H3742" t="s">
        <v>2304</v>
      </c>
      <c r="I3742" t="s">
        <v>2305</v>
      </c>
      <c r="J3742" t="s">
        <v>16204</v>
      </c>
    </row>
    <row r="3743" spans="6:10">
      <c r="F3743" t="s">
        <v>16205</v>
      </c>
      <c r="G3743">
        <v>3740</v>
      </c>
      <c r="H3743" t="s">
        <v>306</v>
      </c>
      <c r="I3743" t="s">
        <v>307</v>
      </c>
      <c r="J3743" t="s">
        <v>16206</v>
      </c>
    </row>
    <row r="3744" spans="6:10">
      <c r="F3744" t="s">
        <v>16207</v>
      </c>
      <c r="G3744">
        <v>3741</v>
      </c>
      <c r="H3744" t="s">
        <v>16208</v>
      </c>
      <c r="I3744" t="s">
        <v>16209</v>
      </c>
      <c r="J3744" t="s">
        <v>16210</v>
      </c>
    </row>
    <row r="3745" spans="6:10">
      <c r="F3745" t="s">
        <v>16211</v>
      </c>
      <c r="G3745">
        <v>3742</v>
      </c>
      <c r="H3745" t="s">
        <v>16212</v>
      </c>
      <c r="I3745" t="s">
        <v>16213</v>
      </c>
      <c r="J3745" t="s">
        <v>16214</v>
      </c>
    </row>
    <row r="3746" spans="6:10">
      <c r="F3746" t="s">
        <v>16215</v>
      </c>
      <c r="G3746">
        <v>3743</v>
      </c>
      <c r="H3746" t="s">
        <v>16216</v>
      </c>
      <c r="I3746" t="s">
        <v>16216</v>
      </c>
      <c r="J3746" t="s">
        <v>16217</v>
      </c>
    </row>
    <row r="3747" spans="6:10">
      <c r="F3747" t="s">
        <v>16218</v>
      </c>
      <c r="G3747">
        <v>3744</v>
      </c>
      <c r="H3747" t="s">
        <v>1733</v>
      </c>
      <c r="I3747" t="s">
        <v>1734</v>
      </c>
      <c r="J3747" t="s">
        <v>16219</v>
      </c>
    </row>
    <row r="3748" spans="6:10">
      <c r="F3748" t="s">
        <v>16220</v>
      </c>
      <c r="G3748">
        <v>3745</v>
      </c>
      <c r="H3748" t="s">
        <v>167</v>
      </c>
      <c r="I3748" t="s">
        <v>167</v>
      </c>
      <c r="J3748" t="s">
        <v>16221</v>
      </c>
    </row>
    <row r="3749" spans="6:10">
      <c r="F3749" t="s">
        <v>16222</v>
      </c>
      <c r="G3749">
        <v>3746</v>
      </c>
      <c r="H3749" t="s">
        <v>5167</v>
      </c>
      <c r="I3749" t="s">
        <v>5167</v>
      </c>
      <c r="J3749" t="s">
        <v>16223</v>
      </c>
    </row>
    <row r="3750" spans="6:10">
      <c r="F3750" t="s">
        <v>16224</v>
      </c>
      <c r="G3750">
        <v>3747</v>
      </c>
      <c r="H3750" t="s">
        <v>5970</v>
      </c>
      <c r="I3750" t="s">
        <v>5971</v>
      </c>
      <c r="J3750" t="s">
        <v>16225</v>
      </c>
    </row>
    <row r="3751" spans="6:10">
      <c r="F3751" t="s">
        <v>16226</v>
      </c>
      <c r="G3751">
        <v>3748</v>
      </c>
      <c r="H3751" t="s">
        <v>5643</v>
      </c>
      <c r="I3751" t="s">
        <v>5644</v>
      </c>
      <c r="J3751" t="s">
        <v>16227</v>
      </c>
    </row>
    <row r="3752" spans="6:10">
      <c r="F3752" t="s">
        <v>16228</v>
      </c>
      <c r="G3752">
        <v>3749</v>
      </c>
      <c r="H3752" t="s">
        <v>2390</v>
      </c>
      <c r="I3752" t="s">
        <v>2390</v>
      </c>
      <c r="J3752" t="s">
        <v>16229</v>
      </c>
    </row>
    <row r="3753" spans="6:10">
      <c r="F3753" t="s">
        <v>16230</v>
      </c>
      <c r="G3753">
        <v>3750</v>
      </c>
      <c r="H3753" t="s">
        <v>16231</v>
      </c>
      <c r="I3753" t="s">
        <v>16231</v>
      </c>
      <c r="J3753" t="s">
        <v>16232</v>
      </c>
    </row>
    <row r="3754" spans="6:10">
      <c r="F3754" t="s">
        <v>16233</v>
      </c>
      <c r="G3754">
        <v>3751</v>
      </c>
      <c r="H3754" t="s">
        <v>16234</v>
      </c>
      <c r="I3754" t="s">
        <v>16235</v>
      </c>
      <c r="J3754" t="s">
        <v>16236</v>
      </c>
    </row>
    <row r="3755" spans="6:10">
      <c r="F3755" t="s">
        <v>16237</v>
      </c>
      <c r="G3755">
        <v>3752</v>
      </c>
      <c r="H3755" t="s">
        <v>4402</v>
      </c>
      <c r="I3755" t="s">
        <v>4403</v>
      </c>
      <c r="J3755" t="s">
        <v>16238</v>
      </c>
    </row>
    <row r="3756" spans="6:10">
      <c r="F3756" t="s">
        <v>16239</v>
      </c>
      <c r="G3756">
        <v>3753</v>
      </c>
      <c r="H3756" t="s">
        <v>445</v>
      </c>
      <c r="I3756" t="s">
        <v>447</v>
      </c>
      <c r="J3756" t="s">
        <v>16240</v>
      </c>
    </row>
    <row r="3757" spans="6:10">
      <c r="F3757" t="s">
        <v>16241</v>
      </c>
      <c r="G3757">
        <v>3754</v>
      </c>
      <c r="H3757" t="s">
        <v>1104</v>
      </c>
      <c r="I3757" t="s">
        <v>1105</v>
      </c>
      <c r="J3757" t="s">
        <v>16242</v>
      </c>
    </row>
    <row r="3758" spans="6:10">
      <c r="F3758" t="s">
        <v>16243</v>
      </c>
      <c r="G3758">
        <v>3755</v>
      </c>
      <c r="H3758" t="s">
        <v>5904</v>
      </c>
      <c r="I3758" t="s">
        <v>5905</v>
      </c>
      <c r="J3758" t="s">
        <v>16244</v>
      </c>
    </row>
    <row r="3759" spans="6:10">
      <c r="F3759" t="s">
        <v>16245</v>
      </c>
      <c r="G3759">
        <v>3756</v>
      </c>
      <c r="H3759" t="s">
        <v>2136</v>
      </c>
      <c r="I3759" t="s">
        <v>2136</v>
      </c>
      <c r="J3759" t="s">
        <v>16246</v>
      </c>
    </row>
    <row r="3760" spans="6:10">
      <c r="F3760" t="s">
        <v>16247</v>
      </c>
      <c r="G3760">
        <v>3757</v>
      </c>
      <c r="H3760" t="s">
        <v>16248</v>
      </c>
      <c r="I3760" t="s">
        <v>16249</v>
      </c>
      <c r="J3760" t="s">
        <v>16250</v>
      </c>
    </row>
    <row r="3761" spans="6:10">
      <c r="F3761" t="s">
        <v>16251</v>
      </c>
      <c r="G3761">
        <v>3758</v>
      </c>
      <c r="H3761" t="s">
        <v>16252</v>
      </c>
      <c r="I3761" t="s">
        <v>16253</v>
      </c>
      <c r="J3761" t="s">
        <v>16254</v>
      </c>
    </row>
    <row r="3762" spans="6:10">
      <c r="F3762" t="s">
        <v>16255</v>
      </c>
      <c r="G3762">
        <v>3759</v>
      </c>
      <c r="H3762" t="s">
        <v>177</v>
      </c>
      <c r="I3762" t="s">
        <v>177</v>
      </c>
      <c r="J3762" t="s">
        <v>16256</v>
      </c>
    </row>
    <row r="3763" spans="6:10">
      <c r="F3763" t="s">
        <v>16257</v>
      </c>
      <c r="G3763">
        <v>53106012870</v>
      </c>
      <c r="H3763" t="s">
        <v>143</v>
      </c>
      <c r="I3763" t="s">
        <v>144</v>
      </c>
      <c r="J3763" t="s">
        <v>16258</v>
      </c>
    </row>
    <row r="3764" spans="6:10">
      <c r="F3764" t="s">
        <v>16259</v>
      </c>
      <c r="G3764">
        <v>10062403818</v>
      </c>
      <c r="H3764" t="s">
        <v>4072</v>
      </c>
      <c r="I3764" t="s">
        <v>4072</v>
      </c>
      <c r="J3764" t="s">
        <v>16260</v>
      </c>
    </row>
    <row r="3765" spans="6:10">
      <c r="F3765" t="s">
        <v>16261</v>
      </c>
      <c r="G3765">
        <v>3762</v>
      </c>
      <c r="H3765" t="s">
        <v>2706</v>
      </c>
      <c r="I3765" t="s">
        <v>2707</v>
      </c>
      <c r="J3765" t="s">
        <v>16262</v>
      </c>
    </row>
    <row r="3766" spans="6:10">
      <c r="F3766" t="s">
        <v>16263</v>
      </c>
      <c r="G3766">
        <v>3763</v>
      </c>
      <c r="H3766" t="s">
        <v>2102</v>
      </c>
      <c r="I3766" t="s">
        <v>2102</v>
      </c>
      <c r="J3766" t="s">
        <v>16264</v>
      </c>
    </row>
    <row r="3767" spans="6:10">
      <c r="F3767" t="s">
        <v>16265</v>
      </c>
      <c r="G3767">
        <v>3764</v>
      </c>
      <c r="H3767" t="s">
        <v>16266</v>
      </c>
      <c r="I3767" t="s">
        <v>16267</v>
      </c>
      <c r="J3767" t="s">
        <v>16268</v>
      </c>
    </row>
    <row r="3768" spans="6:10">
      <c r="F3768" t="s">
        <v>16269</v>
      </c>
      <c r="G3768">
        <v>3765</v>
      </c>
      <c r="H3768" t="s">
        <v>288</v>
      </c>
      <c r="I3768" t="s">
        <v>289</v>
      </c>
      <c r="J3768" t="s">
        <v>16270</v>
      </c>
    </row>
    <row r="3769" spans="6:10">
      <c r="F3769" t="s">
        <v>16271</v>
      </c>
      <c r="G3769">
        <v>3766</v>
      </c>
      <c r="H3769" t="s">
        <v>3803</v>
      </c>
      <c r="I3769" t="s">
        <v>3804</v>
      </c>
      <c r="J3769" t="s">
        <v>16272</v>
      </c>
    </row>
    <row r="3770" spans="6:10">
      <c r="F3770" t="s">
        <v>16273</v>
      </c>
      <c r="G3770">
        <v>3767</v>
      </c>
      <c r="H3770" t="s">
        <v>16274</v>
      </c>
      <c r="I3770" t="s">
        <v>16275</v>
      </c>
      <c r="J3770" t="s">
        <v>16276</v>
      </c>
    </row>
    <row r="3771" spans="6:10">
      <c r="F3771" t="s">
        <v>16277</v>
      </c>
      <c r="G3771">
        <v>3768</v>
      </c>
      <c r="H3771" t="s">
        <v>5377</v>
      </c>
      <c r="I3771" t="s">
        <v>5377</v>
      </c>
      <c r="J3771" t="s">
        <v>16278</v>
      </c>
    </row>
    <row r="3772" spans="6:10">
      <c r="F3772" t="s">
        <v>16279</v>
      </c>
      <c r="G3772">
        <v>3769</v>
      </c>
      <c r="H3772" t="s">
        <v>3156</v>
      </c>
      <c r="I3772" t="s">
        <v>3157</v>
      </c>
      <c r="J3772" t="s">
        <v>16280</v>
      </c>
    </row>
    <row r="3773" spans="6:10">
      <c r="F3773" t="s">
        <v>16281</v>
      </c>
      <c r="G3773">
        <v>3770</v>
      </c>
      <c r="H3773" t="s">
        <v>5064</v>
      </c>
      <c r="I3773" t="s">
        <v>5065</v>
      </c>
      <c r="J3773" t="s">
        <v>16282</v>
      </c>
    </row>
    <row r="3774" spans="6:10">
      <c r="F3774" t="s">
        <v>16283</v>
      </c>
      <c r="G3774">
        <v>3771</v>
      </c>
      <c r="H3774" t="s">
        <v>1094</v>
      </c>
      <c r="I3774" t="s">
        <v>1095</v>
      </c>
      <c r="J3774" t="s">
        <v>16284</v>
      </c>
    </row>
    <row r="3775" spans="6:10">
      <c r="F3775" t="s">
        <v>16285</v>
      </c>
      <c r="G3775">
        <v>3772</v>
      </c>
      <c r="H3775" t="s">
        <v>2188</v>
      </c>
      <c r="I3775" t="s">
        <v>2188</v>
      </c>
      <c r="J3775" t="s">
        <v>16286</v>
      </c>
    </row>
    <row r="3776" spans="6:10">
      <c r="F3776" t="s">
        <v>16287</v>
      </c>
      <c r="G3776">
        <v>3773</v>
      </c>
      <c r="H3776" t="s">
        <v>2084</v>
      </c>
      <c r="I3776" t="s">
        <v>2084</v>
      </c>
      <c r="J3776" t="s">
        <v>16288</v>
      </c>
    </row>
    <row r="3777" spans="6:10">
      <c r="F3777" t="s">
        <v>16289</v>
      </c>
      <c r="G3777">
        <v>3774</v>
      </c>
      <c r="H3777" t="s">
        <v>879</v>
      </c>
      <c r="I3777" t="s">
        <v>880</v>
      </c>
      <c r="J3777" t="s">
        <v>16290</v>
      </c>
    </row>
    <row r="3778" spans="6:10">
      <c r="F3778" t="s">
        <v>16291</v>
      </c>
      <c r="G3778">
        <v>3775</v>
      </c>
      <c r="H3778" t="s">
        <v>16292</v>
      </c>
      <c r="I3778" t="s">
        <v>16293</v>
      </c>
      <c r="J3778" t="s">
        <v>16294</v>
      </c>
    </row>
    <row r="3779" spans="6:10">
      <c r="F3779" t="s">
        <v>16295</v>
      </c>
      <c r="G3779">
        <v>3776</v>
      </c>
      <c r="H3779" t="s">
        <v>5877</v>
      </c>
      <c r="I3779" t="s">
        <v>5878</v>
      </c>
      <c r="J3779" t="s">
        <v>16296</v>
      </c>
    </row>
    <row r="3780" spans="6:10">
      <c r="F3780" t="s">
        <v>16297</v>
      </c>
      <c r="G3780">
        <v>3777</v>
      </c>
      <c r="H3780" t="s">
        <v>2098</v>
      </c>
      <c r="I3780" t="s">
        <v>2099</v>
      </c>
      <c r="J3780" t="s">
        <v>16298</v>
      </c>
    </row>
    <row r="3781" spans="6:10">
      <c r="F3781" t="s">
        <v>16299</v>
      </c>
      <c r="G3781">
        <v>3778</v>
      </c>
      <c r="H3781" t="s">
        <v>1011</v>
      </c>
      <c r="I3781" t="s">
        <v>1012</v>
      </c>
      <c r="J3781" t="s">
        <v>16300</v>
      </c>
    </row>
    <row r="3782" spans="6:10">
      <c r="F3782" t="s">
        <v>16301</v>
      </c>
      <c r="G3782">
        <v>3779</v>
      </c>
      <c r="H3782" t="s">
        <v>16302</v>
      </c>
      <c r="I3782" t="s">
        <v>16303</v>
      </c>
      <c r="J3782" t="s">
        <v>16304</v>
      </c>
    </row>
    <row r="3783" spans="6:10">
      <c r="F3783" t="s">
        <v>16305</v>
      </c>
      <c r="G3783">
        <v>3780</v>
      </c>
      <c r="H3783" t="s">
        <v>5988</v>
      </c>
      <c r="I3783" t="s">
        <v>5989</v>
      </c>
      <c r="J3783" t="s">
        <v>16306</v>
      </c>
    </row>
    <row r="3784" spans="6:10">
      <c r="F3784" t="s">
        <v>16307</v>
      </c>
      <c r="G3784">
        <v>3781</v>
      </c>
      <c r="H3784" t="s">
        <v>3442</v>
      </c>
      <c r="I3784" t="s">
        <v>3442</v>
      </c>
      <c r="J3784" t="s">
        <v>16308</v>
      </c>
    </row>
    <row r="3785" spans="6:10">
      <c r="F3785" t="s">
        <v>16309</v>
      </c>
      <c r="G3785">
        <v>43918089860</v>
      </c>
      <c r="H3785" t="s">
        <v>3217</v>
      </c>
      <c r="I3785" t="s">
        <v>3217</v>
      </c>
      <c r="J3785" t="s">
        <v>16310</v>
      </c>
    </row>
    <row r="3786" spans="6:10">
      <c r="F3786" t="s">
        <v>16311</v>
      </c>
      <c r="G3786">
        <v>7687357930</v>
      </c>
      <c r="H3786" t="s">
        <v>1458</v>
      </c>
      <c r="I3786" t="s">
        <v>1459</v>
      </c>
      <c r="J3786" t="s">
        <v>16312</v>
      </c>
    </row>
    <row r="3787" spans="6:10">
      <c r="F3787" t="s">
        <v>16313</v>
      </c>
      <c r="G3787">
        <v>3784</v>
      </c>
      <c r="H3787" t="s">
        <v>1620</v>
      </c>
      <c r="I3787" t="s">
        <v>1621</v>
      </c>
      <c r="J3787" t="s">
        <v>16314</v>
      </c>
    </row>
    <row r="3788" spans="6:10">
      <c r="F3788" t="s">
        <v>16315</v>
      </c>
      <c r="G3788">
        <v>3785</v>
      </c>
      <c r="H3788" t="s">
        <v>3741</v>
      </c>
      <c r="I3788" t="s">
        <v>3741</v>
      </c>
      <c r="J3788" t="s">
        <v>16316</v>
      </c>
    </row>
    <row r="3789" spans="6:10">
      <c r="F3789" t="s">
        <v>16317</v>
      </c>
      <c r="G3789">
        <v>3786</v>
      </c>
      <c r="H3789" t="s">
        <v>854</v>
      </c>
      <c r="I3789" t="s">
        <v>855</v>
      </c>
      <c r="J3789" t="s">
        <v>16318</v>
      </c>
    </row>
    <row r="3790" spans="6:10">
      <c r="F3790" t="s">
        <v>16319</v>
      </c>
      <c r="G3790">
        <v>3787</v>
      </c>
      <c r="H3790" t="s">
        <v>3742</v>
      </c>
      <c r="I3790" t="s">
        <v>3743</v>
      </c>
      <c r="J3790" t="s">
        <v>16320</v>
      </c>
    </row>
    <row r="3791" spans="6:10">
      <c r="F3791" t="s">
        <v>16321</v>
      </c>
      <c r="G3791">
        <v>3788</v>
      </c>
      <c r="H3791" t="s">
        <v>16322</v>
      </c>
      <c r="I3791" t="s">
        <v>16323</v>
      </c>
      <c r="J3791" t="s">
        <v>16324</v>
      </c>
    </row>
    <row r="3792" spans="6:10">
      <c r="F3792" t="s">
        <v>16325</v>
      </c>
      <c r="G3792">
        <v>3789</v>
      </c>
      <c r="H3792" t="s">
        <v>16326</v>
      </c>
      <c r="I3792" t="s">
        <v>16326</v>
      </c>
      <c r="J3792" t="s">
        <v>16327</v>
      </c>
    </row>
    <row r="3793" spans="6:10">
      <c r="F3793" t="s">
        <v>16328</v>
      </c>
      <c r="G3793">
        <v>3790</v>
      </c>
      <c r="H3793" t="s">
        <v>787</v>
      </c>
      <c r="I3793" t="s">
        <v>788</v>
      </c>
      <c r="J3793" t="s">
        <v>16329</v>
      </c>
    </row>
    <row r="3794" spans="6:10">
      <c r="F3794" t="s">
        <v>16330</v>
      </c>
      <c r="G3794">
        <v>3791</v>
      </c>
      <c r="H3794" t="s">
        <v>4610</v>
      </c>
      <c r="I3794" t="s">
        <v>4610</v>
      </c>
      <c r="J3794" t="s">
        <v>16331</v>
      </c>
    </row>
    <row r="3795" spans="6:10">
      <c r="F3795" t="s">
        <v>16332</v>
      </c>
      <c r="G3795">
        <v>3792</v>
      </c>
      <c r="H3795" t="s">
        <v>16333</v>
      </c>
      <c r="I3795" t="s">
        <v>16334</v>
      </c>
      <c r="J3795" t="s">
        <v>16335</v>
      </c>
    </row>
    <row r="3796" spans="6:10">
      <c r="F3796" t="s">
        <v>16336</v>
      </c>
      <c r="G3796">
        <v>3793</v>
      </c>
      <c r="H3796" t="s">
        <v>3227</v>
      </c>
      <c r="I3796" t="s">
        <v>3228</v>
      </c>
      <c r="J3796" t="s">
        <v>16337</v>
      </c>
    </row>
    <row r="3797" spans="6:10">
      <c r="F3797" t="s">
        <v>16338</v>
      </c>
      <c r="G3797">
        <v>3794</v>
      </c>
      <c r="H3797" t="s">
        <v>5037</v>
      </c>
      <c r="I3797" t="s">
        <v>5037</v>
      </c>
      <c r="J3797" t="s">
        <v>16339</v>
      </c>
    </row>
    <row r="3798" spans="6:10">
      <c r="F3798" t="s">
        <v>16340</v>
      </c>
      <c r="G3798">
        <v>3795</v>
      </c>
      <c r="H3798" t="s">
        <v>185</v>
      </c>
      <c r="I3798" t="s">
        <v>186</v>
      </c>
      <c r="J3798" t="s">
        <v>16341</v>
      </c>
    </row>
    <row r="3799" spans="6:10">
      <c r="F3799" t="s">
        <v>16342</v>
      </c>
      <c r="G3799">
        <v>3796</v>
      </c>
      <c r="H3799" t="s">
        <v>4471</v>
      </c>
      <c r="I3799" t="s">
        <v>4472</v>
      </c>
      <c r="J3799" t="s">
        <v>16343</v>
      </c>
    </row>
    <row r="3800" spans="6:10">
      <c r="F3800" t="s">
        <v>16344</v>
      </c>
      <c r="G3800">
        <v>3797</v>
      </c>
      <c r="H3800" t="s">
        <v>392</v>
      </c>
      <c r="I3800" t="s">
        <v>392</v>
      </c>
      <c r="J3800" t="s">
        <v>16345</v>
      </c>
    </row>
    <row r="3801" spans="6:10">
      <c r="F3801" t="s">
        <v>16346</v>
      </c>
      <c r="G3801">
        <v>3798</v>
      </c>
      <c r="H3801" t="s">
        <v>16347</v>
      </c>
      <c r="I3801" t="s">
        <v>16348</v>
      </c>
      <c r="J3801" t="s">
        <v>16349</v>
      </c>
    </row>
    <row r="3802" spans="6:10">
      <c r="F3802" t="s">
        <v>16350</v>
      </c>
      <c r="G3802">
        <v>3799</v>
      </c>
      <c r="H3802" t="s">
        <v>4391</v>
      </c>
      <c r="I3802" t="s">
        <v>4392</v>
      </c>
      <c r="J3802" t="s">
        <v>16351</v>
      </c>
    </row>
    <row r="3803" spans="6:10">
      <c r="F3803" t="s">
        <v>16352</v>
      </c>
      <c r="G3803">
        <v>3800</v>
      </c>
      <c r="H3803" t="s">
        <v>16353</v>
      </c>
      <c r="I3803" t="s">
        <v>16354</v>
      </c>
      <c r="J3803" t="s">
        <v>16355</v>
      </c>
    </row>
    <row r="3804" spans="6:10">
      <c r="F3804" t="s">
        <v>16356</v>
      </c>
      <c r="G3804">
        <v>3801</v>
      </c>
      <c r="H3804" t="s">
        <v>16357</v>
      </c>
      <c r="I3804" t="s">
        <v>16358</v>
      </c>
      <c r="J3804" t="s">
        <v>16359</v>
      </c>
    </row>
    <row r="3805" spans="6:10">
      <c r="F3805" t="s">
        <v>16360</v>
      </c>
      <c r="G3805">
        <v>3802</v>
      </c>
      <c r="H3805" t="s">
        <v>4313</v>
      </c>
      <c r="I3805" t="s">
        <v>4314</v>
      </c>
      <c r="J3805" t="s">
        <v>16361</v>
      </c>
    </row>
    <row r="3806" spans="6:10">
      <c r="F3806" t="s">
        <v>16362</v>
      </c>
      <c r="G3806">
        <v>75342618720</v>
      </c>
      <c r="H3806" t="s">
        <v>3887</v>
      </c>
      <c r="I3806" t="s">
        <v>3888</v>
      </c>
      <c r="J3806" t="s">
        <v>16363</v>
      </c>
    </row>
    <row r="3807" spans="6:10">
      <c r="F3807" t="s">
        <v>16364</v>
      </c>
      <c r="G3807">
        <v>8294943835</v>
      </c>
      <c r="H3807" t="s">
        <v>1252</v>
      </c>
      <c r="I3807" t="s">
        <v>1252</v>
      </c>
      <c r="J3807" t="s">
        <v>16365</v>
      </c>
    </row>
    <row r="3808" spans="6:10">
      <c r="F3808" t="s">
        <v>16366</v>
      </c>
      <c r="G3808">
        <v>6453344998</v>
      </c>
      <c r="H3808" t="s">
        <v>1799</v>
      </c>
      <c r="I3808" t="s">
        <v>1799</v>
      </c>
      <c r="J3808" t="s">
        <v>16367</v>
      </c>
    </row>
    <row r="3809" spans="6:10">
      <c r="F3809" t="s">
        <v>16368</v>
      </c>
      <c r="G3809">
        <v>33055374851</v>
      </c>
      <c r="H3809" t="s">
        <v>1581</v>
      </c>
      <c r="I3809" t="s">
        <v>1581</v>
      </c>
      <c r="J3809" t="s">
        <v>16369</v>
      </c>
    </row>
    <row r="3810" spans="6:10">
      <c r="F3810" t="s">
        <v>16370</v>
      </c>
      <c r="G3810">
        <v>3807</v>
      </c>
      <c r="H3810" t="s">
        <v>1930</v>
      </c>
      <c r="I3810" t="s">
        <v>1932</v>
      </c>
      <c r="J3810" t="s">
        <v>16371</v>
      </c>
    </row>
    <row r="3811" spans="6:10">
      <c r="F3811" t="s">
        <v>16372</v>
      </c>
      <c r="G3811">
        <v>10714429880</v>
      </c>
      <c r="H3811" t="s">
        <v>4600</v>
      </c>
      <c r="I3811" t="s">
        <v>4600</v>
      </c>
      <c r="J3811" t="s">
        <v>16373</v>
      </c>
    </row>
    <row r="3812" spans="6:10">
      <c r="F3812" t="s">
        <v>16374</v>
      </c>
      <c r="G3812">
        <v>3809</v>
      </c>
      <c r="H3812" t="s">
        <v>2270</v>
      </c>
      <c r="I3812" t="s">
        <v>2270</v>
      </c>
      <c r="J3812" t="s">
        <v>16375</v>
      </c>
    </row>
    <row r="3813" spans="6:10">
      <c r="F3813" t="s">
        <v>16376</v>
      </c>
      <c r="G3813">
        <v>3810</v>
      </c>
      <c r="H3813" t="s">
        <v>6093</v>
      </c>
      <c r="I3813" t="s">
        <v>6094</v>
      </c>
      <c r="J3813" t="s">
        <v>16377</v>
      </c>
    </row>
    <row r="3814" spans="6:10">
      <c r="F3814" t="s">
        <v>16378</v>
      </c>
      <c r="G3814">
        <v>3811</v>
      </c>
      <c r="H3814" t="s">
        <v>5790</v>
      </c>
      <c r="I3814" t="s">
        <v>5790</v>
      </c>
      <c r="J3814" t="s">
        <v>16379</v>
      </c>
    </row>
    <row r="3815" spans="6:10">
      <c r="F3815" t="s">
        <v>16380</v>
      </c>
      <c r="G3815">
        <v>3812</v>
      </c>
      <c r="H3815" t="s">
        <v>16381</v>
      </c>
      <c r="I3815" t="s">
        <v>16382</v>
      </c>
      <c r="J3815" t="s">
        <v>16383</v>
      </c>
    </row>
    <row r="3816" spans="6:10">
      <c r="F3816" t="s">
        <v>16384</v>
      </c>
      <c r="G3816">
        <v>3813</v>
      </c>
      <c r="H3816" t="s">
        <v>4181</v>
      </c>
      <c r="I3816" t="s">
        <v>2603</v>
      </c>
      <c r="J3816" t="s">
        <v>16385</v>
      </c>
    </row>
    <row r="3817" spans="6:10">
      <c r="F3817" t="s">
        <v>16386</v>
      </c>
      <c r="G3817">
        <v>3814</v>
      </c>
      <c r="H3817" t="s">
        <v>3980</v>
      </c>
      <c r="I3817" t="s">
        <v>3981</v>
      </c>
      <c r="J3817" t="s">
        <v>16387</v>
      </c>
    </row>
    <row r="3818" spans="6:10">
      <c r="F3818" t="s">
        <v>16388</v>
      </c>
      <c r="G3818">
        <v>3815</v>
      </c>
      <c r="H3818" t="s">
        <v>16389</v>
      </c>
      <c r="I3818" t="s">
        <v>16390</v>
      </c>
      <c r="J3818" t="s">
        <v>16391</v>
      </c>
    </row>
    <row r="3819" spans="6:10">
      <c r="F3819" t="s">
        <v>16392</v>
      </c>
      <c r="G3819">
        <v>3816</v>
      </c>
      <c r="H3819" t="s">
        <v>1514</v>
      </c>
      <c r="I3819" t="s">
        <v>1515</v>
      </c>
      <c r="J3819" t="s">
        <v>16393</v>
      </c>
    </row>
    <row r="3820" spans="6:10">
      <c r="F3820" t="s">
        <v>16394</v>
      </c>
      <c r="G3820">
        <v>3817</v>
      </c>
      <c r="H3820" t="s">
        <v>1297</v>
      </c>
      <c r="I3820" t="s">
        <v>1298</v>
      </c>
      <c r="J3820" t="s">
        <v>16395</v>
      </c>
    </row>
    <row r="3821" spans="6:10">
      <c r="F3821" t="s">
        <v>16396</v>
      </c>
      <c r="G3821">
        <v>3818</v>
      </c>
      <c r="H3821" t="s">
        <v>16397</v>
      </c>
      <c r="I3821" t="s">
        <v>16398</v>
      </c>
      <c r="J3821" t="s">
        <v>16399</v>
      </c>
    </row>
    <row r="3822" spans="6:10">
      <c r="F3822" t="s">
        <v>16400</v>
      </c>
      <c r="G3822">
        <v>27343066897</v>
      </c>
      <c r="H3822" t="s">
        <v>3667</v>
      </c>
      <c r="I3822" t="s">
        <v>3667</v>
      </c>
      <c r="J3822" t="s">
        <v>16401</v>
      </c>
    </row>
    <row r="3823" spans="6:10">
      <c r="F3823" t="s">
        <v>16402</v>
      </c>
      <c r="G3823">
        <v>3820</v>
      </c>
      <c r="H3823" t="s">
        <v>16403</v>
      </c>
      <c r="I3823" t="s">
        <v>16404</v>
      </c>
      <c r="J3823" t="s">
        <v>16405</v>
      </c>
    </row>
    <row r="3824" spans="6:10">
      <c r="F3824" t="s">
        <v>16406</v>
      </c>
      <c r="G3824">
        <v>3821</v>
      </c>
      <c r="H3824" t="s">
        <v>16407</v>
      </c>
      <c r="I3824" t="s">
        <v>16408</v>
      </c>
      <c r="J3824" t="s">
        <v>16409</v>
      </c>
    </row>
    <row r="3825" spans="6:10">
      <c r="F3825" t="s">
        <v>16410</v>
      </c>
      <c r="G3825">
        <v>3822</v>
      </c>
      <c r="H3825" t="s">
        <v>5600</v>
      </c>
      <c r="I3825" t="s">
        <v>5601</v>
      </c>
      <c r="J3825" t="s">
        <v>16411</v>
      </c>
    </row>
    <row r="3826" spans="6:10">
      <c r="F3826" t="s">
        <v>16412</v>
      </c>
      <c r="G3826">
        <v>3823</v>
      </c>
      <c r="H3826" t="s">
        <v>4295</v>
      </c>
      <c r="I3826" t="s">
        <v>4296</v>
      </c>
      <c r="J3826" t="s">
        <v>16413</v>
      </c>
    </row>
    <row r="3827" spans="6:10">
      <c r="F3827" t="s">
        <v>16414</v>
      </c>
      <c r="G3827">
        <v>3824</v>
      </c>
      <c r="H3827" t="s">
        <v>5602</v>
      </c>
      <c r="I3827" t="s">
        <v>5603</v>
      </c>
      <c r="J3827" t="s">
        <v>16415</v>
      </c>
    </row>
    <row r="3828" spans="6:10">
      <c r="F3828" t="s">
        <v>16416</v>
      </c>
      <c r="G3828">
        <v>3825</v>
      </c>
      <c r="H3828" t="s">
        <v>3736</v>
      </c>
      <c r="I3828" t="s">
        <v>3737</v>
      </c>
      <c r="J3828" t="s">
        <v>16417</v>
      </c>
    </row>
    <row r="3829" spans="6:10">
      <c r="F3829" t="s">
        <v>16418</v>
      </c>
      <c r="G3829">
        <v>3826</v>
      </c>
      <c r="H3829" t="s">
        <v>4052</v>
      </c>
      <c r="I3829" t="s">
        <v>4053</v>
      </c>
      <c r="J3829" t="s">
        <v>16419</v>
      </c>
    </row>
    <row r="3830" spans="6:10">
      <c r="F3830" t="s">
        <v>16420</v>
      </c>
      <c r="G3830">
        <v>3827</v>
      </c>
      <c r="H3830" t="s">
        <v>16421</v>
      </c>
      <c r="I3830" t="s">
        <v>16422</v>
      </c>
      <c r="J3830" t="s">
        <v>16423</v>
      </c>
    </row>
    <row r="3831" spans="6:10">
      <c r="F3831" t="s">
        <v>16424</v>
      </c>
      <c r="G3831">
        <v>3828</v>
      </c>
      <c r="H3831" t="s">
        <v>16425</v>
      </c>
      <c r="I3831" t="s">
        <v>16426</v>
      </c>
      <c r="J3831" t="s">
        <v>16427</v>
      </c>
    </row>
    <row r="3832" spans="6:10">
      <c r="F3832" t="s">
        <v>16428</v>
      </c>
      <c r="G3832">
        <v>3829</v>
      </c>
      <c r="H3832" t="s">
        <v>4357</v>
      </c>
      <c r="I3832" t="s">
        <v>4357</v>
      </c>
      <c r="J3832" t="s">
        <v>16429</v>
      </c>
    </row>
    <row r="3833" spans="6:10">
      <c r="F3833" t="s">
        <v>16430</v>
      </c>
      <c r="G3833">
        <v>3830</v>
      </c>
      <c r="H3833" t="s">
        <v>16431</v>
      </c>
      <c r="I3833" t="s">
        <v>16432</v>
      </c>
      <c r="J3833" t="s">
        <v>16433</v>
      </c>
    </row>
    <row r="3834" spans="6:10">
      <c r="F3834" t="s">
        <v>16434</v>
      </c>
      <c r="G3834">
        <v>3831</v>
      </c>
      <c r="H3834" t="s">
        <v>16435</v>
      </c>
      <c r="I3834" t="s">
        <v>16436</v>
      </c>
      <c r="J3834" t="s">
        <v>16437</v>
      </c>
    </row>
    <row r="3835" spans="6:10">
      <c r="F3835" t="s">
        <v>16438</v>
      </c>
      <c r="G3835">
        <v>3832</v>
      </c>
      <c r="H3835" t="s">
        <v>16439</v>
      </c>
      <c r="I3835" t="s">
        <v>16440</v>
      </c>
      <c r="J3835" t="s">
        <v>16441</v>
      </c>
    </row>
    <row r="3836" spans="6:10">
      <c r="F3836" t="s">
        <v>16442</v>
      </c>
      <c r="G3836">
        <v>3833</v>
      </c>
      <c r="H3836" t="s">
        <v>16443</v>
      </c>
      <c r="I3836" t="s">
        <v>16444</v>
      </c>
      <c r="J3836" t="s">
        <v>16445</v>
      </c>
    </row>
    <row r="3837" spans="6:10">
      <c r="F3837" t="s">
        <v>16446</v>
      </c>
      <c r="G3837">
        <v>3834</v>
      </c>
      <c r="H3837" t="s">
        <v>5422</v>
      </c>
      <c r="I3837" t="s">
        <v>5422</v>
      </c>
      <c r="J3837" t="s">
        <v>16447</v>
      </c>
    </row>
    <row r="3838" spans="6:10">
      <c r="F3838" t="s">
        <v>16448</v>
      </c>
      <c r="G3838">
        <v>3835</v>
      </c>
      <c r="H3838" t="s">
        <v>5389</v>
      </c>
      <c r="I3838" t="s">
        <v>5389</v>
      </c>
      <c r="J3838" t="s">
        <v>16449</v>
      </c>
    </row>
    <row r="3839" spans="6:10">
      <c r="F3839" t="s">
        <v>16450</v>
      </c>
      <c r="G3839">
        <v>3836</v>
      </c>
      <c r="H3839" t="s">
        <v>3510</v>
      </c>
      <c r="I3839" t="s">
        <v>3511</v>
      </c>
      <c r="J3839" t="s">
        <v>16451</v>
      </c>
    </row>
    <row r="3840" spans="6:10">
      <c r="F3840" t="s">
        <v>16452</v>
      </c>
      <c r="G3840">
        <v>3837</v>
      </c>
      <c r="H3840" t="s">
        <v>4252</v>
      </c>
      <c r="I3840" t="s">
        <v>4253</v>
      </c>
      <c r="J3840" t="s">
        <v>16453</v>
      </c>
    </row>
    <row r="3841" spans="6:10">
      <c r="F3841" t="s">
        <v>16454</v>
      </c>
      <c r="G3841">
        <v>3838</v>
      </c>
      <c r="H3841" t="s">
        <v>16455</v>
      </c>
      <c r="I3841" t="s">
        <v>16456</v>
      </c>
      <c r="J3841" t="s">
        <v>16457</v>
      </c>
    </row>
    <row r="3842" spans="6:10">
      <c r="F3842" t="s">
        <v>16458</v>
      </c>
      <c r="G3842">
        <v>3839</v>
      </c>
      <c r="H3842" t="s">
        <v>5291</v>
      </c>
      <c r="I3842" t="s">
        <v>5292</v>
      </c>
      <c r="J3842" t="s">
        <v>16459</v>
      </c>
    </row>
    <row r="3843" spans="6:10">
      <c r="F3843" t="s">
        <v>16460</v>
      </c>
      <c r="G3843">
        <v>3840</v>
      </c>
      <c r="H3843" t="s">
        <v>3267</v>
      </c>
      <c r="I3843" t="s">
        <v>3268</v>
      </c>
      <c r="J3843" t="s">
        <v>16461</v>
      </c>
    </row>
    <row r="3844" spans="6:10">
      <c r="F3844" t="s">
        <v>16462</v>
      </c>
      <c r="G3844">
        <v>3841</v>
      </c>
      <c r="H3844" t="s">
        <v>2970</v>
      </c>
      <c r="I3844" t="s">
        <v>2970</v>
      </c>
      <c r="J3844" t="s">
        <v>16463</v>
      </c>
    </row>
    <row r="3845" spans="6:10">
      <c r="F3845" t="s">
        <v>16464</v>
      </c>
      <c r="G3845">
        <v>3842</v>
      </c>
      <c r="H3845" t="s">
        <v>1802</v>
      </c>
      <c r="I3845" t="s">
        <v>1803</v>
      </c>
      <c r="J3845" t="s">
        <v>16465</v>
      </c>
    </row>
    <row r="3846" spans="6:10">
      <c r="F3846" t="s">
        <v>16466</v>
      </c>
      <c r="G3846">
        <v>3843</v>
      </c>
      <c r="H3846" t="s">
        <v>316</v>
      </c>
      <c r="I3846" t="s">
        <v>317</v>
      </c>
      <c r="J3846" t="s">
        <v>16467</v>
      </c>
    </row>
    <row r="3847" spans="6:10">
      <c r="F3847" t="s">
        <v>16468</v>
      </c>
      <c r="G3847">
        <v>3844</v>
      </c>
      <c r="H3847" t="s">
        <v>2074</v>
      </c>
      <c r="I3847" t="s">
        <v>2074</v>
      </c>
      <c r="J3847" t="s">
        <v>16469</v>
      </c>
    </row>
    <row r="3848" spans="6:10">
      <c r="F3848" t="s">
        <v>16470</v>
      </c>
      <c r="G3848">
        <v>7335066662</v>
      </c>
      <c r="H3848" t="s">
        <v>3907</v>
      </c>
      <c r="I3848" t="s">
        <v>3907</v>
      </c>
      <c r="J3848" t="s">
        <v>16471</v>
      </c>
    </row>
    <row r="3849" spans="6:10">
      <c r="F3849" t="s">
        <v>16472</v>
      </c>
      <c r="G3849">
        <v>31187510882</v>
      </c>
      <c r="H3849" t="s">
        <v>3972</v>
      </c>
      <c r="I3849" t="s">
        <v>3972</v>
      </c>
      <c r="J3849" t="s">
        <v>16473</v>
      </c>
    </row>
    <row r="3850" spans="6:10">
      <c r="F3850" t="s">
        <v>16474</v>
      </c>
      <c r="G3850">
        <v>39009163814</v>
      </c>
      <c r="H3850" t="s">
        <v>6216</v>
      </c>
      <c r="I3850" t="s">
        <v>6216</v>
      </c>
      <c r="J3850" t="s">
        <v>16475</v>
      </c>
    </row>
    <row r="3851" spans="6:10">
      <c r="F3851" t="s">
        <v>16476</v>
      </c>
      <c r="G3851">
        <v>98399560359</v>
      </c>
      <c r="H3851" t="s">
        <v>369</v>
      </c>
      <c r="I3851" t="s">
        <v>369</v>
      </c>
      <c r="J3851" t="s">
        <v>16477</v>
      </c>
    </row>
    <row r="3852" spans="6:10">
      <c r="F3852" t="s">
        <v>16478</v>
      </c>
      <c r="G3852">
        <v>48554110862</v>
      </c>
      <c r="H3852" t="s">
        <v>5782</v>
      </c>
      <c r="I3852" t="s">
        <v>5782</v>
      </c>
      <c r="J3852" t="s">
        <v>16479</v>
      </c>
    </row>
    <row r="3853" spans="6:10">
      <c r="F3853" t="s">
        <v>16480</v>
      </c>
      <c r="G3853">
        <v>11732068682</v>
      </c>
      <c r="H3853" t="s">
        <v>225</v>
      </c>
      <c r="I3853" t="s">
        <v>225</v>
      </c>
      <c r="J3853" t="s">
        <v>16481</v>
      </c>
    </row>
    <row r="3854" spans="6:10">
      <c r="F3854" t="s">
        <v>16482</v>
      </c>
      <c r="G3854">
        <v>3851</v>
      </c>
      <c r="H3854" t="s">
        <v>16483</v>
      </c>
      <c r="I3854" t="s">
        <v>16484</v>
      </c>
      <c r="J3854" t="s">
        <v>16485</v>
      </c>
    </row>
    <row r="3855" spans="6:10">
      <c r="F3855" t="s">
        <v>16486</v>
      </c>
      <c r="G3855">
        <v>3852</v>
      </c>
      <c r="H3855" t="s">
        <v>2138</v>
      </c>
      <c r="I3855" t="s">
        <v>2138</v>
      </c>
      <c r="J3855" t="s">
        <v>16487</v>
      </c>
    </row>
    <row r="3856" spans="6:10">
      <c r="F3856" t="s">
        <v>16488</v>
      </c>
      <c r="G3856">
        <v>3853</v>
      </c>
      <c r="H3856" t="s">
        <v>4990</v>
      </c>
      <c r="I3856" t="s">
        <v>4991</v>
      </c>
      <c r="J3856" t="s">
        <v>16489</v>
      </c>
    </row>
    <row r="3857" spans="6:10">
      <c r="F3857" t="s">
        <v>16490</v>
      </c>
      <c r="G3857">
        <v>3854</v>
      </c>
      <c r="H3857" t="s">
        <v>156</v>
      </c>
      <c r="I3857" t="s">
        <v>156</v>
      </c>
      <c r="J3857" t="s">
        <v>16491</v>
      </c>
    </row>
    <row r="3858" spans="6:10">
      <c r="F3858" t="s">
        <v>16492</v>
      </c>
      <c r="G3858">
        <v>3855</v>
      </c>
      <c r="H3858" t="s">
        <v>6224</v>
      </c>
      <c r="I3858" t="s">
        <v>6225</v>
      </c>
      <c r="J3858" t="s">
        <v>16493</v>
      </c>
    </row>
    <row r="3859" spans="6:10">
      <c r="F3859" t="s">
        <v>16494</v>
      </c>
      <c r="G3859">
        <v>3856</v>
      </c>
      <c r="H3859" t="s">
        <v>279</v>
      </c>
      <c r="I3859" t="s">
        <v>280</v>
      </c>
      <c r="J3859" t="s">
        <v>16495</v>
      </c>
    </row>
    <row r="3860" spans="6:10">
      <c r="F3860" t="s">
        <v>16496</v>
      </c>
      <c r="G3860">
        <v>3857</v>
      </c>
      <c r="H3860" t="s">
        <v>16497</v>
      </c>
      <c r="I3860" t="s">
        <v>8863</v>
      </c>
      <c r="J3860" t="s">
        <v>16498</v>
      </c>
    </row>
    <row r="3861" spans="6:10">
      <c r="F3861" t="s">
        <v>16499</v>
      </c>
      <c r="G3861">
        <v>3858</v>
      </c>
      <c r="H3861" t="s">
        <v>3494</v>
      </c>
      <c r="I3861" t="s">
        <v>3495</v>
      </c>
      <c r="J3861" t="s">
        <v>16500</v>
      </c>
    </row>
    <row r="3862" spans="6:10">
      <c r="F3862" t="s">
        <v>16501</v>
      </c>
      <c r="G3862">
        <v>3859</v>
      </c>
      <c r="H3862" t="s">
        <v>1426</v>
      </c>
      <c r="I3862" t="s">
        <v>1427</v>
      </c>
      <c r="J3862" t="s">
        <v>16502</v>
      </c>
    </row>
    <row r="3863" spans="6:10">
      <c r="F3863" t="s">
        <v>16503</v>
      </c>
      <c r="G3863">
        <v>3860</v>
      </c>
      <c r="H3863" t="s">
        <v>5174</v>
      </c>
      <c r="I3863" t="s">
        <v>5174</v>
      </c>
      <c r="J3863" t="s">
        <v>16504</v>
      </c>
    </row>
    <row r="3864" spans="6:10">
      <c r="F3864" t="s">
        <v>16505</v>
      </c>
      <c r="G3864">
        <v>3861</v>
      </c>
      <c r="H3864" t="s">
        <v>5269</v>
      </c>
      <c r="I3864" t="s">
        <v>5269</v>
      </c>
      <c r="J3864" t="s">
        <v>16506</v>
      </c>
    </row>
    <row r="3865" spans="6:10">
      <c r="F3865" t="s">
        <v>16507</v>
      </c>
      <c r="G3865">
        <v>35980720820</v>
      </c>
      <c r="H3865" t="s">
        <v>454</v>
      </c>
      <c r="I3865" t="s">
        <v>454</v>
      </c>
      <c r="J3865" t="s">
        <v>16508</v>
      </c>
    </row>
    <row r="3866" spans="6:10">
      <c r="F3866" t="s">
        <v>16509</v>
      </c>
      <c r="G3866">
        <v>33108662899</v>
      </c>
      <c r="H3866" t="s">
        <v>1492</v>
      </c>
      <c r="I3866" t="s">
        <v>1493</v>
      </c>
      <c r="J3866" t="s">
        <v>16510</v>
      </c>
    </row>
    <row r="3867" spans="6:10">
      <c r="F3867" t="s">
        <v>16511</v>
      </c>
      <c r="G3867">
        <v>52390589898</v>
      </c>
      <c r="H3867" t="s">
        <v>3924</v>
      </c>
      <c r="I3867" t="s">
        <v>3924</v>
      </c>
      <c r="J3867" t="s">
        <v>16512</v>
      </c>
    </row>
    <row r="3868" spans="6:10">
      <c r="F3868" t="s">
        <v>16513</v>
      </c>
      <c r="G3868">
        <v>3865</v>
      </c>
      <c r="H3868" t="s">
        <v>16514</v>
      </c>
      <c r="I3868" t="s">
        <v>16515</v>
      </c>
      <c r="J3868" t="s">
        <v>16516</v>
      </c>
    </row>
    <row r="3869" spans="6:10">
      <c r="F3869" t="s">
        <v>16517</v>
      </c>
      <c r="G3869">
        <v>3866</v>
      </c>
      <c r="H3869" t="s">
        <v>2169</v>
      </c>
      <c r="I3869" t="s">
        <v>2170</v>
      </c>
      <c r="J3869" t="s">
        <v>16518</v>
      </c>
    </row>
    <row r="3870" spans="6:10">
      <c r="F3870" t="s">
        <v>16519</v>
      </c>
      <c r="G3870">
        <v>3867</v>
      </c>
      <c r="H3870" t="s">
        <v>5997</v>
      </c>
      <c r="I3870" t="s">
        <v>5997</v>
      </c>
      <c r="J3870" t="s">
        <v>16520</v>
      </c>
    </row>
    <row r="3871" spans="6:10">
      <c r="F3871" t="s">
        <v>16521</v>
      </c>
      <c r="G3871">
        <v>42789522871</v>
      </c>
      <c r="H3871" t="s">
        <v>2241</v>
      </c>
      <c r="I3871" t="s">
        <v>2241</v>
      </c>
      <c r="J3871" t="s">
        <v>16522</v>
      </c>
    </row>
    <row r="3872" spans="6:10">
      <c r="F3872" t="s">
        <v>16523</v>
      </c>
      <c r="G3872">
        <v>3869</v>
      </c>
      <c r="H3872" t="s">
        <v>3181</v>
      </c>
      <c r="I3872" t="s">
        <v>3182</v>
      </c>
      <c r="J3872" t="s">
        <v>16524</v>
      </c>
    </row>
    <row r="3873" spans="6:10">
      <c r="F3873" t="s">
        <v>16525</v>
      </c>
      <c r="G3873">
        <v>3870</v>
      </c>
      <c r="H3873" t="s">
        <v>16526</v>
      </c>
      <c r="I3873" t="s">
        <v>16526</v>
      </c>
      <c r="J3873" t="s">
        <v>16527</v>
      </c>
    </row>
    <row r="3874" spans="6:10">
      <c r="F3874" t="s">
        <v>16528</v>
      </c>
      <c r="G3874">
        <v>3871</v>
      </c>
      <c r="H3874" t="s">
        <v>3336</v>
      </c>
      <c r="I3874" t="s">
        <v>3337</v>
      </c>
      <c r="J3874" t="s">
        <v>16529</v>
      </c>
    </row>
    <row r="3875" spans="6:10">
      <c r="F3875" t="s">
        <v>16530</v>
      </c>
      <c r="G3875">
        <v>3872</v>
      </c>
      <c r="H3875" t="s">
        <v>16531</v>
      </c>
      <c r="I3875" t="s">
        <v>16532</v>
      </c>
      <c r="J3875" t="s">
        <v>16533</v>
      </c>
    </row>
    <row r="3876" spans="6:10">
      <c r="F3876" t="s">
        <v>16534</v>
      </c>
      <c r="G3876">
        <v>6618486980</v>
      </c>
      <c r="H3876" t="s">
        <v>868</v>
      </c>
      <c r="I3876" t="s">
        <v>868</v>
      </c>
      <c r="J3876" t="s">
        <v>16535</v>
      </c>
    </row>
    <row r="3877" spans="6:10">
      <c r="F3877" t="s">
        <v>16536</v>
      </c>
      <c r="G3877">
        <v>3874</v>
      </c>
      <c r="H3877" t="s">
        <v>3412</v>
      </c>
      <c r="I3877" t="s">
        <v>3413</v>
      </c>
      <c r="J3877" t="s">
        <v>16537</v>
      </c>
    </row>
    <row r="3878" spans="6:10">
      <c r="F3878" t="s">
        <v>16538</v>
      </c>
      <c r="G3878">
        <v>3875</v>
      </c>
      <c r="H3878" t="s">
        <v>3745</v>
      </c>
      <c r="I3878" t="s">
        <v>3746</v>
      </c>
      <c r="J3878" t="s">
        <v>16539</v>
      </c>
    </row>
    <row r="3879" spans="6:10">
      <c r="F3879" t="s">
        <v>16540</v>
      </c>
      <c r="G3879">
        <v>3876</v>
      </c>
      <c r="H3879" t="s">
        <v>3476</v>
      </c>
      <c r="I3879" t="s">
        <v>3477</v>
      </c>
      <c r="J3879" t="s">
        <v>16541</v>
      </c>
    </row>
    <row r="3880" spans="6:10">
      <c r="F3880" t="s">
        <v>16542</v>
      </c>
      <c r="G3880">
        <v>3877</v>
      </c>
      <c r="H3880" t="s">
        <v>3771</v>
      </c>
      <c r="I3880" t="s">
        <v>3772</v>
      </c>
      <c r="J3880" t="s">
        <v>16543</v>
      </c>
    </row>
    <row r="3881" spans="6:10">
      <c r="F3881" t="s">
        <v>16544</v>
      </c>
      <c r="G3881">
        <v>3878</v>
      </c>
      <c r="H3881" t="s">
        <v>387</v>
      </c>
      <c r="I3881" t="s">
        <v>388</v>
      </c>
      <c r="J3881" t="s">
        <v>16545</v>
      </c>
    </row>
    <row r="3882" spans="6:10">
      <c r="F3882" t="s">
        <v>16546</v>
      </c>
      <c r="G3882">
        <v>3879</v>
      </c>
      <c r="H3882" t="s">
        <v>16547</v>
      </c>
      <c r="I3882" t="s">
        <v>16548</v>
      </c>
      <c r="J3882" t="s">
        <v>16549</v>
      </c>
    </row>
    <row r="3883" spans="6:10">
      <c r="F3883" t="s">
        <v>16550</v>
      </c>
      <c r="G3883">
        <v>3880</v>
      </c>
      <c r="H3883" t="s">
        <v>2925</v>
      </c>
      <c r="I3883" t="s">
        <v>2925</v>
      </c>
      <c r="J3883" t="s">
        <v>16551</v>
      </c>
    </row>
    <row r="3884" spans="6:10">
      <c r="F3884" t="s">
        <v>16552</v>
      </c>
      <c r="G3884">
        <v>3881</v>
      </c>
      <c r="H3884" t="s">
        <v>2243</v>
      </c>
      <c r="I3884" t="s">
        <v>2243</v>
      </c>
      <c r="J3884" t="s">
        <v>16553</v>
      </c>
    </row>
    <row r="3885" spans="6:10">
      <c r="F3885" t="s">
        <v>16554</v>
      </c>
      <c r="G3885">
        <v>3882</v>
      </c>
      <c r="H3885" t="s">
        <v>3788</v>
      </c>
      <c r="I3885" t="s">
        <v>3789</v>
      </c>
      <c r="J3885" t="s">
        <v>16555</v>
      </c>
    </row>
    <row r="3886" spans="6:10">
      <c r="F3886" t="s">
        <v>16556</v>
      </c>
      <c r="G3886">
        <v>3883</v>
      </c>
      <c r="H3886" t="s">
        <v>872</v>
      </c>
      <c r="I3886" t="s">
        <v>873</v>
      </c>
      <c r="J3886" t="s">
        <v>16557</v>
      </c>
    </row>
    <row r="3887" spans="6:10">
      <c r="F3887" t="s">
        <v>16558</v>
      </c>
      <c r="G3887">
        <v>9905483764</v>
      </c>
      <c r="H3887" t="s">
        <v>452</v>
      </c>
      <c r="I3887" t="s">
        <v>452</v>
      </c>
      <c r="J3887" t="s">
        <v>16559</v>
      </c>
    </row>
    <row r="3888" spans="6:10">
      <c r="F3888" t="s">
        <v>16560</v>
      </c>
      <c r="G3888">
        <v>3885</v>
      </c>
      <c r="H3888" t="s">
        <v>4453</v>
      </c>
      <c r="I3888" t="s">
        <v>4454</v>
      </c>
      <c r="J3888" t="s">
        <v>16561</v>
      </c>
    </row>
    <row r="3889" spans="6:10">
      <c r="F3889" t="s">
        <v>16562</v>
      </c>
      <c r="G3889">
        <v>3886</v>
      </c>
      <c r="H3889" t="s">
        <v>548</v>
      </c>
      <c r="I3889" t="s">
        <v>592</v>
      </c>
      <c r="J3889" t="s">
        <v>16563</v>
      </c>
    </row>
    <row r="3890" spans="6:10">
      <c r="F3890" t="s">
        <v>16564</v>
      </c>
      <c r="G3890">
        <v>3887</v>
      </c>
      <c r="H3890" t="s">
        <v>4288</v>
      </c>
      <c r="I3890" t="s">
        <v>4289</v>
      </c>
      <c r="J3890" t="s">
        <v>16565</v>
      </c>
    </row>
    <row r="3891" spans="6:10">
      <c r="F3891" t="s">
        <v>16566</v>
      </c>
      <c r="G3891">
        <v>3888</v>
      </c>
      <c r="H3891" t="s">
        <v>1591</v>
      </c>
      <c r="I3891" t="s">
        <v>1592</v>
      </c>
      <c r="J3891" t="s">
        <v>16567</v>
      </c>
    </row>
    <row r="3892" spans="6:10">
      <c r="F3892" t="s">
        <v>16568</v>
      </c>
      <c r="G3892">
        <v>42698555840</v>
      </c>
      <c r="H3892" t="s">
        <v>5965</v>
      </c>
      <c r="I3892" t="s">
        <v>5965</v>
      </c>
      <c r="J3892" t="s">
        <v>16569</v>
      </c>
    </row>
    <row r="3893" spans="6:10">
      <c r="F3893" t="s">
        <v>16570</v>
      </c>
      <c r="G3893">
        <v>21509410821</v>
      </c>
      <c r="H3893" t="s">
        <v>2371</v>
      </c>
      <c r="I3893" t="s">
        <v>2371</v>
      </c>
      <c r="J3893" t="s">
        <v>16571</v>
      </c>
    </row>
    <row r="3894" spans="6:10">
      <c r="F3894" t="s">
        <v>16572</v>
      </c>
      <c r="G3894">
        <v>3891</v>
      </c>
      <c r="H3894" t="s">
        <v>1970</v>
      </c>
      <c r="I3894" t="s">
        <v>1971</v>
      </c>
      <c r="J3894" t="s">
        <v>16573</v>
      </c>
    </row>
    <row r="3895" spans="6:10">
      <c r="F3895" t="s">
        <v>16574</v>
      </c>
      <c r="G3895">
        <v>55235280300</v>
      </c>
      <c r="H3895" t="s">
        <v>3089</v>
      </c>
      <c r="I3895" t="s">
        <v>3090</v>
      </c>
      <c r="J3895" t="s">
        <v>16575</v>
      </c>
    </row>
    <row r="3896" spans="6:10">
      <c r="F3896" t="s">
        <v>16576</v>
      </c>
      <c r="G3896">
        <v>27596410820</v>
      </c>
      <c r="H3896" t="s">
        <v>5405</v>
      </c>
      <c r="I3896" t="s">
        <v>5406</v>
      </c>
      <c r="J3896" t="s">
        <v>16577</v>
      </c>
    </row>
    <row r="3897" spans="6:10">
      <c r="F3897" t="s">
        <v>16578</v>
      </c>
      <c r="G3897">
        <v>88212866491</v>
      </c>
      <c r="H3897" t="s">
        <v>2140</v>
      </c>
      <c r="I3897" t="s">
        <v>2140</v>
      </c>
      <c r="J3897" t="s">
        <v>16579</v>
      </c>
    </row>
    <row r="3898" spans="6:10">
      <c r="F3898" t="s">
        <v>16580</v>
      </c>
      <c r="G3898">
        <v>3895</v>
      </c>
      <c r="H3898" t="s">
        <v>263</v>
      </c>
      <c r="I3898" t="s">
        <v>264</v>
      </c>
      <c r="J3898" t="s">
        <v>16581</v>
      </c>
    </row>
    <row r="3899" spans="6:10">
      <c r="F3899" t="s">
        <v>16582</v>
      </c>
      <c r="G3899">
        <v>3896</v>
      </c>
      <c r="H3899" t="s">
        <v>5217</v>
      </c>
      <c r="I3899" t="s">
        <v>5218</v>
      </c>
      <c r="J3899" t="s">
        <v>16583</v>
      </c>
    </row>
    <row r="3900" spans="6:10">
      <c r="F3900" t="s">
        <v>16584</v>
      </c>
      <c r="G3900">
        <v>10013602659</v>
      </c>
      <c r="H3900" t="s">
        <v>2982</v>
      </c>
      <c r="I3900" t="s">
        <v>2983</v>
      </c>
      <c r="J3900" t="s">
        <v>16585</v>
      </c>
    </row>
    <row r="3901" spans="6:10">
      <c r="F3901" t="s">
        <v>16586</v>
      </c>
      <c r="G3901">
        <v>33469726825</v>
      </c>
      <c r="H3901" t="s">
        <v>4369</v>
      </c>
      <c r="I3901" t="s">
        <v>4370</v>
      </c>
      <c r="J3901" t="s">
        <v>16587</v>
      </c>
    </row>
    <row r="3902" spans="6:10">
      <c r="F3902" t="s">
        <v>16588</v>
      </c>
      <c r="G3902">
        <v>3899</v>
      </c>
      <c r="H3902" t="s">
        <v>3670</v>
      </c>
      <c r="I3902" t="s">
        <v>3671</v>
      </c>
      <c r="J3902" t="s">
        <v>16589</v>
      </c>
    </row>
    <row r="3903" spans="6:10">
      <c r="F3903" t="s">
        <v>16590</v>
      </c>
      <c r="G3903">
        <v>12908721635</v>
      </c>
      <c r="H3903" t="s">
        <v>4611</v>
      </c>
      <c r="I3903" t="s">
        <v>4611</v>
      </c>
      <c r="J3903" t="s">
        <v>16591</v>
      </c>
    </row>
    <row r="3904" spans="6:10">
      <c r="F3904" t="s">
        <v>16592</v>
      </c>
      <c r="G3904">
        <v>33480467857</v>
      </c>
      <c r="H3904" t="s">
        <v>5076</v>
      </c>
      <c r="I3904" t="s">
        <v>5077</v>
      </c>
      <c r="J3904" t="s">
        <v>16593</v>
      </c>
    </row>
    <row r="3905" spans="6:10">
      <c r="F3905" t="s">
        <v>16594</v>
      </c>
      <c r="G3905">
        <v>3902</v>
      </c>
      <c r="H3905" t="s">
        <v>3857</v>
      </c>
      <c r="I3905" t="s">
        <v>3858</v>
      </c>
      <c r="J3905" t="s">
        <v>16595</v>
      </c>
    </row>
    <row r="3906" spans="6:10">
      <c r="F3906" t="s">
        <v>16596</v>
      </c>
      <c r="G3906">
        <v>3903</v>
      </c>
      <c r="H3906" t="s">
        <v>2175</v>
      </c>
      <c r="I3906" t="s">
        <v>2176</v>
      </c>
      <c r="J3906" t="s">
        <v>16597</v>
      </c>
    </row>
    <row r="3907" spans="6:10">
      <c r="F3907" t="s">
        <v>16598</v>
      </c>
      <c r="G3907">
        <v>3904</v>
      </c>
      <c r="H3907" t="s">
        <v>16599</v>
      </c>
      <c r="I3907" t="s">
        <v>16600</v>
      </c>
      <c r="J3907" t="s">
        <v>16601</v>
      </c>
    </row>
    <row r="3908" spans="6:10">
      <c r="F3908" t="s">
        <v>16602</v>
      </c>
      <c r="G3908">
        <v>3905</v>
      </c>
      <c r="H3908" t="s">
        <v>1057</v>
      </c>
      <c r="I3908" t="s">
        <v>1057</v>
      </c>
      <c r="J3908" t="s">
        <v>16603</v>
      </c>
    </row>
    <row r="3909" spans="6:10">
      <c r="F3909" t="s">
        <v>16604</v>
      </c>
      <c r="G3909">
        <v>3906</v>
      </c>
      <c r="H3909" t="s">
        <v>1077</v>
      </c>
      <c r="I3909" t="s">
        <v>1078</v>
      </c>
      <c r="J3909" t="s">
        <v>16605</v>
      </c>
    </row>
    <row r="3910" spans="6:10">
      <c r="F3910" t="s">
        <v>16606</v>
      </c>
      <c r="G3910">
        <v>3907</v>
      </c>
      <c r="H3910" t="s">
        <v>4120</v>
      </c>
      <c r="I3910" t="s">
        <v>4121</v>
      </c>
      <c r="J3910" t="s">
        <v>16607</v>
      </c>
    </row>
    <row r="3911" spans="6:10">
      <c r="F3911" t="s">
        <v>16608</v>
      </c>
      <c r="G3911">
        <v>1617126659</v>
      </c>
      <c r="H3911" t="s">
        <v>393</v>
      </c>
      <c r="I3911" t="s">
        <v>393</v>
      </c>
      <c r="J3911" t="s">
        <v>16609</v>
      </c>
    </row>
    <row r="3912" spans="6:10">
      <c r="F3912" t="s">
        <v>16610</v>
      </c>
      <c r="G3912">
        <v>3909</v>
      </c>
      <c r="H3912" t="s">
        <v>16611</v>
      </c>
      <c r="I3912" t="s">
        <v>16612</v>
      </c>
      <c r="J3912" t="s">
        <v>16613</v>
      </c>
    </row>
    <row r="3913" spans="6:10">
      <c r="F3913" t="s">
        <v>16614</v>
      </c>
      <c r="G3913">
        <v>3910</v>
      </c>
      <c r="H3913" t="s">
        <v>16611</v>
      </c>
      <c r="I3913" t="s">
        <v>16612</v>
      </c>
      <c r="J3913" t="s">
        <v>16615</v>
      </c>
    </row>
    <row r="3914" spans="6:10">
      <c r="F3914" t="s">
        <v>16616</v>
      </c>
      <c r="G3914">
        <v>3911</v>
      </c>
      <c r="H3914" t="s">
        <v>16617</v>
      </c>
      <c r="I3914" t="s">
        <v>16618</v>
      </c>
      <c r="J3914" t="s">
        <v>16619</v>
      </c>
    </row>
    <row r="3915" spans="6:10">
      <c r="F3915" t="s">
        <v>16620</v>
      </c>
      <c r="G3915">
        <v>3912</v>
      </c>
      <c r="H3915" t="s">
        <v>16621</v>
      </c>
      <c r="I3915" t="s">
        <v>16621</v>
      </c>
      <c r="J3915" t="s">
        <v>16622</v>
      </c>
    </row>
    <row r="3916" spans="6:10">
      <c r="F3916" t="s">
        <v>16623</v>
      </c>
      <c r="G3916">
        <v>3913</v>
      </c>
      <c r="H3916" t="s">
        <v>4731</v>
      </c>
      <c r="I3916" t="s">
        <v>4733</v>
      </c>
      <c r="J3916" t="s">
        <v>16624</v>
      </c>
    </row>
    <row r="3917" spans="6:10">
      <c r="F3917" t="s">
        <v>16625</v>
      </c>
      <c r="G3917">
        <v>71297073649</v>
      </c>
      <c r="H3917" t="s">
        <v>3174</v>
      </c>
      <c r="I3917" t="s">
        <v>3175</v>
      </c>
      <c r="J3917" t="s">
        <v>16626</v>
      </c>
    </row>
    <row r="3918" spans="6:10">
      <c r="F3918" t="s">
        <v>16627</v>
      </c>
      <c r="G3918">
        <v>45052442882</v>
      </c>
      <c r="H3918" t="s">
        <v>1021</v>
      </c>
      <c r="I3918" t="s">
        <v>1021</v>
      </c>
      <c r="J3918" t="s">
        <v>16628</v>
      </c>
    </row>
    <row r="3919" spans="6:10">
      <c r="F3919" t="s">
        <v>16629</v>
      </c>
      <c r="G3919">
        <v>2854286839</v>
      </c>
      <c r="H3919" t="s">
        <v>5592</v>
      </c>
      <c r="I3919" t="s">
        <v>5592</v>
      </c>
      <c r="J3919" t="s">
        <v>16630</v>
      </c>
    </row>
    <row r="3920" spans="6:10">
      <c r="F3920" t="s">
        <v>16631</v>
      </c>
      <c r="G3920">
        <v>3917</v>
      </c>
      <c r="H3920" t="s">
        <v>16632</v>
      </c>
      <c r="I3920" t="s">
        <v>16633</v>
      </c>
      <c r="J3920" t="s">
        <v>16634</v>
      </c>
    </row>
    <row r="3921" spans="6:10">
      <c r="F3921" t="s">
        <v>16635</v>
      </c>
      <c r="G3921">
        <v>3918</v>
      </c>
      <c r="H3921" t="s">
        <v>696</v>
      </c>
      <c r="I3921" t="s">
        <v>696</v>
      </c>
      <c r="J3921" t="s">
        <v>16636</v>
      </c>
    </row>
    <row r="3922" spans="6:10">
      <c r="F3922" t="s">
        <v>16637</v>
      </c>
      <c r="G3922">
        <v>3919</v>
      </c>
      <c r="H3922" t="s">
        <v>16638</v>
      </c>
      <c r="I3922" t="s">
        <v>16639</v>
      </c>
      <c r="J3922" t="s">
        <v>16640</v>
      </c>
    </row>
    <row r="3923" spans="6:10">
      <c r="F3923" t="s">
        <v>16641</v>
      </c>
      <c r="G3923">
        <v>3920</v>
      </c>
      <c r="H3923" t="s">
        <v>5875</v>
      </c>
      <c r="I3923" t="s">
        <v>5876</v>
      </c>
      <c r="J3923" t="s">
        <v>16642</v>
      </c>
    </row>
    <row r="3924" spans="6:10">
      <c r="F3924" t="s">
        <v>16643</v>
      </c>
      <c r="G3924">
        <v>3921</v>
      </c>
      <c r="H3924" t="s">
        <v>4724</v>
      </c>
      <c r="I3924" t="s">
        <v>4725</v>
      </c>
      <c r="J3924" t="s">
        <v>16644</v>
      </c>
    </row>
    <row r="3925" spans="6:10">
      <c r="F3925" t="s">
        <v>16645</v>
      </c>
      <c r="G3925">
        <v>3922</v>
      </c>
      <c r="H3925" t="s">
        <v>16646</v>
      </c>
      <c r="I3925" t="s">
        <v>16647</v>
      </c>
      <c r="J3925" t="s">
        <v>16648</v>
      </c>
    </row>
    <row r="3926" spans="6:10">
      <c r="F3926" t="s">
        <v>16649</v>
      </c>
      <c r="G3926">
        <v>3923</v>
      </c>
      <c r="H3926" t="s">
        <v>1024</v>
      </c>
      <c r="I3926" t="s">
        <v>1025</v>
      </c>
      <c r="J3926" t="s">
        <v>16650</v>
      </c>
    </row>
    <row r="3927" spans="6:10">
      <c r="F3927" t="s">
        <v>16651</v>
      </c>
      <c r="G3927">
        <v>3924</v>
      </c>
      <c r="H3927" t="s">
        <v>6176</v>
      </c>
      <c r="I3927" t="s">
        <v>6178</v>
      </c>
      <c r="J3927" t="s">
        <v>16652</v>
      </c>
    </row>
    <row r="3928" spans="6:10">
      <c r="F3928" t="s">
        <v>16653</v>
      </c>
      <c r="G3928">
        <v>3925</v>
      </c>
      <c r="H3928" t="s">
        <v>6176</v>
      </c>
      <c r="I3928" t="s">
        <v>6179</v>
      </c>
      <c r="J3928" t="s">
        <v>16654</v>
      </c>
    </row>
    <row r="3929" spans="6:10">
      <c r="F3929" t="s">
        <v>16655</v>
      </c>
      <c r="G3929">
        <v>3926</v>
      </c>
      <c r="H3929" t="s">
        <v>6176</v>
      </c>
      <c r="I3929" t="s">
        <v>6180</v>
      </c>
      <c r="J3929" t="s">
        <v>16656</v>
      </c>
    </row>
    <row r="3930" spans="6:10">
      <c r="F3930" t="s">
        <v>16657</v>
      </c>
      <c r="G3930">
        <v>3927</v>
      </c>
      <c r="H3930" t="s">
        <v>6176</v>
      </c>
      <c r="I3930" t="s">
        <v>6181</v>
      </c>
      <c r="J3930" t="s">
        <v>16658</v>
      </c>
    </row>
    <row r="3931" spans="6:10">
      <c r="F3931" t="s">
        <v>16659</v>
      </c>
      <c r="G3931">
        <v>3928</v>
      </c>
      <c r="H3931" t="s">
        <v>6176</v>
      </c>
      <c r="I3931" t="s">
        <v>6182</v>
      </c>
      <c r="J3931" t="s">
        <v>16660</v>
      </c>
    </row>
    <row r="3932" spans="6:10">
      <c r="F3932" t="s">
        <v>16661</v>
      </c>
      <c r="G3932">
        <v>9061470773</v>
      </c>
      <c r="H3932" t="s">
        <v>4967</v>
      </c>
      <c r="I3932" t="s">
        <v>4967</v>
      </c>
      <c r="J3932" t="s">
        <v>16662</v>
      </c>
    </row>
    <row r="3933" spans="6:10">
      <c r="F3933" t="s">
        <v>16663</v>
      </c>
      <c r="G3933">
        <v>12274835705</v>
      </c>
      <c r="H3933" t="s">
        <v>237</v>
      </c>
      <c r="I3933" t="s">
        <v>237</v>
      </c>
      <c r="J3933" t="s">
        <v>16664</v>
      </c>
    </row>
    <row r="3934" spans="6:10">
      <c r="F3934" t="s">
        <v>16665</v>
      </c>
      <c r="G3934">
        <v>3931</v>
      </c>
      <c r="H3934" t="s">
        <v>16666</v>
      </c>
      <c r="I3934" t="s">
        <v>16667</v>
      </c>
      <c r="J3934" t="s">
        <v>16668</v>
      </c>
    </row>
    <row r="3935" spans="6:10">
      <c r="F3935" t="s">
        <v>16669</v>
      </c>
      <c r="G3935">
        <v>43636355848</v>
      </c>
      <c r="H3935" t="s">
        <v>3987</v>
      </c>
      <c r="I3935" t="s">
        <v>3987</v>
      </c>
      <c r="J3935" t="s">
        <v>16670</v>
      </c>
    </row>
    <row r="3936" spans="6:10">
      <c r="F3936" t="s">
        <v>16671</v>
      </c>
      <c r="G3936">
        <v>3933</v>
      </c>
      <c r="H3936" t="s">
        <v>1920</v>
      </c>
      <c r="I3936" t="s">
        <v>1921</v>
      </c>
      <c r="J3936" t="s">
        <v>16672</v>
      </c>
    </row>
    <row r="3937" spans="6:10">
      <c r="F3937" t="s">
        <v>16673</v>
      </c>
      <c r="G3937">
        <v>3934</v>
      </c>
      <c r="H3937" t="s">
        <v>336</v>
      </c>
      <c r="I3937" t="s">
        <v>337</v>
      </c>
      <c r="J3937" t="s">
        <v>16674</v>
      </c>
    </row>
    <row r="3938" spans="6:10">
      <c r="F3938" t="s">
        <v>16675</v>
      </c>
      <c r="G3938">
        <v>3935</v>
      </c>
      <c r="H3938" t="s">
        <v>329</v>
      </c>
      <c r="I3938" t="s">
        <v>329</v>
      </c>
      <c r="J3938" t="s">
        <v>16676</v>
      </c>
    </row>
    <row r="3939" spans="6:10">
      <c r="F3939" t="s">
        <v>16677</v>
      </c>
      <c r="G3939">
        <v>3936</v>
      </c>
      <c r="H3939" t="s">
        <v>5044</v>
      </c>
      <c r="I3939" t="s">
        <v>5045</v>
      </c>
      <c r="J3939" t="s">
        <v>16678</v>
      </c>
    </row>
    <row r="3940" spans="6:10">
      <c r="F3940" t="s">
        <v>16679</v>
      </c>
      <c r="G3940">
        <v>3937</v>
      </c>
      <c r="H3940" t="s">
        <v>8232</v>
      </c>
      <c r="I3940" t="s">
        <v>8233</v>
      </c>
      <c r="J3940" t="s">
        <v>16680</v>
      </c>
    </row>
    <row r="3941" spans="6:10">
      <c r="F3941" t="s">
        <v>16681</v>
      </c>
      <c r="G3941">
        <v>3938</v>
      </c>
      <c r="H3941" t="s">
        <v>5385</v>
      </c>
      <c r="I3941" t="s">
        <v>5386</v>
      </c>
      <c r="J3941" t="s">
        <v>16682</v>
      </c>
    </row>
    <row r="3942" spans="6:10">
      <c r="F3942" t="s">
        <v>16683</v>
      </c>
      <c r="G3942">
        <v>3939</v>
      </c>
      <c r="H3942" t="s">
        <v>16684</v>
      </c>
      <c r="I3942" t="s">
        <v>16685</v>
      </c>
      <c r="J3942" t="s">
        <v>16686</v>
      </c>
    </row>
    <row r="3943" spans="6:10">
      <c r="F3943" t="s">
        <v>16687</v>
      </c>
      <c r="G3943">
        <v>3940</v>
      </c>
      <c r="H3943" t="s">
        <v>236</v>
      </c>
      <c r="I3943" t="s">
        <v>236</v>
      </c>
      <c r="J3943" t="s">
        <v>16688</v>
      </c>
    </row>
    <row r="3944" spans="6:10">
      <c r="F3944" t="s">
        <v>16689</v>
      </c>
      <c r="G3944">
        <v>3941</v>
      </c>
      <c r="H3944" t="s">
        <v>295</v>
      </c>
      <c r="I3944" t="s">
        <v>296</v>
      </c>
      <c r="J3944" t="s">
        <v>16690</v>
      </c>
    </row>
    <row r="3945" spans="6:10">
      <c r="F3945" t="s">
        <v>16691</v>
      </c>
      <c r="G3945">
        <v>3942</v>
      </c>
      <c r="H3945" t="s">
        <v>2818</v>
      </c>
      <c r="I3945" t="s">
        <v>2834</v>
      </c>
      <c r="J3945" t="s">
        <v>16692</v>
      </c>
    </row>
    <row r="3946" spans="6:10">
      <c r="F3946" t="s">
        <v>16693</v>
      </c>
      <c r="G3946">
        <v>3943</v>
      </c>
      <c r="H3946" t="s">
        <v>474</v>
      </c>
      <c r="I3946" t="s">
        <v>475</v>
      </c>
      <c r="J3946" t="s">
        <v>16694</v>
      </c>
    </row>
    <row r="3947" spans="6:10">
      <c r="F3947" t="s">
        <v>16695</v>
      </c>
      <c r="G3947">
        <v>5167321700</v>
      </c>
      <c r="H3947" t="s">
        <v>5070</v>
      </c>
      <c r="I3947" t="s">
        <v>5070</v>
      </c>
      <c r="J3947" t="s">
        <v>16696</v>
      </c>
    </row>
    <row r="3948" spans="6:10">
      <c r="F3948" t="s">
        <v>16697</v>
      </c>
      <c r="G3948">
        <v>3945</v>
      </c>
      <c r="H3948" t="s">
        <v>3984</v>
      </c>
      <c r="I3948" t="s">
        <v>3984</v>
      </c>
      <c r="J3948" t="s">
        <v>16698</v>
      </c>
    </row>
    <row r="3949" spans="6:10">
      <c r="F3949" t="s">
        <v>16699</v>
      </c>
      <c r="G3949">
        <v>3946</v>
      </c>
      <c r="H3949" t="s">
        <v>4076</v>
      </c>
      <c r="I3949" t="s">
        <v>4076</v>
      </c>
      <c r="J3949" t="s">
        <v>16700</v>
      </c>
    </row>
    <row r="3950" spans="6:10">
      <c r="F3950" t="s">
        <v>16701</v>
      </c>
      <c r="G3950">
        <v>7032009689</v>
      </c>
      <c r="H3950" t="s">
        <v>4393</v>
      </c>
      <c r="I3950" t="s">
        <v>4394</v>
      </c>
      <c r="J3950" t="s">
        <v>16702</v>
      </c>
    </row>
    <row r="3951" spans="6:10">
      <c r="F3951" t="s">
        <v>16703</v>
      </c>
      <c r="G3951">
        <v>37059454837</v>
      </c>
      <c r="H3951" t="s">
        <v>3081</v>
      </c>
      <c r="I3951" t="s">
        <v>3082</v>
      </c>
      <c r="J3951" t="s">
        <v>16704</v>
      </c>
    </row>
    <row r="3952" spans="6:10">
      <c r="F3952" t="s">
        <v>16705</v>
      </c>
      <c r="G3952">
        <v>3949</v>
      </c>
      <c r="H3952" t="s">
        <v>822</v>
      </c>
      <c r="I3952" t="s">
        <v>823</v>
      </c>
      <c r="J3952" t="s">
        <v>16706</v>
      </c>
    </row>
    <row r="3953" spans="6:10">
      <c r="F3953" t="s">
        <v>16707</v>
      </c>
      <c r="G3953">
        <v>3950</v>
      </c>
      <c r="H3953" t="s">
        <v>5335</v>
      </c>
      <c r="I3953" t="s">
        <v>5336</v>
      </c>
      <c r="J3953" t="s">
        <v>16708</v>
      </c>
    </row>
    <row r="3954" spans="6:10">
      <c r="F3954" t="s">
        <v>16709</v>
      </c>
      <c r="G3954">
        <v>3951</v>
      </c>
      <c r="H3954" t="s">
        <v>6191</v>
      </c>
      <c r="I3954" t="s">
        <v>6192</v>
      </c>
      <c r="J3954" t="s">
        <v>16710</v>
      </c>
    </row>
    <row r="3955" spans="6:10">
      <c r="F3955" t="s">
        <v>16711</v>
      </c>
      <c r="G3955">
        <v>23362696864</v>
      </c>
      <c r="H3955" t="s">
        <v>5150</v>
      </c>
      <c r="I3955" t="s">
        <v>5150</v>
      </c>
      <c r="J3955" t="s">
        <v>16712</v>
      </c>
    </row>
    <row r="3956" spans="6:10">
      <c r="F3956" t="s">
        <v>16713</v>
      </c>
      <c r="G3956">
        <v>22224196890</v>
      </c>
      <c r="H3956" t="s">
        <v>1484</v>
      </c>
      <c r="I3956" t="s">
        <v>1484</v>
      </c>
      <c r="J3956" t="s">
        <v>16714</v>
      </c>
    </row>
    <row r="3957" spans="6:10">
      <c r="F3957" t="s">
        <v>16715</v>
      </c>
      <c r="G3957">
        <v>38677108807</v>
      </c>
      <c r="H3957" t="s">
        <v>3704</v>
      </c>
      <c r="I3957" t="s">
        <v>3704</v>
      </c>
      <c r="J3957" t="s">
        <v>16716</v>
      </c>
    </row>
    <row r="3958" spans="6:10">
      <c r="F3958" t="s">
        <v>16717</v>
      </c>
      <c r="G3958">
        <v>3955</v>
      </c>
      <c r="H3958" t="s">
        <v>2089</v>
      </c>
      <c r="I3958" t="s">
        <v>2090</v>
      </c>
      <c r="J3958" t="s">
        <v>16718</v>
      </c>
    </row>
    <row r="3959" spans="6:10">
      <c r="F3959" t="s">
        <v>16719</v>
      </c>
      <c r="G3959">
        <v>43529241806</v>
      </c>
      <c r="H3959" t="s">
        <v>6065</v>
      </c>
      <c r="I3959" t="s">
        <v>6066</v>
      </c>
      <c r="J3959" t="s">
        <v>16720</v>
      </c>
    </row>
    <row r="3960" spans="6:10">
      <c r="F3960" t="s">
        <v>16721</v>
      </c>
      <c r="G3960">
        <v>3957</v>
      </c>
      <c r="H3960" t="s">
        <v>5026</v>
      </c>
      <c r="I3960" t="s">
        <v>5027</v>
      </c>
      <c r="J3960" t="s">
        <v>16722</v>
      </c>
    </row>
    <row r="3961" spans="6:10">
      <c r="F3961" t="s">
        <v>16723</v>
      </c>
      <c r="G3961">
        <v>3958</v>
      </c>
      <c r="H3961" t="s">
        <v>5595</v>
      </c>
      <c r="I3961" t="s">
        <v>5595</v>
      </c>
      <c r="J3961" t="s">
        <v>16724</v>
      </c>
    </row>
    <row r="3962" spans="6:10">
      <c r="F3962" t="s">
        <v>16725</v>
      </c>
      <c r="G3962">
        <v>3105120343</v>
      </c>
      <c r="H3962" t="s">
        <v>5681</v>
      </c>
      <c r="I3962" t="s">
        <v>5682</v>
      </c>
      <c r="J3962" t="s">
        <v>16726</v>
      </c>
    </row>
    <row r="3963" spans="6:10">
      <c r="F3963" t="s">
        <v>16727</v>
      </c>
      <c r="G3963">
        <v>35008576801</v>
      </c>
      <c r="H3963" t="s">
        <v>6112</v>
      </c>
      <c r="I3963" t="s">
        <v>6112</v>
      </c>
      <c r="J3963" t="s">
        <v>16728</v>
      </c>
    </row>
    <row r="3964" spans="6:10">
      <c r="F3964" t="s">
        <v>16729</v>
      </c>
      <c r="G3964">
        <v>3961</v>
      </c>
      <c r="H3964" t="s">
        <v>2197</v>
      </c>
      <c r="I3964" t="s">
        <v>2198</v>
      </c>
      <c r="J3964" t="s">
        <v>16730</v>
      </c>
    </row>
    <row r="3965" spans="6:10">
      <c r="F3965" t="s">
        <v>16731</v>
      </c>
      <c r="G3965">
        <v>3962</v>
      </c>
      <c r="H3965" t="s">
        <v>4617</v>
      </c>
      <c r="I3965" t="s">
        <v>4617</v>
      </c>
      <c r="J3965" t="s">
        <v>16732</v>
      </c>
    </row>
    <row r="3966" spans="6:10">
      <c r="F3966" t="s">
        <v>16733</v>
      </c>
      <c r="G3966">
        <v>3963</v>
      </c>
      <c r="H3966" t="s">
        <v>4075</v>
      </c>
      <c r="I3966" t="s">
        <v>4075</v>
      </c>
      <c r="J3966" t="s">
        <v>16734</v>
      </c>
    </row>
    <row r="3967" spans="6:10">
      <c r="F3967" t="s">
        <v>16735</v>
      </c>
      <c r="G3967">
        <v>3964</v>
      </c>
      <c r="H3967" t="s">
        <v>2818</v>
      </c>
      <c r="I3967" t="s">
        <v>2835</v>
      </c>
      <c r="J3967" t="s">
        <v>16736</v>
      </c>
    </row>
    <row r="3968" spans="6:10">
      <c r="F3968" t="s">
        <v>16737</v>
      </c>
      <c r="G3968">
        <v>1588551164</v>
      </c>
      <c r="H3968" t="s">
        <v>6012</v>
      </c>
      <c r="I3968" t="s">
        <v>6012</v>
      </c>
      <c r="J3968" t="s">
        <v>16738</v>
      </c>
    </row>
    <row r="3969" spans="6:10">
      <c r="F3969" t="s">
        <v>16739</v>
      </c>
      <c r="G3969">
        <v>77206380697</v>
      </c>
      <c r="H3969" t="s">
        <v>5035</v>
      </c>
      <c r="I3969" t="s">
        <v>5036</v>
      </c>
      <c r="J3969" t="s">
        <v>16740</v>
      </c>
    </row>
    <row r="3970" spans="6:10">
      <c r="F3970" t="s">
        <v>16741</v>
      </c>
      <c r="G3970">
        <v>40870414844</v>
      </c>
      <c r="H3970" t="s">
        <v>6215</v>
      </c>
      <c r="I3970" t="s">
        <v>6215</v>
      </c>
      <c r="J3970" t="s">
        <v>16742</v>
      </c>
    </row>
    <row r="3971" spans="6:10">
      <c r="F3971" t="s">
        <v>16743</v>
      </c>
      <c r="G3971">
        <v>3968</v>
      </c>
      <c r="H3971" t="s">
        <v>4447</v>
      </c>
      <c r="I3971" t="s">
        <v>4448</v>
      </c>
      <c r="J3971" t="s">
        <v>16744</v>
      </c>
    </row>
    <row r="3972" spans="6:10">
      <c r="F3972" t="s">
        <v>16745</v>
      </c>
      <c r="G3972">
        <v>34297815826</v>
      </c>
      <c r="H3972" t="s">
        <v>4593</v>
      </c>
      <c r="I3972" t="s">
        <v>4593</v>
      </c>
      <c r="J3972" t="s">
        <v>16746</v>
      </c>
    </row>
    <row r="3973" spans="6:10">
      <c r="F3973" t="s">
        <v>16747</v>
      </c>
      <c r="G3973">
        <v>5305619726</v>
      </c>
      <c r="H3973" t="s">
        <v>4343</v>
      </c>
      <c r="I3973" t="s">
        <v>4343</v>
      </c>
      <c r="J3973" t="s">
        <v>16748</v>
      </c>
    </row>
    <row r="3974" spans="6:10">
      <c r="F3974" t="s">
        <v>16749</v>
      </c>
      <c r="G3974">
        <v>28836890830</v>
      </c>
      <c r="H3974" t="s">
        <v>2539</v>
      </c>
      <c r="I3974" t="s">
        <v>2540</v>
      </c>
      <c r="J3974" t="s">
        <v>16750</v>
      </c>
    </row>
    <row r="3975" spans="6:10">
      <c r="F3975" t="s">
        <v>16751</v>
      </c>
      <c r="G3975">
        <v>3972</v>
      </c>
      <c r="H3975" t="s">
        <v>3700</v>
      </c>
      <c r="I3975" t="s">
        <v>3701</v>
      </c>
      <c r="J3975" t="s">
        <v>16752</v>
      </c>
    </row>
    <row r="3976" spans="6:10">
      <c r="F3976" t="s">
        <v>16753</v>
      </c>
      <c r="G3976">
        <v>3973</v>
      </c>
      <c r="H3976" t="s">
        <v>16754</v>
      </c>
      <c r="I3976" t="s">
        <v>16755</v>
      </c>
      <c r="J3976" t="s">
        <v>16756</v>
      </c>
    </row>
    <row r="3977" spans="6:10">
      <c r="F3977" t="s">
        <v>16757</v>
      </c>
      <c r="G3977">
        <v>3974</v>
      </c>
      <c r="H3977" t="s">
        <v>3968</v>
      </c>
      <c r="I3977" t="s">
        <v>3969</v>
      </c>
      <c r="J3977" t="s">
        <v>16758</v>
      </c>
    </row>
    <row r="3978" spans="6:10">
      <c r="F3978" t="s">
        <v>16759</v>
      </c>
      <c r="G3978">
        <v>3975</v>
      </c>
      <c r="H3978" t="s">
        <v>2068</v>
      </c>
      <c r="I3978" t="s">
        <v>2069</v>
      </c>
      <c r="J3978" t="s">
        <v>16760</v>
      </c>
    </row>
    <row r="3979" spans="6:10">
      <c r="F3979" t="s">
        <v>16761</v>
      </c>
      <c r="G3979">
        <v>30617867836</v>
      </c>
      <c r="H3979" t="s">
        <v>1082</v>
      </c>
      <c r="I3979" t="s">
        <v>1083</v>
      </c>
      <c r="J3979" t="s">
        <v>16762</v>
      </c>
    </row>
    <row r="3980" spans="6:10">
      <c r="F3980" t="s">
        <v>16763</v>
      </c>
      <c r="G3980">
        <v>51045178888</v>
      </c>
      <c r="H3980" t="s">
        <v>308</v>
      </c>
      <c r="I3980" t="s">
        <v>309</v>
      </c>
      <c r="J3980" t="s">
        <v>16764</v>
      </c>
    </row>
    <row r="3981" spans="6:10">
      <c r="F3981" t="s">
        <v>16765</v>
      </c>
      <c r="G3981">
        <v>3978</v>
      </c>
      <c r="H3981" t="s">
        <v>16766</v>
      </c>
      <c r="I3981" t="s">
        <v>16767</v>
      </c>
      <c r="J3981" t="s">
        <v>16768</v>
      </c>
    </row>
    <row r="3982" spans="6:10">
      <c r="F3982" t="s">
        <v>16769</v>
      </c>
      <c r="G3982">
        <v>3979</v>
      </c>
      <c r="H3982" t="s">
        <v>5840</v>
      </c>
      <c r="I3982" t="s">
        <v>5841</v>
      </c>
      <c r="J3982" t="s">
        <v>16770</v>
      </c>
    </row>
    <row r="3983" spans="6:10">
      <c r="F3983" t="s">
        <v>16771</v>
      </c>
      <c r="G3983">
        <v>14599721808</v>
      </c>
      <c r="H3983" t="s">
        <v>2346</v>
      </c>
      <c r="I3983" t="s">
        <v>2346</v>
      </c>
      <c r="J3983" t="s">
        <v>16772</v>
      </c>
    </row>
    <row r="3984" spans="6:10">
      <c r="F3984" t="s">
        <v>16773</v>
      </c>
      <c r="G3984">
        <v>3981</v>
      </c>
      <c r="H3984" t="s">
        <v>2354</v>
      </c>
      <c r="I3984" t="s">
        <v>2355</v>
      </c>
      <c r="J3984" t="s">
        <v>16774</v>
      </c>
    </row>
    <row r="3985" spans="6:10">
      <c r="F3985" t="s">
        <v>16775</v>
      </c>
      <c r="G3985">
        <v>40615829848</v>
      </c>
      <c r="H3985" t="s">
        <v>3997</v>
      </c>
      <c r="I3985" t="s">
        <v>3997</v>
      </c>
      <c r="J3985" t="s">
        <v>16776</v>
      </c>
    </row>
    <row r="3986" spans="6:10">
      <c r="F3986" t="s">
        <v>16777</v>
      </c>
      <c r="G3986">
        <v>41925928861</v>
      </c>
      <c r="H3986" t="s">
        <v>900</v>
      </c>
      <c r="I3986" t="s">
        <v>900</v>
      </c>
      <c r="J3986" t="s">
        <v>16778</v>
      </c>
    </row>
    <row r="3987" spans="6:10">
      <c r="F3987" t="s">
        <v>16779</v>
      </c>
      <c r="G3987">
        <v>8905614</v>
      </c>
      <c r="H3987" t="s">
        <v>2537</v>
      </c>
      <c r="I3987" t="s">
        <v>2538</v>
      </c>
      <c r="J3987" t="s">
        <v>16780</v>
      </c>
    </row>
    <row r="3988" spans="6:10">
      <c r="F3988" t="s">
        <v>16781</v>
      </c>
      <c r="G3988">
        <v>44339428809</v>
      </c>
      <c r="H3988" t="s">
        <v>5793</v>
      </c>
      <c r="I3988" t="s">
        <v>5793</v>
      </c>
      <c r="J3988" t="s">
        <v>16782</v>
      </c>
    </row>
    <row r="3989" spans="6:10">
      <c r="F3989" t="s">
        <v>16783</v>
      </c>
      <c r="G3989">
        <v>3986</v>
      </c>
      <c r="H3989" t="s">
        <v>7129</v>
      </c>
      <c r="I3989" t="s">
        <v>7129</v>
      </c>
      <c r="J3989" t="s">
        <v>16784</v>
      </c>
    </row>
    <row r="3990" spans="6:10">
      <c r="F3990" t="s">
        <v>16785</v>
      </c>
      <c r="G3990">
        <v>3987</v>
      </c>
      <c r="H3990" t="s">
        <v>16786</v>
      </c>
      <c r="I3990" t="s">
        <v>16787</v>
      </c>
      <c r="J3990" t="s">
        <v>16788</v>
      </c>
    </row>
    <row r="3991" spans="6:10">
      <c r="F3991" t="s">
        <v>16789</v>
      </c>
      <c r="G3991">
        <v>3988</v>
      </c>
      <c r="H3991" t="s">
        <v>5921</v>
      </c>
      <c r="I3991" t="s">
        <v>5922</v>
      </c>
      <c r="J3991" t="s">
        <v>16790</v>
      </c>
    </row>
    <row r="3992" spans="6:10">
      <c r="F3992" t="s">
        <v>16791</v>
      </c>
      <c r="G3992">
        <v>29017019816</v>
      </c>
      <c r="H3992" t="s">
        <v>162</v>
      </c>
      <c r="I3992" t="s">
        <v>162</v>
      </c>
      <c r="J3992" t="s">
        <v>16792</v>
      </c>
    </row>
    <row r="3993" spans="6:10">
      <c r="F3993" t="s">
        <v>16793</v>
      </c>
      <c r="G3993">
        <v>3990</v>
      </c>
      <c r="H3993" t="s">
        <v>3428</v>
      </c>
      <c r="I3993" t="s">
        <v>3429</v>
      </c>
      <c r="J3993" t="s">
        <v>16794</v>
      </c>
    </row>
    <row r="3994" spans="6:10">
      <c r="F3994" t="s">
        <v>16795</v>
      </c>
      <c r="G3994">
        <v>3991</v>
      </c>
      <c r="H3994" t="s">
        <v>4555</v>
      </c>
      <c r="I3994" t="s">
        <v>4556</v>
      </c>
      <c r="J3994" t="s">
        <v>16796</v>
      </c>
    </row>
    <row r="3995" spans="6:10">
      <c r="F3995" t="s">
        <v>16797</v>
      </c>
      <c r="G3995">
        <v>3992</v>
      </c>
      <c r="H3995" t="s">
        <v>16798</v>
      </c>
      <c r="I3995" t="s">
        <v>16799</v>
      </c>
      <c r="J3995" t="s">
        <v>16800</v>
      </c>
    </row>
    <row r="3996" spans="6:10">
      <c r="F3996" t="s">
        <v>16801</v>
      </c>
      <c r="G3996">
        <v>3993</v>
      </c>
      <c r="H3996" t="s">
        <v>16802</v>
      </c>
      <c r="I3996" t="s">
        <v>16803</v>
      </c>
      <c r="J3996" t="s">
        <v>16804</v>
      </c>
    </row>
    <row r="3997" spans="6:10">
      <c r="F3997" t="s">
        <v>16805</v>
      </c>
      <c r="G3997">
        <v>3994</v>
      </c>
      <c r="H3997" t="s">
        <v>16806</v>
      </c>
      <c r="I3997" t="s">
        <v>16807</v>
      </c>
      <c r="J3997" t="s">
        <v>16808</v>
      </c>
    </row>
    <row r="3998" spans="6:10">
      <c r="F3998" t="s">
        <v>16809</v>
      </c>
      <c r="G3998">
        <v>3995</v>
      </c>
      <c r="H3998" t="s">
        <v>3763</v>
      </c>
      <c r="I3998" t="s">
        <v>3764</v>
      </c>
      <c r="J3998" t="s">
        <v>16810</v>
      </c>
    </row>
    <row r="3999" spans="6:10">
      <c r="F3999" t="s">
        <v>16811</v>
      </c>
      <c r="G3999">
        <v>3996</v>
      </c>
      <c r="H3999" t="s">
        <v>5765</v>
      </c>
      <c r="I3999" t="s">
        <v>5766</v>
      </c>
      <c r="J3999" t="s">
        <v>16812</v>
      </c>
    </row>
    <row r="4000" spans="6:10">
      <c r="F4000" t="s">
        <v>16813</v>
      </c>
      <c r="G4000">
        <v>3997</v>
      </c>
      <c r="H4000" t="s">
        <v>16814</v>
      </c>
      <c r="I4000" t="s">
        <v>16815</v>
      </c>
      <c r="J4000" t="s">
        <v>16816</v>
      </c>
    </row>
    <row r="4001" spans="6:10">
      <c r="F4001" t="s">
        <v>16817</v>
      </c>
      <c r="G4001">
        <v>3998</v>
      </c>
      <c r="H4001" t="s">
        <v>3792</v>
      </c>
      <c r="I4001" t="s">
        <v>3792</v>
      </c>
      <c r="J4001" t="s">
        <v>16818</v>
      </c>
    </row>
    <row r="4002" spans="6:10">
      <c r="F4002" t="s">
        <v>16819</v>
      </c>
      <c r="G4002">
        <v>3999</v>
      </c>
      <c r="H4002" t="s">
        <v>6108</v>
      </c>
      <c r="I4002" t="s">
        <v>6109</v>
      </c>
      <c r="J4002" t="s">
        <v>16820</v>
      </c>
    </row>
    <row r="4003" spans="6:10">
      <c r="F4003" t="s">
        <v>16821</v>
      </c>
      <c r="G4003">
        <v>4000</v>
      </c>
      <c r="H4003" t="s">
        <v>2254</v>
      </c>
      <c r="I4003" t="s">
        <v>2254</v>
      </c>
      <c r="J4003" t="s">
        <v>16822</v>
      </c>
    </row>
    <row r="4004" spans="6:10">
      <c r="F4004" t="s">
        <v>16823</v>
      </c>
      <c r="G4004">
        <v>4001</v>
      </c>
      <c r="H4004" t="s">
        <v>338</v>
      </c>
      <c r="I4004" t="s">
        <v>339</v>
      </c>
      <c r="J4004" t="s">
        <v>16824</v>
      </c>
    </row>
    <row r="4005" spans="6:10">
      <c r="F4005" t="s">
        <v>16825</v>
      </c>
      <c r="G4005">
        <v>4002</v>
      </c>
      <c r="H4005" t="s">
        <v>1091</v>
      </c>
      <c r="I4005" t="s">
        <v>1091</v>
      </c>
      <c r="J4005" t="s">
        <v>16826</v>
      </c>
    </row>
    <row r="4006" spans="6:10">
      <c r="F4006" t="s">
        <v>16827</v>
      </c>
      <c r="G4006">
        <v>4003</v>
      </c>
      <c r="H4006" t="s">
        <v>5723</v>
      </c>
      <c r="I4006" t="s">
        <v>5723</v>
      </c>
      <c r="J4006" t="s">
        <v>16828</v>
      </c>
    </row>
    <row r="4007" spans="6:10">
      <c r="F4007" t="s">
        <v>16829</v>
      </c>
      <c r="G4007">
        <v>4004</v>
      </c>
      <c r="H4007" t="s">
        <v>2233</v>
      </c>
      <c r="I4007" t="s">
        <v>2234</v>
      </c>
      <c r="J4007" t="s">
        <v>16830</v>
      </c>
    </row>
    <row r="4008" spans="6:10">
      <c r="F4008" t="s">
        <v>16831</v>
      </c>
      <c r="G4008">
        <v>4005</v>
      </c>
      <c r="H4008" t="s">
        <v>1246</v>
      </c>
      <c r="I4008" t="s">
        <v>1247</v>
      </c>
      <c r="J4008" t="s">
        <v>16832</v>
      </c>
    </row>
    <row r="4009" spans="6:10">
      <c r="F4009" t="s">
        <v>16833</v>
      </c>
      <c r="G4009">
        <v>4006</v>
      </c>
      <c r="H4009" t="s">
        <v>16834</v>
      </c>
      <c r="I4009" t="s">
        <v>16835</v>
      </c>
      <c r="J4009" t="s">
        <v>16836</v>
      </c>
    </row>
    <row r="4010" spans="6:10">
      <c r="F4010" t="s">
        <v>16837</v>
      </c>
      <c r="G4010">
        <v>4007</v>
      </c>
      <c r="H4010" t="s">
        <v>681</v>
      </c>
      <c r="I4010" t="s">
        <v>682</v>
      </c>
      <c r="J4010" t="s">
        <v>16838</v>
      </c>
    </row>
    <row r="4011" spans="6:10">
      <c r="F4011" t="s">
        <v>16839</v>
      </c>
      <c r="G4011">
        <v>4008</v>
      </c>
      <c r="H4011" t="s">
        <v>3054</v>
      </c>
      <c r="I4011" t="s">
        <v>3055</v>
      </c>
      <c r="J4011" t="s">
        <v>16840</v>
      </c>
    </row>
    <row r="4012" spans="6:10">
      <c r="F4012" t="s">
        <v>16841</v>
      </c>
      <c r="G4012">
        <v>4009</v>
      </c>
      <c r="H4012" t="s">
        <v>3319</v>
      </c>
      <c r="I4012" t="s">
        <v>3320</v>
      </c>
      <c r="J4012" t="s">
        <v>16842</v>
      </c>
    </row>
    <row r="4013" spans="6:10">
      <c r="F4013" t="s">
        <v>16843</v>
      </c>
      <c r="G4013">
        <v>4010</v>
      </c>
      <c r="H4013" t="s">
        <v>5532</v>
      </c>
      <c r="I4013" t="s">
        <v>5533</v>
      </c>
      <c r="J4013" t="s">
        <v>16844</v>
      </c>
    </row>
    <row r="4014" spans="6:10">
      <c r="F4014" t="s">
        <v>16845</v>
      </c>
      <c r="G4014">
        <v>4011</v>
      </c>
      <c r="H4014" t="s">
        <v>4530</v>
      </c>
      <c r="I4014" t="s">
        <v>4530</v>
      </c>
      <c r="J4014" t="s">
        <v>16846</v>
      </c>
    </row>
    <row r="4015" spans="6:10">
      <c r="F4015" t="s">
        <v>16847</v>
      </c>
      <c r="G4015">
        <v>70771278853</v>
      </c>
      <c r="H4015" t="s">
        <v>4339</v>
      </c>
      <c r="I4015" t="s">
        <v>4339</v>
      </c>
      <c r="J4015" t="s">
        <v>16848</v>
      </c>
    </row>
    <row r="4016" spans="6:10">
      <c r="F4016" t="s">
        <v>16849</v>
      </c>
      <c r="G4016">
        <v>4013</v>
      </c>
      <c r="H4016" t="s">
        <v>5834</v>
      </c>
      <c r="I4016" t="s">
        <v>5835</v>
      </c>
      <c r="J4016" t="s">
        <v>16850</v>
      </c>
    </row>
    <row r="4017" spans="6:10">
      <c r="F4017" t="s">
        <v>16851</v>
      </c>
      <c r="G4017">
        <v>4014</v>
      </c>
      <c r="H4017" t="s">
        <v>1671</v>
      </c>
      <c r="I4017" t="s">
        <v>1672</v>
      </c>
      <c r="J4017" t="s">
        <v>16852</v>
      </c>
    </row>
    <row r="4018" spans="6:10">
      <c r="F4018" t="s">
        <v>16853</v>
      </c>
      <c r="G4018">
        <v>4015</v>
      </c>
      <c r="H4018" t="s">
        <v>5596</v>
      </c>
      <c r="I4018" t="s">
        <v>5597</v>
      </c>
      <c r="J4018" t="s">
        <v>16854</v>
      </c>
    </row>
    <row r="4019" spans="6:10">
      <c r="F4019" t="s">
        <v>16855</v>
      </c>
      <c r="G4019">
        <v>4016</v>
      </c>
      <c r="H4019" t="s">
        <v>3114</v>
      </c>
      <c r="I4019" t="s">
        <v>3115</v>
      </c>
      <c r="J4019" t="s">
        <v>16856</v>
      </c>
    </row>
    <row r="4020" spans="6:10">
      <c r="F4020" t="s">
        <v>16857</v>
      </c>
      <c r="G4020">
        <v>4017</v>
      </c>
      <c r="H4020" t="s">
        <v>2005</v>
      </c>
      <c r="I4020" t="s">
        <v>2002</v>
      </c>
      <c r="J4020" t="s">
        <v>16858</v>
      </c>
    </row>
    <row r="4021" spans="6:10">
      <c r="F4021" t="s">
        <v>16859</v>
      </c>
      <c r="G4021">
        <v>4018</v>
      </c>
      <c r="H4021" t="s">
        <v>16860</v>
      </c>
      <c r="I4021" t="s">
        <v>16861</v>
      </c>
      <c r="J4021" t="s">
        <v>16862</v>
      </c>
    </row>
    <row r="4022" spans="6:10">
      <c r="F4022" t="s">
        <v>16863</v>
      </c>
      <c r="G4022">
        <v>4019</v>
      </c>
      <c r="H4022" t="s">
        <v>16864</v>
      </c>
      <c r="I4022" t="s">
        <v>16865</v>
      </c>
      <c r="J4022" t="s">
        <v>16866</v>
      </c>
    </row>
    <row r="4023" spans="6:10">
      <c r="F4023" t="s">
        <v>16867</v>
      </c>
      <c r="G4023">
        <v>4020</v>
      </c>
      <c r="H4023" t="s">
        <v>3881</v>
      </c>
      <c r="I4023" t="s">
        <v>3882</v>
      </c>
      <c r="J4023" t="s">
        <v>16868</v>
      </c>
    </row>
    <row r="4024" spans="6:10">
      <c r="F4024" t="s">
        <v>16869</v>
      </c>
      <c r="G4024">
        <v>2018326589</v>
      </c>
      <c r="H4024" t="s">
        <v>6099</v>
      </c>
      <c r="I4024" t="s">
        <v>6099</v>
      </c>
      <c r="J4024" t="s">
        <v>16870</v>
      </c>
    </row>
    <row r="4025" spans="6:10">
      <c r="F4025" t="s">
        <v>16871</v>
      </c>
      <c r="G4025">
        <v>2087653011</v>
      </c>
      <c r="H4025" t="s">
        <v>5302</v>
      </c>
      <c r="I4025" t="s">
        <v>5302</v>
      </c>
      <c r="J4025" t="s">
        <v>16872</v>
      </c>
    </row>
    <row r="4026" spans="6:10">
      <c r="F4026" t="s">
        <v>16873</v>
      </c>
      <c r="G4026">
        <v>4023</v>
      </c>
      <c r="H4026" t="s">
        <v>754</v>
      </c>
      <c r="I4026" t="s">
        <v>755</v>
      </c>
      <c r="J4026" t="s">
        <v>16874</v>
      </c>
    </row>
    <row r="4027" spans="6:10">
      <c r="F4027" t="s">
        <v>16875</v>
      </c>
      <c r="G4027">
        <v>4024</v>
      </c>
      <c r="H4027" t="s">
        <v>3963</v>
      </c>
      <c r="I4027" t="s">
        <v>3964</v>
      </c>
      <c r="J4027" t="s">
        <v>16876</v>
      </c>
    </row>
    <row r="4028" spans="6:10">
      <c r="F4028" t="s">
        <v>16877</v>
      </c>
      <c r="G4028">
        <v>4025</v>
      </c>
      <c r="H4028" t="s">
        <v>2287</v>
      </c>
      <c r="I4028" t="s">
        <v>2288</v>
      </c>
      <c r="J4028" t="s">
        <v>16878</v>
      </c>
    </row>
    <row r="4029" spans="6:10">
      <c r="F4029" t="s">
        <v>16879</v>
      </c>
      <c r="G4029">
        <v>4026</v>
      </c>
      <c r="H4029" t="s">
        <v>3120</v>
      </c>
      <c r="I4029" t="s">
        <v>3120</v>
      </c>
      <c r="J4029" t="s">
        <v>16880</v>
      </c>
    </row>
    <row r="4030" spans="6:10">
      <c r="F4030" t="s">
        <v>16881</v>
      </c>
      <c r="G4030">
        <v>3065893622</v>
      </c>
      <c r="H4030" t="s">
        <v>1217</v>
      </c>
      <c r="I4030" t="s">
        <v>1217</v>
      </c>
      <c r="J4030" t="s">
        <v>16882</v>
      </c>
    </row>
    <row r="4031" spans="6:10">
      <c r="F4031" t="s">
        <v>16883</v>
      </c>
      <c r="G4031">
        <v>4028</v>
      </c>
      <c r="H4031" t="s">
        <v>16884</v>
      </c>
      <c r="I4031" t="s">
        <v>16885</v>
      </c>
      <c r="J4031" t="s">
        <v>16886</v>
      </c>
    </row>
    <row r="4032" spans="6:10">
      <c r="F4032" t="s">
        <v>16887</v>
      </c>
      <c r="G4032">
        <v>4029</v>
      </c>
      <c r="H4032" t="s">
        <v>3077</v>
      </c>
      <c r="I4032" t="s">
        <v>3078</v>
      </c>
      <c r="J4032" t="s">
        <v>16888</v>
      </c>
    </row>
    <row r="4033" spans="6:10">
      <c r="F4033" t="s">
        <v>16889</v>
      </c>
      <c r="G4033">
        <v>4030</v>
      </c>
      <c r="H4033" t="s">
        <v>5304</v>
      </c>
      <c r="I4033" t="s">
        <v>5304</v>
      </c>
      <c r="J4033" t="s">
        <v>16890</v>
      </c>
    </row>
    <row r="4034" spans="6:10">
      <c r="F4034" t="s">
        <v>16891</v>
      </c>
      <c r="G4034">
        <v>4031</v>
      </c>
      <c r="H4034" t="s">
        <v>3695</v>
      </c>
      <c r="I4034" t="s">
        <v>3696</v>
      </c>
      <c r="J4034" t="s">
        <v>16892</v>
      </c>
    </row>
    <row r="4035" spans="6:10">
      <c r="F4035" t="s">
        <v>16893</v>
      </c>
      <c r="G4035">
        <v>4032</v>
      </c>
      <c r="H4035" t="s">
        <v>16894</v>
      </c>
      <c r="I4035" t="s">
        <v>16895</v>
      </c>
      <c r="J4035" t="s">
        <v>16896</v>
      </c>
    </row>
    <row r="4036" spans="6:10">
      <c r="F4036" t="s">
        <v>16897</v>
      </c>
      <c r="G4036">
        <v>4033</v>
      </c>
      <c r="H4036" t="s">
        <v>5749</v>
      </c>
      <c r="I4036" t="s">
        <v>5750</v>
      </c>
      <c r="J4036" t="s">
        <v>16898</v>
      </c>
    </row>
    <row r="4037" spans="6:10">
      <c r="F4037" t="s">
        <v>16899</v>
      </c>
      <c r="G4037">
        <v>4034</v>
      </c>
      <c r="H4037" t="s">
        <v>16900</v>
      </c>
      <c r="I4037" t="s">
        <v>16901</v>
      </c>
      <c r="J4037" t="s">
        <v>16902</v>
      </c>
    </row>
    <row r="4038" spans="6:10">
      <c r="F4038" t="s">
        <v>16903</v>
      </c>
      <c r="G4038">
        <v>5648435630</v>
      </c>
      <c r="H4038" t="s">
        <v>1954</v>
      </c>
      <c r="I4038" t="s">
        <v>1955</v>
      </c>
      <c r="J4038" t="s">
        <v>16904</v>
      </c>
    </row>
    <row r="4039" spans="6:10">
      <c r="F4039" t="s">
        <v>16905</v>
      </c>
      <c r="G4039">
        <v>47893168668</v>
      </c>
      <c r="H4039" t="s">
        <v>319</v>
      </c>
      <c r="I4039" t="s">
        <v>319</v>
      </c>
      <c r="J4039" t="s">
        <v>16906</v>
      </c>
    </row>
    <row r="4040" spans="6:10">
      <c r="F4040" t="s">
        <v>16907</v>
      </c>
      <c r="G4040">
        <v>13243518709</v>
      </c>
      <c r="H4040" t="s">
        <v>996</v>
      </c>
      <c r="I4040" t="s">
        <v>996</v>
      </c>
      <c r="J4040" t="s">
        <v>16908</v>
      </c>
    </row>
    <row r="4041" spans="6:10">
      <c r="F4041" t="s">
        <v>16909</v>
      </c>
      <c r="G4041">
        <v>4038</v>
      </c>
      <c r="H4041" t="s">
        <v>1027</v>
      </c>
      <c r="I4041" t="s">
        <v>1028</v>
      </c>
      <c r="J4041" t="s">
        <v>16910</v>
      </c>
    </row>
    <row r="4042" spans="6:10">
      <c r="F4042" t="s">
        <v>16911</v>
      </c>
      <c r="G4042">
        <v>4039</v>
      </c>
      <c r="H4042" t="s">
        <v>3982</v>
      </c>
      <c r="I4042" t="s">
        <v>3983</v>
      </c>
      <c r="J4042" t="s">
        <v>16912</v>
      </c>
    </row>
    <row r="4043" spans="6:10">
      <c r="F4043" t="s">
        <v>16913</v>
      </c>
      <c r="G4043">
        <v>32793424811</v>
      </c>
      <c r="H4043" t="s">
        <v>455</v>
      </c>
      <c r="I4043" t="s">
        <v>455</v>
      </c>
      <c r="J4043" t="s">
        <v>16914</v>
      </c>
    </row>
    <row r="4044" spans="6:10">
      <c r="F4044" t="s">
        <v>16915</v>
      </c>
      <c r="G4044">
        <v>4041</v>
      </c>
      <c r="H4044" t="s">
        <v>3556</v>
      </c>
      <c r="I4044" t="s">
        <v>3556</v>
      </c>
      <c r="J4044" t="s">
        <v>16916</v>
      </c>
    </row>
    <row r="4045" spans="6:10">
      <c r="F4045" t="s">
        <v>16917</v>
      </c>
      <c r="G4045">
        <v>4042</v>
      </c>
      <c r="H4045" t="s">
        <v>16918</v>
      </c>
      <c r="I4045" t="s">
        <v>16919</v>
      </c>
      <c r="J4045" t="s">
        <v>16920</v>
      </c>
    </row>
    <row r="4046" spans="6:10">
      <c r="F4046" t="s">
        <v>16921</v>
      </c>
      <c r="G4046">
        <v>4043</v>
      </c>
      <c r="H4046" t="s">
        <v>4842</v>
      </c>
      <c r="I4046" t="s">
        <v>4843</v>
      </c>
      <c r="J4046" t="s">
        <v>16922</v>
      </c>
    </row>
    <row r="4047" spans="6:10">
      <c r="F4047" t="s">
        <v>16923</v>
      </c>
      <c r="G4047">
        <v>4044</v>
      </c>
      <c r="H4047" t="s">
        <v>4684</v>
      </c>
      <c r="I4047" t="s">
        <v>4685</v>
      </c>
      <c r="J4047" t="s">
        <v>16924</v>
      </c>
    </row>
    <row r="4048" spans="6:10">
      <c r="F4048" t="s">
        <v>16925</v>
      </c>
      <c r="G4048">
        <v>4045</v>
      </c>
      <c r="H4048" t="s">
        <v>3189</v>
      </c>
      <c r="I4048" t="s">
        <v>3190</v>
      </c>
      <c r="J4048" t="s">
        <v>16926</v>
      </c>
    </row>
    <row r="4049" spans="6:10">
      <c r="F4049" t="s">
        <v>16927</v>
      </c>
      <c r="G4049">
        <v>83373365449</v>
      </c>
      <c r="H4049" t="s">
        <v>4028</v>
      </c>
      <c r="I4049" t="s">
        <v>4028</v>
      </c>
      <c r="J4049" t="s">
        <v>16928</v>
      </c>
    </row>
    <row r="4050" spans="6:10">
      <c r="F4050" t="s">
        <v>16929</v>
      </c>
      <c r="G4050">
        <v>1044868058</v>
      </c>
      <c r="H4050" t="s">
        <v>4598</v>
      </c>
      <c r="I4050" t="s">
        <v>4599</v>
      </c>
      <c r="J4050" t="s">
        <v>16930</v>
      </c>
    </row>
    <row r="4051" spans="6:10">
      <c r="F4051" t="s">
        <v>16931</v>
      </c>
      <c r="G4051">
        <v>9944217611</v>
      </c>
      <c r="H4051" t="s">
        <v>2252</v>
      </c>
      <c r="I4051" t="s">
        <v>2253</v>
      </c>
      <c r="J4051" t="s">
        <v>16932</v>
      </c>
    </row>
    <row r="4052" spans="6:10">
      <c r="F4052" t="s">
        <v>16933</v>
      </c>
      <c r="G4052">
        <v>4049</v>
      </c>
      <c r="H4052" t="s">
        <v>16934</v>
      </c>
      <c r="I4052" t="s">
        <v>16934</v>
      </c>
      <c r="J4052" t="s">
        <v>16935</v>
      </c>
    </row>
    <row r="4053" spans="6:10">
      <c r="F4053" t="s">
        <v>16936</v>
      </c>
      <c r="G4053">
        <v>7635470850</v>
      </c>
      <c r="H4053" t="s">
        <v>2027</v>
      </c>
      <c r="I4053" t="s">
        <v>2027</v>
      </c>
      <c r="J4053" t="s">
        <v>16937</v>
      </c>
    </row>
    <row r="4054" spans="6:10">
      <c r="F4054" t="s">
        <v>16938</v>
      </c>
      <c r="G4054">
        <v>27659193805</v>
      </c>
      <c r="H4054" t="s">
        <v>2002</v>
      </c>
      <c r="I4054" t="s">
        <v>2002</v>
      </c>
      <c r="J4054" t="s">
        <v>16939</v>
      </c>
    </row>
    <row r="4055" spans="6:10">
      <c r="F4055" t="s">
        <v>16940</v>
      </c>
      <c r="G4055">
        <v>4052</v>
      </c>
      <c r="H4055" t="s">
        <v>16941</v>
      </c>
      <c r="I4055" t="s">
        <v>16941</v>
      </c>
      <c r="J4055" t="s">
        <v>16942</v>
      </c>
    </row>
    <row r="4056" spans="6:10">
      <c r="F4056" t="s">
        <v>16943</v>
      </c>
      <c r="G4056">
        <v>4053</v>
      </c>
      <c r="H4056" t="s">
        <v>16944</v>
      </c>
      <c r="I4056" t="s">
        <v>16945</v>
      </c>
      <c r="J4056" t="s">
        <v>16946</v>
      </c>
    </row>
    <row r="4057" spans="6:10">
      <c r="F4057" t="s">
        <v>16947</v>
      </c>
      <c r="G4057">
        <v>4054</v>
      </c>
      <c r="H4057" t="s">
        <v>16948</v>
      </c>
      <c r="I4057" t="s">
        <v>16949</v>
      </c>
      <c r="J4057" t="s">
        <v>16950</v>
      </c>
    </row>
    <row r="4058" spans="6:10">
      <c r="F4058" t="s">
        <v>16951</v>
      </c>
      <c r="G4058">
        <v>6356147822</v>
      </c>
      <c r="H4058" t="s">
        <v>4260</v>
      </c>
      <c r="I4058" t="s">
        <v>4260</v>
      </c>
      <c r="J4058" t="s">
        <v>16952</v>
      </c>
    </row>
    <row r="4059" spans="6:10">
      <c r="F4059" t="s">
        <v>16953</v>
      </c>
      <c r="G4059">
        <v>4056</v>
      </c>
      <c r="H4059" t="s">
        <v>16954</v>
      </c>
      <c r="I4059" t="s">
        <v>16955</v>
      </c>
      <c r="J4059" t="s">
        <v>16956</v>
      </c>
    </row>
    <row r="4060" spans="6:10">
      <c r="F4060" t="s">
        <v>16957</v>
      </c>
      <c r="G4060">
        <v>4057</v>
      </c>
      <c r="H4060" t="s">
        <v>5624</v>
      </c>
      <c r="I4060" t="s">
        <v>5625</v>
      </c>
      <c r="J4060" t="s">
        <v>16958</v>
      </c>
    </row>
    <row r="4061" spans="6:10">
      <c r="F4061" t="s">
        <v>16959</v>
      </c>
      <c r="G4061">
        <v>4058</v>
      </c>
      <c r="H4061" t="s">
        <v>16960</v>
      </c>
      <c r="I4061" t="s">
        <v>16961</v>
      </c>
      <c r="J4061" t="s">
        <v>16962</v>
      </c>
    </row>
    <row r="4062" spans="6:10">
      <c r="F4062" t="s">
        <v>16963</v>
      </c>
      <c r="G4062">
        <v>4059</v>
      </c>
      <c r="H4062" t="s">
        <v>16964</v>
      </c>
      <c r="I4062" t="s">
        <v>16965</v>
      </c>
      <c r="J4062" t="s">
        <v>16966</v>
      </c>
    </row>
    <row r="4063" spans="6:10">
      <c r="F4063" t="s">
        <v>16967</v>
      </c>
      <c r="G4063">
        <v>4060</v>
      </c>
      <c r="H4063" t="s">
        <v>869</v>
      </c>
      <c r="I4063" t="s">
        <v>870</v>
      </c>
      <c r="J4063" t="s">
        <v>16968</v>
      </c>
    </row>
    <row r="4064" spans="6:10">
      <c r="F4064" t="s">
        <v>16969</v>
      </c>
      <c r="G4064">
        <v>4061</v>
      </c>
      <c r="H4064" t="s">
        <v>1494</v>
      </c>
      <c r="I4064" t="s">
        <v>1495</v>
      </c>
      <c r="J4064" t="s">
        <v>16970</v>
      </c>
    </row>
    <row r="4065" spans="6:10">
      <c r="F4065" t="s">
        <v>16971</v>
      </c>
      <c r="G4065">
        <v>1463881002</v>
      </c>
      <c r="H4065" t="s">
        <v>2937</v>
      </c>
      <c r="I4065" t="s">
        <v>2938</v>
      </c>
      <c r="J4065" t="s">
        <v>16972</v>
      </c>
    </row>
    <row r="4066" spans="6:10">
      <c r="F4066" t="s">
        <v>16973</v>
      </c>
      <c r="G4066">
        <v>9712339777</v>
      </c>
      <c r="H4066" t="s">
        <v>194</v>
      </c>
      <c r="I4066" t="s">
        <v>194</v>
      </c>
      <c r="J4066" t="s">
        <v>16974</v>
      </c>
    </row>
    <row r="4067" spans="6:10">
      <c r="F4067" t="s">
        <v>16975</v>
      </c>
      <c r="G4067">
        <v>4064</v>
      </c>
      <c r="H4067" t="s">
        <v>990</v>
      </c>
      <c r="I4067" t="s">
        <v>991</v>
      </c>
      <c r="J4067" t="s">
        <v>16976</v>
      </c>
    </row>
    <row r="4068" spans="6:10">
      <c r="F4068" t="s">
        <v>16977</v>
      </c>
      <c r="G4068">
        <v>46773915805</v>
      </c>
      <c r="H4068" t="s">
        <v>858</v>
      </c>
      <c r="I4068" t="s">
        <v>858</v>
      </c>
      <c r="J4068" t="s">
        <v>16978</v>
      </c>
    </row>
    <row r="4069" spans="6:10">
      <c r="F4069" t="s">
        <v>16979</v>
      </c>
      <c r="G4069">
        <v>13397224888</v>
      </c>
      <c r="H4069" t="s">
        <v>1231</v>
      </c>
      <c r="I4069" t="s">
        <v>1231</v>
      </c>
      <c r="J4069" t="s">
        <v>16980</v>
      </c>
    </row>
    <row r="4070" spans="6:10">
      <c r="F4070" t="s">
        <v>16981</v>
      </c>
      <c r="G4070">
        <v>4067</v>
      </c>
      <c r="H4070" t="s">
        <v>5509</v>
      </c>
      <c r="I4070" t="s">
        <v>5510</v>
      </c>
      <c r="J4070" t="s">
        <v>16982</v>
      </c>
    </row>
    <row r="4071" spans="6:10">
      <c r="F4071" t="s">
        <v>16983</v>
      </c>
      <c r="G4071">
        <v>2880770165</v>
      </c>
      <c r="H4071" t="s">
        <v>1526</v>
      </c>
      <c r="I4071" t="s">
        <v>1527</v>
      </c>
      <c r="J4071" t="s">
        <v>16984</v>
      </c>
    </row>
    <row r="4072" spans="6:10">
      <c r="F4072" t="s">
        <v>16985</v>
      </c>
      <c r="G4072">
        <v>1209506696</v>
      </c>
      <c r="H4072" t="s">
        <v>366</v>
      </c>
      <c r="I4072" t="s">
        <v>367</v>
      </c>
      <c r="J4072" t="s">
        <v>16986</v>
      </c>
    </row>
    <row r="4073" spans="6:10">
      <c r="F4073" t="s">
        <v>16987</v>
      </c>
      <c r="G4073">
        <v>52301290000</v>
      </c>
      <c r="H4073" t="s">
        <v>3019</v>
      </c>
      <c r="I4073" t="s">
        <v>3019</v>
      </c>
      <c r="J4073" t="s">
        <v>16988</v>
      </c>
    </row>
    <row r="4074" spans="6:10">
      <c r="F4074" t="s">
        <v>16989</v>
      </c>
      <c r="G4074">
        <v>48580813700</v>
      </c>
      <c r="H4074" t="s">
        <v>4079</v>
      </c>
      <c r="I4074" t="s">
        <v>4080</v>
      </c>
      <c r="J4074" t="s">
        <v>16990</v>
      </c>
    </row>
    <row r="4075" spans="6:10">
      <c r="F4075" t="s">
        <v>16991</v>
      </c>
      <c r="G4075">
        <v>4072</v>
      </c>
      <c r="H4075" t="s">
        <v>4910</v>
      </c>
      <c r="I4075" t="s">
        <v>4911</v>
      </c>
      <c r="J4075" t="s">
        <v>16992</v>
      </c>
    </row>
    <row r="4076" spans="6:10">
      <c r="F4076" t="s">
        <v>16993</v>
      </c>
      <c r="G4076">
        <v>4073</v>
      </c>
      <c r="H4076" t="s">
        <v>5114</v>
      </c>
      <c r="I4076" t="s">
        <v>5114</v>
      </c>
      <c r="J4076" t="s">
        <v>16994</v>
      </c>
    </row>
    <row r="4077" spans="6:10">
      <c r="F4077" t="s">
        <v>16995</v>
      </c>
      <c r="G4077">
        <v>4074</v>
      </c>
      <c r="H4077" t="s">
        <v>2075</v>
      </c>
      <c r="I4077" t="s">
        <v>2075</v>
      </c>
      <c r="J4077" t="s">
        <v>16996</v>
      </c>
    </row>
    <row r="4078" spans="6:10">
      <c r="F4078" t="s">
        <v>16997</v>
      </c>
      <c r="G4078">
        <v>4075</v>
      </c>
      <c r="H4078" t="s">
        <v>1731</v>
      </c>
      <c r="I4078" t="s">
        <v>1732</v>
      </c>
      <c r="J4078" t="s">
        <v>16998</v>
      </c>
    </row>
    <row r="4079" spans="6:10">
      <c r="F4079" t="s">
        <v>16999</v>
      </c>
      <c r="G4079">
        <v>4076</v>
      </c>
      <c r="H4079" t="s">
        <v>2531</v>
      </c>
      <c r="I4079" t="s">
        <v>2531</v>
      </c>
      <c r="J4079" t="s">
        <v>17000</v>
      </c>
    </row>
    <row r="4080" spans="6:10">
      <c r="F4080" t="s">
        <v>17001</v>
      </c>
      <c r="G4080">
        <v>13086529504</v>
      </c>
      <c r="H4080" t="s">
        <v>5725</v>
      </c>
      <c r="I4080" t="s">
        <v>5726</v>
      </c>
      <c r="J4080" t="s">
        <v>17002</v>
      </c>
    </row>
    <row r="4081" spans="6:10">
      <c r="F4081" t="s">
        <v>17003</v>
      </c>
      <c r="G4081">
        <v>4078</v>
      </c>
      <c r="H4081" t="s">
        <v>5250</v>
      </c>
      <c r="I4081" t="s">
        <v>5251</v>
      </c>
      <c r="J4081" t="s">
        <v>17004</v>
      </c>
    </row>
    <row r="4082" spans="6:10">
      <c r="F4082" t="s">
        <v>17005</v>
      </c>
      <c r="G4082">
        <v>4079</v>
      </c>
      <c r="H4082" t="s">
        <v>3304</v>
      </c>
      <c r="I4082" t="s">
        <v>3305</v>
      </c>
      <c r="J4082" t="s">
        <v>17006</v>
      </c>
    </row>
    <row r="4083" spans="6:10">
      <c r="F4083" t="s">
        <v>17007</v>
      </c>
      <c r="G4083">
        <v>4080</v>
      </c>
      <c r="H4083" t="s">
        <v>5439</v>
      </c>
      <c r="I4083" t="s">
        <v>5439</v>
      </c>
      <c r="J4083" t="s">
        <v>17008</v>
      </c>
    </row>
    <row r="4084" spans="6:10">
      <c r="F4084" t="s">
        <v>17009</v>
      </c>
      <c r="G4084">
        <v>4081</v>
      </c>
      <c r="H4084" t="s">
        <v>5461</v>
      </c>
      <c r="I4084" t="s">
        <v>5462</v>
      </c>
      <c r="J4084" t="s">
        <v>17010</v>
      </c>
    </row>
    <row r="4085" spans="6:10">
      <c r="F4085" t="s">
        <v>17011</v>
      </c>
      <c r="G4085">
        <v>3312042909</v>
      </c>
      <c r="H4085" t="s">
        <v>4961</v>
      </c>
      <c r="I4085" t="s">
        <v>4961</v>
      </c>
      <c r="J4085" t="s">
        <v>17012</v>
      </c>
    </row>
    <row r="4086" spans="6:10">
      <c r="F4086" t="s">
        <v>17013</v>
      </c>
      <c r="G4086">
        <v>37674274861</v>
      </c>
      <c r="H4086" t="s">
        <v>2395</v>
      </c>
      <c r="I4086" t="s">
        <v>2395</v>
      </c>
      <c r="J4086" t="s">
        <v>17014</v>
      </c>
    </row>
    <row r="4087" spans="6:10">
      <c r="F4087" t="s">
        <v>17015</v>
      </c>
      <c r="G4087">
        <v>14784322760</v>
      </c>
      <c r="H4087" t="s">
        <v>2986</v>
      </c>
      <c r="I4087" t="s">
        <v>2986</v>
      </c>
      <c r="J4087" t="s">
        <v>17016</v>
      </c>
    </row>
    <row r="4088" spans="6:10">
      <c r="F4088" t="s">
        <v>17017</v>
      </c>
      <c r="G4088">
        <v>47192046787</v>
      </c>
      <c r="H4088" t="s">
        <v>3928</v>
      </c>
      <c r="I4088" t="s">
        <v>3929</v>
      </c>
      <c r="J4088" t="s">
        <v>17018</v>
      </c>
    </row>
    <row r="4089" spans="6:10">
      <c r="F4089" t="s">
        <v>17019</v>
      </c>
      <c r="G4089">
        <v>66792193615</v>
      </c>
      <c r="H4089" t="s">
        <v>3052</v>
      </c>
      <c r="I4089" t="s">
        <v>3053</v>
      </c>
      <c r="J4089" t="s">
        <v>17020</v>
      </c>
    </row>
    <row r="4090" spans="6:10">
      <c r="F4090" t="s">
        <v>17021</v>
      </c>
      <c r="G4090">
        <v>4087</v>
      </c>
      <c r="H4090" t="s">
        <v>17022</v>
      </c>
      <c r="I4090" t="s">
        <v>17023</v>
      </c>
      <c r="J4090" t="s">
        <v>17024</v>
      </c>
    </row>
    <row r="4091" spans="6:10">
      <c r="F4091" t="s">
        <v>17025</v>
      </c>
      <c r="G4091">
        <v>4088</v>
      </c>
      <c r="H4091" t="s">
        <v>17026</v>
      </c>
      <c r="I4091" t="s">
        <v>17027</v>
      </c>
      <c r="J4091" t="s">
        <v>17028</v>
      </c>
    </row>
    <row r="4092" spans="6:10">
      <c r="F4092" t="s">
        <v>17029</v>
      </c>
      <c r="G4092">
        <v>4089</v>
      </c>
      <c r="H4092" t="s">
        <v>1862</v>
      </c>
      <c r="I4092" t="s">
        <v>1863</v>
      </c>
      <c r="J4092" t="s">
        <v>17030</v>
      </c>
    </row>
    <row r="4093" spans="6:10">
      <c r="F4093" t="s">
        <v>17031</v>
      </c>
      <c r="G4093">
        <v>4090</v>
      </c>
      <c r="H4093" t="s">
        <v>3545</v>
      </c>
      <c r="I4093" t="s">
        <v>3545</v>
      </c>
      <c r="J4093" t="s">
        <v>17032</v>
      </c>
    </row>
    <row r="4094" spans="6:10">
      <c r="F4094" t="s">
        <v>17033</v>
      </c>
      <c r="G4094">
        <v>4091</v>
      </c>
      <c r="H4094" t="s">
        <v>4294</v>
      </c>
      <c r="I4094" t="s">
        <v>1733</v>
      </c>
      <c r="J4094" t="s">
        <v>17034</v>
      </c>
    </row>
    <row r="4095" spans="6:10">
      <c r="F4095" t="s">
        <v>17035</v>
      </c>
      <c r="G4095">
        <v>4092</v>
      </c>
      <c r="H4095" t="s">
        <v>2334</v>
      </c>
      <c r="I4095" t="s">
        <v>2335</v>
      </c>
      <c r="J4095" t="s">
        <v>17036</v>
      </c>
    </row>
    <row r="4096" spans="6:10">
      <c r="F4096" t="s">
        <v>17037</v>
      </c>
      <c r="G4096">
        <v>7512277652</v>
      </c>
      <c r="H4096" t="s">
        <v>4372</v>
      </c>
      <c r="I4096" t="s">
        <v>4372</v>
      </c>
      <c r="J4096" t="s">
        <v>17038</v>
      </c>
    </row>
    <row r="4097" spans="6:10">
      <c r="F4097" t="s">
        <v>17039</v>
      </c>
      <c r="G4097">
        <v>69833443672</v>
      </c>
      <c r="H4097" t="s">
        <v>2002</v>
      </c>
      <c r="I4097" t="s">
        <v>2002</v>
      </c>
      <c r="J4097" t="s">
        <v>17040</v>
      </c>
    </row>
    <row r="4098" spans="6:10">
      <c r="F4098" t="s">
        <v>17041</v>
      </c>
      <c r="G4098">
        <v>32387036840</v>
      </c>
      <c r="H4098" t="s">
        <v>3681</v>
      </c>
      <c r="I4098" t="s">
        <v>3681</v>
      </c>
      <c r="J4098" t="s">
        <v>17042</v>
      </c>
    </row>
    <row r="4099" spans="6:10">
      <c r="F4099" t="s">
        <v>17043</v>
      </c>
      <c r="G4099">
        <v>28268216875</v>
      </c>
      <c r="H4099" t="s">
        <v>2127</v>
      </c>
      <c r="I4099" t="s">
        <v>2127</v>
      </c>
      <c r="J4099" t="s">
        <v>17044</v>
      </c>
    </row>
    <row r="4100" spans="6:10">
      <c r="F4100" t="s">
        <v>17045</v>
      </c>
      <c r="G4100">
        <v>11710718684</v>
      </c>
      <c r="H4100" t="s">
        <v>5803</v>
      </c>
      <c r="I4100" t="s">
        <v>5804</v>
      </c>
      <c r="J4100" t="s">
        <v>17046</v>
      </c>
    </row>
    <row r="4101" spans="6:10">
      <c r="F4101" t="s">
        <v>17047</v>
      </c>
      <c r="G4101">
        <v>41635213991</v>
      </c>
      <c r="H4101" t="s">
        <v>5314</v>
      </c>
      <c r="I4101" t="s">
        <v>5314</v>
      </c>
      <c r="J4101" t="s">
        <v>17048</v>
      </c>
    </row>
    <row r="4102" spans="6:10">
      <c r="F4102" t="s">
        <v>17049</v>
      </c>
      <c r="G4102">
        <v>2918436119</v>
      </c>
      <c r="H4102" t="s">
        <v>3860</v>
      </c>
      <c r="I4102" t="s">
        <v>3860</v>
      </c>
      <c r="J4102" t="s">
        <v>17050</v>
      </c>
    </row>
    <row r="4103" spans="6:10">
      <c r="F4103" t="s">
        <v>17051</v>
      </c>
      <c r="G4103">
        <v>33843705895</v>
      </c>
      <c r="H4103" t="s">
        <v>5733</v>
      </c>
      <c r="I4103" t="s">
        <v>5733</v>
      </c>
      <c r="J4103" t="s">
        <v>17052</v>
      </c>
    </row>
    <row r="4104" spans="6:10">
      <c r="F4104" t="s">
        <v>17053</v>
      </c>
      <c r="G4104">
        <v>8335455902</v>
      </c>
      <c r="H4104" t="s">
        <v>245</v>
      </c>
      <c r="I4104" t="s">
        <v>246</v>
      </c>
      <c r="J4104" t="s">
        <v>17054</v>
      </c>
    </row>
    <row r="4105" spans="6:10">
      <c r="F4105" t="s">
        <v>17055</v>
      </c>
      <c r="G4105">
        <v>4102</v>
      </c>
      <c r="H4105" t="s">
        <v>2238</v>
      </c>
      <c r="I4105" t="s">
        <v>2238</v>
      </c>
      <c r="J4105" t="s">
        <v>17056</v>
      </c>
    </row>
    <row r="4106" spans="6:10">
      <c r="F4106" t="s">
        <v>17057</v>
      </c>
      <c r="G4106">
        <v>4103</v>
      </c>
      <c r="H4106" t="s">
        <v>2285</v>
      </c>
      <c r="I4106" t="s">
        <v>2286</v>
      </c>
      <c r="J4106" t="s">
        <v>17058</v>
      </c>
    </row>
    <row r="4107" spans="6:10">
      <c r="F4107" t="s">
        <v>17059</v>
      </c>
      <c r="G4107">
        <v>4104</v>
      </c>
      <c r="H4107" t="s">
        <v>17026</v>
      </c>
      <c r="I4107" t="s">
        <v>17060</v>
      </c>
      <c r="J4107" t="s">
        <v>17061</v>
      </c>
    </row>
    <row r="4108" spans="6:10">
      <c r="F4108" t="s">
        <v>17062</v>
      </c>
      <c r="G4108">
        <v>4105</v>
      </c>
      <c r="H4108" t="s">
        <v>5635</v>
      </c>
      <c r="I4108" t="s">
        <v>5636</v>
      </c>
      <c r="J4108" t="s">
        <v>17063</v>
      </c>
    </row>
    <row r="4109" spans="6:10">
      <c r="F4109" t="s">
        <v>17064</v>
      </c>
      <c r="G4109">
        <v>88750817515</v>
      </c>
      <c r="H4109" t="s">
        <v>1584</v>
      </c>
      <c r="I4109" t="s">
        <v>1584</v>
      </c>
      <c r="J4109" t="s">
        <v>17065</v>
      </c>
    </row>
    <row r="4110" spans="6:10">
      <c r="F4110" t="s">
        <v>17066</v>
      </c>
      <c r="G4110">
        <v>4107</v>
      </c>
      <c r="H4110" t="s">
        <v>2183</v>
      </c>
      <c r="I4110" t="s">
        <v>2184</v>
      </c>
      <c r="J4110" t="s">
        <v>17067</v>
      </c>
    </row>
    <row r="4111" spans="6:10">
      <c r="F4111" t="s">
        <v>17068</v>
      </c>
      <c r="G4111">
        <v>28665091882</v>
      </c>
      <c r="H4111" t="s">
        <v>758</v>
      </c>
      <c r="I4111" t="s">
        <v>759</v>
      </c>
      <c r="J4111" t="s">
        <v>17069</v>
      </c>
    </row>
    <row r="4112" spans="6:10">
      <c r="F4112" t="s">
        <v>17070</v>
      </c>
      <c r="G4112">
        <v>4109</v>
      </c>
      <c r="H4112" t="s">
        <v>2885</v>
      </c>
      <c r="I4112" t="s">
        <v>2888</v>
      </c>
      <c r="J4112" t="s">
        <v>17071</v>
      </c>
    </row>
    <row r="4113" spans="6:10">
      <c r="F4113" t="s">
        <v>17072</v>
      </c>
      <c r="G4113">
        <v>4110</v>
      </c>
      <c r="H4113" t="s">
        <v>3461</v>
      </c>
      <c r="I4113" t="s">
        <v>3462</v>
      </c>
      <c r="J4113" t="s">
        <v>17073</v>
      </c>
    </row>
    <row r="4114" spans="6:10">
      <c r="F4114" t="s">
        <v>17074</v>
      </c>
      <c r="G4114">
        <v>4111</v>
      </c>
      <c r="H4114" t="s">
        <v>1521</v>
      </c>
      <c r="I4114" t="s">
        <v>1521</v>
      </c>
      <c r="J4114" t="s">
        <v>17075</v>
      </c>
    </row>
    <row r="4115" spans="6:10">
      <c r="F4115" t="s">
        <v>17076</v>
      </c>
      <c r="G4115">
        <v>8982558721</v>
      </c>
      <c r="H4115" t="s">
        <v>5170</v>
      </c>
      <c r="I4115" t="s">
        <v>5170</v>
      </c>
      <c r="J4115" t="s">
        <v>17077</v>
      </c>
    </row>
    <row r="4116" spans="6:10">
      <c r="F4116" t="s">
        <v>17078</v>
      </c>
      <c r="G4116">
        <v>4113</v>
      </c>
      <c r="H4116" t="s">
        <v>17079</v>
      </c>
      <c r="I4116" t="s">
        <v>13451</v>
      </c>
      <c r="J4116" t="s">
        <v>17080</v>
      </c>
    </row>
    <row r="4117" spans="6:10">
      <c r="F4117" t="s">
        <v>17081</v>
      </c>
      <c r="G4117">
        <v>39267512900</v>
      </c>
      <c r="H4117" t="s">
        <v>3967</v>
      </c>
      <c r="I4117" t="s">
        <v>3967</v>
      </c>
      <c r="J4117" t="s">
        <v>17082</v>
      </c>
    </row>
    <row r="4118" spans="6:10">
      <c r="F4118" t="s">
        <v>17083</v>
      </c>
      <c r="G4118">
        <v>10880752661</v>
      </c>
      <c r="H4118" t="s">
        <v>3057</v>
      </c>
      <c r="I4118" t="s">
        <v>3057</v>
      </c>
      <c r="J4118" t="s">
        <v>17084</v>
      </c>
    </row>
    <row r="4119" spans="6:10">
      <c r="F4119" t="s">
        <v>17085</v>
      </c>
      <c r="G4119">
        <v>8912102885</v>
      </c>
      <c r="H4119" t="s">
        <v>3016</v>
      </c>
      <c r="I4119" t="s">
        <v>3016</v>
      </c>
      <c r="J4119" t="s">
        <v>17086</v>
      </c>
    </row>
    <row r="4120" spans="6:10">
      <c r="F4120" t="s">
        <v>17087</v>
      </c>
      <c r="G4120">
        <v>4117</v>
      </c>
      <c r="H4120" t="s">
        <v>1204</v>
      </c>
      <c r="I4120" t="s">
        <v>1205</v>
      </c>
      <c r="J4120" t="s">
        <v>17088</v>
      </c>
    </row>
    <row r="4121" spans="6:10">
      <c r="F4121" t="s">
        <v>17089</v>
      </c>
      <c r="G4121">
        <v>3015019473</v>
      </c>
      <c r="H4121" t="s">
        <v>1055</v>
      </c>
      <c r="I4121" t="s">
        <v>1055</v>
      </c>
      <c r="J4121" t="s">
        <v>17090</v>
      </c>
    </row>
    <row r="4122" spans="6:10">
      <c r="F4122" t="s">
        <v>17091</v>
      </c>
      <c r="G4122">
        <v>4119</v>
      </c>
      <c r="H4122" t="s">
        <v>5744</v>
      </c>
      <c r="I4122" t="s">
        <v>5745</v>
      </c>
      <c r="J4122" t="s">
        <v>17092</v>
      </c>
    </row>
    <row r="4123" spans="6:10">
      <c r="F4123" t="s">
        <v>17093</v>
      </c>
      <c r="G4123">
        <v>4120</v>
      </c>
      <c r="H4123" t="s">
        <v>2978</v>
      </c>
      <c r="I4123" t="s">
        <v>2978</v>
      </c>
      <c r="J4123" t="s">
        <v>17094</v>
      </c>
    </row>
    <row r="4124" spans="6:10">
      <c r="F4124" t="s">
        <v>17095</v>
      </c>
      <c r="G4124">
        <v>4121</v>
      </c>
      <c r="H4124" t="s">
        <v>8232</v>
      </c>
      <c r="I4124" t="s">
        <v>8233</v>
      </c>
      <c r="J4124" t="s">
        <v>17096</v>
      </c>
    </row>
    <row r="4125" spans="6:10">
      <c r="F4125" t="s">
        <v>17097</v>
      </c>
      <c r="G4125">
        <v>4122</v>
      </c>
      <c r="H4125" t="s">
        <v>17098</v>
      </c>
      <c r="I4125" t="s">
        <v>17099</v>
      </c>
      <c r="J4125" t="s">
        <v>17100</v>
      </c>
    </row>
    <row r="4126" spans="6:10">
      <c r="F4126" t="s">
        <v>17101</v>
      </c>
      <c r="G4126">
        <v>43079374819</v>
      </c>
      <c r="H4126" t="s">
        <v>5785</v>
      </c>
      <c r="I4126" t="s">
        <v>5785</v>
      </c>
      <c r="J4126" t="s">
        <v>17102</v>
      </c>
    </row>
    <row r="4127" spans="6:10">
      <c r="F4127" t="s">
        <v>17103</v>
      </c>
      <c r="G4127">
        <v>29632489896</v>
      </c>
      <c r="H4127" t="s">
        <v>4220</v>
      </c>
      <c r="I4127" t="s">
        <v>4221</v>
      </c>
      <c r="J4127" t="s">
        <v>17104</v>
      </c>
    </row>
    <row r="4128" spans="6:10">
      <c r="F4128" t="s">
        <v>17105</v>
      </c>
      <c r="G4128">
        <v>2237041130</v>
      </c>
      <c r="H4128" t="s">
        <v>957</v>
      </c>
      <c r="I4128" t="s">
        <v>958</v>
      </c>
      <c r="J4128" t="s">
        <v>17106</v>
      </c>
    </row>
    <row r="4129" spans="6:10">
      <c r="F4129" t="s">
        <v>17107</v>
      </c>
      <c r="G4129">
        <v>27733577870</v>
      </c>
      <c r="H4129" t="s">
        <v>3991</v>
      </c>
      <c r="I4129" t="s">
        <v>3992</v>
      </c>
      <c r="J4129" t="s">
        <v>17108</v>
      </c>
    </row>
    <row r="4130" spans="6:10">
      <c r="F4130" t="s">
        <v>17109</v>
      </c>
      <c r="G4130">
        <v>3116629943</v>
      </c>
      <c r="H4130" t="s">
        <v>3729</v>
      </c>
      <c r="I4130" t="s">
        <v>3730</v>
      </c>
      <c r="J4130" t="s">
        <v>17110</v>
      </c>
    </row>
    <row r="4131" spans="6:10">
      <c r="F4131" t="s">
        <v>17111</v>
      </c>
      <c r="G4131">
        <v>4128</v>
      </c>
      <c r="H4131" t="s">
        <v>8232</v>
      </c>
      <c r="I4131" t="s">
        <v>8233</v>
      </c>
      <c r="J4131" t="s">
        <v>17112</v>
      </c>
    </row>
    <row r="4132" spans="6:10">
      <c r="F4132" t="s">
        <v>17113</v>
      </c>
      <c r="G4132">
        <v>4999530457</v>
      </c>
      <c r="H4132" t="s">
        <v>956</v>
      </c>
      <c r="I4132" t="s">
        <v>956</v>
      </c>
      <c r="J4132" t="s">
        <v>17114</v>
      </c>
    </row>
    <row r="4133" spans="6:10">
      <c r="F4133" t="s">
        <v>17115</v>
      </c>
      <c r="G4133">
        <v>43810166880</v>
      </c>
      <c r="H4133" t="s">
        <v>5646</v>
      </c>
      <c r="I4133" t="s">
        <v>5646</v>
      </c>
      <c r="J4133" t="s">
        <v>17116</v>
      </c>
    </row>
    <row r="4134" spans="6:10">
      <c r="F4134" t="s">
        <v>17117</v>
      </c>
      <c r="G4134">
        <v>26020428893</v>
      </c>
      <c r="H4134" t="s">
        <v>3257</v>
      </c>
      <c r="I4134" t="s">
        <v>3257</v>
      </c>
      <c r="J4134" t="s">
        <v>17118</v>
      </c>
    </row>
    <row r="4135" spans="6:10">
      <c r="F4135" t="s">
        <v>17119</v>
      </c>
      <c r="G4135">
        <v>4132</v>
      </c>
      <c r="H4135" t="s">
        <v>17120</v>
      </c>
      <c r="I4135" t="s">
        <v>17120</v>
      </c>
      <c r="J4135" t="s">
        <v>17121</v>
      </c>
    </row>
    <row r="4136" spans="6:10">
      <c r="F4136" t="s">
        <v>17122</v>
      </c>
      <c r="G4136">
        <v>4133</v>
      </c>
      <c r="H4136" t="s">
        <v>17123</v>
      </c>
      <c r="I4136" t="s">
        <v>17124</v>
      </c>
      <c r="J4136" t="s">
        <v>17125</v>
      </c>
    </row>
    <row r="4137" spans="6:10">
      <c r="F4137" t="s">
        <v>17126</v>
      </c>
      <c r="G4137">
        <v>3359495845</v>
      </c>
      <c r="H4137" t="s">
        <v>3959</v>
      </c>
      <c r="I4137" t="s">
        <v>3960</v>
      </c>
      <c r="J4137" t="s">
        <v>17127</v>
      </c>
    </row>
    <row r="4138" spans="6:10">
      <c r="F4138" t="s">
        <v>17128</v>
      </c>
      <c r="G4138">
        <v>4135</v>
      </c>
      <c r="H4138" t="s">
        <v>1375</v>
      </c>
      <c r="I4138" t="s">
        <v>1376</v>
      </c>
      <c r="J4138" t="s">
        <v>17129</v>
      </c>
    </row>
    <row r="4139" spans="6:10">
      <c r="F4139" t="s">
        <v>17130</v>
      </c>
      <c r="G4139">
        <v>4136</v>
      </c>
      <c r="H4139" t="s">
        <v>3240</v>
      </c>
      <c r="I4139" t="s">
        <v>3240</v>
      </c>
      <c r="J4139" t="s">
        <v>17131</v>
      </c>
    </row>
    <row r="4140" spans="6:10">
      <c r="F4140" t="s">
        <v>17132</v>
      </c>
      <c r="G4140">
        <v>4137</v>
      </c>
      <c r="H4140" t="s">
        <v>5305</v>
      </c>
      <c r="I4140" t="s">
        <v>5305</v>
      </c>
      <c r="J4140" t="s">
        <v>17133</v>
      </c>
    </row>
    <row r="4141" spans="6:10">
      <c r="F4141" t="s">
        <v>17134</v>
      </c>
      <c r="G4141">
        <v>4138</v>
      </c>
      <c r="H4141" t="s">
        <v>2512</v>
      </c>
      <c r="I4141" t="s">
        <v>2513</v>
      </c>
      <c r="J4141" t="s">
        <v>17135</v>
      </c>
    </row>
    <row r="4142" spans="6:10">
      <c r="F4142" t="s">
        <v>17136</v>
      </c>
      <c r="G4142">
        <v>4139</v>
      </c>
      <c r="H4142" t="s">
        <v>1889</v>
      </c>
      <c r="I4142" t="s">
        <v>1889</v>
      </c>
      <c r="J4142" t="s">
        <v>17137</v>
      </c>
    </row>
    <row r="4143" spans="6:10">
      <c r="F4143" t="s">
        <v>17138</v>
      </c>
      <c r="G4143">
        <v>84708018487</v>
      </c>
      <c r="H4143" t="s">
        <v>3893</v>
      </c>
      <c r="I4143" t="s">
        <v>3893</v>
      </c>
      <c r="J4143" t="s">
        <v>17139</v>
      </c>
    </row>
    <row r="4144" spans="6:10">
      <c r="F4144" t="s">
        <v>17140</v>
      </c>
      <c r="G4144">
        <v>1443830550</v>
      </c>
      <c r="H4144" t="s">
        <v>5806</v>
      </c>
      <c r="I4144" t="s">
        <v>5807</v>
      </c>
      <c r="J4144" t="s">
        <v>17141</v>
      </c>
    </row>
    <row r="4145" spans="6:10">
      <c r="F4145" t="s">
        <v>17142</v>
      </c>
      <c r="G4145">
        <v>6404698412</v>
      </c>
      <c r="H4145" t="s">
        <v>3707</v>
      </c>
      <c r="I4145" t="s">
        <v>3707</v>
      </c>
      <c r="J4145" t="s">
        <v>17143</v>
      </c>
    </row>
    <row r="4146" spans="6:10">
      <c r="F4146" t="s">
        <v>17144</v>
      </c>
      <c r="G4146">
        <v>173212638</v>
      </c>
      <c r="H4146" t="s">
        <v>3668</v>
      </c>
      <c r="I4146" t="s">
        <v>3669</v>
      </c>
      <c r="J4146" t="s">
        <v>17145</v>
      </c>
    </row>
    <row r="4147" spans="6:10">
      <c r="F4147" t="s">
        <v>17146</v>
      </c>
      <c r="G4147">
        <v>5122720932</v>
      </c>
      <c r="H4147" t="s">
        <v>3705</v>
      </c>
      <c r="I4147" t="s">
        <v>3706</v>
      </c>
      <c r="J4147" t="s">
        <v>17147</v>
      </c>
    </row>
    <row r="4148" spans="6:10">
      <c r="F4148" t="s">
        <v>17148</v>
      </c>
      <c r="G4148">
        <v>43390281851</v>
      </c>
      <c r="H4148" t="s">
        <v>756</v>
      </c>
      <c r="I4148" t="s">
        <v>757</v>
      </c>
      <c r="J4148" t="s">
        <v>17149</v>
      </c>
    </row>
    <row r="4149" spans="6:10">
      <c r="F4149" t="s">
        <v>17150</v>
      </c>
      <c r="G4149">
        <v>7555604507</v>
      </c>
      <c r="H4149" t="s">
        <v>6061</v>
      </c>
      <c r="I4149" t="s">
        <v>6062</v>
      </c>
      <c r="J4149" t="s">
        <v>17151</v>
      </c>
    </row>
    <row r="4150" spans="6:10">
      <c r="F4150" t="s">
        <v>17152</v>
      </c>
      <c r="G4150">
        <v>4147</v>
      </c>
      <c r="H4150" t="s">
        <v>1544</v>
      </c>
      <c r="I4150" t="s">
        <v>1545</v>
      </c>
      <c r="J4150" t="s">
        <v>17153</v>
      </c>
    </row>
    <row r="4151" spans="6:10">
      <c r="F4151" t="s">
        <v>17154</v>
      </c>
      <c r="G4151">
        <v>4148</v>
      </c>
      <c r="H4151" t="s">
        <v>17155</v>
      </c>
      <c r="I4151" t="s">
        <v>17156</v>
      </c>
      <c r="J4151" t="s">
        <v>17157</v>
      </c>
    </row>
    <row r="4152" spans="6:10">
      <c r="F4152" t="s">
        <v>17158</v>
      </c>
      <c r="G4152">
        <v>4149</v>
      </c>
      <c r="H4152" t="s">
        <v>17159</v>
      </c>
      <c r="I4152" t="s">
        <v>17160</v>
      </c>
      <c r="J4152" t="s">
        <v>17161</v>
      </c>
    </row>
    <row r="4153" spans="6:10">
      <c r="F4153" t="s">
        <v>17162</v>
      </c>
      <c r="G4153">
        <v>9006146927</v>
      </c>
      <c r="H4153" t="s">
        <v>5519</v>
      </c>
      <c r="I4153" t="s">
        <v>5520</v>
      </c>
      <c r="J4153" t="s">
        <v>17163</v>
      </c>
    </row>
    <row r="4154" spans="6:10">
      <c r="F4154" t="s">
        <v>17164</v>
      </c>
      <c r="G4154">
        <v>4151</v>
      </c>
      <c r="H4154" t="s">
        <v>17165</v>
      </c>
      <c r="I4154" t="s">
        <v>17166</v>
      </c>
      <c r="J4154" t="s">
        <v>17167</v>
      </c>
    </row>
    <row r="4155" spans="6:10">
      <c r="F4155" t="s">
        <v>17168</v>
      </c>
      <c r="G4155">
        <v>9059330447</v>
      </c>
      <c r="H4155" t="s">
        <v>5815</v>
      </c>
      <c r="I4155" t="s">
        <v>5815</v>
      </c>
      <c r="J4155" t="s">
        <v>17169</v>
      </c>
    </row>
    <row r="4156" spans="6:10">
      <c r="F4156" t="s">
        <v>17170</v>
      </c>
      <c r="G4156">
        <v>4153</v>
      </c>
      <c r="H4156" t="s">
        <v>17171</v>
      </c>
      <c r="I4156" t="s">
        <v>17172</v>
      </c>
      <c r="J4156" t="s">
        <v>17173</v>
      </c>
    </row>
    <row r="4157" spans="6:10">
      <c r="F4157" t="s">
        <v>17174</v>
      </c>
      <c r="G4157">
        <v>4154</v>
      </c>
      <c r="H4157" t="s">
        <v>3874</v>
      </c>
      <c r="I4157" t="s">
        <v>3874</v>
      </c>
      <c r="J4157" t="s">
        <v>17175</v>
      </c>
    </row>
    <row r="4158" spans="6:10">
      <c r="F4158" t="s">
        <v>17176</v>
      </c>
      <c r="G4158">
        <v>1662547625</v>
      </c>
      <c r="H4158" t="s">
        <v>885</v>
      </c>
      <c r="I4158" t="s">
        <v>886</v>
      </c>
      <c r="J4158" t="s">
        <v>17177</v>
      </c>
    </row>
    <row r="4159" spans="6:10">
      <c r="F4159" t="s">
        <v>17178</v>
      </c>
      <c r="G4159">
        <v>4156</v>
      </c>
      <c r="H4159" t="s">
        <v>3675</v>
      </c>
      <c r="I4159" t="s">
        <v>3675</v>
      </c>
      <c r="J4159" t="s">
        <v>17179</v>
      </c>
    </row>
    <row r="4160" spans="6:10">
      <c r="F4160" t="s">
        <v>17180</v>
      </c>
      <c r="G4160">
        <v>4157</v>
      </c>
      <c r="H4160" t="s">
        <v>13006</v>
      </c>
      <c r="I4160" t="s">
        <v>17181</v>
      </c>
      <c r="J4160" t="s">
        <v>17182</v>
      </c>
    </row>
    <row r="4161" spans="6:10">
      <c r="F4161" t="s">
        <v>17183</v>
      </c>
      <c r="G4161">
        <v>4158</v>
      </c>
      <c r="H4161" t="s">
        <v>17184</v>
      </c>
      <c r="I4161" t="s">
        <v>17185</v>
      </c>
      <c r="J4161" t="s">
        <v>17186</v>
      </c>
    </row>
    <row r="4162" spans="6:10">
      <c r="F4162" t="s">
        <v>17187</v>
      </c>
      <c r="G4162">
        <v>4159</v>
      </c>
      <c r="H4162" t="s">
        <v>1269</v>
      </c>
      <c r="I4162" t="s">
        <v>1270</v>
      </c>
      <c r="J4162" t="s">
        <v>17188</v>
      </c>
    </row>
    <row r="4163" spans="6:10">
      <c r="F4163" t="s">
        <v>17189</v>
      </c>
      <c r="G4163">
        <v>4160</v>
      </c>
      <c r="H4163" t="s">
        <v>17190</v>
      </c>
      <c r="I4163" t="s">
        <v>17190</v>
      </c>
      <c r="J4163" t="s">
        <v>17191</v>
      </c>
    </row>
    <row r="4164" spans="6:10">
      <c r="F4164" t="s">
        <v>17192</v>
      </c>
      <c r="G4164">
        <v>4161</v>
      </c>
      <c r="H4164" t="s">
        <v>9444</v>
      </c>
      <c r="I4164" t="s">
        <v>9444</v>
      </c>
      <c r="J4164" t="s">
        <v>17193</v>
      </c>
    </row>
    <row r="4165" spans="6:10">
      <c r="F4165" t="s">
        <v>17194</v>
      </c>
      <c r="G4165">
        <v>4162</v>
      </c>
      <c r="H4165" t="s">
        <v>17195</v>
      </c>
      <c r="I4165" t="s">
        <v>17195</v>
      </c>
      <c r="J4165" t="s">
        <v>17196</v>
      </c>
    </row>
    <row r="4166" spans="6:10">
      <c r="F4166" t="s">
        <v>17197</v>
      </c>
      <c r="G4166">
        <v>4163</v>
      </c>
      <c r="H4166" t="s">
        <v>548</v>
      </c>
      <c r="I4166" t="s">
        <v>593</v>
      </c>
      <c r="J4166" t="s">
        <v>17198</v>
      </c>
    </row>
    <row r="4167" spans="6:10">
      <c r="F4167" t="s">
        <v>17199</v>
      </c>
      <c r="G4167">
        <v>10046949623</v>
      </c>
      <c r="H4167" t="s">
        <v>1561</v>
      </c>
      <c r="I4167" t="s">
        <v>1562</v>
      </c>
      <c r="J4167" t="s">
        <v>17200</v>
      </c>
    </row>
    <row r="4168" spans="6:10">
      <c r="F4168" t="s">
        <v>17201</v>
      </c>
      <c r="G4168">
        <v>4165</v>
      </c>
      <c r="H4168" t="s">
        <v>6058</v>
      </c>
      <c r="I4168" t="s">
        <v>6059</v>
      </c>
      <c r="J4168" t="s">
        <v>17202</v>
      </c>
    </row>
    <row r="4169" spans="6:10">
      <c r="F4169" t="s">
        <v>17203</v>
      </c>
      <c r="G4169">
        <v>4166</v>
      </c>
      <c r="H4169" t="s">
        <v>17204</v>
      </c>
      <c r="I4169" t="s">
        <v>17205</v>
      </c>
      <c r="J4169" t="s">
        <v>17206</v>
      </c>
    </row>
    <row r="4170" spans="6:10">
      <c r="F4170" t="s">
        <v>17207</v>
      </c>
      <c r="G4170">
        <v>4167</v>
      </c>
      <c r="H4170" t="s">
        <v>17208</v>
      </c>
      <c r="I4170" t="s">
        <v>17208</v>
      </c>
      <c r="J4170" t="s">
        <v>17209</v>
      </c>
    </row>
    <row r="4171" spans="6:10">
      <c r="F4171" t="s">
        <v>17210</v>
      </c>
      <c r="G4171">
        <v>364265981</v>
      </c>
      <c r="H4171" t="s">
        <v>4701</v>
      </c>
      <c r="I4171" t="s">
        <v>4701</v>
      </c>
      <c r="J4171" t="s">
        <v>17211</v>
      </c>
    </row>
    <row r="4172" spans="6:10">
      <c r="F4172" t="s">
        <v>17212</v>
      </c>
      <c r="G4172">
        <v>10934622566</v>
      </c>
      <c r="H4172" t="s">
        <v>1248</v>
      </c>
      <c r="I4172" t="s">
        <v>1248</v>
      </c>
      <c r="J4172" t="s">
        <v>17213</v>
      </c>
    </row>
    <row r="4173" spans="6:10">
      <c r="F4173" t="s">
        <v>17214</v>
      </c>
      <c r="G4173">
        <v>4170</v>
      </c>
      <c r="H4173" t="s">
        <v>4124</v>
      </c>
      <c r="I4173" t="s">
        <v>4124</v>
      </c>
      <c r="J4173" t="s">
        <v>17215</v>
      </c>
    </row>
    <row r="4174" spans="6:10">
      <c r="F4174" t="s">
        <v>17216</v>
      </c>
      <c r="G4174">
        <v>25506908857</v>
      </c>
      <c r="H4174" t="s">
        <v>5295</v>
      </c>
      <c r="I4174" t="s">
        <v>5296</v>
      </c>
      <c r="J4174" t="s">
        <v>17217</v>
      </c>
    </row>
    <row r="4175" spans="6:10">
      <c r="F4175" t="s">
        <v>17218</v>
      </c>
      <c r="G4175">
        <v>4172</v>
      </c>
      <c r="H4175" t="s">
        <v>17219</v>
      </c>
      <c r="I4175" t="s">
        <v>17220</v>
      </c>
      <c r="J4175" t="s">
        <v>17221</v>
      </c>
    </row>
    <row r="4176" spans="6:10">
      <c r="F4176" t="s">
        <v>17222</v>
      </c>
      <c r="G4176">
        <v>9570909862</v>
      </c>
      <c r="H4176" t="s">
        <v>4373</v>
      </c>
      <c r="I4176" t="s">
        <v>4374</v>
      </c>
      <c r="J4176" t="s">
        <v>17223</v>
      </c>
    </row>
    <row r="4177" spans="6:10">
      <c r="F4177" t="s">
        <v>17224</v>
      </c>
      <c r="G4177">
        <v>6260445610</v>
      </c>
      <c r="H4177" t="s">
        <v>5504</v>
      </c>
      <c r="I4177" t="s">
        <v>5505</v>
      </c>
      <c r="J4177" t="s">
        <v>17225</v>
      </c>
    </row>
    <row r="4178" spans="6:10">
      <c r="F4178" t="s">
        <v>17226</v>
      </c>
      <c r="G4178">
        <v>32417027828</v>
      </c>
      <c r="H4178" t="s">
        <v>2544</v>
      </c>
      <c r="I4178" t="s">
        <v>2544</v>
      </c>
      <c r="J4178" t="s">
        <v>17227</v>
      </c>
    </row>
    <row r="4179" spans="6:10">
      <c r="F4179" t="s">
        <v>17228</v>
      </c>
      <c r="G4179">
        <v>2339883601</v>
      </c>
      <c r="H4179" t="s">
        <v>6063</v>
      </c>
      <c r="I4179" t="s">
        <v>6063</v>
      </c>
      <c r="J4179" t="s">
        <v>17229</v>
      </c>
    </row>
    <row r="4180" spans="6:10">
      <c r="F4180" t="s">
        <v>17230</v>
      </c>
      <c r="G4180">
        <v>4177</v>
      </c>
      <c r="H4180" t="s">
        <v>5799</v>
      </c>
      <c r="I4180" t="s">
        <v>5799</v>
      </c>
      <c r="J4180" t="s">
        <v>17231</v>
      </c>
    </row>
    <row r="4181" spans="6:10">
      <c r="F4181" t="s">
        <v>17232</v>
      </c>
      <c r="G4181">
        <v>2730041150</v>
      </c>
      <c r="H4181" t="s">
        <v>1670</v>
      </c>
      <c r="I4181" t="s">
        <v>1670</v>
      </c>
      <c r="J4181" t="s">
        <v>17233</v>
      </c>
    </row>
    <row r="4182" spans="6:10">
      <c r="F4182" t="s">
        <v>17234</v>
      </c>
      <c r="G4182">
        <v>4179</v>
      </c>
      <c r="H4182" t="s">
        <v>2461</v>
      </c>
      <c r="I4182" t="s">
        <v>2462</v>
      </c>
      <c r="J4182" t="s">
        <v>17235</v>
      </c>
    </row>
    <row r="4183" spans="6:10">
      <c r="F4183" t="s">
        <v>17236</v>
      </c>
      <c r="G4183">
        <v>4180</v>
      </c>
      <c r="H4183" t="s">
        <v>3957</v>
      </c>
      <c r="I4183" t="s">
        <v>3958</v>
      </c>
      <c r="J4183" t="s">
        <v>17237</v>
      </c>
    </row>
    <row r="4184" spans="6:10">
      <c r="F4184" t="s">
        <v>17238</v>
      </c>
      <c r="G4184">
        <v>4181</v>
      </c>
      <c r="H4184" t="s">
        <v>402</v>
      </c>
      <c r="I4184" t="s">
        <v>403</v>
      </c>
      <c r="J4184" t="s">
        <v>17239</v>
      </c>
    </row>
    <row r="4185" spans="6:10">
      <c r="F4185" t="s">
        <v>17240</v>
      </c>
      <c r="G4185">
        <v>4182</v>
      </c>
      <c r="H4185" t="s">
        <v>480</v>
      </c>
      <c r="I4185" t="s">
        <v>481</v>
      </c>
      <c r="J4185" t="s">
        <v>17241</v>
      </c>
    </row>
    <row r="4186" spans="6:10">
      <c r="F4186" t="s">
        <v>17242</v>
      </c>
      <c r="G4186">
        <v>4183</v>
      </c>
      <c r="H4186" t="s">
        <v>4010</v>
      </c>
      <c r="I4186" t="s">
        <v>4010</v>
      </c>
      <c r="J4186" t="s">
        <v>17243</v>
      </c>
    </row>
    <row r="4187" spans="6:10">
      <c r="F4187" t="s">
        <v>17244</v>
      </c>
      <c r="G4187">
        <v>4184</v>
      </c>
      <c r="H4187" t="s">
        <v>4347</v>
      </c>
      <c r="I4187" t="s">
        <v>4348</v>
      </c>
      <c r="J4187" t="s">
        <v>17245</v>
      </c>
    </row>
    <row r="4188" spans="6:10">
      <c r="F4188" t="s">
        <v>17246</v>
      </c>
      <c r="G4188">
        <v>4185</v>
      </c>
      <c r="H4188" t="s">
        <v>2985</v>
      </c>
      <c r="I4188" t="s">
        <v>2985</v>
      </c>
      <c r="J4188" t="s">
        <v>17247</v>
      </c>
    </row>
    <row r="4189" spans="6:10">
      <c r="F4189" t="s">
        <v>17248</v>
      </c>
      <c r="G4189">
        <v>4186</v>
      </c>
      <c r="H4189" t="s">
        <v>3275</v>
      </c>
      <c r="I4189" t="s">
        <v>3276</v>
      </c>
      <c r="J4189" t="s">
        <v>17249</v>
      </c>
    </row>
    <row r="4190" spans="6:10">
      <c r="F4190" t="s">
        <v>17250</v>
      </c>
      <c r="G4190">
        <v>4187</v>
      </c>
      <c r="H4190" t="s">
        <v>3231</v>
      </c>
      <c r="I4190" t="s">
        <v>3232</v>
      </c>
      <c r="J4190" t="s">
        <v>17251</v>
      </c>
    </row>
    <row r="4191" spans="6:10">
      <c r="F4191" t="s">
        <v>17252</v>
      </c>
      <c r="G4191">
        <v>4188</v>
      </c>
      <c r="H4191" t="s">
        <v>5711</v>
      </c>
      <c r="I4191" t="s">
        <v>5712</v>
      </c>
      <c r="J4191" t="s">
        <v>17253</v>
      </c>
    </row>
    <row r="4192" spans="6:10">
      <c r="F4192" t="s">
        <v>17254</v>
      </c>
      <c r="G4192">
        <v>4189</v>
      </c>
      <c r="H4192" t="s">
        <v>17255</v>
      </c>
      <c r="I4192" t="s">
        <v>17256</v>
      </c>
      <c r="J4192" t="s">
        <v>17257</v>
      </c>
    </row>
    <row r="4193" spans="6:10">
      <c r="F4193" t="s">
        <v>17258</v>
      </c>
      <c r="G4193">
        <v>4190</v>
      </c>
      <c r="H4193" t="s">
        <v>17259</v>
      </c>
      <c r="I4193" t="s">
        <v>17260</v>
      </c>
      <c r="J4193" t="s">
        <v>17261</v>
      </c>
    </row>
    <row r="4194" spans="6:10">
      <c r="F4194" t="s">
        <v>17262</v>
      </c>
      <c r="G4194">
        <v>4191</v>
      </c>
      <c r="H4194" t="s">
        <v>17263</v>
      </c>
      <c r="I4194" t="s">
        <v>17264</v>
      </c>
      <c r="J4194" t="s">
        <v>17265</v>
      </c>
    </row>
    <row r="4195" spans="6:10">
      <c r="F4195" t="s">
        <v>17266</v>
      </c>
      <c r="G4195">
        <v>4192</v>
      </c>
      <c r="H4195" t="s">
        <v>17267</v>
      </c>
      <c r="I4195" t="s">
        <v>17268</v>
      </c>
      <c r="J4195" t="s">
        <v>17269</v>
      </c>
    </row>
    <row r="4196" spans="6:10">
      <c r="F4196" t="s">
        <v>17270</v>
      </c>
      <c r="G4196">
        <v>4193</v>
      </c>
      <c r="H4196" t="s">
        <v>1553</v>
      </c>
      <c r="I4196" t="s">
        <v>1554</v>
      </c>
      <c r="J4196" t="s">
        <v>17271</v>
      </c>
    </row>
    <row r="4197" spans="6:10">
      <c r="F4197" t="s">
        <v>17272</v>
      </c>
      <c r="G4197">
        <v>4194</v>
      </c>
      <c r="H4197" t="s">
        <v>17273</v>
      </c>
      <c r="I4197" t="s">
        <v>17274</v>
      </c>
      <c r="J4197" t="s">
        <v>17275</v>
      </c>
    </row>
    <row r="4198" spans="6:10">
      <c r="F4198" t="s">
        <v>17276</v>
      </c>
      <c r="G4198">
        <v>7335809983</v>
      </c>
      <c r="H4198" t="s">
        <v>5282</v>
      </c>
      <c r="I4198" t="s">
        <v>5282</v>
      </c>
      <c r="J4198" t="s">
        <v>17277</v>
      </c>
    </row>
    <row r="4199" spans="6:10">
      <c r="F4199" t="s">
        <v>17278</v>
      </c>
      <c r="G4199">
        <v>6919805600</v>
      </c>
      <c r="H4199" t="s">
        <v>3579</v>
      </c>
      <c r="I4199" t="s">
        <v>3579</v>
      </c>
      <c r="J4199" t="s">
        <v>17279</v>
      </c>
    </row>
    <row r="4200" spans="6:10">
      <c r="F4200" t="s">
        <v>17280</v>
      </c>
      <c r="G4200">
        <v>4197</v>
      </c>
      <c r="H4200" t="s">
        <v>17281</v>
      </c>
      <c r="I4200" t="s">
        <v>17282</v>
      </c>
      <c r="J4200" t="s">
        <v>17283</v>
      </c>
    </row>
    <row r="4201" spans="6:10">
      <c r="F4201" t="s">
        <v>17284</v>
      </c>
      <c r="G4201">
        <v>9430620983</v>
      </c>
      <c r="H4201" t="s">
        <v>129</v>
      </c>
      <c r="I4201" t="s">
        <v>129</v>
      </c>
      <c r="J4201" t="s">
        <v>17285</v>
      </c>
    </row>
    <row r="4202" spans="6:10">
      <c r="F4202" t="s">
        <v>17286</v>
      </c>
      <c r="G4202">
        <v>4199</v>
      </c>
      <c r="H4202" t="s">
        <v>17287</v>
      </c>
      <c r="I4202" t="s">
        <v>17288</v>
      </c>
      <c r="J4202" t="s">
        <v>17289</v>
      </c>
    </row>
    <row r="4203" spans="6:10">
      <c r="F4203" t="s">
        <v>17290</v>
      </c>
      <c r="G4203">
        <v>5427499717</v>
      </c>
      <c r="H4203" t="s">
        <v>5716</v>
      </c>
      <c r="I4203" t="s">
        <v>5717</v>
      </c>
      <c r="J4203" t="s">
        <v>17291</v>
      </c>
    </row>
    <row r="4204" spans="6:10">
      <c r="F4204" t="s">
        <v>17292</v>
      </c>
      <c r="G4204">
        <v>88862798415</v>
      </c>
      <c r="H4204" t="s">
        <v>3886</v>
      </c>
      <c r="I4204" t="s">
        <v>3886</v>
      </c>
      <c r="J4204" t="s">
        <v>17293</v>
      </c>
    </row>
    <row r="4205" spans="6:10">
      <c r="F4205" t="s">
        <v>17294</v>
      </c>
      <c r="G4205">
        <v>7620466789</v>
      </c>
      <c r="H4205" t="s">
        <v>3252</v>
      </c>
      <c r="I4205" t="s">
        <v>3252</v>
      </c>
      <c r="J4205" t="s">
        <v>17295</v>
      </c>
    </row>
    <row r="4206" spans="6:10">
      <c r="F4206" t="s">
        <v>17296</v>
      </c>
      <c r="G4206">
        <v>4203</v>
      </c>
      <c r="H4206" t="s">
        <v>17297</v>
      </c>
      <c r="I4206" t="s">
        <v>17298</v>
      </c>
      <c r="J4206" t="s">
        <v>17299</v>
      </c>
    </row>
    <row r="4207" spans="6:10">
      <c r="F4207" t="s">
        <v>17300</v>
      </c>
      <c r="G4207">
        <v>4204</v>
      </c>
      <c r="H4207" t="s">
        <v>17301</v>
      </c>
      <c r="I4207" t="s">
        <v>17302</v>
      </c>
      <c r="J4207" t="s">
        <v>17303</v>
      </c>
    </row>
    <row r="4208" spans="6:10">
      <c r="F4208" t="s">
        <v>17304</v>
      </c>
      <c r="G4208">
        <v>4205</v>
      </c>
      <c r="H4208" t="s">
        <v>17305</v>
      </c>
      <c r="I4208" t="s">
        <v>17306</v>
      </c>
      <c r="J4208" t="s">
        <v>17307</v>
      </c>
    </row>
    <row r="4209" spans="6:10">
      <c r="F4209" t="s">
        <v>17308</v>
      </c>
      <c r="G4209">
        <v>4206</v>
      </c>
      <c r="H4209" t="s">
        <v>3373</v>
      </c>
      <c r="I4209" t="s">
        <v>3374</v>
      </c>
      <c r="J4209" t="s">
        <v>17309</v>
      </c>
    </row>
    <row r="4210" spans="6:10">
      <c r="F4210" t="s">
        <v>17310</v>
      </c>
      <c r="G4210">
        <v>4207</v>
      </c>
      <c r="H4210" t="s">
        <v>1661</v>
      </c>
      <c r="I4210" t="s">
        <v>1662</v>
      </c>
      <c r="J4210" t="s">
        <v>17311</v>
      </c>
    </row>
    <row r="4211" spans="6:10">
      <c r="F4211" t="s">
        <v>17312</v>
      </c>
      <c r="G4211">
        <v>4208</v>
      </c>
      <c r="H4211" t="s">
        <v>1728</v>
      </c>
      <c r="I4211" t="s">
        <v>1729</v>
      </c>
      <c r="J4211" t="s">
        <v>17313</v>
      </c>
    </row>
    <row r="4212" spans="6:10">
      <c r="F4212" t="s">
        <v>17314</v>
      </c>
      <c r="G4212">
        <v>12905449640</v>
      </c>
      <c r="H4212" t="s">
        <v>871</v>
      </c>
      <c r="I4212" t="s">
        <v>871</v>
      </c>
      <c r="J4212" t="s">
        <v>17315</v>
      </c>
    </row>
    <row r="4213" spans="6:10">
      <c r="F4213" t="s">
        <v>17316</v>
      </c>
      <c r="G4213">
        <v>4210</v>
      </c>
      <c r="H4213" t="s">
        <v>2015</v>
      </c>
      <c r="I4213" t="s">
        <v>2016</v>
      </c>
      <c r="J4213" t="s">
        <v>17317</v>
      </c>
    </row>
    <row r="4214" spans="6:10">
      <c r="F4214" t="s">
        <v>17318</v>
      </c>
      <c r="G4214">
        <v>4211</v>
      </c>
      <c r="H4214" t="s">
        <v>3167</v>
      </c>
      <c r="I4214" t="s">
        <v>3168</v>
      </c>
      <c r="J4214" t="s">
        <v>17319</v>
      </c>
    </row>
    <row r="4215" spans="6:10">
      <c r="F4215" t="s">
        <v>17320</v>
      </c>
      <c r="G4215">
        <v>4212</v>
      </c>
      <c r="H4215" t="s">
        <v>17321</v>
      </c>
      <c r="I4215" t="s">
        <v>17322</v>
      </c>
      <c r="J4215" t="s">
        <v>17323</v>
      </c>
    </row>
    <row r="4216" spans="6:10">
      <c r="F4216" t="s">
        <v>17324</v>
      </c>
      <c r="G4216">
        <v>4213</v>
      </c>
      <c r="H4216" t="s">
        <v>17325</v>
      </c>
      <c r="I4216" t="s">
        <v>17326</v>
      </c>
      <c r="J4216" t="s">
        <v>17327</v>
      </c>
    </row>
    <row r="4217" spans="6:10">
      <c r="F4217" t="s">
        <v>17328</v>
      </c>
      <c r="G4217">
        <v>4214</v>
      </c>
      <c r="H4217" t="s">
        <v>17329</v>
      </c>
      <c r="I4217" t="s">
        <v>17330</v>
      </c>
      <c r="J4217" t="s">
        <v>17331</v>
      </c>
    </row>
    <row r="4218" spans="6:10">
      <c r="F4218" t="s">
        <v>17332</v>
      </c>
      <c r="G4218">
        <v>92618006020</v>
      </c>
      <c r="H4218" t="s">
        <v>347</v>
      </c>
      <c r="I4218" t="s">
        <v>347</v>
      </c>
      <c r="J4218" t="s">
        <v>17333</v>
      </c>
    </row>
    <row r="4219" spans="6:10">
      <c r="F4219" t="s">
        <v>17334</v>
      </c>
      <c r="G4219">
        <v>4216</v>
      </c>
      <c r="H4219" t="s">
        <v>5409</v>
      </c>
      <c r="I4219" t="s">
        <v>5410</v>
      </c>
      <c r="J4219" t="s">
        <v>17335</v>
      </c>
    </row>
    <row r="4220" spans="6:10">
      <c r="F4220" t="s">
        <v>17336</v>
      </c>
      <c r="G4220">
        <v>4217</v>
      </c>
      <c r="H4220" t="s">
        <v>4001</v>
      </c>
      <c r="I4220" t="s">
        <v>4002</v>
      </c>
      <c r="J4220" t="s">
        <v>17337</v>
      </c>
    </row>
    <row r="4221" spans="6:10">
      <c r="F4221" t="s">
        <v>17338</v>
      </c>
      <c r="G4221">
        <v>4218</v>
      </c>
      <c r="H4221" t="s">
        <v>2246</v>
      </c>
      <c r="I4221" t="s">
        <v>2247</v>
      </c>
      <c r="J4221" t="s">
        <v>17339</v>
      </c>
    </row>
    <row r="4222" spans="6:10">
      <c r="F4222" t="s">
        <v>17340</v>
      </c>
      <c r="G4222">
        <v>4219</v>
      </c>
      <c r="H4222" t="s">
        <v>278</v>
      </c>
      <c r="I4222" t="s">
        <v>278</v>
      </c>
      <c r="J4222" t="s">
        <v>17341</v>
      </c>
    </row>
    <row r="4223" spans="6:10">
      <c r="F4223" t="s">
        <v>17342</v>
      </c>
      <c r="G4223">
        <v>7083374902</v>
      </c>
      <c r="H4223" t="s">
        <v>3246</v>
      </c>
      <c r="I4223" t="s">
        <v>3246</v>
      </c>
      <c r="J4223" t="s">
        <v>17343</v>
      </c>
    </row>
    <row r="4224" spans="6:10">
      <c r="F4224" t="s">
        <v>17344</v>
      </c>
      <c r="G4224">
        <v>99055929972</v>
      </c>
      <c r="H4224" t="s">
        <v>3697</v>
      </c>
      <c r="I4224" t="s">
        <v>3698</v>
      </c>
      <c r="J4224" t="s">
        <v>17345</v>
      </c>
    </row>
    <row r="4225" spans="6:10">
      <c r="F4225" t="s">
        <v>17346</v>
      </c>
      <c r="G4225">
        <v>4222</v>
      </c>
      <c r="H4225" t="s">
        <v>17347</v>
      </c>
      <c r="I4225" t="s">
        <v>17348</v>
      </c>
      <c r="J4225" t="s">
        <v>17349</v>
      </c>
    </row>
    <row r="4226" spans="6:10">
      <c r="F4226" t="s">
        <v>17350</v>
      </c>
      <c r="G4226">
        <v>4223</v>
      </c>
      <c r="H4226" t="s">
        <v>16944</v>
      </c>
      <c r="I4226" t="s">
        <v>17351</v>
      </c>
      <c r="J4226" t="s">
        <v>17352</v>
      </c>
    </row>
    <row r="4227" spans="6:10">
      <c r="F4227" t="s">
        <v>17353</v>
      </c>
      <c r="G4227">
        <v>4224</v>
      </c>
      <c r="H4227" t="s">
        <v>2451</v>
      </c>
      <c r="I4227" t="s">
        <v>2452</v>
      </c>
      <c r="J4227" t="s">
        <v>17354</v>
      </c>
    </row>
    <row r="4228" spans="6:10">
      <c r="F4228" t="s">
        <v>17355</v>
      </c>
      <c r="G4228">
        <v>4225</v>
      </c>
      <c r="H4228" t="s">
        <v>3892</v>
      </c>
      <c r="I4228" t="s">
        <v>3892</v>
      </c>
      <c r="J4228" t="s">
        <v>17356</v>
      </c>
    </row>
    <row r="4229" spans="6:10">
      <c r="F4229" t="s">
        <v>17357</v>
      </c>
      <c r="G4229">
        <v>1210518627</v>
      </c>
      <c r="H4229" t="s">
        <v>3364</v>
      </c>
      <c r="I4229" t="s">
        <v>3364</v>
      </c>
      <c r="J4229" t="s">
        <v>17358</v>
      </c>
    </row>
    <row r="4230" spans="6:10">
      <c r="F4230" t="s">
        <v>17359</v>
      </c>
      <c r="G4230">
        <v>91759471291</v>
      </c>
      <c r="H4230" t="s">
        <v>3150</v>
      </c>
      <c r="I4230" t="s">
        <v>3151</v>
      </c>
      <c r="J4230" t="s">
        <v>17360</v>
      </c>
    </row>
    <row r="4231" spans="6:10">
      <c r="F4231" t="s">
        <v>17361</v>
      </c>
      <c r="G4231">
        <v>4228</v>
      </c>
      <c r="H4231" t="s">
        <v>17362</v>
      </c>
      <c r="I4231" t="s">
        <v>17363</v>
      </c>
      <c r="J4231" t="s">
        <v>17364</v>
      </c>
    </row>
    <row r="4232" spans="6:10">
      <c r="F4232" t="s">
        <v>17365</v>
      </c>
      <c r="G4232">
        <v>81100574700</v>
      </c>
      <c r="H4232" t="s">
        <v>2244</v>
      </c>
      <c r="I4232" t="s">
        <v>2245</v>
      </c>
      <c r="J4232" t="s">
        <v>17366</v>
      </c>
    </row>
    <row r="4233" spans="6:10">
      <c r="F4233" t="s">
        <v>17367</v>
      </c>
      <c r="G4233">
        <v>39748491811</v>
      </c>
      <c r="H4233" t="s">
        <v>1155</v>
      </c>
      <c r="I4233" t="s">
        <v>1155</v>
      </c>
      <c r="J4233" t="s">
        <v>17368</v>
      </c>
    </row>
    <row r="4234" spans="6:10">
      <c r="F4234" t="s">
        <v>17369</v>
      </c>
      <c r="G4234">
        <v>7633493720</v>
      </c>
      <c r="H4234" t="s">
        <v>2014</v>
      </c>
      <c r="I4234" t="s">
        <v>2014</v>
      </c>
      <c r="J4234" t="s">
        <v>17370</v>
      </c>
    </row>
    <row r="4235" spans="6:10">
      <c r="F4235" t="s">
        <v>17371</v>
      </c>
      <c r="G4235">
        <v>4307989112</v>
      </c>
      <c r="H4235" t="s">
        <v>1669</v>
      </c>
      <c r="I4235" t="s">
        <v>1669</v>
      </c>
      <c r="J4235" t="s">
        <v>17372</v>
      </c>
    </row>
    <row r="4236" spans="6:10">
      <c r="F4236" t="s">
        <v>17373</v>
      </c>
      <c r="G4236">
        <v>4233</v>
      </c>
      <c r="H4236" t="s">
        <v>1713</v>
      </c>
      <c r="I4236" t="s">
        <v>1714</v>
      </c>
      <c r="J4236" t="s">
        <v>17374</v>
      </c>
    </row>
    <row r="4237" spans="6:10">
      <c r="F4237" t="s">
        <v>17375</v>
      </c>
      <c r="G4237">
        <v>4234</v>
      </c>
      <c r="H4237" t="s">
        <v>548</v>
      </c>
      <c r="I4237" t="s">
        <v>594</v>
      </c>
      <c r="J4237" t="s">
        <v>17376</v>
      </c>
    </row>
    <row r="4238" spans="6:10">
      <c r="F4238" t="s">
        <v>17377</v>
      </c>
      <c r="G4238">
        <v>32262889899</v>
      </c>
      <c r="H4238" t="s">
        <v>5523</v>
      </c>
      <c r="I4238" t="s">
        <v>5523</v>
      </c>
      <c r="J4238" t="s">
        <v>17378</v>
      </c>
    </row>
    <row r="4239" spans="6:10">
      <c r="F4239" t="s">
        <v>17379</v>
      </c>
      <c r="G4239">
        <v>34952448835</v>
      </c>
      <c r="H4239" t="s">
        <v>3656</v>
      </c>
      <c r="I4239" t="s">
        <v>3656</v>
      </c>
      <c r="J4239" t="s">
        <v>17380</v>
      </c>
    </row>
    <row r="4240" spans="6:10">
      <c r="F4240" t="s">
        <v>17381</v>
      </c>
      <c r="G4240">
        <v>10675939771</v>
      </c>
      <c r="H4240" t="s">
        <v>4432</v>
      </c>
      <c r="I4240" t="s">
        <v>4433</v>
      </c>
      <c r="J4240" t="s">
        <v>17382</v>
      </c>
    </row>
    <row r="4241" spans="6:10">
      <c r="F4241" t="s">
        <v>17383</v>
      </c>
      <c r="G4241">
        <v>4238</v>
      </c>
      <c r="H4241" t="s">
        <v>4435</v>
      </c>
      <c r="I4241" t="s">
        <v>4436</v>
      </c>
      <c r="J4241" t="s">
        <v>17384</v>
      </c>
    </row>
    <row r="4242" spans="6:10">
      <c r="F4242" t="s">
        <v>17385</v>
      </c>
      <c r="G4242">
        <v>82634637691</v>
      </c>
      <c r="H4242" t="s">
        <v>1603</v>
      </c>
      <c r="I4242" t="s">
        <v>1603</v>
      </c>
      <c r="J4242" t="s">
        <v>17386</v>
      </c>
    </row>
    <row r="4243" spans="6:10">
      <c r="F4243" t="s">
        <v>17387</v>
      </c>
      <c r="G4243">
        <v>4240</v>
      </c>
      <c r="H4243" t="s">
        <v>3339</v>
      </c>
      <c r="I4243" t="s">
        <v>3339</v>
      </c>
      <c r="J4243" t="s">
        <v>17388</v>
      </c>
    </row>
    <row r="4244" spans="6:10">
      <c r="F4244" t="s">
        <v>17389</v>
      </c>
      <c r="G4244">
        <v>4241</v>
      </c>
      <c r="H4244" t="s">
        <v>17390</v>
      </c>
      <c r="I4244" t="s">
        <v>17391</v>
      </c>
      <c r="J4244" t="s">
        <v>17392</v>
      </c>
    </row>
    <row r="4245" spans="6:10">
      <c r="F4245" t="s">
        <v>17393</v>
      </c>
      <c r="G4245">
        <v>4242</v>
      </c>
      <c r="H4245" t="s">
        <v>2487</v>
      </c>
      <c r="I4245" t="s">
        <v>2488</v>
      </c>
      <c r="J4245" t="s">
        <v>17394</v>
      </c>
    </row>
    <row r="4246" spans="6:10">
      <c r="F4246" t="s">
        <v>17395</v>
      </c>
      <c r="G4246">
        <v>10466693702</v>
      </c>
      <c r="H4246" t="s">
        <v>2055</v>
      </c>
      <c r="I4246" t="s">
        <v>2055</v>
      </c>
      <c r="J4246" t="s">
        <v>17396</v>
      </c>
    </row>
    <row r="4247" spans="6:10">
      <c r="F4247" t="s">
        <v>17397</v>
      </c>
      <c r="G4247">
        <v>4244</v>
      </c>
      <c r="H4247" t="s">
        <v>3571</v>
      </c>
      <c r="I4247" t="s">
        <v>3571</v>
      </c>
      <c r="J4247" t="s">
        <v>17398</v>
      </c>
    </row>
    <row r="4248" spans="6:10">
      <c r="F4248" t="s">
        <v>17399</v>
      </c>
      <c r="G4248">
        <v>4245</v>
      </c>
      <c r="H4248" t="s">
        <v>3269</v>
      </c>
      <c r="I4248" t="s">
        <v>3270</v>
      </c>
      <c r="J4248" t="s">
        <v>17400</v>
      </c>
    </row>
    <row r="4249" spans="6:10">
      <c r="F4249" t="s">
        <v>17401</v>
      </c>
      <c r="G4249">
        <v>4246</v>
      </c>
      <c r="H4249" t="s">
        <v>3716</v>
      </c>
      <c r="I4249" t="s">
        <v>3716</v>
      </c>
      <c r="J4249" t="s">
        <v>17402</v>
      </c>
    </row>
    <row r="4250" spans="6:10">
      <c r="F4250" t="s">
        <v>17403</v>
      </c>
      <c r="G4250">
        <v>4247</v>
      </c>
      <c r="H4250" t="s">
        <v>17404</v>
      </c>
      <c r="I4250" t="s">
        <v>17405</v>
      </c>
      <c r="J4250" t="s">
        <v>17406</v>
      </c>
    </row>
    <row r="4251" spans="6:10">
      <c r="F4251" t="s">
        <v>17407</v>
      </c>
      <c r="G4251">
        <v>3806538697</v>
      </c>
      <c r="H4251" t="s">
        <v>2525</v>
      </c>
      <c r="I4251" t="s">
        <v>2525</v>
      </c>
      <c r="J4251" t="s">
        <v>17408</v>
      </c>
    </row>
    <row r="4252" spans="6:10">
      <c r="F4252" t="s">
        <v>17409</v>
      </c>
      <c r="G4252">
        <v>18250951751</v>
      </c>
      <c r="H4252" t="s">
        <v>200</v>
      </c>
      <c r="I4252" t="s">
        <v>201</v>
      </c>
      <c r="J4252" t="s">
        <v>17410</v>
      </c>
    </row>
    <row r="4253" spans="6:10">
      <c r="F4253" t="s">
        <v>17411</v>
      </c>
      <c r="G4253">
        <v>2571755048</v>
      </c>
      <c r="H4253" t="s">
        <v>1814</v>
      </c>
      <c r="I4253" t="s">
        <v>1815</v>
      </c>
      <c r="J4253" t="s">
        <v>17412</v>
      </c>
    </row>
    <row r="4254" spans="6:10">
      <c r="F4254" t="s">
        <v>17413</v>
      </c>
      <c r="G4254">
        <v>4251</v>
      </c>
      <c r="H4254" t="s">
        <v>17414</v>
      </c>
      <c r="I4254" t="s">
        <v>17415</v>
      </c>
      <c r="J4254" t="s">
        <v>17416</v>
      </c>
    </row>
    <row r="4255" spans="6:10">
      <c r="F4255" t="s">
        <v>17417</v>
      </c>
      <c r="G4255">
        <v>10140479945</v>
      </c>
      <c r="H4255" t="s">
        <v>1567</v>
      </c>
      <c r="I4255" t="s">
        <v>1568</v>
      </c>
      <c r="J4255" t="s">
        <v>17418</v>
      </c>
    </row>
    <row r="4256" spans="6:10">
      <c r="F4256" t="s">
        <v>17419</v>
      </c>
      <c r="G4256">
        <v>31649709862</v>
      </c>
      <c r="H4256" t="s">
        <v>3102</v>
      </c>
      <c r="I4256" t="s">
        <v>3103</v>
      </c>
      <c r="J4256" t="s">
        <v>17420</v>
      </c>
    </row>
    <row r="4257" spans="6:10">
      <c r="F4257" t="s">
        <v>17421</v>
      </c>
      <c r="G4257">
        <v>4254</v>
      </c>
      <c r="H4257" t="s">
        <v>17422</v>
      </c>
      <c r="I4257" t="s">
        <v>17423</v>
      </c>
      <c r="J4257" t="s">
        <v>17424</v>
      </c>
    </row>
    <row r="4258" spans="6:10">
      <c r="F4258" t="s">
        <v>17425</v>
      </c>
      <c r="G4258">
        <v>4255</v>
      </c>
      <c r="H4258" t="s">
        <v>2091</v>
      </c>
      <c r="I4258" t="s">
        <v>2092</v>
      </c>
      <c r="J4258" t="s">
        <v>17426</v>
      </c>
    </row>
    <row r="4259" spans="6:10">
      <c r="F4259" t="s">
        <v>17427</v>
      </c>
      <c r="G4259">
        <v>4256</v>
      </c>
      <c r="H4259" t="s">
        <v>17428</v>
      </c>
      <c r="I4259" t="s">
        <v>17429</v>
      </c>
      <c r="J4259" t="s">
        <v>17430</v>
      </c>
    </row>
    <row r="4260" spans="6:10">
      <c r="F4260" t="s">
        <v>17431</v>
      </c>
      <c r="G4260">
        <v>4257</v>
      </c>
      <c r="H4260" t="s">
        <v>2093</v>
      </c>
      <c r="I4260" t="s">
        <v>2094</v>
      </c>
      <c r="J4260" t="s">
        <v>17432</v>
      </c>
    </row>
    <row r="4261" spans="6:10">
      <c r="F4261" t="s">
        <v>17433</v>
      </c>
      <c r="G4261">
        <v>5585806459</v>
      </c>
      <c r="H4261" t="s">
        <v>5813</v>
      </c>
      <c r="I4261" t="s">
        <v>5814</v>
      </c>
      <c r="J4261" t="s">
        <v>17434</v>
      </c>
    </row>
    <row r="4262" spans="6:10">
      <c r="F4262" t="s">
        <v>17435</v>
      </c>
      <c r="G4262">
        <v>13493992726</v>
      </c>
      <c r="H4262" t="s">
        <v>312</v>
      </c>
      <c r="I4262" t="s">
        <v>312</v>
      </c>
      <c r="J4262" t="s">
        <v>17436</v>
      </c>
    </row>
    <row r="4263" spans="6:10">
      <c r="F4263" t="s">
        <v>17437</v>
      </c>
      <c r="G4263">
        <v>1304960145</v>
      </c>
      <c r="H4263" t="s">
        <v>884</v>
      </c>
      <c r="I4263" t="s">
        <v>884</v>
      </c>
      <c r="J4263" t="s">
        <v>17438</v>
      </c>
    </row>
    <row r="4264" spans="6:10">
      <c r="F4264" t="s">
        <v>17439</v>
      </c>
      <c r="G4264">
        <v>13557125645</v>
      </c>
      <c r="H4264" t="s">
        <v>3441</v>
      </c>
      <c r="I4264" t="s">
        <v>3441</v>
      </c>
      <c r="J4264" t="s">
        <v>17440</v>
      </c>
    </row>
    <row r="4265" spans="6:10">
      <c r="F4265" t="s">
        <v>17441</v>
      </c>
      <c r="G4265">
        <v>4262</v>
      </c>
      <c r="H4265" t="s">
        <v>1622</v>
      </c>
      <c r="I4265" t="s">
        <v>1631</v>
      </c>
      <c r="J4265" t="s">
        <v>17442</v>
      </c>
    </row>
    <row r="4266" spans="6:10">
      <c r="F4266" t="s">
        <v>17443</v>
      </c>
      <c r="G4266">
        <v>4263</v>
      </c>
      <c r="H4266" t="s">
        <v>2672</v>
      </c>
      <c r="I4266" t="s">
        <v>2673</v>
      </c>
      <c r="J4266" t="s">
        <v>17444</v>
      </c>
    </row>
    <row r="4267" spans="6:10">
      <c r="F4267" t="s">
        <v>17445</v>
      </c>
      <c r="G4267">
        <v>31425495877</v>
      </c>
      <c r="H4267" t="s">
        <v>1735</v>
      </c>
      <c r="I4267" t="s">
        <v>1736</v>
      </c>
      <c r="J4267" t="s">
        <v>17446</v>
      </c>
    </row>
    <row r="4268" spans="6:10">
      <c r="F4268" t="s">
        <v>17447</v>
      </c>
      <c r="G4268">
        <v>16493119740</v>
      </c>
      <c r="H4268" t="s">
        <v>247</v>
      </c>
      <c r="I4268" t="s">
        <v>248</v>
      </c>
      <c r="J4268" t="s">
        <v>17448</v>
      </c>
    </row>
    <row r="4269" spans="6:10">
      <c r="F4269" t="s">
        <v>17449</v>
      </c>
      <c r="G4269">
        <v>4266</v>
      </c>
      <c r="H4269" t="s">
        <v>1089</v>
      </c>
      <c r="I4269" t="s">
        <v>1090</v>
      </c>
      <c r="J4269" t="s">
        <v>17450</v>
      </c>
    </row>
    <row r="4270" spans="6:10">
      <c r="F4270" t="s">
        <v>17451</v>
      </c>
      <c r="G4270">
        <v>4267</v>
      </c>
      <c r="H4270" t="s">
        <v>2259</v>
      </c>
      <c r="I4270" t="s">
        <v>2259</v>
      </c>
      <c r="J4270" t="s">
        <v>17452</v>
      </c>
    </row>
    <row r="4271" spans="6:10">
      <c r="F4271" t="s">
        <v>17453</v>
      </c>
      <c r="G4271">
        <v>44387963859</v>
      </c>
      <c r="H4271" t="s">
        <v>453</v>
      </c>
      <c r="I4271" t="s">
        <v>453</v>
      </c>
      <c r="J4271" t="s">
        <v>17454</v>
      </c>
    </row>
    <row r="4272" spans="6:10">
      <c r="F4272" t="s">
        <v>17455</v>
      </c>
      <c r="G4272">
        <v>13626179702</v>
      </c>
      <c r="H4272" t="s">
        <v>1542</v>
      </c>
      <c r="I4272" t="s">
        <v>1543</v>
      </c>
      <c r="J4272" t="s">
        <v>17456</v>
      </c>
    </row>
    <row r="4273" spans="6:10">
      <c r="F4273" t="s">
        <v>17457</v>
      </c>
      <c r="G4273">
        <v>9503407745</v>
      </c>
      <c r="H4273" t="s">
        <v>2981</v>
      </c>
      <c r="I4273" t="s">
        <v>2981</v>
      </c>
      <c r="J4273" t="s">
        <v>17458</v>
      </c>
    </row>
    <row r="4274" spans="6:10">
      <c r="F4274" t="s">
        <v>17459</v>
      </c>
      <c r="G4274">
        <v>4271</v>
      </c>
      <c r="H4274" t="s">
        <v>24564</v>
      </c>
      <c r="I4274" t="s">
        <v>24565</v>
      </c>
      <c r="J4274" t="s">
        <v>17460</v>
      </c>
    </row>
    <row r="4275" spans="6:10">
      <c r="F4275" t="s">
        <v>17461</v>
      </c>
      <c r="G4275">
        <v>4272</v>
      </c>
      <c r="H4275" t="s">
        <v>3091</v>
      </c>
      <c r="I4275" t="s">
        <v>3091</v>
      </c>
      <c r="J4275" t="s">
        <v>17462</v>
      </c>
    </row>
    <row r="4276" spans="6:10">
      <c r="F4276" t="s">
        <v>17463</v>
      </c>
      <c r="G4276">
        <v>2228100170</v>
      </c>
      <c r="H4276" t="s">
        <v>240</v>
      </c>
      <c r="I4276" t="s">
        <v>240</v>
      </c>
      <c r="J4276" t="s">
        <v>17464</v>
      </c>
    </row>
    <row r="4277" spans="6:10">
      <c r="F4277" t="s">
        <v>17465</v>
      </c>
      <c r="G4277">
        <v>4274</v>
      </c>
      <c r="H4277" t="s">
        <v>13795</v>
      </c>
      <c r="I4277" t="s">
        <v>13796</v>
      </c>
      <c r="J4277" t="s">
        <v>17466</v>
      </c>
    </row>
    <row r="4278" spans="6:10">
      <c r="F4278" t="s">
        <v>17467</v>
      </c>
      <c r="G4278">
        <v>89726278791</v>
      </c>
      <c r="H4278" t="s">
        <v>5317</v>
      </c>
      <c r="I4278" t="s">
        <v>5318</v>
      </c>
      <c r="J4278" t="s">
        <v>17468</v>
      </c>
    </row>
    <row r="4279" spans="6:10">
      <c r="F4279" t="s">
        <v>17469</v>
      </c>
      <c r="G4279">
        <v>4276</v>
      </c>
      <c r="H4279" t="s">
        <v>17470</v>
      </c>
      <c r="I4279" t="s">
        <v>17471</v>
      </c>
      <c r="J4279" t="s">
        <v>17472</v>
      </c>
    </row>
    <row r="4280" spans="6:10">
      <c r="F4280" t="s">
        <v>17473</v>
      </c>
      <c r="G4280">
        <v>4583158777</v>
      </c>
      <c r="H4280" t="s">
        <v>85</v>
      </c>
      <c r="I4280" t="s">
        <v>86</v>
      </c>
      <c r="J4280" t="s">
        <v>17474</v>
      </c>
    </row>
    <row r="4281" spans="6:10">
      <c r="F4281" t="s">
        <v>17475</v>
      </c>
      <c r="G4281">
        <v>5441380667</v>
      </c>
      <c r="H4281" t="s">
        <v>6128</v>
      </c>
      <c r="I4281" t="s">
        <v>6128</v>
      </c>
      <c r="J4281" t="s">
        <v>17476</v>
      </c>
    </row>
    <row r="4282" spans="6:10">
      <c r="F4282" t="s">
        <v>17477</v>
      </c>
      <c r="G4282">
        <v>4279</v>
      </c>
      <c r="H4282" t="s">
        <v>17478</v>
      </c>
      <c r="I4282" t="s">
        <v>17478</v>
      </c>
      <c r="J4282" t="s">
        <v>17479</v>
      </c>
    </row>
    <row r="4283" spans="6:10">
      <c r="F4283" t="s">
        <v>17480</v>
      </c>
      <c r="G4283">
        <v>36513079802</v>
      </c>
      <c r="H4283" t="s">
        <v>2235</v>
      </c>
      <c r="I4283" t="s">
        <v>2235</v>
      </c>
      <c r="J4283" t="s">
        <v>17481</v>
      </c>
    </row>
    <row r="4284" spans="6:10">
      <c r="F4284" t="s">
        <v>17482</v>
      </c>
      <c r="G4284">
        <v>13037180730</v>
      </c>
      <c r="H4284" t="s">
        <v>5034</v>
      </c>
      <c r="I4284" t="s">
        <v>5034</v>
      </c>
      <c r="J4284" t="s">
        <v>17483</v>
      </c>
    </row>
    <row r="4285" spans="6:10">
      <c r="F4285" t="s">
        <v>17484</v>
      </c>
      <c r="G4285">
        <v>4282</v>
      </c>
      <c r="H4285" t="s">
        <v>5757</v>
      </c>
      <c r="I4285" t="s">
        <v>5758</v>
      </c>
      <c r="J4285" t="s">
        <v>17485</v>
      </c>
    </row>
    <row r="4286" spans="6:10">
      <c r="F4286" t="s">
        <v>17486</v>
      </c>
      <c r="G4286">
        <v>40973082895</v>
      </c>
      <c r="H4286" t="s">
        <v>2255</v>
      </c>
      <c r="I4286" t="s">
        <v>2255</v>
      </c>
      <c r="J4286" t="s">
        <v>17487</v>
      </c>
    </row>
    <row r="4287" spans="6:10">
      <c r="F4287" t="s">
        <v>17488</v>
      </c>
      <c r="G4287">
        <v>9831430727</v>
      </c>
      <c r="H4287" t="s">
        <v>2264</v>
      </c>
      <c r="I4287" t="s">
        <v>2265</v>
      </c>
      <c r="J4287" t="s">
        <v>17489</v>
      </c>
    </row>
    <row r="4288" spans="6:10">
      <c r="F4288" t="s">
        <v>17490</v>
      </c>
      <c r="G4288">
        <v>22891481801</v>
      </c>
      <c r="H4288" t="s">
        <v>971</v>
      </c>
      <c r="I4288" t="s">
        <v>971</v>
      </c>
      <c r="J4288" t="s">
        <v>17491</v>
      </c>
    </row>
    <row r="4289" spans="6:10">
      <c r="F4289" t="s">
        <v>17492</v>
      </c>
      <c r="G4289">
        <v>2557784494</v>
      </c>
      <c r="H4289" t="s">
        <v>3883</v>
      </c>
      <c r="I4289" t="s">
        <v>3883</v>
      </c>
      <c r="J4289" t="s">
        <v>17493</v>
      </c>
    </row>
    <row r="4290" spans="6:10">
      <c r="F4290" t="s">
        <v>17494</v>
      </c>
      <c r="G4290">
        <v>4287</v>
      </c>
      <c r="H4290" t="s">
        <v>1636</v>
      </c>
      <c r="I4290" t="s">
        <v>1644</v>
      </c>
      <c r="J4290" t="s">
        <v>17495</v>
      </c>
    </row>
    <row r="4291" spans="6:10">
      <c r="F4291" t="s">
        <v>17496</v>
      </c>
      <c r="G4291">
        <v>4288</v>
      </c>
      <c r="H4291" t="s">
        <v>1649</v>
      </c>
      <c r="I4291" t="s">
        <v>1652</v>
      </c>
      <c r="J4291" t="s">
        <v>17497</v>
      </c>
    </row>
    <row r="4292" spans="6:10">
      <c r="F4292" t="s">
        <v>17498</v>
      </c>
      <c r="G4292">
        <v>4289</v>
      </c>
      <c r="H4292" t="s">
        <v>983</v>
      </c>
      <c r="I4292" t="s">
        <v>983</v>
      </c>
      <c r="J4292" t="s">
        <v>17499</v>
      </c>
    </row>
    <row r="4293" spans="6:10">
      <c r="F4293" t="s">
        <v>17500</v>
      </c>
      <c r="G4293">
        <v>4290</v>
      </c>
      <c r="H4293" t="s">
        <v>3277</v>
      </c>
      <c r="I4293" t="s">
        <v>3277</v>
      </c>
      <c r="J4293" t="s">
        <v>17501</v>
      </c>
    </row>
    <row r="4294" spans="6:10">
      <c r="F4294" t="s">
        <v>17502</v>
      </c>
      <c r="G4294">
        <v>7087786822</v>
      </c>
      <c r="H4294" t="s">
        <v>1813</v>
      </c>
      <c r="I4294" t="s">
        <v>1813</v>
      </c>
      <c r="J4294" t="s">
        <v>17503</v>
      </c>
    </row>
    <row r="4295" spans="6:10">
      <c r="F4295" t="s">
        <v>17504</v>
      </c>
      <c r="G4295">
        <v>4292</v>
      </c>
      <c r="H4295" t="s">
        <v>17505</v>
      </c>
      <c r="I4295" t="s">
        <v>17506</v>
      </c>
      <c r="J4295" t="s">
        <v>17507</v>
      </c>
    </row>
    <row r="4296" spans="6:10">
      <c r="F4296" t="s">
        <v>17508</v>
      </c>
      <c r="G4296">
        <v>4293</v>
      </c>
      <c r="H4296" t="s">
        <v>5153</v>
      </c>
      <c r="I4296" t="s">
        <v>5154</v>
      </c>
      <c r="J4296" t="s">
        <v>17509</v>
      </c>
    </row>
    <row r="4297" spans="6:10">
      <c r="F4297" t="s">
        <v>17510</v>
      </c>
      <c r="G4297">
        <v>4294</v>
      </c>
      <c r="H4297" t="s">
        <v>17511</v>
      </c>
      <c r="I4297" t="s">
        <v>17512</v>
      </c>
      <c r="J4297" t="s">
        <v>17513</v>
      </c>
    </row>
    <row r="4298" spans="6:10">
      <c r="F4298" t="s">
        <v>17514</v>
      </c>
      <c r="G4298">
        <v>4295</v>
      </c>
      <c r="H4298" t="s">
        <v>1760</v>
      </c>
      <c r="I4298" t="s">
        <v>1761</v>
      </c>
      <c r="J4298" t="s">
        <v>17515</v>
      </c>
    </row>
    <row r="4299" spans="6:10">
      <c r="F4299" t="s">
        <v>17516</v>
      </c>
      <c r="G4299">
        <v>15688335718</v>
      </c>
      <c r="H4299" t="s">
        <v>2989</v>
      </c>
      <c r="I4299" t="s">
        <v>2989</v>
      </c>
      <c r="J4299" t="s">
        <v>17517</v>
      </c>
    </row>
    <row r="4300" spans="6:10">
      <c r="F4300" t="s">
        <v>17518</v>
      </c>
      <c r="G4300">
        <v>11455854697</v>
      </c>
      <c r="H4300" t="s">
        <v>1444</v>
      </c>
      <c r="I4300" t="s">
        <v>1444</v>
      </c>
      <c r="J4300" t="s">
        <v>17519</v>
      </c>
    </row>
    <row r="4301" spans="6:10">
      <c r="F4301" t="s">
        <v>17520</v>
      </c>
      <c r="G4301">
        <v>73839329353</v>
      </c>
      <c r="H4301" t="s">
        <v>3340</v>
      </c>
      <c r="I4301" t="s">
        <v>3341</v>
      </c>
      <c r="J4301" t="s">
        <v>17521</v>
      </c>
    </row>
    <row r="4302" spans="6:10">
      <c r="F4302" t="s">
        <v>17522</v>
      </c>
      <c r="G4302">
        <v>4299</v>
      </c>
      <c r="H4302" t="s">
        <v>5500</v>
      </c>
      <c r="I4302" t="s">
        <v>5501</v>
      </c>
      <c r="J4302" t="s">
        <v>17523</v>
      </c>
    </row>
    <row r="4303" spans="6:10">
      <c r="F4303" t="s">
        <v>17524</v>
      </c>
      <c r="G4303">
        <v>4300</v>
      </c>
      <c r="H4303" t="s">
        <v>17525</v>
      </c>
      <c r="I4303" t="s">
        <v>2059</v>
      </c>
      <c r="J4303" t="s">
        <v>17526</v>
      </c>
    </row>
    <row r="4304" spans="6:10">
      <c r="F4304" t="s">
        <v>17527</v>
      </c>
      <c r="G4304">
        <v>5481193760</v>
      </c>
      <c r="H4304" t="s">
        <v>874</v>
      </c>
      <c r="I4304" t="s">
        <v>875</v>
      </c>
      <c r="J4304" t="s">
        <v>17528</v>
      </c>
    </row>
    <row r="4305" spans="6:10">
      <c r="F4305" t="s">
        <v>17529</v>
      </c>
      <c r="G4305">
        <v>4302</v>
      </c>
      <c r="H4305" t="s">
        <v>3658</v>
      </c>
      <c r="I4305" t="s">
        <v>3659</v>
      </c>
      <c r="J4305" t="s">
        <v>17530</v>
      </c>
    </row>
    <row r="4306" spans="6:10">
      <c r="F4306" t="s">
        <v>17531</v>
      </c>
      <c r="G4306">
        <v>5958418483</v>
      </c>
      <c r="H4306" t="s">
        <v>4218</v>
      </c>
      <c r="I4306" t="s">
        <v>4218</v>
      </c>
      <c r="J4306" t="s">
        <v>17532</v>
      </c>
    </row>
    <row r="4307" spans="6:10">
      <c r="F4307" t="s">
        <v>17533</v>
      </c>
      <c r="G4307">
        <v>331441250</v>
      </c>
      <c r="H4307" t="s">
        <v>3521</v>
      </c>
      <c r="I4307" t="s">
        <v>3522</v>
      </c>
      <c r="J4307" t="s">
        <v>17534</v>
      </c>
    </row>
    <row r="4308" spans="6:10">
      <c r="F4308" t="s">
        <v>17535</v>
      </c>
      <c r="G4308">
        <v>40948314877</v>
      </c>
      <c r="H4308" t="s">
        <v>4368</v>
      </c>
      <c r="I4308" t="s">
        <v>4368</v>
      </c>
      <c r="J4308" t="s">
        <v>17536</v>
      </c>
    </row>
    <row r="4309" spans="6:10">
      <c r="F4309" t="s">
        <v>17537</v>
      </c>
      <c r="G4309">
        <v>4306</v>
      </c>
      <c r="H4309" t="s">
        <v>17538</v>
      </c>
      <c r="I4309" t="s">
        <v>17539</v>
      </c>
      <c r="J4309" t="s">
        <v>17540</v>
      </c>
    </row>
    <row r="4310" spans="6:10">
      <c r="F4310" t="s">
        <v>17541</v>
      </c>
      <c r="G4310">
        <v>6997774610</v>
      </c>
      <c r="H4310" t="s">
        <v>3051</v>
      </c>
      <c r="I4310" t="s">
        <v>3051</v>
      </c>
      <c r="J4310" t="s">
        <v>17542</v>
      </c>
    </row>
    <row r="4311" spans="6:10">
      <c r="F4311" t="s">
        <v>17543</v>
      </c>
      <c r="G4311">
        <v>13227422786</v>
      </c>
      <c r="H4311" t="s">
        <v>986</v>
      </c>
      <c r="I4311" t="s">
        <v>987</v>
      </c>
      <c r="J4311" t="s">
        <v>17544</v>
      </c>
    </row>
    <row r="4312" spans="6:10">
      <c r="F4312" t="s">
        <v>17545</v>
      </c>
      <c r="G4312">
        <v>4309</v>
      </c>
      <c r="H4312" t="s">
        <v>5066</v>
      </c>
      <c r="I4312" t="s">
        <v>5066</v>
      </c>
      <c r="J4312" t="s">
        <v>17546</v>
      </c>
    </row>
    <row r="4313" spans="6:10">
      <c r="F4313" t="s">
        <v>17547</v>
      </c>
      <c r="G4313">
        <v>4310</v>
      </c>
      <c r="H4313" t="s">
        <v>3714</v>
      </c>
      <c r="I4313" t="s">
        <v>3714</v>
      </c>
      <c r="J4313" t="s">
        <v>17548</v>
      </c>
    </row>
    <row r="4314" spans="6:10">
      <c r="F4314" t="s">
        <v>17549</v>
      </c>
      <c r="G4314">
        <v>4311</v>
      </c>
      <c r="H4314" t="s">
        <v>2260</v>
      </c>
      <c r="I4314" t="s">
        <v>2260</v>
      </c>
      <c r="J4314" t="s">
        <v>17550</v>
      </c>
    </row>
    <row r="4315" spans="6:10">
      <c r="F4315" t="s">
        <v>17551</v>
      </c>
      <c r="G4315">
        <v>4312</v>
      </c>
      <c r="H4315" t="s">
        <v>807</v>
      </c>
      <c r="I4315" t="s">
        <v>808</v>
      </c>
      <c r="J4315" t="s">
        <v>17552</v>
      </c>
    </row>
    <row r="4316" spans="6:10">
      <c r="F4316" t="s">
        <v>17553</v>
      </c>
      <c r="G4316">
        <v>11931645752</v>
      </c>
      <c r="H4316" t="s">
        <v>199</v>
      </c>
      <c r="I4316" t="s">
        <v>199</v>
      </c>
      <c r="J4316" t="s">
        <v>17554</v>
      </c>
    </row>
    <row r="4317" spans="6:10">
      <c r="F4317" t="s">
        <v>17555</v>
      </c>
      <c r="G4317">
        <v>4314</v>
      </c>
      <c r="H4317" t="s">
        <v>5545</v>
      </c>
      <c r="I4317" t="s">
        <v>5546</v>
      </c>
      <c r="J4317" t="s">
        <v>17556</v>
      </c>
    </row>
    <row r="4318" spans="6:10">
      <c r="F4318" t="s">
        <v>17557</v>
      </c>
      <c r="G4318">
        <v>4315</v>
      </c>
      <c r="H4318" t="s">
        <v>3465</v>
      </c>
      <c r="I4318" t="s">
        <v>3465</v>
      </c>
      <c r="J4318" t="s">
        <v>17558</v>
      </c>
    </row>
    <row r="4319" spans="6:10">
      <c r="F4319" t="s">
        <v>17559</v>
      </c>
      <c r="G4319">
        <v>4316</v>
      </c>
      <c r="H4319" t="s">
        <v>4644</v>
      </c>
      <c r="I4319" t="s">
        <v>4645</v>
      </c>
      <c r="J4319" t="s">
        <v>17560</v>
      </c>
    </row>
    <row r="4320" spans="6:10">
      <c r="F4320" t="s">
        <v>17561</v>
      </c>
      <c r="G4320">
        <v>4317</v>
      </c>
      <c r="H4320" t="s">
        <v>890</v>
      </c>
      <c r="I4320" t="s">
        <v>890</v>
      </c>
      <c r="J4320" t="s">
        <v>17562</v>
      </c>
    </row>
    <row r="4321" spans="6:10">
      <c r="F4321" t="s">
        <v>17563</v>
      </c>
      <c r="G4321">
        <v>42616021803</v>
      </c>
      <c r="H4321" t="s">
        <v>3660</v>
      </c>
      <c r="I4321" t="s">
        <v>3661</v>
      </c>
      <c r="J4321" t="s">
        <v>17564</v>
      </c>
    </row>
    <row r="4322" spans="6:10">
      <c r="F4322" t="s">
        <v>17565</v>
      </c>
      <c r="G4322">
        <v>4319</v>
      </c>
      <c r="H4322" t="s">
        <v>17566</v>
      </c>
      <c r="I4322" t="s">
        <v>17567</v>
      </c>
      <c r="J4322" t="s">
        <v>17568</v>
      </c>
    </row>
    <row r="4323" spans="6:10">
      <c r="F4323" t="s">
        <v>17569</v>
      </c>
      <c r="G4323">
        <v>4320</v>
      </c>
      <c r="H4323" t="s">
        <v>14074</v>
      </c>
      <c r="I4323" t="s">
        <v>16149</v>
      </c>
      <c r="J4323" t="s">
        <v>17570</v>
      </c>
    </row>
    <row r="4324" spans="6:10">
      <c r="F4324" t="s">
        <v>17571</v>
      </c>
      <c r="G4324">
        <v>4321</v>
      </c>
      <c r="H4324" t="s">
        <v>7739</v>
      </c>
      <c r="I4324" t="s">
        <v>7740</v>
      </c>
      <c r="J4324" t="s">
        <v>17572</v>
      </c>
    </row>
    <row r="4325" spans="6:10">
      <c r="F4325" t="s">
        <v>17573</v>
      </c>
      <c r="G4325">
        <v>4322</v>
      </c>
      <c r="H4325" t="s">
        <v>17574</v>
      </c>
      <c r="I4325" t="s">
        <v>17575</v>
      </c>
      <c r="J4325" t="s">
        <v>17576</v>
      </c>
    </row>
    <row r="4326" spans="6:10">
      <c r="F4326" t="s">
        <v>17577</v>
      </c>
      <c r="G4326">
        <v>4323</v>
      </c>
      <c r="H4326" t="s">
        <v>2638</v>
      </c>
      <c r="I4326" t="s">
        <v>2639</v>
      </c>
      <c r="J4326" t="s">
        <v>17578</v>
      </c>
    </row>
    <row r="4327" spans="6:10">
      <c r="F4327" t="s">
        <v>17579</v>
      </c>
      <c r="G4327">
        <v>4324</v>
      </c>
      <c r="H4327" t="s">
        <v>17580</v>
      </c>
      <c r="I4327" t="s">
        <v>17581</v>
      </c>
      <c r="J4327" t="s">
        <v>17582</v>
      </c>
    </row>
    <row r="4328" spans="6:10">
      <c r="F4328" t="s">
        <v>17583</v>
      </c>
      <c r="G4328">
        <v>4325</v>
      </c>
      <c r="H4328" t="s">
        <v>17584</v>
      </c>
      <c r="I4328" t="s">
        <v>17581</v>
      </c>
      <c r="J4328" t="s">
        <v>17585</v>
      </c>
    </row>
    <row r="4329" spans="6:10">
      <c r="F4329" t="s">
        <v>17586</v>
      </c>
      <c r="G4329">
        <v>75303558649</v>
      </c>
      <c r="H4329" t="s">
        <v>1257</v>
      </c>
      <c r="I4329" t="s">
        <v>1257</v>
      </c>
      <c r="J4329" t="s">
        <v>17587</v>
      </c>
    </row>
    <row r="4330" spans="6:10">
      <c r="F4330" t="s">
        <v>17588</v>
      </c>
      <c r="G4330">
        <v>39464353864</v>
      </c>
      <c r="H4330" t="s">
        <v>3335</v>
      </c>
      <c r="I4330" t="s">
        <v>3335</v>
      </c>
      <c r="J4330" t="s">
        <v>17589</v>
      </c>
    </row>
    <row r="4331" spans="6:10">
      <c r="F4331" t="s">
        <v>17590</v>
      </c>
      <c r="G4331">
        <v>6539273800</v>
      </c>
      <c r="H4331" t="s">
        <v>4214</v>
      </c>
      <c r="I4331" t="s">
        <v>4214</v>
      </c>
      <c r="J4331" t="s">
        <v>17591</v>
      </c>
    </row>
    <row r="4332" spans="6:10">
      <c r="F4332" t="s">
        <v>17592</v>
      </c>
      <c r="G4332">
        <v>51579288820</v>
      </c>
      <c r="H4332" t="s">
        <v>4661</v>
      </c>
      <c r="I4332" t="s">
        <v>4662</v>
      </c>
      <c r="J4332" t="s">
        <v>17593</v>
      </c>
    </row>
    <row r="4333" spans="6:10">
      <c r="F4333" t="s">
        <v>17594</v>
      </c>
      <c r="G4333">
        <v>9652549762</v>
      </c>
      <c r="H4333" t="s">
        <v>1032</v>
      </c>
      <c r="I4333" t="s">
        <v>1032</v>
      </c>
      <c r="J4333" t="s">
        <v>17595</v>
      </c>
    </row>
    <row r="4334" spans="6:10">
      <c r="F4334" t="s">
        <v>17596</v>
      </c>
      <c r="G4334">
        <v>142153575</v>
      </c>
      <c r="H4334" t="s">
        <v>3691</v>
      </c>
      <c r="I4334" t="s">
        <v>3691</v>
      </c>
      <c r="J4334" t="s">
        <v>17597</v>
      </c>
    </row>
    <row r="4335" spans="6:10">
      <c r="F4335" t="s">
        <v>17598</v>
      </c>
      <c r="G4335">
        <v>14881778803</v>
      </c>
      <c r="H4335" t="s">
        <v>5312</v>
      </c>
      <c r="I4335" t="s">
        <v>5312</v>
      </c>
      <c r="J4335" t="s">
        <v>17599</v>
      </c>
    </row>
    <row r="4336" spans="6:10">
      <c r="F4336" t="s">
        <v>17600</v>
      </c>
      <c r="G4336">
        <v>4333</v>
      </c>
      <c r="H4336" t="s">
        <v>5710</v>
      </c>
      <c r="I4336" t="s">
        <v>5710</v>
      </c>
      <c r="J4336" t="s">
        <v>17601</v>
      </c>
    </row>
    <row r="4337" spans="6:10">
      <c r="F4337" t="s">
        <v>17602</v>
      </c>
      <c r="G4337">
        <v>4334</v>
      </c>
      <c r="H4337" t="s">
        <v>5311</v>
      </c>
      <c r="I4337" t="s">
        <v>5311</v>
      </c>
      <c r="J4337" t="s">
        <v>17603</v>
      </c>
    </row>
    <row r="4338" spans="6:10">
      <c r="F4338" t="s">
        <v>17604</v>
      </c>
      <c r="G4338">
        <v>2619999316</v>
      </c>
      <c r="H4338" t="s">
        <v>5797</v>
      </c>
      <c r="I4338" t="s">
        <v>5798</v>
      </c>
      <c r="J4338" t="s">
        <v>17605</v>
      </c>
    </row>
    <row r="4339" spans="6:10">
      <c r="F4339" t="s">
        <v>17606</v>
      </c>
      <c r="G4339">
        <v>9290603690</v>
      </c>
      <c r="H4339" t="s">
        <v>5506</v>
      </c>
      <c r="I4339" t="s">
        <v>5507</v>
      </c>
      <c r="J4339" t="s">
        <v>17607</v>
      </c>
    </row>
    <row r="4340" spans="6:10">
      <c r="F4340" t="s">
        <v>17608</v>
      </c>
      <c r="G4340">
        <v>8486847702</v>
      </c>
      <c r="H4340" t="s">
        <v>1987</v>
      </c>
      <c r="I4340" t="s">
        <v>1987</v>
      </c>
      <c r="J4340" t="s">
        <v>17609</v>
      </c>
    </row>
    <row r="4341" spans="6:10">
      <c r="F4341" t="s">
        <v>17610</v>
      </c>
      <c r="G4341">
        <v>4338</v>
      </c>
      <c r="H4341" t="s">
        <v>3865</v>
      </c>
      <c r="I4341" t="s">
        <v>3865</v>
      </c>
      <c r="J4341" t="s">
        <v>17611</v>
      </c>
    </row>
    <row r="4342" spans="6:10">
      <c r="F4342" t="s">
        <v>17612</v>
      </c>
      <c r="G4342">
        <v>2921999102</v>
      </c>
      <c r="H4342" t="s">
        <v>882</v>
      </c>
      <c r="I4342" t="s">
        <v>882</v>
      </c>
      <c r="J4342" t="s">
        <v>17613</v>
      </c>
    </row>
    <row r="4343" spans="6:10">
      <c r="F4343" t="s">
        <v>17614</v>
      </c>
      <c r="G4343">
        <v>4340</v>
      </c>
      <c r="H4343" t="s">
        <v>290</v>
      </c>
      <c r="I4343" t="s">
        <v>290</v>
      </c>
      <c r="J4343" t="s">
        <v>17615</v>
      </c>
    </row>
    <row r="4344" spans="6:10">
      <c r="F4344" t="s">
        <v>17616</v>
      </c>
      <c r="G4344">
        <v>13550629850</v>
      </c>
      <c r="H4344" t="s">
        <v>433</v>
      </c>
      <c r="I4344" t="s">
        <v>434</v>
      </c>
      <c r="J4344" t="s">
        <v>17617</v>
      </c>
    </row>
    <row r="4345" spans="6:10">
      <c r="F4345" t="s">
        <v>17618</v>
      </c>
      <c r="G4345">
        <v>3170087142</v>
      </c>
      <c r="H4345" t="s">
        <v>3926</v>
      </c>
      <c r="I4345" t="s">
        <v>3927</v>
      </c>
      <c r="J4345" t="s">
        <v>17619</v>
      </c>
    </row>
    <row r="4346" spans="6:10">
      <c r="F4346" t="s">
        <v>17620</v>
      </c>
      <c r="G4346">
        <v>18274879686</v>
      </c>
      <c r="H4346" t="s">
        <v>3648</v>
      </c>
      <c r="I4346" t="s">
        <v>3648</v>
      </c>
      <c r="J4346" t="s">
        <v>17621</v>
      </c>
    </row>
    <row r="4347" spans="6:10">
      <c r="F4347" t="s">
        <v>17622</v>
      </c>
      <c r="G4347">
        <v>8677665730</v>
      </c>
      <c r="H4347" t="s">
        <v>5994</v>
      </c>
      <c r="I4347" t="s">
        <v>5994</v>
      </c>
      <c r="J4347" t="s">
        <v>17623</v>
      </c>
    </row>
    <row r="4348" spans="6:10">
      <c r="F4348" t="s">
        <v>17624</v>
      </c>
      <c r="G4348">
        <v>1905865082</v>
      </c>
      <c r="H4348" t="s">
        <v>3572</v>
      </c>
      <c r="I4348" t="s">
        <v>3573</v>
      </c>
      <c r="J4348" t="s">
        <v>17625</v>
      </c>
    </row>
    <row r="4349" spans="6:10">
      <c r="F4349" t="s">
        <v>17626</v>
      </c>
      <c r="G4349">
        <v>4346</v>
      </c>
      <c r="H4349" t="s">
        <v>5647</v>
      </c>
      <c r="I4349" t="s">
        <v>5647</v>
      </c>
      <c r="J4349" t="s">
        <v>17627</v>
      </c>
    </row>
    <row r="4350" spans="6:10">
      <c r="F4350" t="s">
        <v>17628</v>
      </c>
      <c r="G4350">
        <v>4347</v>
      </c>
      <c r="H4350" t="s">
        <v>17629</v>
      </c>
      <c r="I4350" t="s">
        <v>17630</v>
      </c>
      <c r="J4350" t="s">
        <v>17631</v>
      </c>
    </row>
    <row r="4351" spans="6:10">
      <c r="F4351" t="s">
        <v>17632</v>
      </c>
      <c r="G4351">
        <v>4348</v>
      </c>
      <c r="H4351" t="s">
        <v>17633</v>
      </c>
      <c r="I4351" t="s">
        <v>17634</v>
      </c>
      <c r="J4351" t="s">
        <v>17635</v>
      </c>
    </row>
    <row r="4352" spans="6:10">
      <c r="F4352" t="s">
        <v>17636</v>
      </c>
      <c r="G4352">
        <v>7704252755</v>
      </c>
      <c r="H4352" t="s">
        <v>6214</v>
      </c>
      <c r="I4352" t="s">
        <v>6214</v>
      </c>
      <c r="J4352" t="s">
        <v>17637</v>
      </c>
    </row>
    <row r="4353" spans="6:10">
      <c r="F4353" t="s">
        <v>17638</v>
      </c>
      <c r="G4353">
        <v>85220655191</v>
      </c>
      <c r="H4353" t="s">
        <v>1589</v>
      </c>
      <c r="I4353" t="s">
        <v>1590</v>
      </c>
      <c r="J4353" t="s">
        <v>17639</v>
      </c>
    </row>
    <row r="4354" spans="6:10">
      <c r="F4354" t="s">
        <v>17640</v>
      </c>
      <c r="G4354">
        <v>28766486874</v>
      </c>
      <c r="H4354" t="s">
        <v>2456</v>
      </c>
      <c r="I4354" t="s">
        <v>2456</v>
      </c>
      <c r="J4354" t="s">
        <v>17641</v>
      </c>
    </row>
    <row r="4355" spans="6:10">
      <c r="F4355" t="s">
        <v>17642</v>
      </c>
      <c r="G4355">
        <v>4352</v>
      </c>
      <c r="H4355" t="s">
        <v>5049</v>
      </c>
      <c r="I4355" t="s">
        <v>5049</v>
      </c>
      <c r="J4355" t="s">
        <v>17643</v>
      </c>
    </row>
    <row r="4356" spans="6:10">
      <c r="F4356" t="s">
        <v>17644</v>
      </c>
      <c r="G4356">
        <v>4353</v>
      </c>
      <c r="H4356" t="s">
        <v>17645</v>
      </c>
      <c r="I4356" t="s">
        <v>17646</v>
      </c>
      <c r="J4356" t="s">
        <v>17647</v>
      </c>
    </row>
    <row r="4357" spans="6:10">
      <c r="F4357" t="s">
        <v>17648</v>
      </c>
      <c r="G4357">
        <v>4354</v>
      </c>
      <c r="H4357" t="s">
        <v>2139</v>
      </c>
      <c r="I4357" t="s">
        <v>2127</v>
      </c>
      <c r="J4357" t="s">
        <v>17649</v>
      </c>
    </row>
    <row r="4358" spans="6:10">
      <c r="F4358" t="s">
        <v>17650</v>
      </c>
      <c r="G4358">
        <v>5502696731</v>
      </c>
      <c r="H4358" t="s">
        <v>2007</v>
      </c>
      <c r="I4358" t="s">
        <v>2007</v>
      </c>
      <c r="J4358" t="s">
        <v>17651</v>
      </c>
    </row>
    <row r="4359" spans="6:10">
      <c r="F4359" t="s">
        <v>17652</v>
      </c>
      <c r="G4359">
        <v>4356</v>
      </c>
      <c r="H4359" t="s">
        <v>17653</v>
      </c>
      <c r="I4359" t="s">
        <v>17654</v>
      </c>
      <c r="J4359" t="s">
        <v>17655</v>
      </c>
    </row>
    <row r="4360" spans="6:10">
      <c r="F4360" t="s">
        <v>17656</v>
      </c>
      <c r="G4360">
        <v>34074563878</v>
      </c>
      <c r="H4360" t="s">
        <v>4404</v>
      </c>
      <c r="I4360" t="s">
        <v>4404</v>
      </c>
      <c r="J4360" t="s">
        <v>17657</v>
      </c>
    </row>
    <row r="4361" spans="6:10">
      <c r="F4361" t="s">
        <v>17658</v>
      </c>
      <c r="G4361">
        <v>4358</v>
      </c>
      <c r="H4361" t="s">
        <v>17659</v>
      </c>
      <c r="I4361" t="s">
        <v>17660</v>
      </c>
      <c r="J4361" t="s">
        <v>17661</v>
      </c>
    </row>
    <row r="4362" spans="6:10">
      <c r="F4362" t="s">
        <v>17662</v>
      </c>
      <c r="G4362">
        <v>4359</v>
      </c>
      <c r="H4362" t="s">
        <v>636</v>
      </c>
      <c r="I4362" t="s">
        <v>637</v>
      </c>
      <c r="J4362" t="s">
        <v>17663</v>
      </c>
    </row>
    <row r="4363" spans="6:10">
      <c r="F4363" t="s">
        <v>17664</v>
      </c>
      <c r="G4363">
        <v>4360</v>
      </c>
      <c r="H4363" t="s">
        <v>17665</v>
      </c>
      <c r="I4363" t="s">
        <v>17666</v>
      </c>
      <c r="J4363" t="s">
        <v>17667</v>
      </c>
    </row>
    <row r="4364" spans="6:10">
      <c r="F4364" t="s">
        <v>17668</v>
      </c>
      <c r="G4364">
        <v>19419571882</v>
      </c>
      <c r="H4364" t="s">
        <v>3164</v>
      </c>
      <c r="I4364" t="s">
        <v>3165</v>
      </c>
      <c r="J4364" t="s">
        <v>17669</v>
      </c>
    </row>
    <row r="4365" spans="6:10">
      <c r="F4365" t="s">
        <v>17670</v>
      </c>
      <c r="G4365">
        <v>528947460</v>
      </c>
      <c r="H4365" t="s">
        <v>1148</v>
      </c>
      <c r="I4365" t="s">
        <v>1148</v>
      </c>
      <c r="J4365" t="s">
        <v>17671</v>
      </c>
    </row>
    <row r="4366" spans="6:10">
      <c r="F4366" t="s">
        <v>17672</v>
      </c>
      <c r="G4366">
        <v>2805706609</v>
      </c>
      <c r="H4366" t="s">
        <v>1271</v>
      </c>
      <c r="I4366" t="s">
        <v>1272</v>
      </c>
      <c r="J4366" t="s">
        <v>17673</v>
      </c>
    </row>
    <row r="4367" spans="6:10">
      <c r="F4367" t="s">
        <v>17674</v>
      </c>
      <c r="G4367">
        <v>4364</v>
      </c>
      <c r="H4367" t="s">
        <v>205</v>
      </c>
      <c r="I4367" t="s">
        <v>205</v>
      </c>
      <c r="J4367" t="s">
        <v>17675</v>
      </c>
    </row>
    <row r="4368" spans="6:10">
      <c r="F4368" t="s">
        <v>17676</v>
      </c>
      <c r="G4368">
        <v>4365</v>
      </c>
      <c r="H4368" t="s">
        <v>16934</v>
      </c>
      <c r="I4368" t="s">
        <v>16934</v>
      </c>
      <c r="J4368" t="s">
        <v>17677</v>
      </c>
    </row>
    <row r="4369" spans="6:10">
      <c r="F4369" t="s">
        <v>17678</v>
      </c>
      <c r="G4369">
        <v>4366</v>
      </c>
      <c r="H4369" t="s">
        <v>17679</v>
      </c>
      <c r="I4369" t="s">
        <v>17680</v>
      </c>
      <c r="J4369" t="s">
        <v>17681</v>
      </c>
    </row>
    <row r="4370" spans="6:10">
      <c r="F4370" t="s">
        <v>17682</v>
      </c>
      <c r="G4370">
        <v>4367</v>
      </c>
      <c r="H4370" t="s">
        <v>1229</v>
      </c>
      <c r="I4370" t="s">
        <v>1230</v>
      </c>
      <c r="J4370" t="s">
        <v>17683</v>
      </c>
    </row>
    <row r="4371" spans="6:10">
      <c r="F4371" t="s">
        <v>17684</v>
      </c>
      <c r="G4371">
        <v>15800830720</v>
      </c>
      <c r="H4371" t="s">
        <v>5394</v>
      </c>
      <c r="I4371" t="s">
        <v>5395</v>
      </c>
      <c r="J4371" t="s">
        <v>17685</v>
      </c>
    </row>
    <row r="4372" spans="6:10">
      <c r="F4372" t="s">
        <v>17686</v>
      </c>
      <c r="G4372">
        <v>44615705840</v>
      </c>
      <c r="H4372" t="s">
        <v>4660</v>
      </c>
      <c r="I4372" t="s">
        <v>4660</v>
      </c>
      <c r="J4372" t="s">
        <v>17687</v>
      </c>
    </row>
    <row r="4373" spans="6:10">
      <c r="F4373" t="s">
        <v>17688</v>
      </c>
      <c r="G4373">
        <v>12257201760</v>
      </c>
      <c r="H4373" t="s">
        <v>253</v>
      </c>
      <c r="I4373" t="s">
        <v>253</v>
      </c>
      <c r="J4373" t="s">
        <v>17689</v>
      </c>
    </row>
    <row r="4374" spans="6:10">
      <c r="F4374" t="s">
        <v>17690</v>
      </c>
      <c r="G4374">
        <v>1332778798</v>
      </c>
      <c r="H4374" t="s">
        <v>226</v>
      </c>
      <c r="I4374" t="s">
        <v>227</v>
      </c>
      <c r="J4374" t="s">
        <v>17691</v>
      </c>
    </row>
    <row r="4375" spans="6:10">
      <c r="F4375" t="s">
        <v>17692</v>
      </c>
      <c r="G4375">
        <v>5580192770</v>
      </c>
      <c r="H4375" t="s">
        <v>1534</v>
      </c>
      <c r="I4375" t="s">
        <v>1534</v>
      </c>
      <c r="J4375" t="s">
        <v>17693</v>
      </c>
    </row>
    <row r="4376" spans="6:10">
      <c r="F4376" t="s">
        <v>17694</v>
      </c>
      <c r="G4376">
        <v>4373</v>
      </c>
      <c r="H4376" t="s">
        <v>17695</v>
      </c>
      <c r="I4376" t="s">
        <v>17696</v>
      </c>
      <c r="J4376" t="s">
        <v>17697</v>
      </c>
    </row>
    <row r="4377" spans="6:10">
      <c r="F4377" t="s">
        <v>17698</v>
      </c>
      <c r="G4377">
        <v>4374</v>
      </c>
      <c r="H4377" t="s">
        <v>498</v>
      </c>
      <c r="I4377" t="s">
        <v>499</v>
      </c>
      <c r="J4377" t="s">
        <v>17699</v>
      </c>
    </row>
    <row r="4378" spans="6:10">
      <c r="F4378" t="s">
        <v>17700</v>
      </c>
      <c r="G4378">
        <v>4375</v>
      </c>
      <c r="H4378" t="s">
        <v>17701</v>
      </c>
      <c r="I4378" t="s">
        <v>17702</v>
      </c>
      <c r="J4378" t="s">
        <v>17703</v>
      </c>
    </row>
    <row r="4379" spans="6:10">
      <c r="F4379" t="s">
        <v>17704</v>
      </c>
      <c r="G4379">
        <v>48251275504</v>
      </c>
      <c r="H4379" t="s">
        <v>283</v>
      </c>
      <c r="I4379" t="s">
        <v>284</v>
      </c>
      <c r="J4379" t="s">
        <v>17705</v>
      </c>
    </row>
    <row r="4380" spans="6:10">
      <c r="F4380" t="s">
        <v>17706</v>
      </c>
      <c r="G4380">
        <v>40834759861</v>
      </c>
      <c r="H4380" t="s">
        <v>1098</v>
      </c>
      <c r="I4380" t="s">
        <v>1099</v>
      </c>
      <c r="J4380" t="s">
        <v>17707</v>
      </c>
    </row>
    <row r="4381" spans="6:10">
      <c r="F4381" t="s">
        <v>17708</v>
      </c>
      <c r="G4381">
        <v>38504549836</v>
      </c>
      <c r="H4381" t="s">
        <v>5073</v>
      </c>
      <c r="I4381" t="s">
        <v>5074</v>
      </c>
      <c r="J4381" t="s">
        <v>17709</v>
      </c>
    </row>
    <row r="4382" spans="6:10">
      <c r="F4382" t="s">
        <v>17710</v>
      </c>
      <c r="G4382">
        <v>2226398902</v>
      </c>
      <c r="H4382" t="s">
        <v>5966</v>
      </c>
      <c r="I4382" t="s">
        <v>5967</v>
      </c>
      <c r="J4382" t="s">
        <v>17711</v>
      </c>
    </row>
    <row r="4383" spans="6:10">
      <c r="F4383" t="s">
        <v>17712</v>
      </c>
      <c r="G4383">
        <v>4380</v>
      </c>
      <c r="H4383" t="s">
        <v>1726</v>
      </c>
      <c r="I4383" t="s">
        <v>1727</v>
      </c>
      <c r="J4383" t="s">
        <v>17713</v>
      </c>
    </row>
    <row r="4384" spans="6:10">
      <c r="F4384" t="s">
        <v>17714</v>
      </c>
      <c r="G4384">
        <v>83820094687</v>
      </c>
      <c r="H4384" t="s">
        <v>3917</v>
      </c>
      <c r="I4384" t="s">
        <v>3917</v>
      </c>
      <c r="J4384" t="s">
        <v>17715</v>
      </c>
    </row>
    <row r="4385" spans="6:10">
      <c r="F4385" t="s">
        <v>17716</v>
      </c>
      <c r="G4385">
        <v>3586850875</v>
      </c>
      <c r="H4385" t="s">
        <v>1762</v>
      </c>
      <c r="I4385" t="s">
        <v>1763</v>
      </c>
      <c r="J4385" t="s">
        <v>17717</v>
      </c>
    </row>
    <row r="4386" spans="6:10">
      <c r="F4386" t="s">
        <v>17718</v>
      </c>
      <c r="G4386">
        <v>17374682719</v>
      </c>
      <c r="H4386" t="s">
        <v>4636</v>
      </c>
      <c r="I4386" t="s">
        <v>4636</v>
      </c>
      <c r="J4386" t="s">
        <v>17719</v>
      </c>
    </row>
    <row r="4387" spans="6:10">
      <c r="F4387" t="s">
        <v>17720</v>
      </c>
      <c r="G4387">
        <v>4384</v>
      </c>
      <c r="H4387" t="s">
        <v>17721</v>
      </c>
      <c r="I4387" t="s">
        <v>17722</v>
      </c>
      <c r="J4387" t="s">
        <v>17723</v>
      </c>
    </row>
    <row r="4388" spans="6:10">
      <c r="F4388" t="s">
        <v>17724</v>
      </c>
      <c r="G4388">
        <v>4385</v>
      </c>
      <c r="H4388" t="s">
        <v>6127</v>
      </c>
      <c r="I4388" t="s">
        <v>6127</v>
      </c>
      <c r="J4388" t="s">
        <v>17725</v>
      </c>
    </row>
    <row r="4389" spans="6:10">
      <c r="F4389" t="s">
        <v>17726</v>
      </c>
      <c r="G4389">
        <v>4386</v>
      </c>
      <c r="H4389" t="s">
        <v>91</v>
      </c>
      <c r="I4389" t="s">
        <v>92</v>
      </c>
      <c r="J4389" t="s">
        <v>17727</v>
      </c>
    </row>
    <row r="4390" spans="6:10">
      <c r="F4390" t="s">
        <v>17728</v>
      </c>
      <c r="G4390">
        <v>4387</v>
      </c>
      <c r="H4390" t="s">
        <v>6004</v>
      </c>
      <c r="I4390" t="s">
        <v>6005</v>
      </c>
      <c r="J4390" t="s">
        <v>17729</v>
      </c>
    </row>
    <row r="4391" spans="6:10">
      <c r="F4391" t="s">
        <v>17730</v>
      </c>
      <c r="G4391">
        <v>28619041860</v>
      </c>
      <c r="H4391" t="s">
        <v>4058</v>
      </c>
      <c r="I4391" t="s">
        <v>4058</v>
      </c>
      <c r="J4391" t="s">
        <v>17731</v>
      </c>
    </row>
    <row r="4392" spans="6:10">
      <c r="F4392" t="s">
        <v>17732</v>
      </c>
      <c r="G4392">
        <v>4389</v>
      </c>
      <c r="H4392" t="s">
        <v>17733</v>
      </c>
      <c r="I4392" t="s">
        <v>17734</v>
      </c>
      <c r="J4392" t="s">
        <v>17735</v>
      </c>
    </row>
    <row r="4393" spans="6:10">
      <c r="F4393" t="s">
        <v>17736</v>
      </c>
      <c r="G4393">
        <v>4390</v>
      </c>
      <c r="H4393" t="s">
        <v>1563</v>
      </c>
      <c r="I4393" t="s">
        <v>1563</v>
      </c>
      <c r="J4393" t="s">
        <v>17737</v>
      </c>
    </row>
    <row r="4394" spans="6:10">
      <c r="F4394" t="s">
        <v>17738</v>
      </c>
      <c r="G4394">
        <v>4391</v>
      </c>
      <c r="H4394" t="s">
        <v>3672</v>
      </c>
      <c r="I4394" t="s">
        <v>3672</v>
      </c>
      <c r="J4394" t="s">
        <v>17739</v>
      </c>
    </row>
    <row r="4395" spans="6:10">
      <c r="F4395" t="s">
        <v>17740</v>
      </c>
      <c r="G4395">
        <v>89384768391</v>
      </c>
      <c r="H4395" t="s">
        <v>5051</v>
      </c>
      <c r="I4395" t="s">
        <v>5051</v>
      </c>
      <c r="J4395" t="s">
        <v>17741</v>
      </c>
    </row>
    <row r="4396" spans="6:10">
      <c r="F4396" t="s">
        <v>17742</v>
      </c>
      <c r="G4396">
        <v>4393</v>
      </c>
      <c r="H4396" t="s">
        <v>3591</v>
      </c>
      <c r="I4396" t="s">
        <v>3591</v>
      </c>
      <c r="J4396" t="s">
        <v>17743</v>
      </c>
    </row>
    <row r="4397" spans="6:10">
      <c r="F4397" t="s">
        <v>17744</v>
      </c>
      <c r="G4397">
        <v>4394</v>
      </c>
      <c r="H4397" t="s">
        <v>2313</v>
      </c>
      <c r="I4397" t="s">
        <v>2313</v>
      </c>
      <c r="J4397" t="s">
        <v>17745</v>
      </c>
    </row>
    <row r="4398" spans="6:10">
      <c r="F4398" t="s">
        <v>17746</v>
      </c>
      <c r="G4398">
        <v>4395</v>
      </c>
      <c r="H4398" t="s">
        <v>4198</v>
      </c>
      <c r="I4398" t="s">
        <v>4199</v>
      </c>
      <c r="J4398" t="s">
        <v>17747</v>
      </c>
    </row>
    <row r="4399" spans="6:10">
      <c r="F4399" t="s">
        <v>17748</v>
      </c>
      <c r="G4399">
        <v>4396</v>
      </c>
      <c r="H4399" t="s">
        <v>4606</v>
      </c>
      <c r="I4399" t="s">
        <v>4607</v>
      </c>
      <c r="J4399" t="s">
        <v>17749</v>
      </c>
    </row>
    <row r="4400" spans="6:10">
      <c r="F4400" t="s">
        <v>17750</v>
      </c>
      <c r="G4400">
        <v>4397</v>
      </c>
      <c r="H4400" t="s">
        <v>3894</v>
      </c>
      <c r="I4400" t="s">
        <v>3895</v>
      </c>
      <c r="J4400" t="s">
        <v>17751</v>
      </c>
    </row>
    <row r="4401" spans="6:10">
      <c r="F4401" t="s">
        <v>17752</v>
      </c>
      <c r="G4401">
        <v>4398</v>
      </c>
      <c r="H4401" t="s">
        <v>5401</v>
      </c>
      <c r="I4401" t="s">
        <v>5402</v>
      </c>
      <c r="J4401" t="s">
        <v>17753</v>
      </c>
    </row>
    <row r="4402" spans="6:10">
      <c r="F4402" t="s">
        <v>17754</v>
      </c>
      <c r="G4402">
        <v>4399</v>
      </c>
      <c r="H4402" t="s">
        <v>4187</v>
      </c>
      <c r="I4402" t="s">
        <v>4187</v>
      </c>
      <c r="J4402" t="s">
        <v>17755</v>
      </c>
    </row>
    <row r="4403" spans="6:10">
      <c r="F4403" t="s">
        <v>17756</v>
      </c>
      <c r="G4403">
        <v>4400</v>
      </c>
      <c r="H4403" t="s">
        <v>4626</v>
      </c>
      <c r="I4403" t="s">
        <v>4627</v>
      </c>
      <c r="J4403" t="s">
        <v>17757</v>
      </c>
    </row>
    <row r="4404" spans="6:10">
      <c r="F4404" t="s">
        <v>17758</v>
      </c>
      <c r="G4404">
        <v>4401</v>
      </c>
      <c r="H4404" t="s">
        <v>17759</v>
      </c>
      <c r="I4404" t="s">
        <v>17760</v>
      </c>
      <c r="J4404" t="s">
        <v>17761</v>
      </c>
    </row>
    <row r="4405" spans="6:10">
      <c r="F4405" t="s">
        <v>17762</v>
      </c>
      <c r="G4405">
        <v>4402</v>
      </c>
      <c r="H4405" t="s">
        <v>3914</v>
      </c>
      <c r="I4405" t="s">
        <v>3915</v>
      </c>
      <c r="J4405" t="s">
        <v>17763</v>
      </c>
    </row>
    <row r="4406" spans="6:10">
      <c r="F4406" t="s">
        <v>17764</v>
      </c>
      <c r="G4406">
        <v>6826606399</v>
      </c>
      <c r="H4406" t="s">
        <v>5433</v>
      </c>
      <c r="I4406" t="s">
        <v>5433</v>
      </c>
      <c r="J4406" t="s">
        <v>17765</v>
      </c>
    </row>
    <row r="4407" spans="6:10">
      <c r="F4407" t="s">
        <v>17766</v>
      </c>
      <c r="G4407">
        <v>99376806972</v>
      </c>
      <c r="H4407" t="s">
        <v>159</v>
      </c>
      <c r="I4407" t="s">
        <v>160</v>
      </c>
      <c r="J4407" t="s">
        <v>17767</v>
      </c>
    </row>
    <row r="4408" spans="6:10">
      <c r="F4408" t="s">
        <v>17768</v>
      </c>
      <c r="G4408">
        <v>32655041828</v>
      </c>
      <c r="H4408" t="s">
        <v>1026</v>
      </c>
      <c r="I4408" t="s">
        <v>1026</v>
      </c>
      <c r="J4408" t="s">
        <v>17769</v>
      </c>
    </row>
    <row r="4409" spans="6:10">
      <c r="F4409" t="s">
        <v>17770</v>
      </c>
      <c r="G4409">
        <v>4406</v>
      </c>
      <c r="H4409" t="s">
        <v>4145</v>
      </c>
      <c r="I4409" t="s">
        <v>4146</v>
      </c>
      <c r="J4409" t="s">
        <v>17771</v>
      </c>
    </row>
    <row r="4410" spans="6:10">
      <c r="F4410" t="s">
        <v>17772</v>
      </c>
      <c r="G4410">
        <v>4407</v>
      </c>
      <c r="H4410" t="s">
        <v>2620</v>
      </c>
      <c r="I4410" t="s">
        <v>2621</v>
      </c>
      <c r="J4410" t="s">
        <v>17773</v>
      </c>
    </row>
    <row r="4411" spans="6:10">
      <c r="F4411" t="s">
        <v>17774</v>
      </c>
      <c r="G4411">
        <v>4408</v>
      </c>
      <c r="H4411" t="s">
        <v>5115</v>
      </c>
      <c r="I4411" t="s">
        <v>5117</v>
      </c>
      <c r="J4411" t="s">
        <v>17775</v>
      </c>
    </row>
    <row r="4412" spans="6:10">
      <c r="F4412" t="s">
        <v>17776</v>
      </c>
      <c r="G4412">
        <v>4409</v>
      </c>
      <c r="H4412" t="s">
        <v>17777</v>
      </c>
      <c r="I4412" t="s">
        <v>17778</v>
      </c>
      <c r="J4412" t="s">
        <v>17779</v>
      </c>
    </row>
    <row r="4413" spans="6:10">
      <c r="F4413" t="s">
        <v>17780</v>
      </c>
      <c r="G4413">
        <v>4410</v>
      </c>
      <c r="H4413" t="s">
        <v>2602</v>
      </c>
      <c r="I4413" t="s">
        <v>2605</v>
      </c>
      <c r="J4413" t="s">
        <v>17781</v>
      </c>
    </row>
    <row r="4414" spans="6:10">
      <c r="F4414" t="s">
        <v>17782</v>
      </c>
      <c r="G4414">
        <v>4411</v>
      </c>
      <c r="H4414" t="s">
        <v>2607</v>
      </c>
      <c r="I4414" t="s">
        <v>2608</v>
      </c>
      <c r="J4414" t="s">
        <v>17783</v>
      </c>
    </row>
    <row r="4415" spans="6:10">
      <c r="F4415" t="s">
        <v>17784</v>
      </c>
      <c r="G4415">
        <v>4412</v>
      </c>
      <c r="H4415" t="s">
        <v>2602</v>
      </c>
      <c r="I4415" t="s">
        <v>2606</v>
      </c>
      <c r="J4415" t="s">
        <v>17785</v>
      </c>
    </row>
    <row r="4416" spans="6:10">
      <c r="F4416" t="s">
        <v>17786</v>
      </c>
      <c r="G4416">
        <v>4413</v>
      </c>
      <c r="H4416" t="s">
        <v>3978</v>
      </c>
      <c r="I4416" t="s">
        <v>3979</v>
      </c>
      <c r="J4416" t="s">
        <v>17787</v>
      </c>
    </row>
    <row r="4417" spans="6:10">
      <c r="F4417" t="s">
        <v>17788</v>
      </c>
      <c r="G4417">
        <v>4414</v>
      </c>
      <c r="H4417" t="s">
        <v>17789</v>
      </c>
      <c r="I4417" t="s">
        <v>17790</v>
      </c>
      <c r="J4417" t="s">
        <v>17791</v>
      </c>
    </row>
    <row r="4418" spans="6:10">
      <c r="F4418" t="s">
        <v>17792</v>
      </c>
      <c r="G4418">
        <v>4415</v>
      </c>
      <c r="H4418" t="s">
        <v>5120</v>
      </c>
      <c r="I4418" t="s">
        <v>5121</v>
      </c>
      <c r="J4418" t="s">
        <v>17793</v>
      </c>
    </row>
    <row r="4419" spans="6:10">
      <c r="F4419" t="s">
        <v>17794</v>
      </c>
      <c r="G4419">
        <v>4416</v>
      </c>
      <c r="H4419" t="s">
        <v>5115</v>
      </c>
      <c r="I4419" t="s">
        <v>5118</v>
      </c>
      <c r="J4419" t="s">
        <v>17795</v>
      </c>
    </row>
    <row r="4420" spans="6:10">
      <c r="F4420" t="s">
        <v>17796</v>
      </c>
      <c r="G4420">
        <v>4417</v>
      </c>
      <c r="H4420" t="s">
        <v>3945</v>
      </c>
      <c r="I4420" t="s">
        <v>3946</v>
      </c>
      <c r="J4420" t="s">
        <v>17797</v>
      </c>
    </row>
    <row r="4421" spans="6:10">
      <c r="F4421" t="s">
        <v>17798</v>
      </c>
      <c r="G4421">
        <v>4418</v>
      </c>
      <c r="H4421" t="s">
        <v>334</v>
      </c>
      <c r="I4421" t="s">
        <v>335</v>
      </c>
      <c r="J4421" t="s">
        <v>17799</v>
      </c>
    </row>
    <row r="4422" spans="6:10">
      <c r="F4422" t="s">
        <v>17800</v>
      </c>
      <c r="G4422">
        <v>4419</v>
      </c>
      <c r="H4422" t="s">
        <v>3118</v>
      </c>
      <c r="I4422" t="s">
        <v>3119</v>
      </c>
      <c r="J4422" t="s">
        <v>17801</v>
      </c>
    </row>
    <row r="4423" spans="6:10">
      <c r="F4423" t="s">
        <v>17802</v>
      </c>
      <c r="G4423">
        <v>4420</v>
      </c>
      <c r="H4423" t="s">
        <v>389</v>
      </c>
      <c r="I4423" t="s">
        <v>390</v>
      </c>
      <c r="J4423" t="s">
        <v>17803</v>
      </c>
    </row>
    <row r="4424" spans="6:10">
      <c r="F4424" t="s">
        <v>17804</v>
      </c>
      <c r="G4424">
        <v>4421</v>
      </c>
      <c r="H4424" t="s">
        <v>3936</v>
      </c>
      <c r="I4424" t="s">
        <v>3937</v>
      </c>
      <c r="J4424" t="s">
        <v>17805</v>
      </c>
    </row>
    <row r="4425" spans="6:10">
      <c r="F4425" t="s">
        <v>17806</v>
      </c>
      <c r="G4425">
        <v>4422</v>
      </c>
      <c r="H4425" t="s">
        <v>6139</v>
      </c>
      <c r="I4425" t="s">
        <v>24511</v>
      </c>
      <c r="J4425" t="s">
        <v>17807</v>
      </c>
    </row>
    <row r="4426" spans="6:10">
      <c r="F4426" t="s">
        <v>17808</v>
      </c>
      <c r="G4426">
        <v>4423</v>
      </c>
      <c r="H4426" t="s">
        <v>674</v>
      </c>
      <c r="I4426" t="s">
        <v>674</v>
      </c>
      <c r="J4426" t="s">
        <v>17809</v>
      </c>
    </row>
    <row r="4427" spans="6:10">
      <c r="F4427" t="s">
        <v>17810</v>
      </c>
      <c r="G4427">
        <v>4424</v>
      </c>
      <c r="H4427" t="s">
        <v>6000</v>
      </c>
      <c r="I4427" t="s">
        <v>6001</v>
      </c>
      <c r="J4427" t="s">
        <v>17811</v>
      </c>
    </row>
    <row r="4428" spans="6:10">
      <c r="F4428" t="s">
        <v>17812</v>
      </c>
      <c r="G4428">
        <v>4425</v>
      </c>
      <c r="H4428" t="s">
        <v>374</v>
      </c>
      <c r="I4428" t="s">
        <v>375</v>
      </c>
      <c r="J4428" t="s">
        <v>17813</v>
      </c>
    </row>
    <row r="4429" spans="6:10">
      <c r="F4429" t="s">
        <v>17814</v>
      </c>
      <c r="G4429">
        <v>16617987802</v>
      </c>
      <c r="H4429" t="s">
        <v>3856</v>
      </c>
      <c r="I4429" t="s">
        <v>3856</v>
      </c>
      <c r="J4429" t="s">
        <v>17815</v>
      </c>
    </row>
    <row r="4430" spans="6:10">
      <c r="F4430" t="s">
        <v>17816</v>
      </c>
      <c r="G4430">
        <v>9987254713</v>
      </c>
      <c r="H4430" t="s">
        <v>176</v>
      </c>
      <c r="I4430" t="s">
        <v>176</v>
      </c>
      <c r="J4430" t="s">
        <v>17817</v>
      </c>
    </row>
    <row r="4431" spans="6:10">
      <c r="F4431" t="s">
        <v>17818</v>
      </c>
      <c r="G4431">
        <v>10821971654</v>
      </c>
      <c r="H4431" t="s">
        <v>1999</v>
      </c>
      <c r="I4431" t="s">
        <v>1999</v>
      </c>
      <c r="J4431" t="s">
        <v>17819</v>
      </c>
    </row>
    <row r="4432" spans="6:10">
      <c r="F4432" t="s">
        <v>17820</v>
      </c>
      <c r="G4432">
        <v>4429</v>
      </c>
      <c r="H4432" t="s">
        <v>1866</v>
      </c>
      <c r="I4432" t="s">
        <v>1867</v>
      </c>
      <c r="J4432" t="s">
        <v>17821</v>
      </c>
    </row>
    <row r="4433" spans="6:10">
      <c r="F4433" t="s">
        <v>17822</v>
      </c>
      <c r="G4433">
        <v>4430</v>
      </c>
      <c r="H4433" t="s">
        <v>1066</v>
      </c>
      <c r="I4433" t="s">
        <v>1067</v>
      </c>
      <c r="J4433" t="s">
        <v>17823</v>
      </c>
    </row>
    <row r="4434" spans="6:10">
      <c r="F4434" t="s">
        <v>17824</v>
      </c>
      <c r="G4434">
        <v>4431</v>
      </c>
      <c r="H4434" t="s">
        <v>2149</v>
      </c>
      <c r="I4434" t="s">
        <v>2152</v>
      </c>
      <c r="J4434" t="s">
        <v>17825</v>
      </c>
    </row>
    <row r="4435" spans="6:10">
      <c r="F4435" t="s">
        <v>17826</v>
      </c>
      <c r="G4435">
        <v>4432</v>
      </c>
      <c r="H4435" t="s">
        <v>5854</v>
      </c>
      <c r="I4435" t="s">
        <v>5855</v>
      </c>
      <c r="J4435" t="s">
        <v>17827</v>
      </c>
    </row>
    <row r="4436" spans="6:10">
      <c r="F4436" t="s">
        <v>17828</v>
      </c>
      <c r="G4436">
        <v>4433</v>
      </c>
      <c r="H4436" t="s">
        <v>3863</v>
      </c>
      <c r="I4436" t="s">
        <v>3864</v>
      </c>
      <c r="J4436" t="s">
        <v>17829</v>
      </c>
    </row>
    <row r="4437" spans="6:10">
      <c r="F4437" t="s">
        <v>17830</v>
      </c>
      <c r="G4437">
        <v>4434</v>
      </c>
      <c r="H4437" t="s">
        <v>1966</v>
      </c>
      <c r="I4437" t="s">
        <v>1967</v>
      </c>
      <c r="J4437" t="s">
        <v>17831</v>
      </c>
    </row>
    <row r="4438" spans="6:10">
      <c r="F4438" t="s">
        <v>17832</v>
      </c>
      <c r="G4438">
        <v>9148764736</v>
      </c>
      <c r="H4438" t="s">
        <v>4172</v>
      </c>
      <c r="I4438" t="s">
        <v>4172</v>
      </c>
      <c r="J4438" t="s">
        <v>17833</v>
      </c>
    </row>
    <row r="4439" spans="6:10">
      <c r="F4439" t="s">
        <v>17834</v>
      </c>
      <c r="G4439">
        <v>4436</v>
      </c>
      <c r="H4439" t="s">
        <v>625</v>
      </c>
      <c r="I4439" t="s">
        <v>626</v>
      </c>
      <c r="J4439" t="s">
        <v>17835</v>
      </c>
    </row>
    <row r="4440" spans="6:10">
      <c r="F4440" t="s">
        <v>17836</v>
      </c>
      <c r="G4440">
        <v>4437</v>
      </c>
      <c r="H4440" t="s">
        <v>5925</v>
      </c>
      <c r="I4440" t="s">
        <v>5926</v>
      </c>
      <c r="J4440" t="s">
        <v>17837</v>
      </c>
    </row>
    <row r="4441" spans="6:10">
      <c r="F4441" t="s">
        <v>17838</v>
      </c>
      <c r="G4441">
        <v>60880675357</v>
      </c>
      <c r="H4441" t="s">
        <v>6212</v>
      </c>
      <c r="I4441" t="s">
        <v>6213</v>
      </c>
      <c r="J4441" t="s">
        <v>17839</v>
      </c>
    </row>
    <row r="4442" spans="6:10">
      <c r="F4442" t="s">
        <v>17840</v>
      </c>
      <c r="G4442">
        <v>4439</v>
      </c>
      <c r="H4442" t="s">
        <v>17841</v>
      </c>
      <c r="I4442" t="s">
        <v>17842</v>
      </c>
      <c r="J4442" t="s">
        <v>17843</v>
      </c>
    </row>
    <row r="4443" spans="6:10">
      <c r="F4443" t="s">
        <v>17844</v>
      </c>
      <c r="G4443">
        <v>4440</v>
      </c>
      <c r="H4443" t="s">
        <v>422</v>
      </c>
      <c r="I4443" t="s">
        <v>422</v>
      </c>
      <c r="J4443" t="s">
        <v>17845</v>
      </c>
    </row>
    <row r="4444" spans="6:10">
      <c r="F4444" t="s">
        <v>17846</v>
      </c>
      <c r="G4444">
        <v>4441</v>
      </c>
      <c r="H4444" t="s">
        <v>3625</v>
      </c>
      <c r="I4444" t="s">
        <v>3626</v>
      </c>
      <c r="J4444" t="s">
        <v>17847</v>
      </c>
    </row>
    <row r="4445" spans="6:10">
      <c r="F4445" t="s">
        <v>17848</v>
      </c>
      <c r="G4445">
        <v>4442</v>
      </c>
      <c r="H4445" t="s">
        <v>3293</v>
      </c>
      <c r="I4445" t="s">
        <v>3293</v>
      </c>
      <c r="J4445" t="s">
        <v>17849</v>
      </c>
    </row>
    <row r="4446" spans="6:10">
      <c r="F4446" t="s">
        <v>17850</v>
      </c>
      <c r="G4446">
        <v>2544176121</v>
      </c>
      <c r="H4446" t="s">
        <v>5974</v>
      </c>
      <c r="I4446" t="s">
        <v>5975</v>
      </c>
      <c r="J4446" t="s">
        <v>17851</v>
      </c>
    </row>
    <row r="4447" spans="6:10">
      <c r="F4447" t="s">
        <v>17852</v>
      </c>
      <c r="G4447">
        <v>4444</v>
      </c>
      <c r="H4447" t="s">
        <v>7606</v>
      </c>
      <c r="I4447" t="s">
        <v>7607</v>
      </c>
      <c r="J4447" t="s">
        <v>17853</v>
      </c>
    </row>
    <row r="4448" spans="6:10">
      <c r="F4448" t="s">
        <v>17854</v>
      </c>
      <c r="G4448">
        <v>4445</v>
      </c>
      <c r="H4448" t="s">
        <v>17855</v>
      </c>
      <c r="I4448" t="s">
        <v>14461</v>
      </c>
      <c r="J4448" t="s">
        <v>17856</v>
      </c>
    </row>
    <row r="4449" spans="6:10">
      <c r="F4449" t="s">
        <v>17857</v>
      </c>
      <c r="G4449">
        <v>4446</v>
      </c>
      <c r="H4449" t="s">
        <v>1820</v>
      </c>
      <c r="I4449" t="s">
        <v>1821</v>
      </c>
      <c r="J4449" t="s">
        <v>17858</v>
      </c>
    </row>
    <row r="4450" spans="6:10">
      <c r="F4450" t="s">
        <v>17859</v>
      </c>
      <c r="G4450">
        <v>4447</v>
      </c>
      <c r="H4450" t="s">
        <v>623</v>
      </c>
      <c r="I4450" t="s">
        <v>624</v>
      </c>
      <c r="J4450" t="s">
        <v>17860</v>
      </c>
    </row>
    <row r="4451" spans="6:10">
      <c r="F4451" t="s">
        <v>17861</v>
      </c>
      <c r="G4451">
        <v>2209360803</v>
      </c>
      <c r="H4451" t="s">
        <v>1665</v>
      </c>
      <c r="I4451" t="s">
        <v>1666</v>
      </c>
      <c r="J4451" t="s">
        <v>17862</v>
      </c>
    </row>
    <row r="4452" spans="6:10">
      <c r="F4452" t="s">
        <v>17863</v>
      </c>
      <c r="G4452">
        <v>28520138861</v>
      </c>
      <c r="H4452" t="s">
        <v>102</v>
      </c>
      <c r="I4452" t="s">
        <v>103</v>
      </c>
      <c r="J4452" t="s">
        <v>17864</v>
      </c>
    </row>
    <row r="4453" spans="6:10">
      <c r="F4453" t="s">
        <v>17865</v>
      </c>
      <c r="G4453">
        <v>4450</v>
      </c>
      <c r="H4453" t="s">
        <v>2814</v>
      </c>
      <c r="I4453" t="s">
        <v>2815</v>
      </c>
      <c r="J4453" t="s">
        <v>17866</v>
      </c>
    </row>
    <row r="4454" spans="6:10">
      <c r="F4454" t="s">
        <v>17867</v>
      </c>
      <c r="G4454">
        <v>4451</v>
      </c>
      <c r="H4454" t="s">
        <v>502</v>
      </c>
      <c r="I4454" t="s">
        <v>503</v>
      </c>
      <c r="J4454" t="s">
        <v>17868</v>
      </c>
    </row>
    <row r="4455" spans="6:10">
      <c r="F4455" t="s">
        <v>17869</v>
      </c>
      <c r="G4455">
        <v>4452</v>
      </c>
      <c r="H4455" t="s">
        <v>425</v>
      </c>
      <c r="I4455" t="s">
        <v>426</v>
      </c>
      <c r="J4455" t="s">
        <v>17870</v>
      </c>
    </row>
    <row r="4456" spans="6:10">
      <c r="F4456" t="s">
        <v>17871</v>
      </c>
      <c r="G4456">
        <v>4453</v>
      </c>
      <c r="H4456" t="s">
        <v>5005</v>
      </c>
      <c r="I4456" t="s">
        <v>5006</v>
      </c>
      <c r="J4456" t="s">
        <v>17872</v>
      </c>
    </row>
    <row r="4457" spans="6:10">
      <c r="F4457" t="s">
        <v>17873</v>
      </c>
      <c r="G4457">
        <v>7659486640</v>
      </c>
      <c r="H4457" t="s">
        <v>6113</v>
      </c>
      <c r="I4457" t="s">
        <v>6113</v>
      </c>
      <c r="J4457" t="s">
        <v>17874</v>
      </c>
    </row>
    <row r="4458" spans="6:10">
      <c r="F4458" t="s">
        <v>17875</v>
      </c>
      <c r="G4458">
        <v>4455</v>
      </c>
      <c r="H4458" t="s">
        <v>3587</v>
      </c>
      <c r="I4458" t="s">
        <v>3588</v>
      </c>
      <c r="J4458" t="s">
        <v>17876</v>
      </c>
    </row>
    <row r="4459" spans="6:10">
      <c r="F4459" t="s">
        <v>17877</v>
      </c>
      <c r="G4459">
        <v>44220628835</v>
      </c>
      <c r="H4459" t="s">
        <v>2465</v>
      </c>
      <c r="I4459" t="s">
        <v>2466</v>
      </c>
      <c r="J4459" t="s">
        <v>17878</v>
      </c>
    </row>
    <row r="4460" spans="6:10">
      <c r="F4460" t="s">
        <v>17879</v>
      </c>
      <c r="G4460">
        <v>7330589497</v>
      </c>
      <c r="H4460" t="s">
        <v>5973</v>
      </c>
      <c r="I4460" t="s">
        <v>5973</v>
      </c>
      <c r="J4460" t="s">
        <v>17880</v>
      </c>
    </row>
    <row r="4461" spans="6:10">
      <c r="F4461" t="s">
        <v>17881</v>
      </c>
      <c r="G4461">
        <v>4458</v>
      </c>
      <c r="H4461" t="s">
        <v>644</v>
      </c>
      <c r="I4461" t="s">
        <v>645</v>
      </c>
      <c r="J4461" t="s">
        <v>17882</v>
      </c>
    </row>
    <row r="4462" spans="6:10">
      <c r="F4462" t="s">
        <v>17883</v>
      </c>
      <c r="G4462">
        <v>5587353559</v>
      </c>
      <c r="H4462" t="s">
        <v>2876</v>
      </c>
      <c r="I4462" t="s">
        <v>2877</v>
      </c>
      <c r="J4462" t="s">
        <v>17884</v>
      </c>
    </row>
    <row r="4463" spans="6:10">
      <c r="F4463" t="s">
        <v>17885</v>
      </c>
      <c r="G4463">
        <v>4460</v>
      </c>
      <c r="H4463" t="s">
        <v>3837</v>
      </c>
      <c r="I4463" t="s">
        <v>3837</v>
      </c>
      <c r="J4463" t="s">
        <v>17886</v>
      </c>
    </row>
    <row r="4464" spans="6:10">
      <c r="F4464" t="s">
        <v>17887</v>
      </c>
      <c r="G4464">
        <v>4461</v>
      </c>
      <c r="H4464" t="s">
        <v>17888</v>
      </c>
      <c r="I4464" t="s">
        <v>17889</v>
      </c>
      <c r="J4464" t="s">
        <v>17890</v>
      </c>
    </row>
    <row r="4465" spans="6:10">
      <c r="F4465" t="s">
        <v>17891</v>
      </c>
      <c r="G4465">
        <v>55896820020</v>
      </c>
      <c r="H4465" t="s">
        <v>3258</v>
      </c>
      <c r="I4465" t="s">
        <v>3258</v>
      </c>
      <c r="J4465" t="s">
        <v>17892</v>
      </c>
    </row>
    <row r="4466" spans="6:10">
      <c r="F4466" t="s">
        <v>17893</v>
      </c>
      <c r="G4466">
        <v>4463</v>
      </c>
      <c r="H4466" t="s">
        <v>17894</v>
      </c>
      <c r="I4466" t="s">
        <v>17895</v>
      </c>
      <c r="J4466" t="s">
        <v>17896</v>
      </c>
    </row>
    <row r="4467" spans="6:10">
      <c r="F4467" t="s">
        <v>17897</v>
      </c>
      <c r="G4467">
        <v>4464</v>
      </c>
      <c r="H4467" t="s">
        <v>1061</v>
      </c>
      <c r="I4467" t="s">
        <v>1062</v>
      </c>
      <c r="J4467" t="s">
        <v>17898</v>
      </c>
    </row>
    <row r="4468" spans="6:10">
      <c r="F4468" t="s">
        <v>17899</v>
      </c>
      <c r="G4468">
        <v>37396098858</v>
      </c>
      <c r="H4468" t="s">
        <v>1551</v>
      </c>
      <c r="I4468" t="s">
        <v>1552</v>
      </c>
      <c r="J4468" t="s">
        <v>17900</v>
      </c>
    </row>
    <row r="4469" spans="6:10">
      <c r="F4469" t="s">
        <v>17901</v>
      </c>
      <c r="G4469">
        <v>4466</v>
      </c>
      <c r="H4469" t="s">
        <v>84</v>
      </c>
      <c r="I4469" t="s">
        <v>84</v>
      </c>
      <c r="J4469" t="s">
        <v>17902</v>
      </c>
    </row>
    <row r="4470" spans="6:10">
      <c r="F4470" t="s">
        <v>17903</v>
      </c>
      <c r="G4470">
        <v>4467</v>
      </c>
      <c r="H4470" t="s">
        <v>17904</v>
      </c>
      <c r="I4470" t="s">
        <v>17905</v>
      </c>
      <c r="J4470" t="s">
        <v>17906</v>
      </c>
    </row>
    <row r="4471" spans="6:10">
      <c r="F4471" t="s">
        <v>17907</v>
      </c>
      <c r="G4471">
        <v>4468</v>
      </c>
      <c r="H4471" t="s">
        <v>3815</v>
      </c>
      <c r="I4471" t="s">
        <v>3816</v>
      </c>
      <c r="J4471" t="s">
        <v>17908</v>
      </c>
    </row>
    <row r="4472" spans="6:10">
      <c r="F4472" t="s">
        <v>17909</v>
      </c>
      <c r="G4472">
        <v>4469</v>
      </c>
      <c r="H4472" t="s">
        <v>1051</v>
      </c>
      <c r="I4472" t="s">
        <v>1052</v>
      </c>
      <c r="J4472" t="s">
        <v>17910</v>
      </c>
    </row>
    <row r="4473" spans="6:10">
      <c r="F4473" t="s">
        <v>17911</v>
      </c>
      <c r="G4473">
        <v>43267038812</v>
      </c>
      <c r="H4473" t="s">
        <v>4356</v>
      </c>
      <c r="I4473" t="s">
        <v>4356</v>
      </c>
      <c r="J4473" t="s">
        <v>17912</v>
      </c>
    </row>
    <row r="4474" spans="6:10">
      <c r="F4474" t="s">
        <v>17913</v>
      </c>
      <c r="G4474">
        <v>7497073729</v>
      </c>
      <c r="H4474" t="s">
        <v>1785</v>
      </c>
      <c r="I4474" t="s">
        <v>1785</v>
      </c>
      <c r="J4474" t="s">
        <v>17914</v>
      </c>
    </row>
    <row r="4475" spans="6:10">
      <c r="F4475" t="s">
        <v>17915</v>
      </c>
      <c r="G4475">
        <v>4472</v>
      </c>
      <c r="H4475" t="s">
        <v>1777</v>
      </c>
      <c r="I4475" t="s">
        <v>1777</v>
      </c>
      <c r="J4475" t="s">
        <v>17916</v>
      </c>
    </row>
    <row r="4476" spans="6:10">
      <c r="F4476" t="s">
        <v>17917</v>
      </c>
      <c r="G4476">
        <v>4473</v>
      </c>
      <c r="H4476" t="s">
        <v>898</v>
      </c>
      <c r="I4476" t="s">
        <v>899</v>
      </c>
      <c r="J4476" t="s">
        <v>17918</v>
      </c>
    </row>
    <row r="4477" spans="6:10">
      <c r="F4477" t="s">
        <v>17919</v>
      </c>
      <c r="G4477">
        <v>68821310744</v>
      </c>
      <c r="H4477" t="s">
        <v>4422</v>
      </c>
      <c r="I4477" t="s">
        <v>4422</v>
      </c>
      <c r="J4477" t="s">
        <v>17920</v>
      </c>
    </row>
    <row r="4478" spans="6:10">
      <c r="F4478" t="s">
        <v>17921</v>
      </c>
      <c r="G4478">
        <v>4475</v>
      </c>
      <c r="H4478" t="s">
        <v>1363</v>
      </c>
      <c r="I4478" t="s">
        <v>1364</v>
      </c>
      <c r="J4478" t="s">
        <v>17922</v>
      </c>
    </row>
    <row r="4479" spans="6:10">
      <c r="F4479" t="s">
        <v>17923</v>
      </c>
      <c r="G4479">
        <v>4476</v>
      </c>
      <c r="H4479" t="s">
        <v>23459</v>
      </c>
      <c r="I4479" t="s">
        <v>17924</v>
      </c>
      <c r="J4479" t="s">
        <v>17925</v>
      </c>
    </row>
    <row r="4480" spans="6:10">
      <c r="F4480" t="s">
        <v>17926</v>
      </c>
      <c r="G4480">
        <v>4477</v>
      </c>
      <c r="H4480" t="s">
        <v>2878</v>
      </c>
      <c r="I4480" t="s">
        <v>2878</v>
      </c>
      <c r="J4480" t="s">
        <v>17927</v>
      </c>
    </row>
    <row r="4481" spans="6:10">
      <c r="F4481" t="s">
        <v>17928</v>
      </c>
      <c r="G4481">
        <v>26792669865</v>
      </c>
      <c r="H4481" t="s">
        <v>2353</v>
      </c>
      <c r="I4481" t="s">
        <v>2353</v>
      </c>
      <c r="J4481" t="s">
        <v>17929</v>
      </c>
    </row>
    <row r="4482" spans="6:10">
      <c r="F4482" t="s">
        <v>17930</v>
      </c>
      <c r="G4482">
        <v>1889144126</v>
      </c>
      <c r="H4482" t="s">
        <v>611</v>
      </c>
      <c r="I4482" t="s">
        <v>612</v>
      </c>
      <c r="J4482" t="s">
        <v>17931</v>
      </c>
    </row>
    <row r="4483" spans="6:10">
      <c r="F4483" t="s">
        <v>17932</v>
      </c>
      <c r="G4483">
        <v>4480</v>
      </c>
      <c r="H4483" t="s">
        <v>1571</v>
      </c>
      <c r="I4483" t="s">
        <v>1572</v>
      </c>
      <c r="J4483" t="s">
        <v>17933</v>
      </c>
    </row>
    <row r="4484" spans="6:10">
      <c r="F4484" t="s">
        <v>17934</v>
      </c>
      <c r="G4484">
        <v>4481</v>
      </c>
      <c r="H4484" t="s">
        <v>17935</v>
      </c>
      <c r="I4484" t="s">
        <v>17936</v>
      </c>
      <c r="J4484" t="s">
        <v>17937</v>
      </c>
    </row>
    <row r="4485" spans="6:10">
      <c r="F4485" t="s">
        <v>17938</v>
      </c>
      <c r="G4485">
        <v>12030330604</v>
      </c>
      <c r="H4485" t="s">
        <v>458</v>
      </c>
      <c r="I4485" t="s">
        <v>459</v>
      </c>
      <c r="J4485" t="s">
        <v>17939</v>
      </c>
    </row>
    <row r="4486" spans="6:10">
      <c r="F4486" t="s">
        <v>17940</v>
      </c>
      <c r="G4486">
        <v>69517320604</v>
      </c>
      <c r="H4486" t="s">
        <v>5982</v>
      </c>
      <c r="I4486" t="s">
        <v>5983</v>
      </c>
      <c r="J4486" t="s">
        <v>17941</v>
      </c>
    </row>
    <row r="4487" spans="6:10">
      <c r="F4487" t="s">
        <v>17942</v>
      </c>
      <c r="G4487">
        <v>4484</v>
      </c>
      <c r="H4487" t="s">
        <v>318</v>
      </c>
      <c r="I4487" t="s">
        <v>318</v>
      </c>
      <c r="J4487" t="s">
        <v>17943</v>
      </c>
    </row>
    <row r="4488" spans="6:10">
      <c r="F4488" t="s">
        <v>17944</v>
      </c>
      <c r="G4488">
        <v>4485</v>
      </c>
      <c r="H4488" t="s">
        <v>3097</v>
      </c>
      <c r="I4488" t="s">
        <v>3097</v>
      </c>
      <c r="J4488" t="s">
        <v>17945</v>
      </c>
    </row>
    <row r="4489" spans="6:10">
      <c r="F4489" t="s">
        <v>17946</v>
      </c>
      <c r="G4489">
        <v>4486</v>
      </c>
      <c r="H4489" t="s">
        <v>5387</v>
      </c>
      <c r="I4489" t="s">
        <v>5388</v>
      </c>
      <c r="J4489" t="s">
        <v>17947</v>
      </c>
    </row>
    <row r="4490" spans="6:10">
      <c r="F4490" t="s">
        <v>17948</v>
      </c>
      <c r="G4490">
        <v>4487</v>
      </c>
      <c r="H4490" t="s">
        <v>2277</v>
      </c>
      <c r="I4490" t="s">
        <v>2278</v>
      </c>
      <c r="J4490" t="s">
        <v>17949</v>
      </c>
    </row>
    <row r="4491" spans="6:10">
      <c r="F4491" t="s">
        <v>17950</v>
      </c>
      <c r="G4491">
        <v>4488</v>
      </c>
      <c r="H4491" t="s">
        <v>1268</v>
      </c>
      <c r="I4491" t="s">
        <v>1268</v>
      </c>
      <c r="J4491" t="s">
        <v>17951</v>
      </c>
    </row>
    <row r="4492" spans="6:10">
      <c r="F4492" t="s">
        <v>17952</v>
      </c>
      <c r="G4492">
        <v>4489</v>
      </c>
      <c r="H4492" t="s">
        <v>6138</v>
      </c>
      <c r="I4492" t="s">
        <v>6138</v>
      </c>
      <c r="J4492" t="s">
        <v>17953</v>
      </c>
    </row>
    <row r="4493" spans="6:10">
      <c r="F4493" t="s">
        <v>17954</v>
      </c>
      <c r="G4493">
        <v>4490</v>
      </c>
      <c r="H4493" t="s">
        <v>17955</v>
      </c>
      <c r="I4493" t="s">
        <v>17956</v>
      </c>
      <c r="J4493" t="s">
        <v>17957</v>
      </c>
    </row>
    <row r="4494" spans="6:10">
      <c r="F4494" t="s">
        <v>17958</v>
      </c>
      <c r="G4494">
        <v>4491</v>
      </c>
      <c r="H4494" t="s">
        <v>2536</v>
      </c>
      <c r="I4494" t="s">
        <v>2536</v>
      </c>
      <c r="J4494" t="s">
        <v>17959</v>
      </c>
    </row>
    <row r="4495" spans="6:10">
      <c r="F4495" t="s">
        <v>17960</v>
      </c>
      <c r="G4495">
        <v>4492</v>
      </c>
      <c r="H4495" t="s">
        <v>638</v>
      </c>
      <c r="I4495" t="s">
        <v>639</v>
      </c>
      <c r="J4495" t="s">
        <v>17961</v>
      </c>
    </row>
    <row r="4496" spans="6:10">
      <c r="F4496" t="s">
        <v>17962</v>
      </c>
      <c r="G4496">
        <v>4493</v>
      </c>
      <c r="H4496" t="s">
        <v>17963</v>
      </c>
      <c r="I4496" t="s">
        <v>17964</v>
      </c>
      <c r="J4496" t="s">
        <v>17965</v>
      </c>
    </row>
    <row r="4497" spans="6:10">
      <c r="F4497" t="s">
        <v>17966</v>
      </c>
      <c r="G4497">
        <v>4494</v>
      </c>
      <c r="H4497" t="s">
        <v>4553</v>
      </c>
      <c r="I4497" t="s">
        <v>4554</v>
      </c>
      <c r="J4497" t="s">
        <v>17967</v>
      </c>
    </row>
    <row r="4498" spans="6:10">
      <c r="F4498" t="s">
        <v>17968</v>
      </c>
      <c r="G4498">
        <v>4495</v>
      </c>
      <c r="H4498" t="s">
        <v>954</v>
      </c>
      <c r="I4498" t="s">
        <v>955</v>
      </c>
      <c r="J4498" t="s">
        <v>17969</v>
      </c>
    </row>
    <row r="4499" spans="6:10">
      <c r="F4499" t="s">
        <v>17970</v>
      </c>
      <c r="G4499">
        <v>26678625897</v>
      </c>
      <c r="H4499" t="s">
        <v>3287</v>
      </c>
      <c r="I4499" t="s">
        <v>3287</v>
      </c>
      <c r="J4499" t="s">
        <v>17971</v>
      </c>
    </row>
    <row r="4500" spans="6:10">
      <c r="F4500" t="s">
        <v>17972</v>
      </c>
      <c r="G4500">
        <v>60595345549</v>
      </c>
      <c r="H4500" t="s">
        <v>4349</v>
      </c>
      <c r="I4500" t="s">
        <v>4349</v>
      </c>
      <c r="J4500" t="s">
        <v>17973</v>
      </c>
    </row>
    <row r="4501" spans="6:10">
      <c r="F4501" t="s">
        <v>17974</v>
      </c>
      <c r="G4501">
        <v>4498</v>
      </c>
      <c r="H4501" t="s">
        <v>2010</v>
      </c>
      <c r="I4501" t="s">
        <v>2011</v>
      </c>
      <c r="J4501" t="s">
        <v>17975</v>
      </c>
    </row>
    <row r="4502" spans="6:10">
      <c r="F4502" t="s">
        <v>17976</v>
      </c>
      <c r="G4502">
        <v>4499</v>
      </c>
      <c r="H4502" t="s">
        <v>17977</v>
      </c>
      <c r="I4502" t="s">
        <v>17977</v>
      </c>
      <c r="J4502" t="s">
        <v>17978</v>
      </c>
    </row>
    <row r="4503" spans="6:10">
      <c r="F4503" t="s">
        <v>17979</v>
      </c>
      <c r="G4503">
        <v>4500</v>
      </c>
      <c r="H4503" t="s">
        <v>17980</v>
      </c>
      <c r="I4503" t="s">
        <v>17981</v>
      </c>
      <c r="J4503" t="s">
        <v>17982</v>
      </c>
    </row>
    <row r="4504" spans="6:10">
      <c r="F4504" t="s">
        <v>17983</v>
      </c>
      <c r="G4504">
        <v>4501</v>
      </c>
      <c r="H4504" t="s">
        <v>3779</v>
      </c>
      <c r="I4504" t="s">
        <v>3780</v>
      </c>
      <c r="J4504" t="s">
        <v>17984</v>
      </c>
    </row>
    <row r="4505" spans="6:10">
      <c r="F4505" t="s">
        <v>17985</v>
      </c>
      <c r="G4505">
        <v>4502</v>
      </c>
      <c r="H4505" t="s">
        <v>6218</v>
      </c>
      <c r="I4505" t="s">
        <v>6219</v>
      </c>
      <c r="J4505" t="s">
        <v>17986</v>
      </c>
    </row>
    <row r="4506" spans="6:10">
      <c r="F4506" t="s">
        <v>17987</v>
      </c>
      <c r="G4506">
        <v>4503</v>
      </c>
      <c r="H4506" t="s">
        <v>1824</v>
      </c>
      <c r="I4506" t="s">
        <v>1825</v>
      </c>
      <c r="J4506" t="s">
        <v>17988</v>
      </c>
    </row>
    <row r="4507" spans="6:10">
      <c r="F4507" t="s">
        <v>17989</v>
      </c>
      <c r="G4507">
        <v>3945412196</v>
      </c>
      <c r="H4507" t="s">
        <v>893</v>
      </c>
      <c r="I4507" t="s">
        <v>894</v>
      </c>
      <c r="J4507" t="s">
        <v>17990</v>
      </c>
    </row>
    <row r="4508" spans="6:10">
      <c r="F4508" t="s">
        <v>17991</v>
      </c>
      <c r="G4508">
        <v>4755512492</v>
      </c>
      <c r="H4508" t="s">
        <v>5263</v>
      </c>
      <c r="I4508" t="s">
        <v>5264</v>
      </c>
      <c r="J4508" t="s">
        <v>17992</v>
      </c>
    </row>
    <row r="4509" spans="6:10">
      <c r="F4509" t="s">
        <v>17993</v>
      </c>
      <c r="G4509">
        <v>2457787300</v>
      </c>
      <c r="H4509" t="s">
        <v>1892</v>
      </c>
      <c r="I4509" t="s">
        <v>1892</v>
      </c>
      <c r="J4509" t="s">
        <v>17994</v>
      </c>
    </row>
    <row r="4510" spans="6:10">
      <c r="F4510" t="s">
        <v>17995</v>
      </c>
      <c r="G4510">
        <v>4507</v>
      </c>
      <c r="H4510" t="s">
        <v>3877</v>
      </c>
      <c r="I4510" t="s">
        <v>3878</v>
      </c>
      <c r="J4510" t="s">
        <v>17996</v>
      </c>
    </row>
    <row r="4511" spans="6:10">
      <c r="F4511" t="s">
        <v>17997</v>
      </c>
      <c r="G4511">
        <v>1042058490</v>
      </c>
      <c r="H4511" t="s">
        <v>5171</v>
      </c>
      <c r="I4511" t="s">
        <v>5172</v>
      </c>
      <c r="J4511" t="s">
        <v>17998</v>
      </c>
    </row>
    <row r="4512" spans="6:10">
      <c r="F4512" t="s">
        <v>17999</v>
      </c>
      <c r="G4512">
        <v>9286661665</v>
      </c>
      <c r="H4512" t="s">
        <v>5990</v>
      </c>
      <c r="I4512" t="s">
        <v>5991</v>
      </c>
      <c r="J4512" t="s">
        <v>18000</v>
      </c>
    </row>
    <row r="4513" spans="6:10">
      <c r="F4513" t="s">
        <v>18001</v>
      </c>
      <c r="G4513">
        <v>4510</v>
      </c>
      <c r="H4513" t="s">
        <v>1800</v>
      </c>
      <c r="I4513" t="s">
        <v>1801</v>
      </c>
      <c r="J4513" t="s">
        <v>18002</v>
      </c>
    </row>
    <row r="4514" spans="6:10">
      <c r="F4514" t="s">
        <v>18003</v>
      </c>
      <c r="G4514">
        <v>4511</v>
      </c>
      <c r="H4514" t="s">
        <v>4682</v>
      </c>
      <c r="I4514" t="s">
        <v>4683</v>
      </c>
      <c r="J4514" t="s">
        <v>18004</v>
      </c>
    </row>
    <row r="4515" spans="6:10">
      <c r="F4515" t="s">
        <v>18005</v>
      </c>
      <c r="G4515">
        <v>4512</v>
      </c>
      <c r="H4515" t="s">
        <v>3995</v>
      </c>
      <c r="I4515" t="s">
        <v>3996</v>
      </c>
      <c r="J4515" t="s">
        <v>18006</v>
      </c>
    </row>
    <row r="4516" spans="6:10">
      <c r="F4516" t="s">
        <v>18007</v>
      </c>
      <c r="G4516">
        <v>4513</v>
      </c>
      <c r="H4516" t="s">
        <v>5459</v>
      </c>
      <c r="I4516" t="s">
        <v>5460</v>
      </c>
      <c r="J4516" t="s">
        <v>18008</v>
      </c>
    </row>
    <row r="4517" spans="6:10">
      <c r="F4517" t="s">
        <v>18009</v>
      </c>
      <c r="G4517">
        <v>19227577807</v>
      </c>
      <c r="H4517" t="s">
        <v>3014</v>
      </c>
      <c r="I4517" t="s">
        <v>3015</v>
      </c>
      <c r="J4517" t="s">
        <v>18010</v>
      </c>
    </row>
    <row r="4518" spans="6:10">
      <c r="F4518" t="s">
        <v>18011</v>
      </c>
      <c r="G4518">
        <v>4515</v>
      </c>
      <c r="H4518" t="s">
        <v>18012</v>
      </c>
      <c r="I4518" t="s">
        <v>18013</v>
      </c>
      <c r="J4518" t="s">
        <v>18014</v>
      </c>
    </row>
    <row r="4519" spans="6:10">
      <c r="F4519" t="s">
        <v>18015</v>
      </c>
      <c r="G4519">
        <v>4516</v>
      </c>
      <c r="H4519" t="s">
        <v>4496</v>
      </c>
      <c r="I4519" t="s">
        <v>4496</v>
      </c>
      <c r="J4519" t="s">
        <v>18016</v>
      </c>
    </row>
    <row r="4520" spans="6:10">
      <c r="F4520" t="s">
        <v>18017</v>
      </c>
      <c r="G4520">
        <v>4517</v>
      </c>
      <c r="H4520" t="s">
        <v>95</v>
      </c>
      <c r="I4520" t="s">
        <v>96</v>
      </c>
      <c r="J4520" t="s">
        <v>18018</v>
      </c>
    </row>
    <row r="4521" spans="6:10">
      <c r="F4521" t="s">
        <v>18019</v>
      </c>
      <c r="G4521">
        <v>4518</v>
      </c>
      <c r="H4521" t="s">
        <v>18020</v>
      </c>
      <c r="I4521" t="s">
        <v>18021</v>
      </c>
      <c r="J4521" t="s">
        <v>18022</v>
      </c>
    </row>
    <row r="4522" spans="6:10">
      <c r="F4522" t="s">
        <v>18023</v>
      </c>
      <c r="G4522">
        <v>14521071732</v>
      </c>
      <c r="H4522" t="s">
        <v>415</v>
      </c>
      <c r="I4522" t="s">
        <v>415</v>
      </c>
      <c r="J4522" t="s">
        <v>18024</v>
      </c>
    </row>
    <row r="4523" spans="6:10">
      <c r="F4523" t="s">
        <v>18025</v>
      </c>
      <c r="G4523">
        <v>5492943413</v>
      </c>
      <c r="H4523" t="s">
        <v>2396</v>
      </c>
      <c r="I4523" t="s">
        <v>2397</v>
      </c>
      <c r="J4523" t="s">
        <v>18026</v>
      </c>
    </row>
    <row r="4524" spans="6:10">
      <c r="F4524" t="s">
        <v>18027</v>
      </c>
      <c r="G4524">
        <v>4521</v>
      </c>
      <c r="H4524" t="s">
        <v>6055</v>
      </c>
      <c r="I4524" t="s">
        <v>6056</v>
      </c>
      <c r="J4524" t="s">
        <v>18028</v>
      </c>
    </row>
    <row r="4525" spans="6:10">
      <c r="F4525" t="s">
        <v>18029</v>
      </c>
      <c r="G4525">
        <v>4522</v>
      </c>
      <c r="H4525" t="s">
        <v>18030</v>
      </c>
      <c r="I4525" t="s">
        <v>18031</v>
      </c>
      <c r="J4525" t="s">
        <v>18032</v>
      </c>
    </row>
    <row r="4526" spans="6:10">
      <c r="F4526" t="s">
        <v>18033</v>
      </c>
      <c r="G4526">
        <v>4523</v>
      </c>
      <c r="H4526" t="s">
        <v>4674</v>
      </c>
      <c r="I4526" t="s">
        <v>4675</v>
      </c>
      <c r="J4526" t="s">
        <v>18034</v>
      </c>
    </row>
    <row r="4527" spans="6:10">
      <c r="F4527" t="s">
        <v>18035</v>
      </c>
      <c r="G4527">
        <v>4524</v>
      </c>
      <c r="H4527" t="s">
        <v>18036</v>
      </c>
      <c r="I4527" t="s">
        <v>18037</v>
      </c>
      <c r="J4527" t="s">
        <v>18038</v>
      </c>
    </row>
    <row r="4528" spans="6:10">
      <c r="F4528" t="s">
        <v>18039</v>
      </c>
      <c r="G4528">
        <v>4525</v>
      </c>
      <c r="H4528" t="s">
        <v>18040</v>
      </c>
      <c r="I4528" t="s">
        <v>18041</v>
      </c>
      <c r="J4528" t="s">
        <v>18042</v>
      </c>
    </row>
    <row r="4529" spans="6:10">
      <c r="F4529" t="s">
        <v>18043</v>
      </c>
      <c r="G4529">
        <v>4526</v>
      </c>
      <c r="H4529" t="s">
        <v>2232</v>
      </c>
      <c r="I4529" t="s">
        <v>2232</v>
      </c>
      <c r="J4529" t="s">
        <v>18044</v>
      </c>
    </row>
    <row r="4530" spans="6:10">
      <c r="F4530" t="s">
        <v>18045</v>
      </c>
      <c r="G4530">
        <v>4527</v>
      </c>
      <c r="H4530" t="s">
        <v>5759</v>
      </c>
      <c r="I4530" t="s">
        <v>5760</v>
      </c>
      <c r="J4530" t="s">
        <v>18046</v>
      </c>
    </row>
    <row r="4531" spans="6:10">
      <c r="F4531" t="s">
        <v>18047</v>
      </c>
      <c r="G4531">
        <v>4528</v>
      </c>
      <c r="H4531" t="s">
        <v>3075</v>
      </c>
      <c r="I4531" t="s">
        <v>3075</v>
      </c>
      <c r="J4531" t="s">
        <v>18048</v>
      </c>
    </row>
    <row r="4532" spans="6:10">
      <c r="F4532" t="s">
        <v>18049</v>
      </c>
      <c r="G4532">
        <v>4529</v>
      </c>
      <c r="H4532" t="s">
        <v>1555</v>
      </c>
      <c r="I4532" t="s">
        <v>1556</v>
      </c>
      <c r="J4532" t="s">
        <v>18050</v>
      </c>
    </row>
    <row r="4533" spans="6:10">
      <c r="F4533" t="s">
        <v>18051</v>
      </c>
      <c r="G4533">
        <v>4530</v>
      </c>
      <c r="H4533" t="s">
        <v>1140</v>
      </c>
      <c r="I4533" t="s">
        <v>1141</v>
      </c>
      <c r="J4533" t="s">
        <v>18052</v>
      </c>
    </row>
    <row r="4534" spans="6:10">
      <c r="F4534" t="s">
        <v>18053</v>
      </c>
      <c r="G4534">
        <v>4531</v>
      </c>
      <c r="H4534" t="s">
        <v>230</v>
      </c>
      <c r="I4534" t="s">
        <v>230</v>
      </c>
      <c r="J4534" t="s">
        <v>18054</v>
      </c>
    </row>
    <row r="4535" spans="6:10">
      <c r="F4535" t="s">
        <v>18055</v>
      </c>
      <c r="G4535">
        <v>4532</v>
      </c>
      <c r="H4535" t="s">
        <v>1636</v>
      </c>
      <c r="I4535" t="s">
        <v>1645</v>
      </c>
      <c r="J4535" t="s">
        <v>18056</v>
      </c>
    </row>
    <row r="4536" spans="6:10">
      <c r="F4536" t="s">
        <v>18057</v>
      </c>
      <c r="G4536">
        <v>25684329500</v>
      </c>
      <c r="H4536" t="s">
        <v>1780</v>
      </c>
      <c r="I4536" t="s">
        <v>1780</v>
      </c>
      <c r="J4536" t="s">
        <v>18058</v>
      </c>
    </row>
    <row r="4537" spans="6:10">
      <c r="F4537" t="s">
        <v>18059</v>
      </c>
      <c r="G4537">
        <v>4534</v>
      </c>
      <c r="H4537" t="s">
        <v>4308</v>
      </c>
      <c r="I4537" t="s">
        <v>4309</v>
      </c>
      <c r="J4537" t="s">
        <v>18060</v>
      </c>
    </row>
    <row r="4538" spans="6:10">
      <c r="F4538" t="s">
        <v>18061</v>
      </c>
      <c r="G4538">
        <v>4535</v>
      </c>
      <c r="H4538" t="s">
        <v>5740</v>
      </c>
      <c r="I4538" t="s">
        <v>5741</v>
      </c>
      <c r="J4538" t="s">
        <v>18062</v>
      </c>
    </row>
    <row r="4539" spans="6:10">
      <c r="F4539" t="s">
        <v>18063</v>
      </c>
      <c r="G4539">
        <v>4536</v>
      </c>
      <c r="H4539" t="s">
        <v>18064</v>
      </c>
      <c r="I4539" t="s">
        <v>18065</v>
      </c>
      <c r="J4539" t="s">
        <v>18066</v>
      </c>
    </row>
    <row r="4540" spans="6:10">
      <c r="F4540" t="s">
        <v>18067</v>
      </c>
      <c r="G4540">
        <v>54860830172</v>
      </c>
      <c r="H4540" t="s">
        <v>5959</v>
      </c>
      <c r="I4540" t="s">
        <v>5960</v>
      </c>
      <c r="J4540" t="s">
        <v>18068</v>
      </c>
    </row>
    <row r="4541" spans="6:10">
      <c r="F4541" t="s">
        <v>18069</v>
      </c>
      <c r="G4541">
        <v>4538</v>
      </c>
      <c r="H4541" t="s">
        <v>18070</v>
      </c>
      <c r="I4541" t="s">
        <v>18071</v>
      </c>
      <c r="J4541" t="s">
        <v>18072</v>
      </c>
    </row>
    <row r="4542" spans="6:10">
      <c r="F4542" t="s">
        <v>18073</v>
      </c>
      <c r="G4542">
        <v>4539</v>
      </c>
      <c r="H4542" t="s">
        <v>5530</v>
      </c>
      <c r="I4542" t="s">
        <v>5531</v>
      </c>
      <c r="J4542" t="s">
        <v>18074</v>
      </c>
    </row>
    <row r="4543" spans="6:10">
      <c r="F4543" t="s">
        <v>18075</v>
      </c>
      <c r="G4543">
        <v>5659834310</v>
      </c>
      <c r="H4543" t="s">
        <v>5796</v>
      </c>
      <c r="I4543" t="s">
        <v>5796</v>
      </c>
      <c r="J4543" t="s">
        <v>18076</v>
      </c>
    </row>
    <row r="4544" spans="6:10">
      <c r="F4544" t="s">
        <v>18077</v>
      </c>
      <c r="G4544">
        <v>4541</v>
      </c>
      <c r="H4544" t="s">
        <v>18078</v>
      </c>
      <c r="I4544" t="s">
        <v>18079</v>
      </c>
      <c r="J4544" t="s">
        <v>18080</v>
      </c>
    </row>
    <row r="4545" spans="6:10">
      <c r="F4545" t="s">
        <v>18081</v>
      </c>
      <c r="G4545">
        <v>4542</v>
      </c>
      <c r="H4545" t="s">
        <v>18082</v>
      </c>
      <c r="I4545" t="s">
        <v>18083</v>
      </c>
      <c r="J4545" t="s">
        <v>18084</v>
      </c>
    </row>
    <row r="4546" spans="6:10">
      <c r="F4546" t="s">
        <v>18085</v>
      </c>
      <c r="G4546">
        <v>19032532847</v>
      </c>
      <c r="H4546" t="s">
        <v>1227</v>
      </c>
      <c r="I4546" t="s">
        <v>1228</v>
      </c>
      <c r="J4546" t="s">
        <v>18086</v>
      </c>
    </row>
    <row r="4547" spans="6:10">
      <c r="F4547" t="s">
        <v>18087</v>
      </c>
      <c r="G4547">
        <v>4544</v>
      </c>
      <c r="H4547" t="s">
        <v>18088</v>
      </c>
      <c r="I4547" t="s">
        <v>18089</v>
      </c>
      <c r="J4547" t="s">
        <v>18090</v>
      </c>
    </row>
    <row r="4548" spans="6:10">
      <c r="F4548" t="s">
        <v>18091</v>
      </c>
      <c r="G4548">
        <v>92609287704</v>
      </c>
      <c r="H4548" t="s">
        <v>408</v>
      </c>
      <c r="I4548" t="s">
        <v>408</v>
      </c>
      <c r="J4548" t="s">
        <v>18092</v>
      </c>
    </row>
    <row r="4549" spans="6:10">
      <c r="F4549" t="s">
        <v>18093</v>
      </c>
      <c r="G4549">
        <v>343711176</v>
      </c>
      <c r="H4549" t="s">
        <v>4459</v>
      </c>
      <c r="I4549" t="s">
        <v>4459</v>
      </c>
      <c r="J4549" t="s">
        <v>18094</v>
      </c>
    </row>
    <row r="4550" spans="6:10">
      <c r="F4550" t="s">
        <v>18095</v>
      </c>
      <c r="G4550">
        <v>4547</v>
      </c>
      <c r="H4550" t="s">
        <v>5805</v>
      </c>
      <c r="I4550" t="s">
        <v>5805</v>
      </c>
      <c r="J4550" t="s">
        <v>18096</v>
      </c>
    </row>
    <row r="4551" spans="6:10">
      <c r="F4551" t="s">
        <v>18097</v>
      </c>
      <c r="G4551">
        <v>4548</v>
      </c>
      <c r="H4551" t="s">
        <v>5579</v>
      </c>
      <c r="I4551" t="s">
        <v>5580</v>
      </c>
      <c r="J4551" t="s">
        <v>18098</v>
      </c>
    </row>
    <row r="4552" spans="6:10">
      <c r="F4552" t="s">
        <v>18099</v>
      </c>
      <c r="G4552">
        <v>13907106709</v>
      </c>
      <c r="H4552" t="s">
        <v>5992</v>
      </c>
      <c r="I4552" t="s">
        <v>5993</v>
      </c>
      <c r="J4552" t="s">
        <v>18100</v>
      </c>
    </row>
    <row r="4553" spans="6:10">
      <c r="F4553" t="s">
        <v>18101</v>
      </c>
      <c r="G4553">
        <v>4983280669</v>
      </c>
      <c r="H4553" t="s">
        <v>2128</v>
      </c>
      <c r="I4553" t="s">
        <v>2129</v>
      </c>
      <c r="J4553" t="s">
        <v>18102</v>
      </c>
    </row>
    <row r="4554" spans="6:10">
      <c r="F4554" t="s">
        <v>18103</v>
      </c>
      <c r="G4554">
        <v>7984505683</v>
      </c>
      <c r="H4554" t="s">
        <v>5838</v>
      </c>
      <c r="I4554" t="s">
        <v>5839</v>
      </c>
      <c r="J4554" t="s">
        <v>18104</v>
      </c>
    </row>
    <row r="4555" spans="6:10">
      <c r="F4555" t="s">
        <v>18105</v>
      </c>
      <c r="G4555">
        <v>61263683398</v>
      </c>
      <c r="H4555" t="s">
        <v>6064</v>
      </c>
      <c r="I4555" t="s">
        <v>6064</v>
      </c>
      <c r="J4555" t="s">
        <v>18106</v>
      </c>
    </row>
    <row r="4556" spans="6:10">
      <c r="F4556" t="s">
        <v>18107</v>
      </c>
      <c r="G4556">
        <v>4553</v>
      </c>
      <c r="H4556" t="s">
        <v>4966</v>
      </c>
      <c r="I4556" t="s">
        <v>4966</v>
      </c>
      <c r="J4556" t="s">
        <v>18108</v>
      </c>
    </row>
    <row r="4557" spans="6:10">
      <c r="F4557" t="s">
        <v>18109</v>
      </c>
      <c r="G4557">
        <v>4554</v>
      </c>
      <c r="H4557" t="s">
        <v>4235</v>
      </c>
      <c r="I4557" t="s">
        <v>4236</v>
      </c>
      <c r="J4557" t="s">
        <v>18110</v>
      </c>
    </row>
    <row r="4558" spans="6:10">
      <c r="F4558" t="s">
        <v>18111</v>
      </c>
      <c r="G4558">
        <v>83864768004</v>
      </c>
      <c r="H4558" t="s">
        <v>3247</v>
      </c>
      <c r="I4558" t="s">
        <v>3247</v>
      </c>
      <c r="J4558" t="s">
        <v>18112</v>
      </c>
    </row>
    <row r="4559" spans="6:10">
      <c r="F4559" t="s">
        <v>18113</v>
      </c>
      <c r="G4559">
        <v>4547386765</v>
      </c>
      <c r="H4559" t="s">
        <v>5160</v>
      </c>
      <c r="I4559" t="s">
        <v>5161</v>
      </c>
      <c r="J4559" t="s">
        <v>18114</v>
      </c>
    </row>
    <row r="4560" spans="6:10">
      <c r="F4560" t="s">
        <v>18115</v>
      </c>
      <c r="G4560">
        <v>89596102168</v>
      </c>
      <c r="H4560" t="s">
        <v>3666</v>
      </c>
      <c r="I4560" t="s">
        <v>3666</v>
      </c>
      <c r="J4560" t="s">
        <v>18116</v>
      </c>
    </row>
    <row r="4561" spans="6:10">
      <c r="F4561" t="s">
        <v>18117</v>
      </c>
      <c r="G4561">
        <v>85552593120</v>
      </c>
      <c r="H4561" t="s">
        <v>4601</v>
      </c>
      <c r="I4561" t="s">
        <v>4601</v>
      </c>
      <c r="J4561" t="s">
        <v>18118</v>
      </c>
    </row>
    <row r="4562" spans="6:10">
      <c r="F4562" t="s">
        <v>18119</v>
      </c>
      <c r="G4562">
        <v>63153491372</v>
      </c>
      <c r="H4562" t="s">
        <v>1835</v>
      </c>
      <c r="I4562" t="s">
        <v>1835</v>
      </c>
      <c r="J4562" t="s">
        <v>18120</v>
      </c>
    </row>
    <row r="4563" spans="6:10">
      <c r="F4563" t="s">
        <v>18121</v>
      </c>
      <c r="G4563">
        <v>31585172804</v>
      </c>
      <c r="H4563" t="s">
        <v>2064</v>
      </c>
      <c r="I4563" t="s">
        <v>2064</v>
      </c>
      <c r="J4563" t="s">
        <v>18122</v>
      </c>
    </row>
    <row r="4564" spans="6:10">
      <c r="F4564" t="s">
        <v>18123</v>
      </c>
      <c r="G4564">
        <v>4561</v>
      </c>
      <c r="H4564" t="s">
        <v>18124</v>
      </c>
      <c r="I4564" t="s">
        <v>18125</v>
      </c>
      <c r="J4564" t="s">
        <v>18126</v>
      </c>
    </row>
    <row r="4565" spans="6:10">
      <c r="F4565" t="s">
        <v>18127</v>
      </c>
      <c r="G4565">
        <v>4562</v>
      </c>
      <c r="H4565" t="s">
        <v>18128</v>
      </c>
      <c r="I4565" t="s">
        <v>18129</v>
      </c>
      <c r="J4565" t="s">
        <v>18130</v>
      </c>
    </row>
    <row r="4566" spans="6:10">
      <c r="F4566" t="s">
        <v>18131</v>
      </c>
      <c r="G4566">
        <v>4563</v>
      </c>
      <c r="H4566" t="s">
        <v>18132</v>
      </c>
      <c r="I4566" t="s">
        <v>18133</v>
      </c>
      <c r="J4566" t="s">
        <v>18134</v>
      </c>
    </row>
    <row r="4567" spans="6:10">
      <c r="F4567" t="s">
        <v>18135</v>
      </c>
      <c r="G4567">
        <v>16956831708</v>
      </c>
      <c r="H4567" t="s">
        <v>1587</v>
      </c>
      <c r="I4567" t="s">
        <v>1588</v>
      </c>
      <c r="J4567" t="s">
        <v>18136</v>
      </c>
    </row>
    <row r="4568" spans="6:10">
      <c r="F4568" t="s">
        <v>18137</v>
      </c>
      <c r="G4568">
        <v>33735580858</v>
      </c>
      <c r="H4568" t="s">
        <v>5996</v>
      </c>
      <c r="I4568" t="s">
        <v>5996</v>
      </c>
      <c r="J4568" t="s">
        <v>18138</v>
      </c>
    </row>
    <row r="4569" spans="6:10">
      <c r="F4569" t="s">
        <v>18139</v>
      </c>
      <c r="G4569">
        <v>4566</v>
      </c>
      <c r="H4569" t="s">
        <v>18140</v>
      </c>
      <c r="I4569" t="s">
        <v>17322</v>
      </c>
      <c r="J4569" t="s">
        <v>18141</v>
      </c>
    </row>
    <row r="4570" spans="6:10">
      <c r="F4570" t="s">
        <v>18142</v>
      </c>
      <c r="G4570">
        <v>11794219730</v>
      </c>
      <c r="H4570" t="s">
        <v>3595</v>
      </c>
      <c r="I4570" t="s">
        <v>3595</v>
      </c>
      <c r="J4570" t="s">
        <v>18143</v>
      </c>
    </row>
    <row r="4571" spans="6:10">
      <c r="F4571" t="s">
        <v>18144</v>
      </c>
      <c r="G4571">
        <v>4568</v>
      </c>
      <c r="H4571" t="s">
        <v>2997</v>
      </c>
      <c r="I4571" t="s">
        <v>2998</v>
      </c>
      <c r="J4571" t="s">
        <v>18145</v>
      </c>
    </row>
    <row r="4572" spans="6:10">
      <c r="F4572" t="s">
        <v>18146</v>
      </c>
      <c r="G4572">
        <v>4569</v>
      </c>
      <c r="H4572" t="s">
        <v>2003</v>
      </c>
      <c r="I4572" t="s">
        <v>2004</v>
      </c>
      <c r="J4572" t="s">
        <v>18147</v>
      </c>
    </row>
    <row r="4573" spans="6:10">
      <c r="F4573" t="s">
        <v>18148</v>
      </c>
      <c r="G4573">
        <v>4570</v>
      </c>
      <c r="H4573" t="s">
        <v>3180</v>
      </c>
      <c r="I4573" t="s">
        <v>3180</v>
      </c>
      <c r="J4573" t="s">
        <v>18149</v>
      </c>
    </row>
    <row r="4574" spans="6:10">
      <c r="F4574" t="s">
        <v>18150</v>
      </c>
      <c r="G4574">
        <v>6723750365</v>
      </c>
      <c r="H4574" t="s">
        <v>3199</v>
      </c>
      <c r="I4574" t="s">
        <v>3199</v>
      </c>
      <c r="J4574" t="s">
        <v>18151</v>
      </c>
    </row>
    <row r="4575" spans="6:10">
      <c r="F4575" t="s">
        <v>18152</v>
      </c>
      <c r="G4575">
        <v>4572</v>
      </c>
      <c r="H4575" t="s">
        <v>18153</v>
      </c>
      <c r="I4575" t="s">
        <v>18154</v>
      </c>
      <c r="J4575" t="s">
        <v>18155</v>
      </c>
    </row>
    <row r="4576" spans="6:10">
      <c r="F4576" t="s">
        <v>18156</v>
      </c>
      <c r="G4576">
        <v>4573</v>
      </c>
      <c r="H4576" t="s">
        <v>5423</v>
      </c>
      <c r="I4576" t="s">
        <v>5424</v>
      </c>
      <c r="J4576" t="s">
        <v>18157</v>
      </c>
    </row>
    <row r="4577" spans="6:10">
      <c r="F4577" t="s">
        <v>18158</v>
      </c>
      <c r="G4577">
        <v>4574</v>
      </c>
      <c r="H4577" t="s">
        <v>1350</v>
      </c>
      <c r="I4577" t="s">
        <v>1351</v>
      </c>
      <c r="J4577" t="s">
        <v>18159</v>
      </c>
    </row>
    <row r="4578" spans="6:10">
      <c r="F4578" t="s">
        <v>18160</v>
      </c>
      <c r="G4578">
        <v>34226260856</v>
      </c>
      <c r="H4578" t="s">
        <v>1887</v>
      </c>
      <c r="I4578" t="s">
        <v>1887</v>
      </c>
      <c r="J4578" t="s">
        <v>18161</v>
      </c>
    </row>
    <row r="4579" spans="6:10">
      <c r="F4579" t="s">
        <v>18162</v>
      </c>
      <c r="G4579">
        <v>34923181850</v>
      </c>
      <c r="H4579" t="s">
        <v>2369</v>
      </c>
      <c r="I4579" t="s">
        <v>2370</v>
      </c>
      <c r="J4579" t="s">
        <v>18163</v>
      </c>
    </row>
    <row r="4580" spans="6:10">
      <c r="F4580" t="s">
        <v>18164</v>
      </c>
      <c r="G4580">
        <v>4369794382</v>
      </c>
      <c r="H4580" t="s">
        <v>3446</v>
      </c>
      <c r="I4580" t="s">
        <v>3446</v>
      </c>
      <c r="J4580" t="s">
        <v>18165</v>
      </c>
    </row>
    <row r="4581" spans="6:10">
      <c r="F4581" t="s">
        <v>18166</v>
      </c>
      <c r="G4581">
        <v>8205501670</v>
      </c>
      <c r="H4581" t="s">
        <v>5071</v>
      </c>
      <c r="I4581" t="s">
        <v>5072</v>
      </c>
      <c r="J4581" t="s">
        <v>18167</v>
      </c>
    </row>
    <row r="4582" spans="6:10">
      <c r="F4582" t="s">
        <v>18168</v>
      </c>
      <c r="G4582">
        <v>4579</v>
      </c>
      <c r="H4582" t="s">
        <v>302</v>
      </c>
      <c r="I4582" t="s">
        <v>303</v>
      </c>
      <c r="J4582" t="s">
        <v>18169</v>
      </c>
    </row>
    <row r="4583" spans="6:10">
      <c r="F4583" t="s">
        <v>18170</v>
      </c>
      <c r="G4583">
        <v>4580</v>
      </c>
      <c r="H4583" t="s">
        <v>18171</v>
      </c>
      <c r="I4583" t="s">
        <v>18172</v>
      </c>
      <c r="J4583" t="s">
        <v>18173</v>
      </c>
    </row>
    <row r="4584" spans="6:10">
      <c r="F4584" t="s">
        <v>18174</v>
      </c>
      <c r="G4584">
        <v>4581</v>
      </c>
      <c r="H4584" t="s">
        <v>1836</v>
      </c>
      <c r="I4584" t="s">
        <v>1836</v>
      </c>
      <c r="J4584" t="s">
        <v>18175</v>
      </c>
    </row>
    <row r="4585" spans="6:10">
      <c r="F4585" t="s">
        <v>18176</v>
      </c>
      <c r="G4585">
        <v>4582</v>
      </c>
      <c r="H4585" t="s">
        <v>313</v>
      </c>
      <c r="I4585" t="s">
        <v>313</v>
      </c>
      <c r="J4585" t="s">
        <v>18177</v>
      </c>
    </row>
    <row r="4586" spans="6:10">
      <c r="F4586" t="s">
        <v>18178</v>
      </c>
      <c r="G4586">
        <v>26366582890</v>
      </c>
      <c r="H4586" t="s">
        <v>5511</v>
      </c>
      <c r="I4586" t="s">
        <v>5511</v>
      </c>
      <c r="J4586" t="s">
        <v>18179</v>
      </c>
    </row>
    <row r="4587" spans="6:10">
      <c r="F4587" t="s">
        <v>18180</v>
      </c>
      <c r="G4587">
        <v>13481359640</v>
      </c>
      <c r="H4587" t="s">
        <v>1214</v>
      </c>
      <c r="I4587" t="s">
        <v>1215</v>
      </c>
      <c r="J4587" t="s">
        <v>18181</v>
      </c>
    </row>
    <row r="4588" spans="6:10">
      <c r="F4588" t="s">
        <v>18182</v>
      </c>
      <c r="G4588">
        <v>4585</v>
      </c>
      <c r="H4588" t="s">
        <v>9046</v>
      </c>
      <c r="I4588" t="s">
        <v>9046</v>
      </c>
      <c r="J4588" t="s">
        <v>18183</v>
      </c>
    </row>
    <row r="4589" spans="6:10">
      <c r="F4589" t="s">
        <v>18184</v>
      </c>
      <c r="G4589">
        <v>4586</v>
      </c>
      <c r="H4589" t="s">
        <v>5809</v>
      </c>
      <c r="I4589" t="s">
        <v>5809</v>
      </c>
      <c r="J4589" t="s">
        <v>18185</v>
      </c>
    </row>
    <row r="4590" spans="6:10">
      <c r="F4590" t="s">
        <v>18186</v>
      </c>
      <c r="G4590">
        <v>4587</v>
      </c>
      <c r="H4590" t="s">
        <v>18187</v>
      </c>
      <c r="I4590" t="s">
        <v>18188</v>
      </c>
      <c r="J4590" t="s">
        <v>18189</v>
      </c>
    </row>
    <row r="4591" spans="6:10">
      <c r="F4591" t="s">
        <v>18190</v>
      </c>
      <c r="G4591">
        <v>4588</v>
      </c>
      <c r="H4591" t="s">
        <v>18191</v>
      </c>
      <c r="I4591" t="s">
        <v>18192</v>
      </c>
      <c r="J4591" t="s">
        <v>18193</v>
      </c>
    </row>
    <row r="4592" spans="6:10">
      <c r="F4592" t="s">
        <v>18194</v>
      </c>
      <c r="G4592">
        <v>4589</v>
      </c>
      <c r="H4592" t="s">
        <v>3802</v>
      </c>
      <c r="I4592" t="s">
        <v>3802</v>
      </c>
      <c r="J4592" t="s">
        <v>18195</v>
      </c>
    </row>
    <row r="4593" spans="6:10">
      <c r="F4593" t="s">
        <v>18196</v>
      </c>
      <c r="G4593">
        <v>1306752108</v>
      </c>
      <c r="H4593" t="s">
        <v>5438</v>
      </c>
      <c r="I4593" t="s">
        <v>5438</v>
      </c>
      <c r="J4593" t="s">
        <v>18197</v>
      </c>
    </row>
    <row r="4594" spans="6:10">
      <c r="F4594" t="s">
        <v>18198</v>
      </c>
      <c r="G4594">
        <v>13365790721</v>
      </c>
      <c r="H4594" t="s">
        <v>4608</v>
      </c>
      <c r="I4594" t="s">
        <v>4609</v>
      </c>
      <c r="J4594" t="s">
        <v>18199</v>
      </c>
    </row>
    <row r="4595" spans="6:10">
      <c r="F4595" t="s">
        <v>18200</v>
      </c>
      <c r="G4595">
        <v>4592</v>
      </c>
      <c r="H4595" t="s">
        <v>18201</v>
      </c>
      <c r="I4595" t="s">
        <v>18202</v>
      </c>
      <c r="J4595" t="s">
        <v>18203</v>
      </c>
    </row>
    <row r="4596" spans="6:10">
      <c r="F4596" t="s">
        <v>18204</v>
      </c>
      <c r="G4596">
        <v>4593</v>
      </c>
      <c r="H4596" t="s">
        <v>18205</v>
      </c>
      <c r="I4596" t="s">
        <v>18206</v>
      </c>
      <c r="J4596" t="s">
        <v>18207</v>
      </c>
    </row>
    <row r="4597" spans="6:10">
      <c r="F4597" t="s">
        <v>18208</v>
      </c>
      <c r="G4597">
        <v>4594</v>
      </c>
      <c r="H4597" t="s">
        <v>18209</v>
      </c>
      <c r="I4597" t="s">
        <v>18210</v>
      </c>
      <c r="J4597" t="s">
        <v>18211</v>
      </c>
    </row>
    <row r="4598" spans="6:10">
      <c r="F4598" t="s">
        <v>18212</v>
      </c>
      <c r="G4598">
        <v>4595</v>
      </c>
      <c r="H4598" t="s">
        <v>18213</v>
      </c>
      <c r="I4598" t="s">
        <v>18214</v>
      </c>
      <c r="J4598" t="s">
        <v>18215</v>
      </c>
    </row>
    <row r="4599" spans="6:10">
      <c r="F4599" t="s">
        <v>18216</v>
      </c>
      <c r="G4599">
        <v>4596</v>
      </c>
      <c r="H4599" t="s">
        <v>18217</v>
      </c>
      <c r="I4599" t="s">
        <v>18217</v>
      </c>
      <c r="J4599" t="s">
        <v>18218</v>
      </c>
    </row>
    <row r="4600" spans="6:10">
      <c r="F4600" t="s">
        <v>18219</v>
      </c>
      <c r="G4600">
        <v>58863834172</v>
      </c>
      <c r="H4600" t="s">
        <v>423</v>
      </c>
      <c r="I4600" t="s">
        <v>424</v>
      </c>
      <c r="J4600" t="s">
        <v>18220</v>
      </c>
    </row>
    <row r="4601" spans="6:10">
      <c r="F4601" t="s">
        <v>18221</v>
      </c>
      <c r="G4601">
        <v>4598</v>
      </c>
      <c r="H4601" t="s">
        <v>1177</v>
      </c>
      <c r="I4601" t="s">
        <v>1178</v>
      </c>
      <c r="J4601" t="s">
        <v>18222</v>
      </c>
    </row>
    <row r="4602" spans="6:10">
      <c r="F4602" t="s">
        <v>18223</v>
      </c>
      <c r="G4602">
        <v>4599</v>
      </c>
      <c r="H4602" t="s">
        <v>18224</v>
      </c>
      <c r="I4602" t="s">
        <v>18225</v>
      </c>
      <c r="J4602" t="s">
        <v>18226</v>
      </c>
    </row>
    <row r="4603" spans="6:10">
      <c r="F4603" t="s">
        <v>18227</v>
      </c>
      <c r="G4603">
        <v>4600</v>
      </c>
      <c r="H4603" t="s">
        <v>2426</v>
      </c>
      <c r="I4603" t="s">
        <v>2427</v>
      </c>
      <c r="J4603" t="s">
        <v>18228</v>
      </c>
    </row>
    <row r="4604" spans="6:10">
      <c r="F4604" t="s">
        <v>18229</v>
      </c>
      <c r="G4604">
        <v>4601</v>
      </c>
      <c r="H4604" t="s">
        <v>18230</v>
      </c>
      <c r="I4604" t="s">
        <v>18231</v>
      </c>
      <c r="J4604" t="s">
        <v>18232</v>
      </c>
    </row>
    <row r="4605" spans="6:10">
      <c r="F4605" t="s">
        <v>18233</v>
      </c>
      <c r="G4605">
        <v>4602</v>
      </c>
      <c r="H4605" t="s">
        <v>4551</v>
      </c>
      <c r="I4605" t="s">
        <v>4552</v>
      </c>
      <c r="J4605" t="s">
        <v>18234</v>
      </c>
    </row>
    <row r="4606" spans="6:10">
      <c r="F4606" t="s">
        <v>18235</v>
      </c>
      <c r="G4606">
        <v>4603</v>
      </c>
      <c r="H4606" t="s">
        <v>380</v>
      </c>
      <c r="I4606" t="s">
        <v>381</v>
      </c>
      <c r="J4606" t="s">
        <v>18236</v>
      </c>
    </row>
    <row r="4607" spans="6:10">
      <c r="F4607" t="s">
        <v>18237</v>
      </c>
      <c r="G4607">
        <v>4604</v>
      </c>
      <c r="H4607" t="s">
        <v>5186</v>
      </c>
      <c r="I4607" t="s">
        <v>5187</v>
      </c>
      <c r="J4607" t="s">
        <v>18238</v>
      </c>
    </row>
    <row r="4608" spans="6:10">
      <c r="F4608" t="s">
        <v>18239</v>
      </c>
      <c r="G4608">
        <v>2942944145</v>
      </c>
      <c r="H4608" t="s">
        <v>3583</v>
      </c>
      <c r="I4608" t="s">
        <v>3584</v>
      </c>
      <c r="J4608" t="s">
        <v>18240</v>
      </c>
    </row>
    <row r="4609" spans="6:10">
      <c r="F4609" t="s">
        <v>18241</v>
      </c>
      <c r="G4609">
        <v>4606</v>
      </c>
      <c r="H4609" t="s">
        <v>18242</v>
      </c>
      <c r="I4609" t="s">
        <v>18243</v>
      </c>
      <c r="J4609" t="s">
        <v>18244</v>
      </c>
    </row>
    <row r="4610" spans="6:10">
      <c r="F4610" t="s">
        <v>18245</v>
      </c>
      <c r="G4610">
        <v>4607</v>
      </c>
      <c r="H4610" t="s">
        <v>18246</v>
      </c>
      <c r="I4610" t="s">
        <v>18247</v>
      </c>
      <c r="J4610" t="s">
        <v>18248</v>
      </c>
    </row>
    <row r="4611" spans="6:10">
      <c r="F4611" t="s">
        <v>18249</v>
      </c>
      <c r="G4611">
        <v>4608</v>
      </c>
      <c r="H4611" t="s">
        <v>1344</v>
      </c>
      <c r="I4611" t="s">
        <v>1345</v>
      </c>
      <c r="J4611" t="s">
        <v>18250</v>
      </c>
    </row>
    <row r="4612" spans="6:10">
      <c r="F4612" t="s">
        <v>18251</v>
      </c>
      <c r="G4612">
        <v>4609</v>
      </c>
      <c r="H4612" t="s">
        <v>18252</v>
      </c>
      <c r="I4612" t="s">
        <v>18253</v>
      </c>
      <c r="J4612" t="s">
        <v>18254</v>
      </c>
    </row>
    <row r="4613" spans="6:10">
      <c r="F4613" t="s">
        <v>18255</v>
      </c>
      <c r="G4613">
        <v>1629072222</v>
      </c>
      <c r="H4613" t="s">
        <v>3356</v>
      </c>
      <c r="I4613" t="s">
        <v>3357</v>
      </c>
      <c r="J4613" t="s">
        <v>18256</v>
      </c>
    </row>
    <row r="4614" spans="6:10">
      <c r="F4614" t="s">
        <v>18257</v>
      </c>
      <c r="G4614">
        <v>4611</v>
      </c>
      <c r="H4614" t="s">
        <v>2356</v>
      </c>
      <c r="I4614" t="s">
        <v>2357</v>
      </c>
      <c r="J4614" t="s">
        <v>18258</v>
      </c>
    </row>
    <row r="4615" spans="6:10">
      <c r="F4615" t="s">
        <v>18259</v>
      </c>
      <c r="G4615">
        <v>1593059000</v>
      </c>
      <c r="H4615" t="s">
        <v>4100</v>
      </c>
      <c r="I4615" t="s">
        <v>4100</v>
      </c>
      <c r="J4615" t="s">
        <v>18260</v>
      </c>
    </row>
    <row r="4616" spans="6:10">
      <c r="F4616" t="s">
        <v>18261</v>
      </c>
      <c r="G4616">
        <v>70943559553</v>
      </c>
      <c r="H4616" t="s">
        <v>4254</v>
      </c>
      <c r="I4616" t="s">
        <v>4254</v>
      </c>
      <c r="J4616" t="s">
        <v>18262</v>
      </c>
    </row>
    <row r="4617" spans="6:10">
      <c r="F4617" t="s">
        <v>18263</v>
      </c>
      <c r="G4617">
        <v>11867659760</v>
      </c>
      <c r="H4617" t="s">
        <v>2279</v>
      </c>
      <c r="I4617" t="s">
        <v>2279</v>
      </c>
      <c r="J4617" t="s">
        <v>18264</v>
      </c>
    </row>
    <row r="4618" spans="6:10">
      <c r="F4618" t="s">
        <v>18265</v>
      </c>
      <c r="G4618">
        <v>4580454111</v>
      </c>
      <c r="H4618" t="s">
        <v>3100</v>
      </c>
      <c r="I4618" t="s">
        <v>3101</v>
      </c>
      <c r="J4618" t="s">
        <v>18266</v>
      </c>
    </row>
    <row r="4619" spans="6:10">
      <c r="F4619" t="s">
        <v>18267</v>
      </c>
      <c r="G4619">
        <v>11530811643</v>
      </c>
      <c r="H4619" t="s">
        <v>3020</v>
      </c>
      <c r="I4619" t="s">
        <v>3021</v>
      </c>
      <c r="J4619" t="s">
        <v>18268</v>
      </c>
    </row>
    <row r="4620" spans="6:10">
      <c r="F4620" t="s">
        <v>18269</v>
      </c>
      <c r="G4620">
        <v>27348367852</v>
      </c>
      <c r="H4620" t="s">
        <v>5270</v>
      </c>
      <c r="I4620" t="s">
        <v>5270</v>
      </c>
      <c r="J4620" t="s">
        <v>18270</v>
      </c>
    </row>
    <row r="4621" spans="6:10">
      <c r="F4621" t="s">
        <v>18271</v>
      </c>
      <c r="G4621">
        <v>4618</v>
      </c>
      <c r="H4621" t="s">
        <v>18272</v>
      </c>
      <c r="I4621" t="s">
        <v>18273</v>
      </c>
      <c r="J4621" t="s">
        <v>18274</v>
      </c>
    </row>
    <row r="4622" spans="6:10">
      <c r="F4622" t="s">
        <v>18275</v>
      </c>
      <c r="G4622">
        <v>4619</v>
      </c>
      <c r="H4622" t="s">
        <v>18276</v>
      </c>
      <c r="I4622" t="s">
        <v>18277</v>
      </c>
      <c r="J4622" t="s">
        <v>18278</v>
      </c>
    </row>
    <row r="4623" spans="6:10">
      <c r="F4623" t="s">
        <v>18279</v>
      </c>
      <c r="G4623">
        <v>4620</v>
      </c>
      <c r="H4623" t="s">
        <v>13267</v>
      </c>
      <c r="I4623" t="s">
        <v>13267</v>
      </c>
      <c r="J4623" t="s">
        <v>18280</v>
      </c>
    </row>
    <row r="4624" spans="6:10">
      <c r="F4624" t="s">
        <v>18281</v>
      </c>
      <c r="G4624">
        <v>4621</v>
      </c>
      <c r="H4624" t="s">
        <v>18282</v>
      </c>
      <c r="I4624" t="s">
        <v>18283</v>
      </c>
      <c r="J4624" t="s">
        <v>18284</v>
      </c>
    </row>
    <row r="4625" spans="6:10">
      <c r="F4625" t="s">
        <v>18285</v>
      </c>
      <c r="G4625">
        <v>4622</v>
      </c>
      <c r="H4625" t="s">
        <v>13267</v>
      </c>
      <c r="I4625" t="s">
        <v>13267</v>
      </c>
      <c r="J4625" t="s">
        <v>18286</v>
      </c>
    </row>
    <row r="4626" spans="6:10">
      <c r="F4626" t="s">
        <v>18287</v>
      </c>
      <c r="G4626">
        <v>4623</v>
      </c>
      <c r="H4626" t="s">
        <v>2315</v>
      </c>
      <c r="I4626" t="s">
        <v>2315</v>
      </c>
      <c r="J4626" t="s">
        <v>18288</v>
      </c>
    </row>
    <row r="4627" spans="6:10">
      <c r="F4627" t="s">
        <v>18289</v>
      </c>
      <c r="G4627">
        <v>4624</v>
      </c>
      <c r="H4627" t="s">
        <v>181</v>
      </c>
      <c r="I4627" t="s">
        <v>182</v>
      </c>
      <c r="J4627" t="s">
        <v>18290</v>
      </c>
    </row>
    <row r="4628" spans="6:10">
      <c r="F4628" t="s">
        <v>18291</v>
      </c>
      <c r="G4628">
        <v>4625</v>
      </c>
      <c r="H4628" t="s">
        <v>4414</v>
      </c>
      <c r="I4628" t="s">
        <v>4415</v>
      </c>
      <c r="J4628" t="s">
        <v>18292</v>
      </c>
    </row>
    <row r="4629" spans="6:10">
      <c r="F4629" t="s">
        <v>18293</v>
      </c>
      <c r="G4629">
        <v>4626</v>
      </c>
      <c r="H4629" t="s">
        <v>215</v>
      </c>
      <c r="I4629" t="s">
        <v>216</v>
      </c>
      <c r="J4629" t="s">
        <v>18294</v>
      </c>
    </row>
    <row r="4630" spans="6:10">
      <c r="F4630" t="s">
        <v>18295</v>
      </c>
      <c r="G4630">
        <v>4627</v>
      </c>
      <c r="H4630" t="s">
        <v>208</v>
      </c>
      <c r="I4630" t="s">
        <v>208</v>
      </c>
      <c r="J4630" t="s">
        <v>18296</v>
      </c>
    </row>
    <row r="4631" spans="6:10">
      <c r="F4631" t="s">
        <v>18297</v>
      </c>
      <c r="G4631">
        <v>4628</v>
      </c>
      <c r="H4631" t="s">
        <v>18298</v>
      </c>
      <c r="I4631" t="s">
        <v>18299</v>
      </c>
      <c r="J4631" t="s">
        <v>18300</v>
      </c>
    </row>
    <row r="4632" spans="6:10">
      <c r="F4632" t="s">
        <v>18301</v>
      </c>
      <c r="G4632">
        <v>4629</v>
      </c>
      <c r="H4632" t="s">
        <v>18302</v>
      </c>
      <c r="I4632" t="s">
        <v>18303</v>
      </c>
      <c r="J4632" t="s">
        <v>18304</v>
      </c>
    </row>
    <row r="4633" spans="6:10">
      <c r="F4633" t="s">
        <v>18305</v>
      </c>
      <c r="G4633">
        <v>4630</v>
      </c>
      <c r="H4633" t="s">
        <v>18306</v>
      </c>
      <c r="I4633" t="s">
        <v>18307</v>
      </c>
      <c r="J4633" t="s">
        <v>18308</v>
      </c>
    </row>
    <row r="4634" spans="6:10">
      <c r="F4634" t="s">
        <v>18309</v>
      </c>
      <c r="G4634">
        <v>4631</v>
      </c>
      <c r="H4634" t="s">
        <v>2710</v>
      </c>
      <c r="I4634" t="s">
        <v>2711</v>
      </c>
      <c r="J4634" t="s">
        <v>18310</v>
      </c>
    </row>
    <row r="4635" spans="6:10">
      <c r="F4635" t="s">
        <v>18311</v>
      </c>
      <c r="G4635">
        <v>4632</v>
      </c>
      <c r="H4635" t="s">
        <v>4143</v>
      </c>
      <c r="I4635" t="s">
        <v>4144</v>
      </c>
      <c r="J4635" t="s">
        <v>18312</v>
      </c>
    </row>
    <row r="4636" spans="6:10">
      <c r="F4636" t="s">
        <v>18313</v>
      </c>
      <c r="G4636">
        <v>4633</v>
      </c>
      <c r="H4636" t="s">
        <v>4345</v>
      </c>
      <c r="I4636" t="s">
        <v>4346</v>
      </c>
      <c r="J4636" t="s">
        <v>18314</v>
      </c>
    </row>
    <row r="4637" spans="6:10">
      <c r="F4637" t="s">
        <v>18315</v>
      </c>
      <c r="G4637">
        <v>13682414762</v>
      </c>
      <c r="H4637" t="s">
        <v>6057</v>
      </c>
      <c r="I4637" t="s">
        <v>6057</v>
      </c>
      <c r="J4637" t="s">
        <v>18316</v>
      </c>
    </row>
    <row r="4638" spans="6:10">
      <c r="F4638" t="s">
        <v>18317</v>
      </c>
      <c r="G4638">
        <v>4635</v>
      </c>
      <c r="H4638" t="s">
        <v>3973</v>
      </c>
      <c r="I4638" t="s">
        <v>3973</v>
      </c>
      <c r="J4638" t="s">
        <v>18318</v>
      </c>
    </row>
    <row r="4639" spans="6:10">
      <c r="F4639" t="s">
        <v>18319</v>
      </c>
      <c r="G4639">
        <v>4636</v>
      </c>
      <c r="H4639" t="s">
        <v>18320</v>
      </c>
      <c r="I4639" t="s">
        <v>18321</v>
      </c>
      <c r="J4639" t="s">
        <v>18322</v>
      </c>
    </row>
    <row r="4640" spans="6:10">
      <c r="F4640" t="s">
        <v>18323</v>
      </c>
      <c r="G4640">
        <v>4637</v>
      </c>
      <c r="H4640" t="s">
        <v>2618</v>
      </c>
      <c r="I4640" t="s">
        <v>2619</v>
      </c>
      <c r="J4640" t="s">
        <v>18324</v>
      </c>
    </row>
    <row r="4641" spans="6:10">
      <c r="F4641" t="s">
        <v>18325</v>
      </c>
      <c r="G4641">
        <v>4638</v>
      </c>
      <c r="H4641" t="s">
        <v>4105</v>
      </c>
      <c r="I4641" t="s">
        <v>4105</v>
      </c>
      <c r="J4641" t="s">
        <v>18326</v>
      </c>
    </row>
    <row r="4642" spans="6:10">
      <c r="F4642" t="s">
        <v>18327</v>
      </c>
      <c r="G4642">
        <v>17574264775</v>
      </c>
      <c r="H4642" t="s">
        <v>1657</v>
      </c>
      <c r="I4642" t="s">
        <v>1658</v>
      </c>
      <c r="J4642" t="s">
        <v>18328</v>
      </c>
    </row>
    <row r="4643" spans="6:10">
      <c r="F4643" t="s">
        <v>18329</v>
      </c>
      <c r="G4643">
        <v>48140184870</v>
      </c>
      <c r="H4643" t="s">
        <v>3455</v>
      </c>
      <c r="I4643" t="s">
        <v>3455</v>
      </c>
      <c r="J4643" t="s">
        <v>18330</v>
      </c>
    </row>
    <row r="4644" spans="6:10">
      <c r="F4644" t="s">
        <v>18331</v>
      </c>
      <c r="G4644">
        <v>4641</v>
      </c>
      <c r="H4644" t="s">
        <v>18332</v>
      </c>
      <c r="I4644" t="s">
        <v>18333</v>
      </c>
      <c r="J4644" t="s">
        <v>18334</v>
      </c>
    </row>
    <row r="4645" spans="6:10">
      <c r="F4645" t="s">
        <v>18335</v>
      </c>
      <c r="G4645">
        <v>37732034899</v>
      </c>
      <c r="H4645" t="s">
        <v>2096</v>
      </c>
      <c r="I4645" t="s">
        <v>2097</v>
      </c>
      <c r="J4645" t="s">
        <v>18336</v>
      </c>
    </row>
    <row r="4646" spans="6:10">
      <c r="F4646" t="s">
        <v>18337</v>
      </c>
      <c r="G4646">
        <v>92236790287</v>
      </c>
      <c r="H4646" t="s">
        <v>4573</v>
      </c>
      <c r="I4646" t="s">
        <v>4573</v>
      </c>
      <c r="J4646" t="s">
        <v>18338</v>
      </c>
    </row>
    <row r="4647" spans="6:10">
      <c r="F4647" t="s">
        <v>18339</v>
      </c>
      <c r="G4647">
        <v>45068758850</v>
      </c>
      <c r="H4647" t="s">
        <v>694</v>
      </c>
      <c r="I4647" t="s">
        <v>694</v>
      </c>
      <c r="J4647" t="s">
        <v>18340</v>
      </c>
    </row>
    <row r="4648" spans="6:10">
      <c r="F4648" t="s">
        <v>18341</v>
      </c>
      <c r="G4648">
        <v>4645</v>
      </c>
      <c r="H4648" t="s">
        <v>18342</v>
      </c>
      <c r="I4648" t="s">
        <v>18343</v>
      </c>
      <c r="J4648" t="s">
        <v>18344</v>
      </c>
    </row>
    <row r="4649" spans="6:10">
      <c r="F4649" t="s">
        <v>18345</v>
      </c>
      <c r="G4649">
        <v>4646</v>
      </c>
      <c r="H4649" t="s">
        <v>18346</v>
      </c>
      <c r="I4649" t="s">
        <v>18346</v>
      </c>
      <c r="J4649" t="s">
        <v>18347</v>
      </c>
    </row>
    <row r="4650" spans="6:10">
      <c r="F4650" t="s">
        <v>18348</v>
      </c>
      <c r="G4650">
        <v>4647</v>
      </c>
      <c r="H4650" t="s">
        <v>3098</v>
      </c>
      <c r="I4650" t="s">
        <v>3099</v>
      </c>
      <c r="J4650" t="s">
        <v>18349</v>
      </c>
    </row>
    <row r="4651" spans="6:10">
      <c r="F4651" t="s">
        <v>18350</v>
      </c>
      <c r="G4651">
        <v>4648</v>
      </c>
      <c r="H4651" t="s">
        <v>5287</v>
      </c>
      <c r="I4651" t="s">
        <v>5288</v>
      </c>
      <c r="J4651" t="s">
        <v>18351</v>
      </c>
    </row>
    <row r="4652" spans="6:10">
      <c r="F4652" t="s">
        <v>18352</v>
      </c>
      <c r="G4652">
        <v>4649</v>
      </c>
      <c r="H4652" t="s">
        <v>3482</v>
      </c>
      <c r="I4652" t="s">
        <v>3486</v>
      </c>
      <c r="J4652" t="s">
        <v>18353</v>
      </c>
    </row>
    <row r="4653" spans="6:10">
      <c r="F4653" t="s">
        <v>18354</v>
      </c>
      <c r="G4653">
        <v>4650</v>
      </c>
      <c r="H4653" t="s">
        <v>18355</v>
      </c>
      <c r="I4653" t="s">
        <v>18356</v>
      </c>
      <c r="J4653" t="s">
        <v>18357</v>
      </c>
    </row>
    <row r="4654" spans="6:10">
      <c r="F4654" t="s">
        <v>18358</v>
      </c>
      <c r="G4654">
        <v>4651</v>
      </c>
      <c r="H4654" t="s">
        <v>18359</v>
      </c>
      <c r="I4654" t="s">
        <v>18360</v>
      </c>
      <c r="J4654" t="s">
        <v>18361</v>
      </c>
    </row>
    <row r="4655" spans="6:10">
      <c r="F4655" t="s">
        <v>18362</v>
      </c>
      <c r="G4655">
        <v>4652</v>
      </c>
      <c r="H4655" t="s">
        <v>687</v>
      </c>
      <c r="I4655" t="s">
        <v>693</v>
      </c>
      <c r="J4655" t="s">
        <v>18363</v>
      </c>
    </row>
    <row r="4656" spans="6:10">
      <c r="F4656" t="s">
        <v>18364</v>
      </c>
      <c r="G4656">
        <v>11311523600</v>
      </c>
      <c r="H4656" t="s">
        <v>4434</v>
      </c>
      <c r="I4656" t="s">
        <v>4434</v>
      </c>
      <c r="J4656" t="s">
        <v>18365</v>
      </c>
    </row>
    <row r="4657" spans="6:10">
      <c r="F4657" t="s">
        <v>18366</v>
      </c>
      <c r="G4657">
        <v>6383026682</v>
      </c>
      <c r="H4657" t="s">
        <v>2416</v>
      </c>
      <c r="I4657" t="s">
        <v>2417</v>
      </c>
      <c r="J4657" t="s">
        <v>18367</v>
      </c>
    </row>
    <row r="4658" spans="6:10">
      <c r="F4658" t="s">
        <v>18368</v>
      </c>
      <c r="G4658">
        <v>4655</v>
      </c>
      <c r="H4658" t="s">
        <v>762</v>
      </c>
      <c r="I4658" t="s">
        <v>762</v>
      </c>
      <c r="J4658" t="s">
        <v>18369</v>
      </c>
    </row>
    <row r="4659" spans="6:10">
      <c r="F4659" t="s">
        <v>18370</v>
      </c>
      <c r="G4659">
        <v>4656</v>
      </c>
      <c r="H4659" t="s">
        <v>2121</v>
      </c>
      <c r="I4659" t="s">
        <v>2122</v>
      </c>
      <c r="J4659" t="s">
        <v>18371</v>
      </c>
    </row>
    <row r="4660" spans="6:10">
      <c r="F4660" t="s">
        <v>18372</v>
      </c>
      <c r="G4660">
        <v>4657</v>
      </c>
      <c r="H4660" t="s">
        <v>2992</v>
      </c>
      <c r="I4660" t="s">
        <v>2992</v>
      </c>
      <c r="J4660" t="s">
        <v>18373</v>
      </c>
    </row>
    <row r="4661" spans="6:10">
      <c r="F4661" t="s">
        <v>18374</v>
      </c>
      <c r="G4661">
        <v>80101291515</v>
      </c>
      <c r="H4661" t="s">
        <v>6006</v>
      </c>
      <c r="I4661" t="s">
        <v>6007</v>
      </c>
      <c r="J4661" t="s">
        <v>18375</v>
      </c>
    </row>
    <row r="4662" spans="6:10">
      <c r="F4662" t="s">
        <v>18376</v>
      </c>
      <c r="G4662">
        <v>47242752191</v>
      </c>
      <c r="H4662" t="s">
        <v>5528</v>
      </c>
      <c r="I4662" t="s">
        <v>5528</v>
      </c>
      <c r="J4662" t="s">
        <v>18377</v>
      </c>
    </row>
    <row r="4663" spans="6:10">
      <c r="F4663" t="s">
        <v>18378</v>
      </c>
      <c r="G4663">
        <v>4660</v>
      </c>
      <c r="H4663" t="s">
        <v>4360</v>
      </c>
      <c r="I4663" t="s">
        <v>4361</v>
      </c>
      <c r="J4663" t="s">
        <v>18379</v>
      </c>
    </row>
    <row r="4664" spans="6:10">
      <c r="F4664" t="s">
        <v>18380</v>
      </c>
      <c r="G4664">
        <v>4248586304</v>
      </c>
      <c r="H4664" t="s">
        <v>3359</v>
      </c>
      <c r="I4664" t="s">
        <v>3360</v>
      </c>
      <c r="J4664" t="s">
        <v>18381</v>
      </c>
    </row>
    <row r="4665" spans="6:10">
      <c r="F4665" t="s">
        <v>18382</v>
      </c>
      <c r="G4665">
        <v>93581289172</v>
      </c>
      <c r="H4665" t="s">
        <v>5080</v>
      </c>
      <c r="I4665" t="s">
        <v>5081</v>
      </c>
      <c r="J4665" t="s">
        <v>18383</v>
      </c>
    </row>
    <row r="4666" spans="6:10">
      <c r="F4666" t="s">
        <v>18384</v>
      </c>
      <c r="G4666">
        <v>4663</v>
      </c>
      <c r="H4666" t="s">
        <v>18385</v>
      </c>
      <c r="I4666" t="s">
        <v>18386</v>
      </c>
      <c r="J4666" t="s">
        <v>18387</v>
      </c>
    </row>
    <row r="4667" spans="6:10">
      <c r="F4667" t="s">
        <v>18388</v>
      </c>
      <c r="G4667">
        <v>4664</v>
      </c>
      <c r="H4667" t="s">
        <v>18389</v>
      </c>
      <c r="I4667" t="s">
        <v>18390</v>
      </c>
      <c r="J4667" t="s">
        <v>18391</v>
      </c>
    </row>
    <row r="4668" spans="6:10">
      <c r="F4668" t="s">
        <v>18392</v>
      </c>
      <c r="G4668">
        <v>30193512866</v>
      </c>
      <c r="H4668" t="s">
        <v>1739</v>
      </c>
      <c r="I4668" t="s">
        <v>1739</v>
      </c>
      <c r="J4668" t="s">
        <v>18393</v>
      </c>
    </row>
    <row r="4669" spans="6:10">
      <c r="F4669" t="s">
        <v>18394</v>
      </c>
      <c r="G4669">
        <v>4666</v>
      </c>
      <c r="H4669" t="s">
        <v>18395</v>
      </c>
      <c r="I4669" t="s">
        <v>18396</v>
      </c>
      <c r="J4669" t="s">
        <v>18397</v>
      </c>
    </row>
    <row r="4670" spans="6:10">
      <c r="F4670" t="s">
        <v>18398</v>
      </c>
      <c r="G4670">
        <v>4667</v>
      </c>
      <c r="H4670" t="s">
        <v>3715</v>
      </c>
      <c r="I4670" t="s">
        <v>3715</v>
      </c>
      <c r="J4670" t="s">
        <v>18399</v>
      </c>
    </row>
    <row r="4671" spans="6:10">
      <c r="F4671" t="s">
        <v>18400</v>
      </c>
      <c r="G4671">
        <v>2649533129</v>
      </c>
      <c r="H4671" t="s">
        <v>3208</v>
      </c>
      <c r="I4671" t="s">
        <v>3208</v>
      </c>
      <c r="J4671" t="s">
        <v>18401</v>
      </c>
    </row>
    <row r="4672" spans="6:10">
      <c r="F4672" t="s">
        <v>18402</v>
      </c>
      <c r="G4672">
        <v>40848055802</v>
      </c>
      <c r="H4672" t="s">
        <v>4018</v>
      </c>
      <c r="I4672" t="s">
        <v>4018</v>
      </c>
      <c r="J4672" t="s">
        <v>18403</v>
      </c>
    </row>
    <row r="4673" spans="6:10">
      <c r="F4673" t="s">
        <v>18404</v>
      </c>
      <c r="G4673">
        <v>11061781496</v>
      </c>
      <c r="H4673" t="s">
        <v>2343</v>
      </c>
      <c r="I4673" t="s">
        <v>2344</v>
      </c>
      <c r="J4673" t="s">
        <v>18405</v>
      </c>
    </row>
    <row r="4674" spans="6:10">
      <c r="F4674" t="s">
        <v>18406</v>
      </c>
      <c r="G4674">
        <v>40334000874</v>
      </c>
      <c r="H4674" t="s">
        <v>1893</v>
      </c>
      <c r="I4674" t="s">
        <v>1893</v>
      </c>
      <c r="J4674" t="s">
        <v>18407</v>
      </c>
    </row>
    <row r="4675" spans="6:10">
      <c r="F4675" t="s">
        <v>18408</v>
      </c>
      <c r="G4675">
        <v>4672</v>
      </c>
      <c r="H4675" t="s">
        <v>18409</v>
      </c>
      <c r="I4675" t="s">
        <v>18409</v>
      </c>
      <c r="J4675" t="s">
        <v>18410</v>
      </c>
    </row>
    <row r="4676" spans="6:10">
      <c r="F4676" t="s">
        <v>18411</v>
      </c>
      <c r="G4676">
        <v>4673</v>
      </c>
      <c r="H4676" t="s">
        <v>1172</v>
      </c>
      <c r="I4676" t="s">
        <v>1173</v>
      </c>
      <c r="J4676" t="s">
        <v>18412</v>
      </c>
    </row>
    <row r="4677" spans="6:10">
      <c r="F4677" t="s">
        <v>18413</v>
      </c>
      <c r="G4677">
        <v>24112997884</v>
      </c>
      <c r="H4677" t="s">
        <v>4405</v>
      </c>
      <c r="I4677" t="s">
        <v>4405</v>
      </c>
      <c r="J4677" t="s">
        <v>18414</v>
      </c>
    </row>
    <row r="4678" spans="6:10">
      <c r="F4678" t="s">
        <v>18415</v>
      </c>
      <c r="G4678">
        <v>34119720845</v>
      </c>
      <c r="H4678" t="s">
        <v>3690</v>
      </c>
      <c r="I4678" t="s">
        <v>3690</v>
      </c>
      <c r="J4678" t="s">
        <v>18416</v>
      </c>
    </row>
    <row r="4679" spans="6:10">
      <c r="F4679" t="s">
        <v>18417</v>
      </c>
      <c r="G4679">
        <v>4676</v>
      </c>
      <c r="H4679" t="s">
        <v>5486</v>
      </c>
      <c r="I4679" t="s">
        <v>5487</v>
      </c>
      <c r="J4679" t="s">
        <v>18418</v>
      </c>
    </row>
    <row r="4680" spans="6:10">
      <c r="F4680" t="s">
        <v>18419</v>
      </c>
      <c r="G4680">
        <v>29725594878</v>
      </c>
      <c r="H4680" t="s">
        <v>1096</v>
      </c>
      <c r="I4680" t="s">
        <v>1097</v>
      </c>
      <c r="J4680" t="s">
        <v>18420</v>
      </c>
    </row>
    <row r="4681" spans="6:10">
      <c r="F4681" t="s">
        <v>18421</v>
      </c>
      <c r="G4681">
        <v>1449634699</v>
      </c>
      <c r="H4681" t="s">
        <v>3947</v>
      </c>
      <c r="I4681" t="s">
        <v>3948</v>
      </c>
      <c r="J4681" t="s">
        <v>18422</v>
      </c>
    </row>
    <row r="4682" spans="6:10">
      <c r="F4682" t="s">
        <v>18423</v>
      </c>
      <c r="G4682">
        <v>65879210197</v>
      </c>
      <c r="H4682" t="s">
        <v>4629</v>
      </c>
      <c r="I4682" t="s">
        <v>4629</v>
      </c>
      <c r="J4682" t="s">
        <v>18424</v>
      </c>
    </row>
    <row r="4683" spans="6:10">
      <c r="F4683" t="s">
        <v>18425</v>
      </c>
      <c r="G4683">
        <v>62333712368</v>
      </c>
      <c r="H4683" t="s">
        <v>2195</v>
      </c>
      <c r="I4683" t="s">
        <v>2196</v>
      </c>
      <c r="J4683" t="s">
        <v>18426</v>
      </c>
    </row>
    <row r="4684" spans="6:10">
      <c r="F4684" t="s">
        <v>18427</v>
      </c>
      <c r="G4684">
        <v>271405635</v>
      </c>
      <c r="H4684" t="s">
        <v>5038</v>
      </c>
      <c r="I4684" t="s">
        <v>5039</v>
      </c>
      <c r="J4684" t="s">
        <v>18428</v>
      </c>
    </row>
    <row r="4685" spans="6:10">
      <c r="F4685" t="s">
        <v>18429</v>
      </c>
      <c r="G4685">
        <v>27947112886</v>
      </c>
      <c r="H4685" t="s">
        <v>714</v>
      </c>
      <c r="I4685" t="s">
        <v>715</v>
      </c>
      <c r="J4685" t="s">
        <v>18430</v>
      </c>
    </row>
    <row r="4686" spans="6:10">
      <c r="F4686" t="s">
        <v>18431</v>
      </c>
      <c r="G4686">
        <v>28567033802</v>
      </c>
      <c r="H4686" t="s">
        <v>3872</v>
      </c>
      <c r="I4686" t="s">
        <v>3873</v>
      </c>
      <c r="J4686" t="s">
        <v>18432</v>
      </c>
    </row>
    <row r="4687" spans="6:10">
      <c r="F4687" t="s">
        <v>18433</v>
      </c>
      <c r="G4687">
        <v>4684</v>
      </c>
      <c r="H4687" t="s">
        <v>18434</v>
      </c>
      <c r="I4687" t="s">
        <v>13229</v>
      </c>
      <c r="J4687" t="s">
        <v>18435</v>
      </c>
    </row>
    <row r="4688" spans="6:10">
      <c r="F4688" t="s">
        <v>18436</v>
      </c>
      <c r="G4688">
        <v>4685</v>
      </c>
      <c r="H4688" t="s">
        <v>2885</v>
      </c>
      <c r="I4688" t="s">
        <v>2889</v>
      </c>
      <c r="J4688" t="s">
        <v>18437</v>
      </c>
    </row>
    <row r="4689" spans="6:10">
      <c r="F4689" t="s">
        <v>18438</v>
      </c>
      <c r="G4689">
        <v>4686</v>
      </c>
      <c r="H4689" t="s">
        <v>3722</v>
      </c>
      <c r="I4689" t="s">
        <v>3722</v>
      </c>
      <c r="J4689" t="s">
        <v>18439</v>
      </c>
    </row>
    <row r="4690" spans="6:10">
      <c r="F4690" t="s">
        <v>18440</v>
      </c>
      <c r="G4690">
        <v>4687</v>
      </c>
      <c r="H4690" t="s">
        <v>4350</v>
      </c>
      <c r="I4690" t="s">
        <v>4351</v>
      </c>
      <c r="J4690" t="s">
        <v>18441</v>
      </c>
    </row>
    <row r="4691" spans="6:10">
      <c r="F4691" t="s">
        <v>18442</v>
      </c>
      <c r="G4691">
        <v>4688</v>
      </c>
      <c r="H4691" t="s">
        <v>18443</v>
      </c>
      <c r="I4691" t="s">
        <v>18444</v>
      </c>
      <c r="J4691" t="s">
        <v>18445</v>
      </c>
    </row>
    <row r="4692" spans="6:10">
      <c r="F4692" t="s">
        <v>18446</v>
      </c>
      <c r="G4692">
        <v>14959593253</v>
      </c>
      <c r="H4692" t="s">
        <v>5471</v>
      </c>
      <c r="I4692" t="s">
        <v>5472</v>
      </c>
      <c r="J4692" t="s">
        <v>18447</v>
      </c>
    </row>
    <row r="4693" spans="6:10">
      <c r="F4693" t="s">
        <v>18448</v>
      </c>
      <c r="G4693">
        <v>4690</v>
      </c>
      <c r="H4693" t="s">
        <v>18449</v>
      </c>
      <c r="I4693" t="s">
        <v>18450</v>
      </c>
      <c r="J4693" t="s">
        <v>18451</v>
      </c>
    </row>
    <row r="4694" spans="6:10">
      <c r="F4694" t="s">
        <v>18452</v>
      </c>
      <c r="G4694">
        <v>4691</v>
      </c>
      <c r="H4694" t="s">
        <v>2477</v>
      </c>
      <c r="I4694" t="s">
        <v>2478</v>
      </c>
      <c r="J4694" t="s">
        <v>18453</v>
      </c>
    </row>
    <row r="4695" spans="6:10">
      <c r="F4695" t="s">
        <v>18454</v>
      </c>
      <c r="G4695">
        <v>1502148471</v>
      </c>
      <c r="H4695" t="s">
        <v>1574</v>
      </c>
      <c r="I4695" t="s">
        <v>1574</v>
      </c>
      <c r="J4695" t="s">
        <v>18455</v>
      </c>
    </row>
    <row r="4696" spans="6:10">
      <c r="F4696" t="s">
        <v>18456</v>
      </c>
      <c r="G4696">
        <v>28286826841</v>
      </c>
      <c r="H4696" t="s">
        <v>5309</v>
      </c>
      <c r="I4696" t="s">
        <v>5310</v>
      </c>
      <c r="J4696" t="s">
        <v>18457</v>
      </c>
    </row>
    <row r="4697" spans="6:10">
      <c r="F4697" t="s">
        <v>18458</v>
      </c>
      <c r="G4697">
        <v>41282065807</v>
      </c>
      <c r="H4697" t="s">
        <v>5088</v>
      </c>
      <c r="I4697" t="s">
        <v>5088</v>
      </c>
      <c r="J4697" t="s">
        <v>18459</v>
      </c>
    </row>
    <row r="4698" spans="6:10">
      <c r="F4698" t="s">
        <v>18460</v>
      </c>
      <c r="G4698">
        <v>34743456487</v>
      </c>
      <c r="H4698" t="s">
        <v>3154</v>
      </c>
      <c r="I4698" t="s">
        <v>3154</v>
      </c>
      <c r="J4698" t="s">
        <v>18461</v>
      </c>
    </row>
    <row r="4699" spans="6:10">
      <c r="F4699" t="s">
        <v>18462</v>
      </c>
      <c r="G4699">
        <v>9826384771</v>
      </c>
      <c r="H4699" t="s">
        <v>5267</v>
      </c>
      <c r="I4699" t="s">
        <v>5268</v>
      </c>
      <c r="J4699" t="s">
        <v>18463</v>
      </c>
    </row>
    <row r="4700" spans="6:10">
      <c r="F4700" t="s">
        <v>18464</v>
      </c>
      <c r="G4700">
        <v>4697</v>
      </c>
      <c r="H4700" t="s">
        <v>1933</v>
      </c>
      <c r="I4700" t="s">
        <v>1934</v>
      </c>
      <c r="J4700" t="s">
        <v>18465</v>
      </c>
    </row>
    <row r="4701" spans="6:10">
      <c r="F4701" t="s">
        <v>18466</v>
      </c>
      <c r="G4701">
        <v>4698</v>
      </c>
      <c r="H4701" t="s">
        <v>1933</v>
      </c>
      <c r="I4701" t="s">
        <v>1935</v>
      </c>
      <c r="J4701" t="s">
        <v>18467</v>
      </c>
    </row>
    <row r="4702" spans="6:10">
      <c r="F4702" t="s">
        <v>18468</v>
      </c>
      <c r="G4702">
        <v>5917471460</v>
      </c>
      <c r="H4702" t="s">
        <v>5113</v>
      </c>
      <c r="I4702" t="s">
        <v>5113</v>
      </c>
      <c r="J4702" t="s">
        <v>18469</v>
      </c>
    </row>
    <row r="4703" spans="6:10">
      <c r="F4703" t="s">
        <v>18470</v>
      </c>
      <c r="G4703">
        <v>6285810680</v>
      </c>
      <c r="H4703" t="s">
        <v>4045</v>
      </c>
      <c r="I4703" t="s">
        <v>4045</v>
      </c>
      <c r="J4703" t="s">
        <v>18471</v>
      </c>
    </row>
    <row r="4704" spans="6:10">
      <c r="F4704" t="s">
        <v>18472</v>
      </c>
      <c r="G4704">
        <v>27012087854</v>
      </c>
      <c r="H4704" t="s">
        <v>3577</v>
      </c>
      <c r="I4704" t="s">
        <v>3578</v>
      </c>
      <c r="J4704" t="s">
        <v>18473</v>
      </c>
    </row>
    <row r="4705" spans="6:10">
      <c r="F4705" t="s">
        <v>18474</v>
      </c>
      <c r="G4705">
        <v>4702</v>
      </c>
      <c r="H4705" t="s">
        <v>3321</v>
      </c>
      <c r="I4705" t="s">
        <v>3322</v>
      </c>
      <c r="J4705" t="s">
        <v>18475</v>
      </c>
    </row>
    <row r="4706" spans="6:10">
      <c r="F4706" t="s">
        <v>18476</v>
      </c>
      <c r="G4706">
        <v>4703</v>
      </c>
      <c r="H4706" t="s">
        <v>18477</v>
      </c>
      <c r="I4706" t="s">
        <v>18478</v>
      </c>
      <c r="J4706" t="s">
        <v>18479</v>
      </c>
    </row>
    <row r="4707" spans="6:10">
      <c r="F4707" t="s">
        <v>18480</v>
      </c>
      <c r="G4707">
        <v>4704</v>
      </c>
      <c r="H4707" t="s">
        <v>320</v>
      </c>
      <c r="I4707" t="s">
        <v>320</v>
      </c>
      <c r="J4707" t="s">
        <v>18481</v>
      </c>
    </row>
    <row r="4708" spans="6:10">
      <c r="F4708" t="s">
        <v>18482</v>
      </c>
      <c r="G4708">
        <v>4705</v>
      </c>
      <c r="H4708" t="s">
        <v>18483</v>
      </c>
      <c r="I4708" t="s">
        <v>18483</v>
      </c>
      <c r="J4708" t="s">
        <v>18484</v>
      </c>
    </row>
    <row r="4709" spans="6:10">
      <c r="F4709" t="s">
        <v>18485</v>
      </c>
      <c r="G4709">
        <v>4706</v>
      </c>
      <c r="H4709" t="s">
        <v>5786</v>
      </c>
      <c r="I4709" t="s">
        <v>5787</v>
      </c>
      <c r="J4709" t="s">
        <v>18486</v>
      </c>
    </row>
    <row r="4710" spans="6:10">
      <c r="F4710" t="s">
        <v>18487</v>
      </c>
      <c r="G4710">
        <v>4707</v>
      </c>
      <c r="H4710" t="s">
        <v>344</v>
      </c>
      <c r="I4710" t="s">
        <v>344</v>
      </c>
      <c r="J4710" t="s">
        <v>18488</v>
      </c>
    </row>
    <row r="4711" spans="6:10">
      <c r="F4711" t="s">
        <v>18489</v>
      </c>
      <c r="G4711">
        <v>5598527707</v>
      </c>
      <c r="H4711" t="s">
        <v>4212</v>
      </c>
      <c r="I4711" t="s">
        <v>4213</v>
      </c>
      <c r="J4711" t="s">
        <v>18490</v>
      </c>
    </row>
    <row r="4712" spans="6:10">
      <c r="F4712" t="s">
        <v>18491</v>
      </c>
      <c r="G4712">
        <v>4709</v>
      </c>
      <c r="H4712" t="s">
        <v>4511</v>
      </c>
      <c r="I4712" t="s">
        <v>4512</v>
      </c>
      <c r="J4712" t="s">
        <v>18492</v>
      </c>
    </row>
    <row r="4713" spans="6:10">
      <c r="F4713" t="s">
        <v>18493</v>
      </c>
      <c r="G4713">
        <v>4710</v>
      </c>
      <c r="H4713" t="s">
        <v>276</v>
      </c>
      <c r="I4713" t="s">
        <v>277</v>
      </c>
      <c r="J4713" t="s">
        <v>18494</v>
      </c>
    </row>
    <row r="4714" spans="6:10">
      <c r="F4714" t="s">
        <v>18495</v>
      </c>
      <c r="G4714">
        <v>4711</v>
      </c>
      <c r="H4714" t="s">
        <v>2310</v>
      </c>
      <c r="I4714" t="s">
        <v>2310</v>
      </c>
      <c r="J4714" t="s">
        <v>18496</v>
      </c>
    </row>
    <row r="4715" spans="6:10">
      <c r="F4715" t="s">
        <v>18497</v>
      </c>
      <c r="G4715">
        <v>7726274441</v>
      </c>
      <c r="H4715" t="s">
        <v>1888</v>
      </c>
      <c r="I4715" t="s">
        <v>1888</v>
      </c>
      <c r="J4715" t="s">
        <v>18498</v>
      </c>
    </row>
    <row r="4716" spans="6:10">
      <c r="F4716" t="s">
        <v>18499</v>
      </c>
      <c r="G4716">
        <v>4713</v>
      </c>
      <c r="H4716" t="s">
        <v>3271</v>
      </c>
      <c r="I4716" t="s">
        <v>3272</v>
      </c>
      <c r="J4716" t="s">
        <v>18500</v>
      </c>
    </row>
    <row r="4717" spans="6:10">
      <c r="F4717" t="s">
        <v>18501</v>
      </c>
      <c r="G4717">
        <v>4714</v>
      </c>
      <c r="H4717" t="s">
        <v>791</v>
      </c>
      <c r="I4717" t="s">
        <v>793</v>
      </c>
      <c r="J4717" t="s">
        <v>18502</v>
      </c>
    </row>
    <row r="4718" spans="6:10">
      <c r="F4718" t="s">
        <v>18503</v>
      </c>
      <c r="G4718">
        <v>4715</v>
      </c>
      <c r="H4718" t="s">
        <v>4019</v>
      </c>
      <c r="I4718" t="s">
        <v>4020</v>
      </c>
      <c r="J4718" t="s">
        <v>18504</v>
      </c>
    </row>
    <row r="4719" spans="6:10">
      <c r="F4719" t="s">
        <v>18505</v>
      </c>
      <c r="G4719">
        <v>4716</v>
      </c>
      <c r="H4719" t="s">
        <v>9046</v>
      </c>
      <c r="I4719" t="s">
        <v>9046</v>
      </c>
      <c r="J4719" t="s">
        <v>18506</v>
      </c>
    </row>
    <row r="4720" spans="6:10">
      <c r="F4720" t="s">
        <v>18507</v>
      </c>
      <c r="G4720">
        <v>95030379720</v>
      </c>
      <c r="H4720" t="s">
        <v>6137</v>
      </c>
      <c r="I4720" t="s">
        <v>6137</v>
      </c>
      <c r="J4720" t="s">
        <v>18508</v>
      </c>
    </row>
    <row r="4721" spans="6:10">
      <c r="F4721" t="s">
        <v>18509</v>
      </c>
      <c r="G4721">
        <v>4718</v>
      </c>
      <c r="H4721" t="s">
        <v>13107</v>
      </c>
      <c r="I4721" t="s">
        <v>13108</v>
      </c>
      <c r="J4721" t="s">
        <v>18510</v>
      </c>
    </row>
    <row r="4722" spans="6:10">
      <c r="F4722" t="s">
        <v>18511</v>
      </c>
      <c r="G4722">
        <v>33032176883</v>
      </c>
      <c r="H4722" t="s">
        <v>4574</v>
      </c>
      <c r="I4722" t="s">
        <v>4575</v>
      </c>
      <c r="J4722" t="s">
        <v>18512</v>
      </c>
    </row>
    <row r="4723" spans="6:10">
      <c r="F4723" t="s">
        <v>18513</v>
      </c>
      <c r="G4723">
        <v>6392843965</v>
      </c>
      <c r="H4723" t="s">
        <v>6002</v>
      </c>
      <c r="I4723" t="s">
        <v>6002</v>
      </c>
      <c r="J4723" t="s">
        <v>18514</v>
      </c>
    </row>
    <row r="4724" spans="6:10">
      <c r="F4724" t="s">
        <v>18515</v>
      </c>
      <c r="G4724">
        <v>26070756886</v>
      </c>
      <c r="H4724" t="s">
        <v>5298</v>
      </c>
      <c r="I4724" t="s">
        <v>5299</v>
      </c>
      <c r="J4724" t="s">
        <v>18516</v>
      </c>
    </row>
    <row r="4725" spans="6:10">
      <c r="F4725" t="s">
        <v>18517</v>
      </c>
      <c r="G4725">
        <v>753148510</v>
      </c>
      <c r="H4725" t="s">
        <v>4035</v>
      </c>
      <c r="I4725" t="s">
        <v>4036</v>
      </c>
      <c r="J4725" t="s">
        <v>18518</v>
      </c>
    </row>
    <row r="4726" spans="6:10">
      <c r="F4726" t="s">
        <v>18519</v>
      </c>
      <c r="G4726">
        <v>6006940540</v>
      </c>
      <c r="H4726" t="s">
        <v>1599</v>
      </c>
      <c r="I4726" t="s">
        <v>1600</v>
      </c>
      <c r="J4726" t="s">
        <v>18520</v>
      </c>
    </row>
    <row r="4727" spans="6:10">
      <c r="F4727" t="s">
        <v>18521</v>
      </c>
      <c r="G4727">
        <v>4724</v>
      </c>
      <c r="H4727" t="s">
        <v>188</v>
      </c>
      <c r="I4727" t="s">
        <v>188</v>
      </c>
      <c r="J4727" t="s">
        <v>18522</v>
      </c>
    </row>
    <row r="4728" spans="6:10">
      <c r="F4728" t="s">
        <v>18523</v>
      </c>
      <c r="G4728">
        <v>18355170130</v>
      </c>
      <c r="H4728" t="s">
        <v>6167</v>
      </c>
      <c r="I4728" t="s">
        <v>6167</v>
      </c>
      <c r="J4728" t="s">
        <v>18524</v>
      </c>
    </row>
    <row r="4729" spans="6:10">
      <c r="F4729" t="s">
        <v>18525</v>
      </c>
      <c r="G4729">
        <v>40499614828</v>
      </c>
      <c r="H4729" t="s">
        <v>3532</v>
      </c>
      <c r="I4729" t="s">
        <v>3532</v>
      </c>
      <c r="J4729" t="s">
        <v>18526</v>
      </c>
    </row>
    <row r="4730" spans="6:10">
      <c r="F4730" t="s">
        <v>18527</v>
      </c>
      <c r="G4730">
        <v>4727</v>
      </c>
      <c r="H4730" t="s">
        <v>233</v>
      </c>
      <c r="I4730" t="s">
        <v>233</v>
      </c>
      <c r="J4730" t="s">
        <v>18528</v>
      </c>
    </row>
    <row r="4731" spans="6:10">
      <c r="F4731" t="s">
        <v>18529</v>
      </c>
      <c r="G4731">
        <v>4728</v>
      </c>
      <c r="H4731" t="s">
        <v>4068</v>
      </c>
      <c r="I4731" t="s">
        <v>4069</v>
      </c>
      <c r="J4731" t="s">
        <v>18530</v>
      </c>
    </row>
    <row r="4732" spans="6:10">
      <c r="F4732" t="s">
        <v>18531</v>
      </c>
      <c r="G4732">
        <v>4729</v>
      </c>
      <c r="H4732" t="s">
        <v>18532</v>
      </c>
      <c r="I4732" t="s">
        <v>18533</v>
      </c>
      <c r="J4732" t="s">
        <v>18534</v>
      </c>
    </row>
    <row r="4733" spans="6:10">
      <c r="F4733" t="s">
        <v>18535</v>
      </c>
      <c r="G4733">
        <v>7696516400</v>
      </c>
      <c r="H4733" t="s">
        <v>3129</v>
      </c>
      <c r="I4733" t="s">
        <v>3129</v>
      </c>
      <c r="J4733" t="s">
        <v>18536</v>
      </c>
    </row>
    <row r="4734" spans="6:10">
      <c r="F4734" t="s">
        <v>18537</v>
      </c>
      <c r="G4734">
        <v>3107357502</v>
      </c>
      <c r="H4734" t="s">
        <v>4957</v>
      </c>
      <c r="I4734" t="s">
        <v>4958</v>
      </c>
      <c r="J4734" t="s">
        <v>18538</v>
      </c>
    </row>
    <row r="4735" spans="6:10">
      <c r="F4735" t="s">
        <v>18539</v>
      </c>
      <c r="G4735">
        <v>4931543880</v>
      </c>
      <c r="H4735" t="s">
        <v>2191</v>
      </c>
      <c r="I4735" t="s">
        <v>2192</v>
      </c>
      <c r="J4735" t="s">
        <v>18540</v>
      </c>
    </row>
    <row r="4736" spans="6:10">
      <c r="F4736" t="s">
        <v>18541</v>
      </c>
      <c r="G4736">
        <v>5215754608</v>
      </c>
      <c r="H4736" t="s">
        <v>6027</v>
      </c>
      <c r="I4736" t="s">
        <v>6027</v>
      </c>
      <c r="J4736" t="s">
        <v>18542</v>
      </c>
    </row>
    <row r="4737" spans="6:10">
      <c r="F4737" t="s">
        <v>18543</v>
      </c>
      <c r="G4737">
        <v>2234820561</v>
      </c>
      <c r="H4737" t="s">
        <v>254</v>
      </c>
      <c r="I4737" t="s">
        <v>254</v>
      </c>
      <c r="J4737" t="s">
        <v>18544</v>
      </c>
    </row>
    <row r="4738" spans="6:10">
      <c r="F4738" t="s">
        <v>18545</v>
      </c>
      <c r="G4738">
        <v>4735</v>
      </c>
      <c r="H4738" t="s">
        <v>1136</v>
      </c>
      <c r="I4738" t="s">
        <v>1136</v>
      </c>
      <c r="J4738" t="s">
        <v>18546</v>
      </c>
    </row>
    <row r="4739" spans="6:10">
      <c r="F4739" t="s">
        <v>18547</v>
      </c>
      <c r="G4739">
        <v>4736</v>
      </c>
      <c r="H4739" t="s">
        <v>3457</v>
      </c>
      <c r="I4739" t="s">
        <v>3457</v>
      </c>
      <c r="J4739" t="s">
        <v>18548</v>
      </c>
    </row>
    <row r="4740" spans="6:10">
      <c r="F4740" t="s">
        <v>18549</v>
      </c>
      <c r="G4740">
        <v>9484625908</v>
      </c>
      <c r="H4740" t="s">
        <v>980</v>
      </c>
      <c r="I4740" t="s">
        <v>981</v>
      </c>
      <c r="J4740" t="s">
        <v>18550</v>
      </c>
    </row>
    <row r="4741" spans="6:10">
      <c r="F4741" t="s">
        <v>18551</v>
      </c>
      <c r="G4741">
        <v>9946277778</v>
      </c>
      <c r="H4741" t="s">
        <v>5514</v>
      </c>
      <c r="I4741" t="s">
        <v>5515</v>
      </c>
      <c r="J4741" t="s">
        <v>18552</v>
      </c>
    </row>
    <row r="4742" spans="6:10">
      <c r="F4742" t="s">
        <v>18553</v>
      </c>
      <c r="G4742">
        <v>2772383156</v>
      </c>
      <c r="H4742" t="s">
        <v>3459</v>
      </c>
      <c r="I4742" t="s">
        <v>3460</v>
      </c>
      <c r="J4742" t="s">
        <v>18554</v>
      </c>
    </row>
    <row r="4743" spans="6:10">
      <c r="F4743" t="s">
        <v>18555</v>
      </c>
      <c r="G4743">
        <v>4740</v>
      </c>
      <c r="H4743" t="s">
        <v>3187</v>
      </c>
      <c r="I4743" t="s">
        <v>3188</v>
      </c>
      <c r="J4743" t="s">
        <v>18556</v>
      </c>
    </row>
    <row r="4744" spans="6:10">
      <c r="F4744" t="s">
        <v>18557</v>
      </c>
      <c r="G4744">
        <v>588778001</v>
      </c>
      <c r="H4744" t="s">
        <v>3259</v>
      </c>
      <c r="I4744" t="s">
        <v>3260</v>
      </c>
      <c r="J4744" t="s">
        <v>18558</v>
      </c>
    </row>
    <row r="4745" spans="6:10">
      <c r="F4745" t="s">
        <v>18559</v>
      </c>
      <c r="G4745">
        <v>44288960851</v>
      </c>
      <c r="H4745" t="s">
        <v>1520</v>
      </c>
      <c r="I4745" t="s">
        <v>1520</v>
      </c>
      <c r="J4745" t="s">
        <v>18560</v>
      </c>
    </row>
    <row r="4746" spans="6:10">
      <c r="F4746" t="s">
        <v>18561</v>
      </c>
      <c r="G4746">
        <v>113728697</v>
      </c>
      <c r="H4746" t="s">
        <v>4239</v>
      </c>
      <c r="I4746" t="s">
        <v>4239</v>
      </c>
      <c r="J4746" t="s">
        <v>18562</v>
      </c>
    </row>
    <row r="4747" spans="6:10">
      <c r="F4747" t="s">
        <v>18563</v>
      </c>
      <c r="G4747">
        <v>1586720031</v>
      </c>
      <c r="H4747" t="s">
        <v>4107</v>
      </c>
      <c r="I4747" t="s">
        <v>4107</v>
      </c>
      <c r="J4747" t="s">
        <v>18564</v>
      </c>
    </row>
    <row r="4748" spans="6:10">
      <c r="F4748" t="s">
        <v>18565</v>
      </c>
      <c r="G4748">
        <v>4745</v>
      </c>
      <c r="H4748" t="s">
        <v>3798</v>
      </c>
      <c r="I4748" t="s">
        <v>3799</v>
      </c>
      <c r="J4748" t="s">
        <v>18566</v>
      </c>
    </row>
    <row r="4749" spans="6:10">
      <c r="F4749" t="s">
        <v>18567</v>
      </c>
      <c r="G4749">
        <v>97475599353</v>
      </c>
      <c r="H4749" t="s">
        <v>191</v>
      </c>
      <c r="I4749" t="s">
        <v>191</v>
      </c>
      <c r="J4749" t="s">
        <v>18568</v>
      </c>
    </row>
    <row r="4750" spans="6:10">
      <c r="F4750" t="s">
        <v>18569</v>
      </c>
      <c r="G4750">
        <v>22727754892</v>
      </c>
      <c r="H4750" t="s">
        <v>2236</v>
      </c>
      <c r="I4750" t="s">
        <v>2237</v>
      </c>
      <c r="J4750" t="s">
        <v>18570</v>
      </c>
    </row>
    <row r="4751" spans="6:10">
      <c r="F4751" t="s">
        <v>18571</v>
      </c>
      <c r="G4751">
        <v>4748</v>
      </c>
      <c r="H4751" t="s">
        <v>3998</v>
      </c>
      <c r="I4751" t="s">
        <v>3998</v>
      </c>
      <c r="J4751" t="s">
        <v>18572</v>
      </c>
    </row>
    <row r="4752" spans="6:10">
      <c r="F4752" t="s">
        <v>18573</v>
      </c>
      <c r="G4752">
        <v>42040677860</v>
      </c>
      <c r="H4752" t="s">
        <v>275</v>
      </c>
      <c r="I4752" t="s">
        <v>275</v>
      </c>
      <c r="J4752" t="s">
        <v>18574</v>
      </c>
    </row>
    <row r="4753" spans="6:10">
      <c r="F4753" t="s">
        <v>18575</v>
      </c>
      <c r="G4753">
        <v>21847662838</v>
      </c>
      <c r="H4753" t="s">
        <v>3596</v>
      </c>
      <c r="I4753" t="s">
        <v>3596</v>
      </c>
      <c r="J4753" t="s">
        <v>18576</v>
      </c>
    </row>
    <row r="4754" spans="6:10">
      <c r="F4754" t="s">
        <v>18577</v>
      </c>
      <c r="G4754">
        <v>3451651106</v>
      </c>
      <c r="H4754" t="s">
        <v>3678</v>
      </c>
      <c r="I4754" t="s">
        <v>3679</v>
      </c>
      <c r="J4754" t="s">
        <v>18578</v>
      </c>
    </row>
    <row r="4755" spans="6:10">
      <c r="F4755" t="s">
        <v>18579</v>
      </c>
      <c r="G4755">
        <v>26323945894</v>
      </c>
      <c r="H4755" t="s">
        <v>429</v>
      </c>
      <c r="I4755" t="s">
        <v>430</v>
      </c>
      <c r="J4755" t="s">
        <v>18580</v>
      </c>
    </row>
    <row r="4756" spans="6:10">
      <c r="F4756" t="s">
        <v>18581</v>
      </c>
      <c r="G4756">
        <v>61715182200</v>
      </c>
      <c r="H4756" t="s">
        <v>2368</v>
      </c>
      <c r="I4756" t="s">
        <v>2368</v>
      </c>
      <c r="J4756" t="s">
        <v>18582</v>
      </c>
    </row>
    <row r="4757" spans="6:10">
      <c r="F4757" t="s">
        <v>18583</v>
      </c>
      <c r="G4757">
        <v>4754</v>
      </c>
      <c r="H4757" t="s">
        <v>1573</v>
      </c>
      <c r="I4757" t="s">
        <v>1573</v>
      </c>
      <c r="J4757" t="s">
        <v>18584</v>
      </c>
    </row>
    <row r="4758" spans="6:10">
      <c r="F4758" t="s">
        <v>18585</v>
      </c>
      <c r="G4758">
        <v>4755</v>
      </c>
      <c r="H4758" t="s">
        <v>4618</v>
      </c>
      <c r="I4758" t="s">
        <v>4618</v>
      </c>
      <c r="J4758" t="s">
        <v>18586</v>
      </c>
    </row>
    <row r="4759" spans="6:10">
      <c r="F4759" t="s">
        <v>18587</v>
      </c>
      <c r="G4759">
        <v>4756</v>
      </c>
      <c r="H4759" t="s">
        <v>323</v>
      </c>
      <c r="I4759" t="s">
        <v>324</v>
      </c>
      <c r="J4759" t="s">
        <v>18588</v>
      </c>
    </row>
    <row r="4760" spans="6:10">
      <c r="F4760" t="s">
        <v>18589</v>
      </c>
      <c r="G4760">
        <v>18458713756</v>
      </c>
      <c r="H4760" t="s">
        <v>2530</v>
      </c>
      <c r="I4760" t="s">
        <v>2530</v>
      </c>
      <c r="J4760" t="s">
        <v>18590</v>
      </c>
    </row>
    <row r="4761" spans="6:10">
      <c r="F4761" t="s">
        <v>18591</v>
      </c>
      <c r="G4761">
        <v>583015182</v>
      </c>
      <c r="H4761" t="s">
        <v>5707</v>
      </c>
      <c r="I4761" t="s">
        <v>5708</v>
      </c>
      <c r="J4761" t="s">
        <v>18592</v>
      </c>
    </row>
    <row r="4762" spans="6:10">
      <c r="F4762" t="s">
        <v>18593</v>
      </c>
      <c r="G4762">
        <v>76306542000</v>
      </c>
      <c r="H4762" t="s">
        <v>2364</v>
      </c>
      <c r="I4762" t="s">
        <v>2365</v>
      </c>
      <c r="J4762" t="s">
        <v>18594</v>
      </c>
    </row>
    <row r="4763" spans="6:10">
      <c r="F4763" t="s">
        <v>18595</v>
      </c>
      <c r="G4763">
        <v>7458494743</v>
      </c>
      <c r="H4763" t="s">
        <v>3531</v>
      </c>
      <c r="I4763" t="s">
        <v>3531</v>
      </c>
      <c r="J4763" t="s">
        <v>18596</v>
      </c>
    </row>
    <row r="4764" spans="6:10">
      <c r="F4764" t="s">
        <v>18597</v>
      </c>
      <c r="G4764">
        <v>4761</v>
      </c>
      <c r="H4764" t="s">
        <v>529</v>
      </c>
      <c r="I4764" t="s">
        <v>530</v>
      </c>
      <c r="J4764" t="s">
        <v>18598</v>
      </c>
    </row>
    <row r="4765" spans="6:10">
      <c r="F4765" t="s">
        <v>18599</v>
      </c>
      <c r="G4765">
        <v>4762</v>
      </c>
      <c r="H4765" t="s">
        <v>1837</v>
      </c>
      <c r="I4765" t="s">
        <v>1837</v>
      </c>
      <c r="J4765" t="s">
        <v>18600</v>
      </c>
    </row>
    <row r="4766" spans="6:10">
      <c r="F4766" t="s">
        <v>18601</v>
      </c>
      <c r="G4766">
        <v>4763</v>
      </c>
      <c r="H4766" t="s">
        <v>5836</v>
      </c>
      <c r="I4766" t="s">
        <v>5837</v>
      </c>
      <c r="J4766" t="s">
        <v>18602</v>
      </c>
    </row>
    <row r="4767" spans="6:10">
      <c r="F4767" t="s">
        <v>18603</v>
      </c>
      <c r="G4767">
        <v>4764</v>
      </c>
      <c r="H4767" t="s">
        <v>416</v>
      </c>
      <c r="I4767" t="s">
        <v>416</v>
      </c>
      <c r="J4767" t="s">
        <v>18604</v>
      </c>
    </row>
    <row r="4768" spans="6:10">
      <c r="F4768" t="s">
        <v>18605</v>
      </c>
      <c r="G4768">
        <v>4765</v>
      </c>
      <c r="H4768" t="s">
        <v>3838</v>
      </c>
      <c r="I4768" t="s">
        <v>3839</v>
      </c>
      <c r="J4768" t="s">
        <v>18606</v>
      </c>
    </row>
    <row r="4769" spans="6:10">
      <c r="F4769" t="s">
        <v>18607</v>
      </c>
      <c r="G4769">
        <v>4766</v>
      </c>
      <c r="H4769" t="s">
        <v>170</v>
      </c>
      <c r="I4769" t="s">
        <v>170</v>
      </c>
      <c r="J4769" t="s">
        <v>18608</v>
      </c>
    </row>
    <row r="4770" spans="6:10">
      <c r="F4770" t="s">
        <v>18609</v>
      </c>
      <c r="G4770">
        <v>3942654750</v>
      </c>
      <c r="H4770" t="s">
        <v>3884</v>
      </c>
      <c r="I4770" t="s">
        <v>3884</v>
      </c>
      <c r="J4770" t="s">
        <v>18610</v>
      </c>
    </row>
    <row r="4771" spans="6:10">
      <c r="F4771" t="s">
        <v>18611</v>
      </c>
      <c r="G4771">
        <v>4768</v>
      </c>
      <c r="H4771" t="s">
        <v>18612</v>
      </c>
      <c r="I4771" t="s">
        <v>18613</v>
      </c>
      <c r="J4771" t="s">
        <v>18614</v>
      </c>
    </row>
    <row r="4772" spans="6:10">
      <c r="F4772" t="s">
        <v>18615</v>
      </c>
      <c r="G4772">
        <v>4769</v>
      </c>
      <c r="H4772" t="s">
        <v>360</v>
      </c>
      <c r="I4772" t="s">
        <v>361</v>
      </c>
      <c r="J4772" t="s">
        <v>18616</v>
      </c>
    </row>
    <row r="4773" spans="6:10">
      <c r="F4773" t="s">
        <v>18617</v>
      </c>
      <c r="G4773">
        <v>11900257602</v>
      </c>
      <c r="H4773" t="s">
        <v>5069</v>
      </c>
      <c r="I4773" t="s">
        <v>5069</v>
      </c>
      <c r="J4773" t="s">
        <v>18618</v>
      </c>
    </row>
    <row r="4774" spans="6:10">
      <c r="F4774" t="s">
        <v>18619</v>
      </c>
      <c r="G4774">
        <v>17112958920</v>
      </c>
      <c r="H4774" t="s">
        <v>3890</v>
      </c>
      <c r="I4774" t="s">
        <v>3891</v>
      </c>
      <c r="J4774" t="s">
        <v>18620</v>
      </c>
    </row>
    <row r="4775" spans="6:10">
      <c r="F4775" t="s">
        <v>18621</v>
      </c>
      <c r="G4775">
        <v>4772</v>
      </c>
      <c r="H4775" t="s">
        <v>3523</v>
      </c>
      <c r="I4775" t="s">
        <v>3524</v>
      </c>
      <c r="J4775" t="s">
        <v>18622</v>
      </c>
    </row>
    <row r="4776" spans="6:10">
      <c r="F4776" t="s">
        <v>18623</v>
      </c>
      <c r="G4776">
        <v>11699578621</v>
      </c>
      <c r="H4776" t="s">
        <v>5746</v>
      </c>
      <c r="I4776" t="s">
        <v>5746</v>
      </c>
      <c r="J4776" t="s">
        <v>18624</v>
      </c>
    </row>
    <row r="4777" spans="6:10">
      <c r="F4777" t="s">
        <v>18625</v>
      </c>
      <c r="G4777">
        <v>4787622161</v>
      </c>
      <c r="H4777" t="s">
        <v>251</v>
      </c>
      <c r="I4777" t="s">
        <v>252</v>
      </c>
      <c r="J4777" t="s">
        <v>18626</v>
      </c>
    </row>
    <row r="4778" spans="6:10">
      <c r="F4778" t="s">
        <v>18627</v>
      </c>
      <c r="G4778">
        <v>10466489420</v>
      </c>
      <c r="H4778" t="s">
        <v>6118</v>
      </c>
      <c r="I4778" t="s">
        <v>6118</v>
      </c>
      <c r="J4778" t="s">
        <v>18628</v>
      </c>
    </row>
    <row r="4779" spans="6:10">
      <c r="F4779" t="s">
        <v>18629</v>
      </c>
      <c r="G4779">
        <v>4776</v>
      </c>
      <c r="H4779" t="s">
        <v>18630</v>
      </c>
      <c r="I4779" t="s">
        <v>18631</v>
      </c>
      <c r="J4779" t="s">
        <v>18632</v>
      </c>
    </row>
    <row r="4780" spans="6:10">
      <c r="F4780" t="s">
        <v>18633</v>
      </c>
      <c r="G4780">
        <v>4777</v>
      </c>
      <c r="H4780" t="s">
        <v>30</v>
      </c>
      <c r="I4780" t="s">
        <v>31</v>
      </c>
      <c r="J4780" t="s">
        <v>18634</v>
      </c>
    </row>
    <row r="4781" spans="6:10">
      <c r="F4781" t="s">
        <v>18635</v>
      </c>
      <c r="G4781">
        <v>4778</v>
      </c>
      <c r="H4781" t="s">
        <v>3558</v>
      </c>
      <c r="I4781" t="s">
        <v>3559</v>
      </c>
      <c r="J4781" t="s">
        <v>18636</v>
      </c>
    </row>
    <row r="4782" spans="6:10">
      <c r="F4782" t="s">
        <v>18637</v>
      </c>
      <c r="G4782">
        <v>4779</v>
      </c>
      <c r="H4782" t="s">
        <v>5721</v>
      </c>
      <c r="I4782" t="s">
        <v>5722</v>
      </c>
      <c r="J4782" t="s">
        <v>18638</v>
      </c>
    </row>
    <row r="4783" spans="6:10">
      <c r="F4783" t="s">
        <v>18639</v>
      </c>
      <c r="G4783">
        <v>4780</v>
      </c>
      <c r="H4783" t="s">
        <v>718</v>
      </c>
      <c r="I4783" t="s">
        <v>719</v>
      </c>
      <c r="J4783" t="s">
        <v>18640</v>
      </c>
    </row>
    <row r="4784" spans="6:10">
      <c r="F4784" t="s">
        <v>18641</v>
      </c>
      <c r="G4784">
        <v>41685707890</v>
      </c>
      <c r="H4784" t="s">
        <v>994</v>
      </c>
      <c r="I4784" t="s">
        <v>994</v>
      </c>
      <c r="J4784" t="s">
        <v>18642</v>
      </c>
    </row>
    <row r="4785" spans="6:10">
      <c r="F4785" t="s">
        <v>18643</v>
      </c>
      <c r="G4785">
        <v>1177416123</v>
      </c>
      <c r="H4785" t="s">
        <v>314</v>
      </c>
      <c r="I4785" t="s">
        <v>315</v>
      </c>
      <c r="J4785" t="s">
        <v>18644</v>
      </c>
    </row>
    <row r="4786" spans="6:10">
      <c r="F4786" t="s">
        <v>18645</v>
      </c>
      <c r="G4786">
        <v>99337436434</v>
      </c>
      <c r="H4786" t="s">
        <v>2366</v>
      </c>
      <c r="I4786" t="s">
        <v>2367</v>
      </c>
      <c r="J4786" t="s">
        <v>18646</v>
      </c>
    </row>
    <row r="4787" spans="6:10">
      <c r="F4787" t="s">
        <v>18647</v>
      </c>
      <c r="G4787">
        <v>10858885689</v>
      </c>
      <c r="H4787" t="s">
        <v>234</v>
      </c>
      <c r="I4787" t="s">
        <v>235</v>
      </c>
      <c r="J4787" t="s">
        <v>18648</v>
      </c>
    </row>
    <row r="4788" spans="6:10">
      <c r="F4788" t="s">
        <v>18649</v>
      </c>
      <c r="G4788">
        <v>2631944771</v>
      </c>
      <c r="H4788" t="s">
        <v>1831</v>
      </c>
      <c r="I4788" t="s">
        <v>1832</v>
      </c>
      <c r="J4788" t="s">
        <v>18650</v>
      </c>
    </row>
    <row r="4789" spans="6:10">
      <c r="F4789" t="s">
        <v>18651</v>
      </c>
      <c r="G4789">
        <v>4786</v>
      </c>
      <c r="H4789" t="s">
        <v>4507</v>
      </c>
      <c r="I4789" t="s">
        <v>4508</v>
      </c>
      <c r="J4789" t="s">
        <v>18652</v>
      </c>
    </row>
    <row r="4790" spans="6:10">
      <c r="F4790" t="s">
        <v>18653</v>
      </c>
      <c r="G4790">
        <v>4787</v>
      </c>
      <c r="H4790" t="s">
        <v>32</v>
      </c>
      <c r="I4790" t="s">
        <v>33</v>
      </c>
      <c r="J4790" t="s">
        <v>18654</v>
      </c>
    </row>
    <row r="4791" spans="6:10">
      <c r="F4791" t="s">
        <v>18655</v>
      </c>
      <c r="G4791">
        <v>4788</v>
      </c>
      <c r="H4791" t="s">
        <v>18656</v>
      </c>
      <c r="I4791" t="s">
        <v>18657</v>
      </c>
      <c r="J4791" t="s">
        <v>18658</v>
      </c>
    </row>
    <row r="4792" spans="6:10">
      <c r="F4792" t="s">
        <v>18659</v>
      </c>
      <c r="G4792">
        <v>4789</v>
      </c>
      <c r="H4792" t="s">
        <v>3365</v>
      </c>
      <c r="I4792" t="s">
        <v>3366</v>
      </c>
      <c r="J4792" t="s">
        <v>18660</v>
      </c>
    </row>
    <row r="4793" spans="6:10">
      <c r="F4793" t="s">
        <v>18661</v>
      </c>
      <c r="G4793">
        <v>4790</v>
      </c>
      <c r="H4793" t="s">
        <v>99</v>
      </c>
      <c r="I4793" t="s">
        <v>99</v>
      </c>
      <c r="J4793" t="s">
        <v>18662</v>
      </c>
    </row>
    <row r="4794" spans="6:10">
      <c r="F4794" t="s">
        <v>18663</v>
      </c>
      <c r="G4794">
        <v>3345986132</v>
      </c>
      <c r="H4794" t="s">
        <v>3127</v>
      </c>
      <c r="I4794" t="s">
        <v>3128</v>
      </c>
      <c r="J4794" t="s">
        <v>18664</v>
      </c>
    </row>
    <row r="4795" spans="6:10">
      <c r="F4795" t="s">
        <v>18665</v>
      </c>
      <c r="G4795">
        <v>5796331442</v>
      </c>
      <c r="H4795" t="s">
        <v>1782</v>
      </c>
      <c r="I4795" t="s">
        <v>1782</v>
      </c>
      <c r="J4795" t="s">
        <v>18666</v>
      </c>
    </row>
    <row r="4796" spans="6:10">
      <c r="F4796" t="s">
        <v>18667</v>
      </c>
      <c r="G4796">
        <v>46061944802</v>
      </c>
      <c r="H4796" t="s">
        <v>5783</v>
      </c>
      <c r="I4796" t="s">
        <v>5784</v>
      </c>
      <c r="J4796" t="s">
        <v>18668</v>
      </c>
    </row>
    <row r="4797" spans="6:10">
      <c r="F4797" t="s">
        <v>18669</v>
      </c>
      <c r="G4797">
        <v>4794</v>
      </c>
      <c r="H4797" t="s">
        <v>771</v>
      </c>
      <c r="I4797" t="s">
        <v>772</v>
      </c>
      <c r="J4797" t="s">
        <v>18670</v>
      </c>
    </row>
    <row r="4798" spans="6:10">
      <c r="F4798" t="s">
        <v>18671</v>
      </c>
      <c r="G4798">
        <v>51080729704</v>
      </c>
      <c r="H4798" t="s">
        <v>1538</v>
      </c>
      <c r="I4798" t="s">
        <v>1539</v>
      </c>
      <c r="J4798" t="s">
        <v>18672</v>
      </c>
    </row>
    <row r="4799" spans="6:10">
      <c r="F4799" t="s">
        <v>18673</v>
      </c>
      <c r="G4799">
        <v>2048754716</v>
      </c>
      <c r="H4799" t="s">
        <v>5345</v>
      </c>
      <c r="I4799" t="s">
        <v>5346</v>
      </c>
      <c r="J4799" t="s">
        <v>18674</v>
      </c>
    </row>
    <row r="4800" spans="6:10">
      <c r="F4800" t="s">
        <v>18675</v>
      </c>
      <c r="G4800">
        <v>27097205822</v>
      </c>
      <c r="H4800" t="s">
        <v>2545</v>
      </c>
      <c r="I4800" t="s">
        <v>2546</v>
      </c>
      <c r="J4800" t="s">
        <v>18676</v>
      </c>
    </row>
    <row r="4801" spans="6:10">
      <c r="F4801" t="s">
        <v>18677</v>
      </c>
      <c r="G4801">
        <v>4798</v>
      </c>
      <c r="H4801" t="s">
        <v>2658</v>
      </c>
      <c r="I4801" t="s">
        <v>2659</v>
      </c>
      <c r="J4801" t="s">
        <v>18678</v>
      </c>
    </row>
    <row r="4802" spans="6:10">
      <c r="F4802" t="s">
        <v>18679</v>
      </c>
      <c r="G4802">
        <v>4799</v>
      </c>
      <c r="H4802" t="s">
        <v>1482</v>
      </c>
      <c r="I4802" t="s">
        <v>1482</v>
      </c>
      <c r="J4802" t="s">
        <v>18680</v>
      </c>
    </row>
    <row r="4803" spans="6:10">
      <c r="F4803" t="s">
        <v>18681</v>
      </c>
      <c r="G4803">
        <v>4800</v>
      </c>
      <c r="H4803" t="s">
        <v>18682</v>
      </c>
      <c r="I4803" t="s">
        <v>18683</v>
      </c>
      <c r="J4803" t="s">
        <v>18684</v>
      </c>
    </row>
    <row r="4804" spans="6:10">
      <c r="F4804" t="s">
        <v>18685</v>
      </c>
      <c r="G4804">
        <v>4801</v>
      </c>
      <c r="H4804" t="s">
        <v>18686</v>
      </c>
      <c r="I4804" t="s">
        <v>18687</v>
      </c>
      <c r="J4804" t="s">
        <v>18688</v>
      </c>
    </row>
    <row r="4805" spans="6:10">
      <c r="F4805" t="s">
        <v>18689</v>
      </c>
      <c r="G4805">
        <v>4802</v>
      </c>
      <c r="H4805" t="s">
        <v>1084</v>
      </c>
      <c r="I4805" t="s">
        <v>1084</v>
      </c>
      <c r="J4805" t="s">
        <v>18690</v>
      </c>
    </row>
    <row r="4806" spans="6:10">
      <c r="F4806" t="s">
        <v>18691</v>
      </c>
      <c r="G4806">
        <v>4803</v>
      </c>
      <c r="H4806" t="s">
        <v>18692</v>
      </c>
      <c r="I4806" t="s">
        <v>18693</v>
      </c>
      <c r="J4806" t="s">
        <v>18694</v>
      </c>
    </row>
    <row r="4807" spans="6:10">
      <c r="F4807" t="s">
        <v>18695</v>
      </c>
      <c r="G4807">
        <v>65102681168</v>
      </c>
      <c r="H4807" t="s">
        <v>2340</v>
      </c>
      <c r="I4807" t="s">
        <v>2340</v>
      </c>
      <c r="J4807" t="s">
        <v>18696</v>
      </c>
    </row>
    <row r="4808" spans="6:10">
      <c r="F4808" t="s">
        <v>18697</v>
      </c>
      <c r="G4808">
        <v>5438544697</v>
      </c>
      <c r="H4808" t="s">
        <v>3687</v>
      </c>
      <c r="I4808" t="s">
        <v>3687</v>
      </c>
      <c r="J4808" t="s">
        <v>18698</v>
      </c>
    </row>
    <row r="4809" spans="6:10">
      <c r="F4809" t="s">
        <v>18699</v>
      </c>
      <c r="G4809">
        <v>78657598191</v>
      </c>
      <c r="H4809" t="s">
        <v>406</v>
      </c>
      <c r="I4809" t="s">
        <v>407</v>
      </c>
      <c r="J4809" t="s">
        <v>18700</v>
      </c>
    </row>
    <row r="4810" spans="6:10">
      <c r="F4810" t="s">
        <v>18701</v>
      </c>
      <c r="G4810">
        <v>1315241277</v>
      </c>
      <c r="H4810" t="s">
        <v>5713</v>
      </c>
      <c r="I4810" t="s">
        <v>5713</v>
      </c>
      <c r="J4810" t="s">
        <v>18702</v>
      </c>
    </row>
    <row r="4811" spans="6:10">
      <c r="F4811" t="s">
        <v>18703</v>
      </c>
      <c r="G4811">
        <v>8346835639</v>
      </c>
      <c r="H4811" t="s">
        <v>5508</v>
      </c>
      <c r="I4811" t="s">
        <v>5508</v>
      </c>
      <c r="J4811" t="s">
        <v>18704</v>
      </c>
    </row>
    <row r="4812" spans="6:10">
      <c r="F4812" t="s">
        <v>18705</v>
      </c>
      <c r="G4812">
        <v>4809</v>
      </c>
      <c r="H4812" t="s">
        <v>18706</v>
      </c>
      <c r="I4812" t="s">
        <v>18707</v>
      </c>
      <c r="J4812" t="s">
        <v>18708</v>
      </c>
    </row>
    <row r="4813" spans="6:10">
      <c r="F4813" t="s">
        <v>18709</v>
      </c>
      <c r="G4813">
        <v>4810</v>
      </c>
      <c r="H4813" t="s">
        <v>2257</v>
      </c>
      <c r="I4813" t="s">
        <v>2258</v>
      </c>
      <c r="J4813" t="s">
        <v>18710</v>
      </c>
    </row>
    <row r="4814" spans="6:10">
      <c r="F4814" t="s">
        <v>18711</v>
      </c>
      <c r="G4814">
        <v>4811</v>
      </c>
      <c r="H4814" t="s">
        <v>391</v>
      </c>
      <c r="I4814" t="s">
        <v>391</v>
      </c>
      <c r="J4814" t="s">
        <v>18712</v>
      </c>
    </row>
    <row r="4815" spans="6:10">
      <c r="F4815" t="s">
        <v>18713</v>
      </c>
      <c r="G4815">
        <v>40735282897</v>
      </c>
      <c r="H4815" t="s">
        <v>287</v>
      </c>
      <c r="I4815" t="s">
        <v>287</v>
      </c>
      <c r="J4815" t="s">
        <v>18714</v>
      </c>
    </row>
    <row r="4816" spans="6:10">
      <c r="F4816" t="s">
        <v>18715</v>
      </c>
      <c r="G4816">
        <v>4813</v>
      </c>
      <c r="H4816" t="s">
        <v>1029</v>
      </c>
      <c r="I4816" t="s">
        <v>1029</v>
      </c>
      <c r="J4816" t="s">
        <v>18716</v>
      </c>
    </row>
    <row r="4817" spans="6:10">
      <c r="F4817" t="s">
        <v>18717</v>
      </c>
      <c r="G4817">
        <v>3794515145</v>
      </c>
      <c r="H4817" t="s">
        <v>5056</v>
      </c>
      <c r="I4817" t="s">
        <v>5057</v>
      </c>
      <c r="J4817" t="s">
        <v>18718</v>
      </c>
    </row>
    <row r="4818" spans="6:10">
      <c r="F4818" t="s">
        <v>18719</v>
      </c>
      <c r="G4818">
        <v>1497513979</v>
      </c>
      <c r="H4818" t="s">
        <v>1804</v>
      </c>
      <c r="I4818" t="s">
        <v>1804</v>
      </c>
      <c r="J4818" t="s">
        <v>18720</v>
      </c>
    </row>
    <row r="4819" spans="6:10">
      <c r="F4819" t="s">
        <v>18721</v>
      </c>
      <c r="G4819">
        <v>8792731600</v>
      </c>
      <c r="H4819" t="s">
        <v>241</v>
      </c>
      <c r="I4819" t="s">
        <v>242</v>
      </c>
      <c r="J4819" t="s">
        <v>18722</v>
      </c>
    </row>
    <row r="4820" spans="6:10">
      <c r="F4820" t="s">
        <v>18723</v>
      </c>
      <c r="G4820">
        <v>11997665425</v>
      </c>
      <c r="H4820" t="s">
        <v>5864</v>
      </c>
      <c r="I4820" t="s">
        <v>5865</v>
      </c>
      <c r="J4820" t="s">
        <v>18724</v>
      </c>
    </row>
    <row r="4821" spans="6:10">
      <c r="F4821" t="s">
        <v>18725</v>
      </c>
      <c r="G4821">
        <v>3443325513</v>
      </c>
      <c r="H4821" t="s">
        <v>3489</v>
      </c>
      <c r="I4821" t="s">
        <v>3489</v>
      </c>
      <c r="J4821" t="s">
        <v>18726</v>
      </c>
    </row>
    <row r="4822" spans="6:10">
      <c r="F4822" t="s">
        <v>18727</v>
      </c>
      <c r="G4822">
        <v>4948728101</v>
      </c>
      <c r="H4822" t="s">
        <v>3630</v>
      </c>
      <c r="I4822" t="s">
        <v>3631</v>
      </c>
      <c r="J4822" t="s">
        <v>18728</v>
      </c>
    </row>
    <row r="4823" spans="6:10">
      <c r="F4823" t="s">
        <v>18729</v>
      </c>
      <c r="G4823">
        <v>4820</v>
      </c>
      <c r="H4823" t="s">
        <v>1830</v>
      </c>
      <c r="I4823" t="s">
        <v>1830</v>
      </c>
      <c r="J4823" t="s">
        <v>18730</v>
      </c>
    </row>
    <row r="4824" spans="6:10">
      <c r="F4824" t="s">
        <v>18731</v>
      </c>
      <c r="G4824">
        <v>4821</v>
      </c>
      <c r="H4824" t="s">
        <v>4065</v>
      </c>
      <c r="I4824" t="s">
        <v>4065</v>
      </c>
      <c r="J4824" t="s">
        <v>18732</v>
      </c>
    </row>
    <row r="4825" spans="6:10">
      <c r="F4825" t="s">
        <v>18733</v>
      </c>
      <c r="G4825">
        <v>44073330144</v>
      </c>
      <c r="H4825" t="s">
        <v>6163</v>
      </c>
      <c r="I4825" t="s">
        <v>6163</v>
      </c>
      <c r="J4825" t="s">
        <v>18734</v>
      </c>
    </row>
    <row r="4826" spans="6:10">
      <c r="F4826" t="s">
        <v>18735</v>
      </c>
      <c r="G4826">
        <v>4823</v>
      </c>
      <c r="H4826" t="s">
        <v>18736</v>
      </c>
      <c r="I4826" t="s">
        <v>18737</v>
      </c>
      <c r="J4826" t="s">
        <v>18738</v>
      </c>
    </row>
    <row r="4827" spans="6:10">
      <c r="F4827" t="s">
        <v>18739</v>
      </c>
      <c r="G4827">
        <v>2387986156</v>
      </c>
      <c r="H4827" t="s">
        <v>5968</v>
      </c>
      <c r="I4827" t="s">
        <v>5969</v>
      </c>
      <c r="J4827" t="s">
        <v>18740</v>
      </c>
    </row>
    <row r="4828" spans="6:10">
      <c r="F4828" t="s">
        <v>18741</v>
      </c>
      <c r="G4828">
        <v>4825</v>
      </c>
      <c r="H4828" t="s">
        <v>18742</v>
      </c>
      <c r="I4828" t="s">
        <v>18743</v>
      </c>
      <c r="J4828" t="s">
        <v>18744</v>
      </c>
    </row>
    <row r="4829" spans="6:10">
      <c r="F4829" t="s">
        <v>18745</v>
      </c>
      <c r="G4829">
        <v>4826</v>
      </c>
      <c r="H4829" t="s">
        <v>5075</v>
      </c>
      <c r="I4829" t="s">
        <v>5075</v>
      </c>
      <c r="J4829" t="s">
        <v>18746</v>
      </c>
    </row>
    <row r="4830" spans="6:10">
      <c r="F4830" t="s">
        <v>18747</v>
      </c>
      <c r="G4830">
        <v>4827</v>
      </c>
      <c r="H4830" t="s">
        <v>18656</v>
      </c>
      <c r="I4830" t="s">
        <v>18657</v>
      </c>
      <c r="J4830" t="s">
        <v>18748</v>
      </c>
    </row>
    <row r="4831" spans="6:10">
      <c r="F4831" t="s">
        <v>18749</v>
      </c>
      <c r="G4831">
        <v>2898407160</v>
      </c>
      <c r="H4831" t="s">
        <v>3989</v>
      </c>
      <c r="I4831" t="s">
        <v>3990</v>
      </c>
      <c r="J4831" t="s">
        <v>18750</v>
      </c>
    </row>
    <row r="4832" spans="6:10">
      <c r="F4832" t="s">
        <v>18751</v>
      </c>
      <c r="G4832">
        <v>3470487499</v>
      </c>
      <c r="H4832" t="s">
        <v>2072</v>
      </c>
      <c r="I4832" t="s">
        <v>2072</v>
      </c>
      <c r="J4832" t="s">
        <v>18752</v>
      </c>
    </row>
    <row r="4833" spans="6:10">
      <c r="F4833" t="s">
        <v>18753</v>
      </c>
      <c r="G4833">
        <v>4830</v>
      </c>
      <c r="H4833" t="s">
        <v>3342</v>
      </c>
      <c r="I4833" t="s">
        <v>3343</v>
      </c>
      <c r="J4833" t="s">
        <v>18754</v>
      </c>
    </row>
    <row r="4834" spans="6:10">
      <c r="F4834" t="s">
        <v>18755</v>
      </c>
      <c r="G4834">
        <v>4831</v>
      </c>
      <c r="H4834" t="s">
        <v>5659</v>
      </c>
      <c r="I4834" t="s">
        <v>5659</v>
      </c>
      <c r="J4834" t="s">
        <v>18756</v>
      </c>
    </row>
    <row r="4835" spans="6:10">
      <c r="F4835" t="s">
        <v>18757</v>
      </c>
      <c r="G4835">
        <v>4832</v>
      </c>
      <c r="H4835" t="s">
        <v>3676</v>
      </c>
      <c r="I4835" t="s">
        <v>3677</v>
      </c>
      <c r="J4835" t="s">
        <v>18758</v>
      </c>
    </row>
    <row r="4836" spans="6:10">
      <c r="F4836" t="s">
        <v>18759</v>
      </c>
      <c r="G4836">
        <v>4833</v>
      </c>
      <c r="H4836" t="s">
        <v>5048</v>
      </c>
      <c r="I4836" t="s">
        <v>5048</v>
      </c>
      <c r="J4836" t="s">
        <v>18760</v>
      </c>
    </row>
    <row r="4837" spans="6:10">
      <c r="F4837" t="s">
        <v>18761</v>
      </c>
      <c r="G4837">
        <v>4834</v>
      </c>
      <c r="H4837" t="s">
        <v>2934</v>
      </c>
      <c r="I4837" t="s">
        <v>2934</v>
      </c>
      <c r="J4837" t="s">
        <v>18762</v>
      </c>
    </row>
    <row r="4838" spans="6:10">
      <c r="F4838" t="s">
        <v>18763</v>
      </c>
      <c r="G4838">
        <v>4835</v>
      </c>
      <c r="H4838" t="s">
        <v>697</v>
      </c>
      <c r="I4838" t="s">
        <v>698</v>
      </c>
      <c r="J4838" t="s">
        <v>18764</v>
      </c>
    </row>
    <row r="4839" spans="6:10">
      <c r="F4839" t="s">
        <v>18765</v>
      </c>
      <c r="G4839">
        <v>4836</v>
      </c>
      <c r="H4839" t="s">
        <v>5499</v>
      </c>
      <c r="I4839" t="s">
        <v>5499</v>
      </c>
      <c r="J4839" t="s">
        <v>18766</v>
      </c>
    </row>
    <row r="4840" spans="6:10">
      <c r="F4840" t="s">
        <v>18767</v>
      </c>
      <c r="G4840">
        <v>4837</v>
      </c>
      <c r="H4840" t="s">
        <v>18768</v>
      </c>
      <c r="I4840" t="s">
        <v>18769</v>
      </c>
      <c r="J4840" t="s">
        <v>18770</v>
      </c>
    </row>
    <row r="4841" spans="6:10">
      <c r="F4841" t="s">
        <v>18771</v>
      </c>
      <c r="G4841">
        <v>4838</v>
      </c>
      <c r="H4841" t="s">
        <v>5407</v>
      </c>
      <c r="I4841" t="s">
        <v>5408</v>
      </c>
      <c r="J4841" t="s">
        <v>18772</v>
      </c>
    </row>
    <row r="4842" spans="6:10">
      <c r="F4842" t="s">
        <v>18773</v>
      </c>
      <c r="G4842">
        <v>4839</v>
      </c>
      <c r="H4842" t="s">
        <v>4620</v>
      </c>
      <c r="I4842" t="s">
        <v>4621</v>
      </c>
      <c r="J4842" t="s">
        <v>18774</v>
      </c>
    </row>
    <row r="4843" spans="6:10">
      <c r="F4843" t="s">
        <v>18775</v>
      </c>
      <c r="G4843">
        <v>4840</v>
      </c>
      <c r="H4843" t="s">
        <v>18776</v>
      </c>
      <c r="I4843" t="s">
        <v>18777</v>
      </c>
      <c r="J4843" t="s">
        <v>18778</v>
      </c>
    </row>
    <row r="4844" spans="6:10">
      <c r="F4844" t="s">
        <v>18779</v>
      </c>
      <c r="G4844">
        <v>1426640498</v>
      </c>
      <c r="H4844" t="s">
        <v>857</v>
      </c>
      <c r="I4844" t="s">
        <v>857</v>
      </c>
      <c r="J4844" t="s">
        <v>18780</v>
      </c>
    </row>
    <row r="4845" spans="6:10">
      <c r="F4845" t="s">
        <v>18781</v>
      </c>
      <c r="G4845">
        <v>39175181800</v>
      </c>
      <c r="H4845" t="s">
        <v>897</v>
      </c>
      <c r="I4845" t="s">
        <v>897</v>
      </c>
      <c r="J4845" t="s">
        <v>18782</v>
      </c>
    </row>
    <row r="4846" spans="6:10">
      <c r="F4846" t="s">
        <v>18783</v>
      </c>
      <c r="G4846">
        <v>33976867845</v>
      </c>
      <c r="H4846" t="s">
        <v>5788</v>
      </c>
      <c r="I4846" t="s">
        <v>5789</v>
      </c>
      <c r="J4846" t="s">
        <v>18784</v>
      </c>
    </row>
    <row r="4847" spans="6:10">
      <c r="F4847" t="s">
        <v>18785</v>
      </c>
      <c r="G4847">
        <v>21337874884</v>
      </c>
      <c r="H4847" t="s">
        <v>751</v>
      </c>
      <c r="I4847" t="s">
        <v>751</v>
      </c>
      <c r="J4847" t="s">
        <v>18786</v>
      </c>
    </row>
    <row r="4848" spans="6:10">
      <c r="F4848" t="s">
        <v>18787</v>
      </c>
      <c r="G4848">
        <v>12473364761</v>
      </c>
      <c r="H4848" t="s">
        <v>1213</v>
      </c>
      <c r="I4848" t="s">
        <v>1213</v>
      </c>
      <c r="J4848" t="s">
        <v>18788</v>
      </c>
    </row>
    <row r="4849" spans="6:10">
      <c r="F4849" t="s">
        <v>18789</v>
      </c>
      <c r="G4849">
        <v>2351496329</v>
      </c>
      <c r="H4849" t="s">
        <v>704</v>
      </c>
      <c r="I4849" t="s">
        <v>705</v>
      </c>
      <c r="J4849" t="s">
        <v>18790</v>
      </c>
    </row>
    <row r="4850" spans="6:10">
      <c r="F4850" t="s">
        <v>18791</v>
      </c>
      <c r="G4850">
        <v>93551134391</v>
      </c>
      <c r="H4850" t="s">
        <v>2070</v>
      </c>
      <c r="I4850" t="s">
        <v>2071</v>
      </c>
      <c r="J4850" t="s">
        <v>18792</v>
      </c>
    </row>
    <row r="4851" spans="6:10">
      <c r="F4851" t="s">
        <v>18793</v>
      </c>
      <c r="G4851">
        <v>4848</v>
      </c>
      <c r="H4851" t="s">
        <v>18794</v>
      </c>
      <c r="I4851" t="s">
        <v>18795</v>
      </c>
      <c r="J4851" t="s">
        <v>18796</v>
      </c>
    </row>
    <row r="4852" spans="6:10">
      <c r="F4852" t="s">
        <v>18797</v>
      </c>
      <c r="G4852">
        <v>4849</v>
      </c>
      <c r="H4852" t="s">
        <v>18798</v>
      </c>
      <c r="I4852" t="s">
        <v>18798</v>
      </c>
      <c r="J4852" t="s">
        <v>18799</v>
      </c>
    </row>
    <row r="4853" spans="6:10">
      <c r="F4853" t="s">
        <v>18800</v>
      </c>
      <c r="G4853">
        <v>4850</v>
      </c>
      <c r="H4853" t="s">
        <v>5369</v>
      </c>
      <c r="I4853" t="s">
        <v>5370</v>
      </c>
      <c r="J4853" t="s">
        <v>18801</v>
      </c>
    </row>
    <row r="4854" spans="6:10">
      <c r="F4854" t="s">
        <v>18802</v>
      </c>
      <c r="G4854">
        <v>4851</v>
      </c>
      <c r="H4854" t="s">
        <v>4628</v>
      </c>
      <c r="I4854" t="s">
        <v>4628</v>
      </c>
      <c r="J4854" t="s">
        <v>18803</v>
      </c>
    </row>
    <row r="4855" spans="6:10">
      <c r="F4855" t="s">
        <v>18804</v>
      </c>
      <c r="G4855">
        <v>6278933683</v>
      </c>
      <c r="H4855" t="s">
        <v>1995</v>
      </c>
      <c r="I4855" t="s">
        <v>1996</v>
      </c>
      <c r="J4855" t="s">
        <v>18805</v>
      </c>
    </row>
    <row r="4856" spans="6:10">
      <c r="F4856" t="s">
        <v>18806</v>
      </c>
      <c r="G4856">
        <v>4853</v>
      </c>
      <c r="H4856" t="s">
        <v>18807</v>
      </c>
      <c r="I4856" t="s">
        <v>18808</v>
      </c>
      <c r="J4856" t="s">
        <v>18809</v>
      </c>
    </row>
    <row r="4857" spans="6:10">
      <c r="F4857" t="s">
        <v>18810</v>
      </c>
      <c r="G4857">
        <v>4854</v>
      </c>
      <c r="H4857" t="s">
        <v>18811</v>
      </c>
      <c r="I4857" t="s">
        <v>18812</v>
      </c>
      <c r="J4857" t="s">
        <v>18813</v>
      </c>
    </row>
    <row r="4858" spans="6:10">
      <c r="F4858" t="s">
        <v>18814</v>
      </c>
      <c r="G4858">
        <v>14823459784</v>
      </c>
      <c r="H4858" t="s">
        <v>4568</v>
      </c>
      <c r="I4858" t="s">
        <v>4568</v>
      </c>
      <c r="J4858" t="s">
        <v>18815</v>
      </c>
    </row>
    <row r="4859" spans="6:10">
      <c r="F4859" t="s">
        <v>18816</v>
      </c>
      <c r="G4859">
        <v>99024179149</v>
      </c>
      <c r="H4859" t="s">
        <v>4624</v>
      </c>
      <c r="I4859" t="s">
        <v>4625</v>
      </c>
      <c r="J4859" t="s">
        <v>18817</v>
      </c>
    </row>
    <row r="4860" spans="6:10">
      <c r="F4860" t="s">
        <v>18818</v>
      </c>
      <c r="G4860">
        <v>13283889643</v>
      </c>
      <c r="H4860" t="s">
        <v>5303</v>
      </c>
      <c r="I4860" t="s">
        <v>5303</v>
      </c>
      <c r="J4860" t="s">
        <v>18819</v>
      </c>
    </row>
    <row r="4861" spans="6:10">
      <c r="F4861" t="s">
        <v>18820</v>
      </c>
      <c r="G4861">
        <v>4858</v>
      </c>
      <c r="H4861" t="s">
        <v>18821</v>
      </c>
      <c r="I4861" t="s">
        <v>18821</v>
      </c>
      <c r="J4861" t="s">
        <v>18822</v>
      </c>
    </row>
    <row r="4862" spans="6:10">
      <c r="F4862" t="s">
        <v>18823</v>
      </c>
      <c r="G4862">
        <v>4859</v>
      </c>
      <c r="H4862" t="s">
        <v>18824</v>
      </c>
      <c r="I4862" t="s">
        <v>18825</v>
      </c>
      <c r="J4862" t="s">
        <v>18826</v>
      </c>
    </row>
    <row r="4863" spans="6:10">
      <c r="F4863" t="s">
        <v>18827</v>
      </c>
      <c r="G4863">
        <v>4860</v>
      </c>
      <c r="H4863" t="s">
        <v>18828</v>
      </c>
      <c r="I4863" t="s">
        <v>18829</v>
      </c>
      <c r="J4863" t="s">
        <v>18830</v>
      </c>
    </row>
    <row r="4864" spans="6:10">
      <c r="F4864" t="s">
        <v>18831</v>
      </c>
      <c r="G4864">
        <v>46708747804</v>
      </c>
      <c r="H4864" t="s">
        <v>5687</v>
      </c>
      <c r="I4864" t="s">
        <v>5688</v>
      </c>
      <c r="J4864" t="s">
        <v>18832</v>
      </c>
    </row>
    <row r="4865" spans="6:10">
      <c r="F4865" t="s">
        <v>18833</v>
      </c>
      <c r="G4865">
        <v>7839040969</v>
      </c>
      <c r="H4865" t="s">
        <v>5375</v>
      </c>
      <c r="I4865" t="s">
        <v>5376</v>
      </c>
      <c r="J4865" t="s">
        <v>18834</v>
      </c>
    </row>
    <row r="4866" spans="6:10">
      <c r="F4866" t="s">
        <v>18835</v>
      </c>
      <c r="G4866">
        <v>9219854791</v>
      </c>
      <c r="H4866" t="s">
        <v>1043</v>
      </c>
      <c r="I4866" t="s">
        <v>1044</v>
      </c>
      <c r="J4866" t="s">
        <v>18836</v>
      </c>
    </row>
    <row r="4867" spans="6:10">
      <c r="F4867" t="s">
        <v>18837</v>
      </c>
      <c r="G4867">
        <v>4864</v>
      </c>
      <c r="H4867" t="s">
        <v>18838</v>
      </c>
      <c r="I4867" t="s">
        <v>18839</v>
      </c>
      <c r="J4867" t="s">
        <v>18840</v>
      </c>
    </row>
    <row r="4868" spans="6:10">
      <c r="F4868" t="s">
        <v>18841</v>
      </c>
      <c r="G4868">
        <v>4865</v>
      </c>
      <c r="H4868" t="s">
        <v>9046</v>
      </c>
      <c r="I4868" t="s">
        <v>9046</v>
      </c>
      <c r="J4868" t="s">
        <v>18842</v>
      </c>
    </row>
    <row r="4869" spans="6:10">
      <c r="F4869" t="s">
        <v>18843</v>
      </c>
      <c r="G4869">
        <v>4866</v>
      </c>
      <c r="H4869" t="s">
        <v>18844</v>
      </c>
      <c r="I4869" t="s">
        <v>18845</v>
      </c>
      <c r="J4869" t="s">
        <v>18846</v>
      </c>
    </row>
    <row r="4870" spans="6:10">
      <c r="F4870" t="s">
        <v>18847</v>
      </c>
      <c r="G4870">
        <v>4867</v>
      </c>
      <c r="H4870" t="s">
        <v>18848</v>
      </c>
      <c r="I4870" t="s">
        <v>18849</v>
      </c>
      <c r="J4870" t="s">
        <v>18850</v>
      </c>
    </row>
    <row r="4871" spans="6:10">
      <c r="F4871" t="s">
        <v>18851</v>
      </c>
      <c r="G4871">
        <v>9878108473</v>
      </c>
      <c r="H4871" t="s">
        <v>4968</v>
      </c>
      <c r="I4871" t="s">
        <v>4969</v>
      </c>
      <c r="J4871" t="s">
        <v>18852</v>
      </c>
    </row>
    <row r="4872" spans="6:10">
      <c r="F4872" t="s">
        <v>18853</v>
      </c>
      <c r="G4872">
        <v>6362685601</v>
      </c>
      <c r="H4872" t="s">
        <v>378</v>
      </c>
      <c r="I4872" t="s">
        <v>379</v>
      </c>
      <c r="J4872" t="s">
        <v>18854</v>
      </c>
    </row>
    <row r="4873" spans="6:10">
      <c r="F4873" t="s">
        <v>18855</v>
      </c>
      <c r="G4873">
        <v>44105957848</v>
      </c>
      <c r="H4873" t="s">
        <v>2873</v>
      </c>
      <c r="I4873" t="s">
        <v>2873</v>
      </c>
      <c r="J4873" t="s">
        <v>18856</v>
      </c>
    </row>
    <row r="4874" spans="6:10">
      <c r="F4874" t="s">
        <v>18857</v>
      </c>
      <c r="G4874">
        <v>87257904553</v>
      </c>
      <c r="H4874" t="s">
        <v>1218</v>
      </c>
      <c r="I4874" t="s">
        <v>1219</v>
      </c>
      <c r="J4874" t="s">
        <v>18858</v>
      </c>
    </row>
    <row r="4875" spans="6:10">
      <c r="F4875" t="s">
        <v>18859</v>
      </c>
      <c r="G4875">
        <v>4872</v>
      </c>
      <c r="H4875" t="s">
        <v>861</v>
      </c>
      <c r="I4875" t="s">
        <v>862</v>
      </c>
      <c r="J4875" t="s">
        <v>18860</v>
      </c>
    </row>
    <row r="4876" spans="6:10">
      <c r="F4876" t="s">
        <v>18861</v>
      </c>
      <c r="G4876">
        <v>4873</v>
      </c>
      <c r="H4876" t="s">
        <v>18862</v>
      </c>
      <c r="I4876" t="s">
        <v>18863</v>
      </c>
      <c r="J4876" t="s">
        <v>18864</v>
      </c>
    </row>
    <row r="4877" spans="6:10">
      <c r="F4877" t="s">
        <v>18865</v>
      </c>
      <c r="G4877">
        <v>4874</v>
      </c>
      <c r="H4877" t="s">
        <v>18866</v>
      </c>
      <c r="I4877" t="s">
        <v>18867</v>
      </c>
      <c r="J4877" t="s">
        <v>18868</v>
      </c>
    </row>
    <row r="4878" spans="6:10">
      <c r="F4878" t="s">
        <v>18869</v>
      </c>
      <c r="G4878">
        <v>7485466771</v>
      </c>
      <c r="H4878" t="s">
        <v>1070</v>
      </c>
      <c r="I4878" t="s">
        <v>1071</v>
      </c>
      <c r="J4878" t="s">
        <v>18870</v>
      </c>
    </row>
    <row r="4879" spans="6:10">
      <c r="F4879" t="s">
        <v>18871</v>
      </c>
      <c r="G4879">
        <v>4876</v>
      </c>
      <c r="H4879" t="s">
        <v>2095</v>
      </c>
      <c r="I4879" t="s">
        <v>2095</v>
      </c>
      <c r="J4879" t="s">
        <v>18872</v>
      </c>
    </row>
    <row r="4880" spans="6:10">
      <c r="F4880" t="s">
        <v>18873</v>
      </c>
      <c r="G4880">
        <v>7115305641</v>
      </c>
      <c r="H4880" t="s">
        <v>5413</v>
      </c>
      <c r="I4880" t="s">
        <v>5413</v>
      </c>
      <c r="J4880" t="s">
        <v>18874</v>
      </c>
    </row>
    <row r="4881" spans="6:10">
      <c r="F4881" t="s">
        <v>18875</v>
      </c>
      <c r="G4881">
        <v>1401842526</v>
      </c>
      <c r="H4881" t="s">
        <v>1968</v>
      </c>
      <c r="I4881" t="s">
        <v>1969</v>
      </c>
      <c r="J4881" t="s">
        <v>18876</v>
      </c>
    </row>
    <row r="4882" spans="6:10">
      <c r="F4882" t="s">
        <v>18877</v>
      </c>
      <c r="G4882">
        <v>9760118408</v>
      </c>
      <c r="H4882" t="s">
        <v>1575</v>
      </c>
      <c r="I4882" t="s">
        <v>1576</v>
      </c>
      <c r="J4882" t="s">
        <v>18878</v>
      </c>
    </row>
    <row r="4883" spans="6:10">
      <c r="F4883" t="s">
        <v>18879</v>
      </c>
      <c r="G4883">
        <v>7708623650</v>
      </c>
      <c r="H4883" t="s">
        <v>1632</v>
      </c>
      <c r="I4883" t="s">
        <v>1632</v>
      </c>
      <c r="J4883" t="s">
        <v>18880</v>
      </c>
    </row>
    <row r="4884" spans="6:10">
      <c r="F4884" t="s">
        <v>18881</v>
      </c>
      <c r="G4884">
        <v>4881</v>
      </c>
      <c r="H4884" t="s">
        <v>5542</v>
      </c>
      <c r="I4884" t="s">
        <v>5544</v>
      </c>
      <c r="J4884" t="s">
        <v>18882</v>
      </c>
    </row>
    <row r="4885" spans="6:10">
      <c r="F4885" t="s">
        <v>18883</v>
      </c>
      <c r="G4885">
        <v>4882</v>
      </c>
      <c r="H4885" t="s">
        <v>18884</v>
      </c>
      <c r="I4885" t="s">
        <v>18885</v>
      </c>
      <c r="J4885" t="s">
        <v>18886</v>
      </c>
    </row>
    <row r="4886" spans="6:10">
      <c r="F4886" t="s">
        <v>18887</v>
      </c>
      <c r="G4886">
        <v>1935442961</v>
      </c>
      <c r="H4886" t="s">
        <v>4406</v>
      </c>
      <c r="I4886" t="s">
        <v>4407</v>
      </c>
      <c r="J4886" t="s">
        <v>18888</v>
      </c>
    </row>
    <row r="4887" spans="6:10">
      <c r="F4887" t="s">
        <v>18889</v>
      </c>
      <c r="G4887">
        <v>6259909519</v>
      </c>
      <c r="H4887" t="s">
        <v>419</v>
      </c>
      <c r="I4887" t="s">
        <v>419</v>
      </c>
      <c r="J4887" t="s">
        <v>18890</v>
      </c>
    </row>
    <row r="4888" spans="6:10">
      <c r="F4888" t="s">
        <v>18891</v>
      </c>
      <c r="G4888">
        <v>4885</v>
      </c>
      <c r="H4888" t="s">
        <v>504</v>
      </c>
      <c r="I4888" t="s">
        <v>505</v>
      </c>
      <c r="J4888" t="s">
        <v>18892</v>
      </c>
    </row>
    <row r="4889" spans="6:10">
      <c r="F4889" t="s">
        <v>18893</v>
      </c>
      <c r="G4889">
        <v>4886</v>
      </c>
      <c r="H4889" t="s">
        <v>18894</v>
      </c>
      <c r="I4889" t="s">
        <v>18895</v>
      </c>
      <c r="J4889" t="s">
        <v>18896</v>
      </c>
    </row>
    <row r="4890" spans="6:10">
      <c r="F4890" t="s">
        <v>18897</v>
      </c>
      <c r="G4890">
        <v>5758218766</v>
      </c>
      <c r="H4890" t="s">
        <v>4265</v>
      </c>
      <c r="I4890" t="s">
        <v>4265</v>
      </c>
      <c r="J4890" t="s">
        <v>18898</v>
      </c>
    </row>
    <row r="4891" spans="6:10">
      <c r="F4891" t="s">
        <v>18899</v>
      </c>
      <c r="G4891">
        <v>1969036613</v>
      </c>
      <c r="H4891" t="s">
        <v>1577</v>
      </c>
      <c r="I4891" t="s">
        <v>1578</v>
      </c>
      <c r="J4891" t="s">
        <v>18900</v>
      </c>
    </row>
    <row r="4892" spans="6:10">
      <c r="F4892" t="s">
        <v>18901</v>
      </c>
      <c r="G4892">
        <v>66561256891</v>
      </c>
      <c r="H4892" t="s">
        <v>461</v>
      </c>
      <c r="I4892" t="s">
        <v>462</v>
      </c>
      <c r="J4892" t="s">
        <v>18902</v>
      </c>
    </row>
    <row r="4893" spans="6:10">
      <c r="F4893" t="s">
        <v>18903</v>
      </c>
      <c r="G4893">
        <v>4890</v>
      </c>
      <c r="H4893" t="s">
        <v>418</v>
      </c>
      <c r="I4893" t="s">
        <v>418</v>
      </c>
      <c r="J4893" t="s">
        <v>18904</v>
      </c>
    </row>
    <row r="4894" spans="6:10">
      <c r="F4894" t="s">
        <v>18905</v>
      </c>
      <c r="G4894">
        <v>4891</v>
      </c>
      <c r="H4894" t="s">
        <v>3138</v>
      </c>
      <c r="I4894" t="s">
        <v>2745</v>
      </c>
      <c r="J4894" t="s">
        <v>18906</v>
      </c>
    </row>
    <row r="4895" spans="6:10">
      <c r="F4895" t="s">
        <v>18907</v>
      </c>
      <c r="G4895">
        <v>4892</v>
      </c>
      <c r="H4895" t="s">
        <v>2266</v>
      </c>
      <c r="I4895" t="s">
        <v>2267</v>
      </c>
      <c r="J4895" t="s">
        <v>18908</v>
      </c>
    </row>
    <row r="4896" spans="6:10">
      <c r="F4896" t="s">
        <v>18909</v>
      </c>
      <c r="G4896">
        <v>38234945890</v>
      </c>
      <c r="H4896" t="s">
        <v>3649</v>
      </c>
      <c r="I4896" t="s">
        <v>3649</v>
      </c>
      <c r="J4896" t="s">
        <v>18910</v>
      </c>
    </row>
    <row r="4897" spans="6:10">
      <c r="F4897" t="s">
        <v>18911</v>
      </c>
      <c r="G4897">
        <v>4894</v>
      </c>
      <c r="H4897" t="s">
        <v>18912</v>
      </c>
      <c r="I4897" t="s">
        <v>18913</v>
      </c>
      <c r="J4897" t="s">
        <v>18914</v>
      </c>
    </row>
    <row r="4898" spans="6:10">
      <c r="F4898" t="s">
        <v>18915</v>
      </c>
      <c r="G4898">
        <v>4895</v>
      </c>
      <c r="H4898" t="s">
        <v>4047</v>
      </c>
      <c r="I4898" t="s">
        <v>4048</v>
      </c>
      <c r="J4898" t="s">
        <v>18916</v>
      </c>
    </row>
    <row r="4899" spans="6:10">
      <c r="F4899" t="s">
        <v>18917</v>
      </c>
      <c r="G4899">
        <v>4896</v>
      </c>
      <c r="H4899" t="s">
        <v>1226</v>
      </c>
      <c r="I4899" t="s">
        <v>1226</v>
      </c>
      <c r="J4899" t="s">
        <v>18918</v>
      </c>
    </row>
    <row r="4900" spans="6:10">
      <c r="F4900" t="s">
        <v>18919</v>
      </c>
      <c r="G4900">
        <v>4897</v>
      </c>
      <c r="H4900" t="s">
        <v>3932</v>
      </c>
      <c r="I4900" t="s">
        <v>3933</v>
      </c>
      <c r="J4900" t="s">
        <v>18920</v>
      </c>
    </row>
    <row r="4901" spans="6:10">
      <c r="F4901" t="s">
        <v>18921</v>
      </c>
      <c r="G4901">
        <v>37433607803</v>
      </c>
      <c r="H4901" t="s">
        <v>1088</v>
      </c>
      <c r="I4901" t="s">
        <v>1088</v>
      </c>
      <c r="J4901" t="s">
        <v>18922</v>
      </c>
    </row>
    <row r="4902" spans="6:10">
      <c r="F4902" t="s">
        <v>18923</v>
      </c>
      <c r="G4902">
        <v>16958133757</v>
      </c>
      <c r="H4902" t="s">
        <v>1537</v>
      </c>
      <c r="I4902" t="s">
        <v>1537</v>
      </c>
      <c r="J4902" t="s">
        <v>18924</v>
      </c>
    </row>
    <row r="4903" spans="6:10">
      <c r="F4903" t="s">
        <v>18925</v>
      </c>
      <c r="G4903">
        <v>28671125831</v>
      </c>
      <c r="H4903" t="s">
        <v>1085</v>
      </c>
      <c r="I4903" t="s">
        <v>1086</v>
      </c>
      <c r="J4903" t="s">
        <v>18926</v>
      </c>
    </row>
    <row r="4904" spans="6:10">
      <c r="F4904" t="s">
        <v>18927</v>
      </c>
      <c r="G4904">
        <v>4901</v>
      </c>
      <c r="H4904" t="s">
        <v>18928</v>
      </c>
      <c r="I4904" t="s">
        <v>18928</v>
      </c>
      <c r="J4904" t="s">
        <v>18929</v>
      </c>
    </row>
    <row r="4905" spans="6:10">
      <c r="F4905" t="s">
        <v>18930</v>
      </c>
      <c r="G4905">
        <v>4902</v>
      </c>
      <c r="H4905" t="s">
        <v>18931</v>
      </c>
      <c r="I4905" t="s">
        <v>18932</v>
      </c>
      <c r="J4905" t="s">
        <v>18933</v>
      </c>
    </row>
    <row r="4906" spans="6:10">
      <c r="F4906" t="s">
        <v>18934</v>
      </c>
      <c r="G4906">
        <v>4903</v>
      </c>
      <c r="H4906" t="s">
        <v>4581</v>
      </c>
      <c r="I4906" t="s">
        <v>4582</v>
      </c>
      <c r="J4906" t="s">
        <v>18935</v>
      </c>
    </row>
    <row r="4907" spans="6:10">
      <c r="F4907" t="s">
        <v>18936</v>
      </c>
      <c r="G4907">
        <v>4904</v>
      </c>
      <c r="H4907" t="s">
        <v>3079</v>
      </c>
      <c r="I4907" t="s">
        <v>3079</v>
      </c>
      <c r="J4907" t="s">
        <v>18937</v>
      </c>
    </row>
    <row r="4908" spans="6:10">
      <c r="F4908" t="s">
        <v>18938</v>
      </c>
      <c r="G4908">
        <v>4905</v>
      </c>
      <c r="H4908" t="s">
        <v>4038</v>
      </c>
      <c r="I4908" t="s">
        <v>4038</v>
      </c>
      <c r="J4908" t="s">
        <v>18939</v>
      </c>
    </row>
    <row r="4909" spans="6:10">
      <c r="F4909" t="s">
        <v>18940</v>
      </c>
      <c r="G4909">
        <v>4906</v>
      </c>
      <c r="H4909" t="s">
        <v>5115</v>
      </c>
      <c r="I4909" t="s">
        <v>5119</v>
      </c>
      <c r="J4909" t="s">
        <v>18941</v>
      </c>
    </row>
    <row r="4910" spans="6:10">
      <c r="F4910" t="s">
        <v>18942</v>
      </c>
      <c r="G4910">
        <v>4907</v>
      </c>
      <c r="H4910" t="s">
        <v>14074</v>
      </c>
      <c r="I4910" t="s">
        <v>18943</v>
      </c>
      <c r="J4910" t="s">
        <v>18944</v>
      </c>
    </row>
    <row r="4911" spans="6:10">
      <c r="F4911" t="s">
        <v>18945</v>
      </c>
      <c r="G4911">
        <v>38333216870</v>
      </c>
      <c r="H4911" t="s">
        <v>2345</v>
      </c>
      <c r="I4911" t="s">
        <v>2345</v>
      </c>
      <c r="J4911" t="s">
        <v>18946</v>
      </c>
    </row>
    <row r="4912" spans="6:10">
      <c r="F4912" t="s">
        <v>18947</v>
      </c>
      <c r="G4912">
        <v>4909</v>
      </c>
      <c r="H4912" t="s">
        <v>1022</v>
      </c>
      <c r="I4912" t="s">
        <v>1023</v>
      </c>
      <c r="J4912" t="s">
        <v>18948</v>
      </c>
    </row>
    <row r="4913" spans="6:10">
      <c r="F4913" t="s">
        <v>18949</v>
      </c>
      <c r="G4913">
        <v>36896877804</v>
      </c>
      <c r="H4913" t="s">
        <v>1255</v>
      </c>
      <c r="I4913" t="s">
        <v>1256</v>
      </c>
      <c r="J4913" t="s">
        <v>18950</v>
      </c>
    </row>
    <row r="4914" spans="6:10">
      <c r="F4914" t="s">
        <v>18951</v>
      </c>
      <c r="G4914">
        <v>4911</v>
      </c>
      <c r="H4914" t="s">
        <v>3161</v>
      </c>
      <c r="I4914" t="s">
        <v>3161</v>
      </c>
      <c r="J4914" t="s">
        <v>18952</v>
      </c>
    </row>
    <row r="4915" spans="6:10">
      <c r="F4915" t="s">
        <v>18953</v>
      </c>
      <c r="G4915">
        <v>4912</v>
      </c>
      <c r="H4915" t="s">
        <v>2275</v>
      </c>
      <c r="I4915" t="s">
        <v>2276</v>
      </c>
      <c r="J4915" t="s">
        <v>18954</v>
      </c>
    </row>
    <row r="4916" spans="6:10">
      <c r="F4916" t="s">
        <v>18955</v>
      </c>
      <c r="G4916">
        <v>4913</v>
      </c>
      <c r="H4916" t="s">
        <v>2976</v>
      </c>
      <c r="I4916" t="s">
        <v>2977</v>
      </c>
      <c r="J4916" t="s">
        <v>18956</v>
      </c>
    </row>
    <row r="4917" spans="6:10">
      <c r="F4917" t="s">
        <v>18957</v>
      </c>
      <c r="G4917">
        <v>4914</v>
      </c>
      <c r="H4917" t="s">
        <v>18958</v>
      </c>
      <c r="I4917" t="s">
        <v>18273</v>
      </c>
      <c r="J4917" t="s">
        <v>18959</v>
      </c>
    </row>
    <row r="4918" spans="6:10">
      <c r="F4918" t="s">
        <v>18960</v>
      </c>
      <c r="G4918">
        <v>4915</v>
      </c>
      <c r="H4918" t="s">
        <v>18961</v>
      </c>
      <c r="I4918" t="s">
        <v>18962</v>
      </c>
      <c r="J4918" t="s">
        <v>18963</v>
      </c>
    </row>
    <row r="4919" spans="6:10">
      <c r="F4919" t="s">
        <v>18964</v>
      </c>
      <c r="G4919">
        <v>4916</v>
      </c>
      <c r="H4919" t="s">
        <v>4466</v>
      </c>
      <c r="I4919" t="s">
        <v>4466</v>
      </c>
      <c r="J4919" t="s">
        <v>18965</v>
      </c>
    </row>
    <row r="4920" spans="6:10">
      <c r="F4920" t="s">
        <v>18966</v>
      </c>
      <c r="G4920">
        <v>4917</v>
      </c>
      <c r="H4920" t="s">
        <v>18967</v>
      </c>
      <c r="I4920" t="s">
        <v>18968</v>
      </c>
      <c r="J4920" t="s">
        <v>18969</v>
      </c>
    </row>
    <row r="4921" spans="6:10">
      <c r="F4921" t="s">
        <v>18970</v>
      </c>
      <c r="G4921">
        <v>4918</v>
      </c>
      <c r="H4921" t="s">
        <v>18971</v>
      </c>
      <c r="I4921" t="s">
        <v>18972</v>
      </c>
      <c r="J4921" t="s">
        <v>18973</v>
      </c>
    </row>
    <row r="4922" spans="6:10">
      <c r="F4922" t="s">
        <v>18974</v>
      </c>
      <c r="G4922">
        <v>4919</v>
      </c>
      <c r="H4922" t="s">
        <v>7063</v>
      </c>
      <c r="I4922" t="s">
        <v>7064</v>
      </c>
      <c r="J4922" t="s">
        <v>18975</v>
      </c>
    </row>
    <row r="4923" spans="6:10">
      <c r="F4923" t="s">
        <v>18976</v>
      </c>
      <c r="G4923">
        <v>4920</v>
      </c>
      <c r="H4923" t="s">
        <v>7098</v>
      </c>
      <c r="I4923" t="s">
        <v>7098</v>
      </c>
      <c r="J4923" t="s">
        <v>18977</v>
      </c>
    </row>
    <row r="4924" spans="6:10">
      <c r="F4924" t="s">
        <v>18978</v>
      </c>
      <c r="G4924">
        <v>4921</v>
      </c>
      <c r="H4924" t="s">
        <v>6022</v>
      </c>
      <c r="I4924" t="s">
        <v>6023</v>
      </c>
      <c r="J4924" t="s">
        <v>18979</v>
      </c>
    </row>
    <row r="4925" spans="6:10">
      <c r="F4925" t="s">
        <v>18980</v>
      </c>
      <c r="G4925">
        <v>42147054836</v>
      </c>
      <c r="H4925" t="s">
        <v>6217</v>
      </c>
      <c r="I4925" t="s">
        <v>6217</v>
      </c>
      <c r="J4925" t="s">
        <v>18981</v>
      </c>
    </row>
    <row r="4926" spans="6:10">
      <c r="F4926" t="s">
        <v>18982</v>
      </c>
      <c r="G4926">
        <v>1088626238</v>
      </c>
      <c r="H4926" t="s">
        <v>1033</v>
      </c>
      <c r="I4926" t="s">
        <v>1033</v>
      </c>
      <c r="J4926" t="s">
        <v>18983</v>
      </c>
    </row>
    <row r="4927" spans="6:10">
      <c r="F4927" t="s">
        <v>18984</v>
      </c>
      <c r="G4927">
        <v>4924</v>
      </c>
      <c r="H4927" t="s">
        <v>5724</v>
      </c>
      <c r="I4927" t="s">
        <v>5724</v>
      </c>
      <c r="J4927" t="s">
        <v>18985</v>
      </c>
    </row>
    <row r="4928" spans="6:10">
      <c r="F4928" t="s">
        <v>18986</v>
      </c>
      <c r="G4928">
        <v>4547990557</v>
      </c>
      <c r="H4928" t="s">
        <v>2328</v>
      </c>
      <c r="I4928" t="s">
        <v>2329</v>
      </c>
      <c r="J4928" t="s">
        <v>18987</v>
      </c>
    </row>
    <row r="4929" spans="6:10">
      <c r="F4929" t="s">
        <v>18988</v>
      </c>
      <c r="G4929">
        <v>29568550852</v>
      </c>
      <c r="H4929" t="s">
        <v>5159</v>
      </c>
      <c r="I4929" t="s">
        <v>5159</v>
      </c>
      <c r="J4929" t="s">
        <v>18989</v>
      </c>
    </row>
    <row r="4930" spans="6:10">
      <c r="F4930" t="s">
        <v>18990</v>
      </c>
      <c r="G4930">
        <v>4927</v>
      </c>
      <c r="H4930" t="s">
        <v>18991</v>
      </c>
      <c r="I4930" t="s">
        <v>18992</v>
      </c>
      <c r="J4930" t="s">
        <v>18993</v>
      </c>
    </row>
    <row r="4931" spans="6:10">
      <c r="F4931" t="s">
        <v>18994</v>
      </c>
      <c r="G4931">
        <v>49377978831</v>
      </c>
      <c r="H4931" t="s">
        <v>4203</v>
      </c>
      <c r="I4931" t="s">
        <v>4203</v>
      </c>
      <c r="J4931" t="s">
        <v>18995</v>
      </c>
    </row>
    <row r="4932" spans="6:10">
      <c r="F4932" t="s">
        <v>18996</v>
      </c>
      <c r="G4932">
        <v>4929</v>
      </c>
      <c r="H4932" t="s">
        <v>18997</v>
      </c>
      <c r="I4932" t="s">
        <v>18998</v>
      </c>
      <c r="J4932" t="s">
        <v>18999</v>
      </c>
    </row>
    <row r="4933" spans="6:10">
      <c r="F4933" t="s">
        <v>19000</v>
      </c>
      <c r="G4933">
        <v>4930</v>
      </c>
      <c r="H4933" t="s">
        <v>19001</v>
      </c>
      <c r="I4933" t="s">
        <v>19002</v>
      </c>
      <c r="J4933" t="s">
        <v>19003</v>
      </c>
    </row>
    <row r="4934" spans="6:10">
      <c r="F4934" t="s">
        <v>19004</v>
      </c>
      <c r="G4934">
        <v>4931</v>
      </c>
      <c r="H4934" t="s">
        <v>19005</v>
      </c>
      <c r="I4934" t="s">
        <v>19006</v>
      </c>
      <c r="J4934" t="s">
        <v>19007</v>
      </c>
    </row>
    <row r="4935" spans="6:10">
      <c r="F4935" t="s">
        <v>19008</v>
      </c>
      <c r="G4935">
        <v>6037899606</v>
      </c>
      <c r="H4935" t="s">
        <v>1828</v>
      </c>
      <c r="I4935" t="s">
        <v>1829</v>
      </c>
      <c r="J4935" t="s">
        <v>19009</v>
      </c>
    </row>
    <row r="4936" spans="6:10">
      <c r="F4936" t="s">
        <v>19010</v>
      </c>
      <c r="G4936">
        <v>9648486603</v>
      </c>
      <c r="H4936" t="s">
        <v>2559</v>
      </c>
      <c r="I4936" t="s">
        <v>2560</v>
      </c>
      <c r="J4936" t="s">
        <v>19011</v>
      </c>
    </row>
    <row r="4937" spans="6:10">
      <c r="F4937" t="s">
        <v>19012</v>
      </c>
      <c r="G4937">
        <v>4934</v>
      </c>
      <c r="H4937" t="s">
        <v>19013</v>
      </c>
      <c r="I4937" t="s">
        <v>19014</v>
      </c>
      <c r="J4937" t="s">
        <v>19015</v>
      </c>
    </row>
    <row r="4938" spans="6:10">
      <c r="F4938" t="s">
        <v>19016</v>
      </c>
      <c r="G4938">
        <v>4935</v>
      </c>
      <c r="H4938" t="s">
        <v>19017</v>
      </c>
      <c r="I4938" t="s">
        <v>19018</v>
      </c>
      <c r="J4938" t="s">
        <v>19019</v>
      </c>
    </row>
    <row r="4939" spans="6:10">
      <c r="F4939" t="s">
        <v>19020</v>
      </c>
      <c r="G4939">
        <v>4936</v>
      </c>
      <c r="H4939" t="s">
        <v>19021</v>
      </c>
      <c r="I4939" t="s">
        <v>19022</v>
      </c>
      <c r="J4939" t="s">
        <v>19023</v>
      </c>
    </row>
    <row r="4940" spans="6:10">
      <c r="F4940" t="s">
        <v>19024</v>
      </c>
      <c r="G4940">
        <v>4937</v>
      </c>
      <c r="H4940" t="s">
        <v>19025</v>
      </c>
      <c r="I4940" t="s">
        <v>19026</v>
      </c>
      <c r="J4940" t="s">
        <v>19027</v>
      </c>
    </row>
    <row r="4941" spans="6:10">
      <c r="F4941" t="s">
        <v>19028</v>
      </c>
      <c r="G4941">
        <v>4938</v>
      </c>
      <c r="H4941" t="s">
        <v>19029</v>
      </c>
      <c r="I4941" t="s">
        <v>19030</v>
      </c>
      <c r="J4941" t="s">
        <v>19031</v>
      </c>
    </row>
    <row r="4942" spans="6:10">
      <c r="F4942" t="s">
        <v>19032</v>
      </c>
      <c r="G4942">
        <v>4939</v>
      </c>
      <c r="H4942" t="s">
        <v>4073</v>
      </c>
      <c r="I4942" t="s">
        <v>4074</v>
      </c>
      <c r="J4942" t="s">
        <v>19033</v>
      </c>
    </row>
    <row r="4943" spans="6:10">
      <c r="F4943" t="s">
        <v>19034</v>
      </c>
      <c r="G4943">
        <v>4940</v>
      </c>
      <c r="H4943" t="s">
        <v>1224</v>
      </c>
      <c r="I4943" t="s">
        <v>1225</v>
      </c>
      <c r="J4943" t="s">
        <v>19035</v>
      </c>
    </row>
    <row r="4944" spans="6:10">
      <c r="F4944" t="s">
        <v>19036</v>
      </c>
      <c r="G4944">
        <v>4941</v>
      </c>
      <c r="H4944" t="s">
        <v>19037</v>
      </c>
      <c r="I4944" t="s">
        <v>19038</v>
      </c>
      <c r="J4944" t="s">
        <v>19039</v>
      </c>
    </row>
    <row r="4945" spans="6:10">
      <c r="F4945" t="s">
        <v>19040</v>
      </c>
      <c r="G4945">
        <v>4942</v>
      </c>
      <c r="H4945" t="s">
        <v>811</v>
      </c>
      <c r="I4945" t="s">
        <v>812</v>
      </c>
      <c r="J4945" t="s">
        <v>19041</v>
      </c>
    </row>
    <row r="4946" spans="6:10">
      <c r="F4946" t="s">
        <v>19042</v>
      </c>
      <c r="G4946">
        <v>4943</v>
      </c>
      <c r="H4946" t="s">
        <v>19043</v>
      </c>
      <c r="I4946" t="s">
        <v>19044</v>
      </c>
      <c r="J4946" t="s">
        <v>19045</v>
      </c>
    </row>
    <row r="4947" spans="6:10">
      <c r="F4947" t="s">
        <v>19046</v>
      </c>
      <c r="G4947">
        <v>20880969733</v>
      </c>
      <c r="H4947" t="s">
        <v>699</v>
      </c>
      <c r="I4947" t="s">
        <v>699</v>
      </c>
      <c r="J4947" t="s">
        <v>19047</v>
      </c>
    </row>
    <row r="4948" spans="6:10">
      <c r="F4948" t="s">
        <v>19048</v>
      </c>
      <c r="G4948">
        <v>649055195</v>
      </c>
      <c r="H4948" t="s">
        <v>394</v>
      </c>
      <c r="I4948" t="s">
        <v>394</v>
      </c>
      <c r="J4948" t="s">
        <v>19049</v>
      </c>
    </row>
    <row r="4949" spans="6:10">
      <c r="F4949" t="s">
        <v>19050</v>
      </c>
      <c r="G4949">
        <v>32233959892</v>
      </c>
      <c r="H4949" t="s">
        <v>4022</v>
      </c>
      <c r="I4949" t="s">
        <v>4023</v>
      </c>
      <c r="J4949" t="s">
        <v>19051</v>
      </c>
    </row>
    <row r="4950" spans="6:10">
      <c r="F4950" t="s">
        <v>19052</v>
      </c>
      <c r="G4950">
        <v>68618689572</v>
      </c>
      <c r="H4950" t="s">
        <v>2101</v>
      </c>
      <c r="I4950" t="s">
        <v>2101</v>
      </c>
      <c r="J4950" t="s">
        <v>19053</v>
      </c>
    </row>
    <row r="4951" spans="6:10">
      <c r="F4951" t="s">
        <v>19054</v>
      </c>
      <c r="G4951">
        <v>4948</v>
      </c>
      <c r="H4951" t="s">
        <v>3313</v>
      </c>
      <c r="I4951" t="s">
        <v>3314</v>
      </c>
      <c r="J4951" t="s">
        <v>19055</v>
      </c>
    </row>
    <row r="4952" spans="6:10">
      <c r="F4952" t="s">
        <v>19056</v>
      </c>
      <c r="G4952">
        <v>9541379907</v>
      </c>
      <c r="H4952" t="s">
        <v>203</v>
      </c>
      <c r="I4952" t="s">
        <v>204</v>
      </c>
      <c r="J4952" t="s">
        <v>19057</v>
      </c>
    </row>
    <row r="4953" spans="6:10">
      <c r="F4953" t="s">
        <v>19058</v>
      </c>
      <c r="G4953">
        <v>5600636105</v>
      </c>
      <c r="H4953" t="s">
        <v>5058</v>
      </c>
      <c r="I4953" t="s">
        <v>5059</v>
      </c>
      <c r="J4953" t="s">
        <v>19059</v>
      </c>
    </row>
    <row r="4954" spans="6:10">
      <c r="F4954" t="s">
        <v>19060</v>
      </c>
      <c r="G4954">
        <v>4951</v>
      </c>
      <c r="H4954" t="s">
        <v>1636</v>
      </c>
      <c r="I4954" t="s">
        <v>1646</v>
      </c>
      <c r="J4954" t="s">
        <v>19061</v>
      </c>
    </row>
    <row r="4955" spans="6:10">
      <c r="F4955" t="s">
        <v>19062</v>
      </c>
      <c r="G4955">
        <v>4952</v>
      </c>
      <c r="H4955" t="s">
        <v>19063</v>
      </c>
      <c r="I4955" t="s">
        <v>19064</v>
      </c>
      <c r="J4955" t="s">
        <v>19065</v>
      </c>
    </row>
    <row r="4956" spans="6:10">
      <c r="F4956" t="s">
        <v>19066</v>
      </c>
      <c r="G4956">
        <v>31604014806</v>
      </c>
      <c r="H4956" t="s">
        <v>2000</v>
      </c>
      <c r="I4956" t="s">
        <v>2001</v>
      </c>
      <c r="J4956" t="s">
        <v>19067</v>
      </c>
    </row>
    <row r="4957" spans="6:10">
      <c r="F4957" t="s">
        <v>19068</v>
      </c>
      <c r="G4957">
        <v>12071663675</v>
      </c>
      <c r="H4957" t="s">
        <v>1036</v>
      </c>
      <c r="I4957" t="s">
        <v>1037</v>
      </c>
      <c r="J4957" t="s">
        <v>19069</v>
      </c>
    </row>
    <row r="4958" spans="6:10">
      <c r="F4958" t="s">
        <v>19070</v>
      </c>
      <c r="G4958">
        <v>4955</v>
      </c>
      <c r="H4958" t="s">
        <v>19071</v>
      </c>
      <c r="I4958" t="s">
        <v>18360</v>
      </c>
      <c r="J4958" t="s">
        <v>19072</v>
      </c>
    </row>
    <row r="4959" spans="6:10">
      <c r="F4959" t="s">
        <v>19073</v>
      </c>
      <c r="G4959">
        <v>4956</v>
      </c>
      <c r="H4959" t="s">
        <v>3854</v>
      </c>
      <c r="I4959" t="s">
        <v>3855</v>
      </c>
      <c r="J4959" t="s">
        <v>19074</v>
      </c>
    </row>
    <row r="4960" spans="6:10">
      <c r="F4960" t="s">
        <v>19075</v>
      </c>
      <c r="G4960">
        <v>9133051976</v>
      </c>
      <c r="H4960" t="s">
        <v>3361</v>
      </c>
      <c r="I4960" t="s">
        <v>3361</v>
      </c>
      <c r="J4960" t="s">
        <v>19076</v>
      </c>
    </row>
    <row r="4961" spans="6:10">
      <c r="F4961" t="s">
        <v>19077</v>
      </c>
      <c r="G4961">
        <v>4958</v>
      </c>
      <c r="H4961" t="s">
        <v>5735</v>
      </c>
      <c r="I4961" t="s">
        <v>5735</v>
      </c>
      <c r="J4961" t="s">
        <v>19078</v>
      </c>
    </row>
    <row r="4962" spans="6:10">
      <c r="F4962" t="s">
        <v>19079</v>
      </c>
      <c r="G4962">
        <v>47918330749</v>
      </c>
      <c r="H4962" t="s">
        <v>3</v>
      </c>
      <c r="I4962" t="s">
        <v>3</v>
      </c>
      <c r="J4962" t="s">
        <v>19080</v>
      </c>
    </row>
    <row r="4963" spans="6:10">
      <c r="F4963" t="s">
        <v>19081</v>
      </c>
      <c r="G4963">
        <v>4960</v>
      </c>
      <c r="H4963" t="s">
        <v>19082</v>
      </c>
      <c r="I4963" t="s">
        <v>19083</v>
      </c>
      <c r="J4963" t="s">
        <v>19084</v>
      </c>
    </row>
    <row r="4964" spans="6:10">
      <c r="F4964" t="s">
        <v>19085</v>
      </c>
      <c r="G4964">
        <v>3401264508</v>
      </c>
      <c r="H4964" t="s">
        <v>5912</v>
      </c>
      <c r="I4964" t="s">
        <v>5913</v>
      </c>
      <c r="J4964" t="s">
        <v>19086</v>
      </c>
    </row>
    <row r="4965" spans="6:10">
      <c r="F4965" t="s">
        <v>19087</v>
      </c>
      <c r="G4965">
        <v>15590633788</v>
      </c>
      <c r="H4965" t="s">
        <v>2081</v>
      </c>
      <c r="I4965" t="s">
        <v>2082</v>
      </c>
      <c r="J4965" t="s">
        <v>19088</v>
      </c>
    </row>
    <row r="4966" spans="6:10">
      <c r="F4966" t="s">
        <v>19089</v>
      </c>
      <c r="G4966">
        <v>12506452478</v>
      </c>
      <c r="H4966" t="s">
        <v>2489</v>
      </c>
      <c r="I4966" t="s">
        <v>2490</v>
      </c>
      <c r="J4966" t="s">
        <v>19090</v>
      </c>
    </row>
    <row r="4967" spans="6:10">
      <c r="F4967" t="s">
        <v>19091</v>
      </c>
      <c r="G4967">
        <v>8754325307</v>
      </c>
      <c r="H4967" t="s">
        <v>3965</v>
      </c>
      <c r="I4967" t="s">
        <v>3966</v>
      </c>
      <c r="J4967" t="s">
        <v>19092</v>
      </c>
    </row>
    <row r="4968" spans="6:10">
      <c r="F4968" t="s">
        <v>19093</v>
      </c>
      <c r="G4968">
        <v>93619774153</v>
      </c>
      <c r="H4968" t="s">
        <v>2324</v>
      </c>
      <c r="I4968" t="s">
        <v>2325</v>
      </c>
      <c r="J4968" t="s">
        <v>19094</v>
      </c>
    </row>
    <row r="4969" spans="6:10">
      <c r="F4969" t="s">
        <v>19095</v>
      </c>
      <c r="G4969">
        <v>15746631604</v>
      </c>
      <c r="H4969" t="s">
        <v>5078</v>
      </c>
      <c r="I4969" t="s">
        <v>5079</v>
      </c>
      <c r="J4969" t="s">
        <v>19096</v>
      </c>
    </row>
    <row r="4970" spans="6:10">
      <c r="F4970" t="s">
        <v>19097</v>
      </c>
      <c r="G4970">
        <v>4967</v>
      </c>
      <c r="H4970" t="s">
        <v>10895</v>
      </c>
      <c r="I4970" t="s">
        <v>19098</v>
      </c>
      <c r="J4970" t="s">
        <v>19099</v>
      </c>
    </row>
    <row r="4971" spans="6:10">
      <c r="F4971" t="s">
        <v>19100</v>
      </c>
      <c r="G4971">
        <v>4968</v>
      </c>
      <c r="H4971" t="s">
        <v>3315</v>
      </c>
      <c r="I4971" t="s">
        <v>3315</v>
      </c>
      <c r="J4971" t="s">
        <v>19101</v>
      </c>
    </row>
    <row r="4972" spans="6:10">
      <c r="F4972" t="s">
        <v>19102</v>
      </c>
      <c r="G4972">
        <v>4969</v>
      </c>
      <c r="H4972" t="s">
        <v>4077</v>
      </c>
      <c r="I4972" t="s">
        <v>4078</v>
      </c>
      <c r="J4972" t="s">
        <v>19103</v>
      </c>
    </row>
    <row r="4973" spans="6:10">
      <c r="F4973" t="s">
        <v>19104</v>
      </c>
      <c r="G4973">
        <v>4970</v>
      </c>
      <c r="H4973" t="s">
        <v>19105</v>
      </c>
      <c r="I4973" t="s">
        <v>19006</v>
      </c>
      <c r="J4973" t="s">
        <v>19106</v>
      </c>
    </row>
    <row r="4974" spans="6:10">
      <c r="F4974" t="s">
        <v>19107</v>
      </c>
      <c r="G4974">
        <v>4971</v>
      </c>
      <c r="H4974" t="s">
        <v>19108</v>
      </c>
      <c r="I4974" t="s">
        <v>19109</v>
      </c>
      <c r="J4974" t="s">
        <v>19110</v>
      </c>
    </row>
    <row r="4975" spans="6:10">
      <c r="F4975" t="s">
        <v>19111</v>
      </c>
      <c r="G4975">
        <v>96193441115</v>
      </c>
      <c r="H4975" t="s">
        <v>4240</v>
      </c>
      <c r="I4975" t="s">
        <v>4241</v>
      </c>
      <c r="J4975" t="s">
        <v>19112</v>
      </c>
    </row>
    <row r="4976" spans="6:10">
      <c r="F4976" t="s">
        <v>19113</v>
      </c>
      <c r="G4976">
        <v>4973</v>
      </c>
      <c r="H4976" t="s">
        <v>19114</v>
      </c>
      <c r="I4976" t="s">
        <v>19115</v>
      </c>
      <c r="J4976" t="s">
        <v>19116</v>
      </c>
    </row>
    <row r="4977" spans="6:10">
      <c r="F4977" t="s">
        <v>19117</v>
      </c>
      <c r="G4977">
        <v>4974</v>
      </c>
      <c r="H4977" t="s">
        <v>1379</v>
      </c>
      <c r="I4977" t="s">
        <v>1380</v>
      </c>
      <c r="J4977" t="s">
        <v>19118</v>
      </c>
    </row>
    <row r="4978" spans="6:10">
      <c r="F4978" t="s">
        <v>19119</v>
      </c>
      <c r="G4978">
        <v>6786012329</v>
      </c>
      <c r="H4978" t="s">
        <v>4031</v>
      </c>
      <c r="I4978" t="s">
        <v>4032</v>
      </c>
      <c r="J4978" t="s">
        <v>19120</v>
      </c>
    </row>
    <row r="4979" spans="6:10">
      <c r="F4979" t="s">
        <v>19121</v>
      </c>
      <c r="G4979">
        <v>3064747355</v>
      </c>
      <c r="H4979" t="s">
        <v>3833</v>
      </c>
      <c r="I4979" t="s">
        <v>3834</v>
      </c>
      <c r="J4979" t="s">
        <v>19122</v>
      </c>
    </row>
    <row r="4980" spans="6:10">
      <c r="F4980" t="s">
        <v>19123</v>
      </c>
      <c r="G4980">
        <v>6850551671</v>
      </c>
      <c r="H4980" t="s">
        <v>6060</v>
      </c>
      <c r="I4980" t="s">
        <v>6060</v>
      </c>
      <c r="J4980" t="s">
        <v>19124</v>
      </c>
    </row>
    <row r="4981" spans="6:10">
      <c r="F4981" t="s">
        <v>19125</v>
      </c>
      <c r="G4981">
        <v>982633319</v>
      </c>
      <c r="H4981" t="s">
        <v>4401</v>
      </c>
      <c r="I4981" t="s">
        <v>4401</v>
      </c>
      <c r="J4981" t="s">
        <v>19126</v>
      </c>
    </row>
    <row r="4982" spans="6:10">
      <c r="F4982" t="s">
        <v>19127</v>
      </c>
      <c r="G4982">
        <v>4979</v>
      </c>
      <c r="H4982" t="s">
        <v>19128</v>
      </c>
      <c r="I4982" t="s">
        <v>19129</v>
      </c>
      <c r="J4982" t="s">
        <v>19130</v>
      </c>
    </row>
    <row r="4983" spans="6:10">
      <c r="F4983" t="s">
        <v>19131</v>
      </c>
      <c r="G4983">
        <v>9143023614</v>
      </c>
      <c r="H4983" t="s">
        <v>1598</v>
      </c>
      <c r="I4983" t="s">
        <v>1598</v>
      </c>
      <c r="J4983" t="s">
        <v>19132</v>
      </c>
    </row>
    <row r="4984" spans="6:10">
      <c r="F4984" t="s">
        <v>19133</v>
      </c>
      <c r="G4984">
        <v>29760550172</v>
      </c>
      <c r="H4984" t="s">
        <v>6161</v>
      </c>
      <c r="I4984" t="s">
        <v>6162</v>
      </c>
      <c r="J4984" t="s">
        <v>19134</v>
      </c>
    </row>
    <row r="4985" spans="6:10">
      <c r="F4985" t="s">
        <v>19135</v>
      </c>
      <c r="G4985">
        <v>4982</v>
      </c>
      <c r="H4985" t="s">
        <v>19136</v>
      </c>
      <c r="I4985" t="s">
        <v>19137</v>
      </c>
      <c r="J4985" t="s">
        <v>19138</v>
      </c>
    </row>
    <row r="4986" spans="6:10">
      <c r="F4986" t="s">
        <v>19139</v>
      </c>
      <c r="G4986">
        <v>6189500870</v>
      </c>
      <c r="H4986" t="s">
        <v>1042</v>
      </c>
      <c r="I4986" t="s">
        <v>1042</v>
      </c>
      <c r="J4986" t="s">
        <v>19140</v>
      </c>
    </row>
    <row r="4987" spans="6:10">
      <c r="F4987" t="s">
        <v>19141</v>
      </c>
      <c r="G4987">
        <v>4984</v>
      </c>
      <c r="H4987" t="s">
        <v>19142</v>
      </c>
      <c r="I4987" t="s">
        <v>19143</v>
      </c>
      <c r="J4987" t="s">
        <v>19144</v>
      </c>
    </row>
    <row r="4988" spans="6:10">
      <c r="F4988" t="s">
        <v>19145</v>
      </c>
      <c r="G4988">
        <v>39167834833</v>
      </c>
      <c r="H4988" t="s">
        <v>3354</v>
      </c>
      <c r="I4988" t="s">
        <v>3355</v>
      </c>
      <c r="J4988" t="s">
        <v>19146</v>
      </c>
    </row>
    <row r="4989" spans="6:10">
      <c r="F4989" t="s">
        <v>19147</v>
      </c>
      <c r="G4989">
        <v>4986</v>
      </c>
      <c r="H4989" t="s">
        <v>19148</v>
      </c>
      <c r="I4989" t="s">
        <v>19149</v>
      </c>
      <c r="J4989" t="s">
        <v>19150</v>
      </c>
    </row>
    <row r="4990" spans="6:10">
      <c r="F4990" t="s">
        <v>19151</v>
      </c>
      <c r="G4990">
        <v>4987</v>
      </c>
      <c r="H4990" t="s">
        <v>2256</v>
      </c>
      <c r="I4990" t="s">
        <v>2256</v>
      </c>
      <c r="J4990" t="s">
        <v>19152</v>
      </c>
    </row>
    <row r="4991" spans="6:10">
      <c r="F4991" t="s">
        <v>19153</v>
      </c>
      <c r="G4991">
        <v>4988</v>
      </c>
      <c r="H4991" t="s">
        <v>19154</v>
      </c>
      <c r="I4991" t="s">
        <v>19154</v>
      </c>
      <c r="J4991" t="s">
        <v>19155</v>
      </c>
    </row>
    <row r="4992" spans="6:10">
      <c r="F4992" t="s">
        <v>19156</v>
      </c>
      <c r="G4992">
        <v>4989</v>
      </c>
      <c r="H4992" t="s">
        <v>19157</v>
      </c>
      <c r="I4992" t="s">
        <v>19158</v>
      </c>
      <c r="J4992" t="s">
        <v>19159</v>
      </c>
    </row>
    <row r="4993" spans="6:10">
      <c r="F4993" t="s">
        <v>19160</v>
      </c>
      <c r="G4993">
        <v>6701818625</v>
      </c>
      <c r="H4993" t="s">
        <v>2349</v>
      </c>
      <c r="I4993" t="s">
        <v>2350</v>
      </c>
      <c r="J4993" t="s">
        <v>19161</v>
      </c>
    </row>
    <row r="4994" spans="6:10">
      <c r="F4994" t="s">
        <v>19162</v>
      </c>
      <c r="G4994">
        <v>13104568790</v>
      </c>
      <c r="H4994" t="s">
        <v>2482</v>
      </c>
      <c r="I4994" t="s">
        <v>2482</v>
      </c>
      <c r="J4994" t="s">
        <v>19163</v>
      </c>
    </row>
    <row r="4995" spans="6:10">
      <c r="F4995" t="s">
        <v>19164</v>
      </c>
      <c r="G4995">
        <v>86095382572</v>
      </c>
      <c r="H4995" t="s">
        <v>373</v>
      </c>
      <c r="I4995" t="s">
        <v>373</v>
      </c>
      <c r="J4995" t="s">
        <v>19165</v>
      </c>
    </row>
    <row r="4996" spans="6:10">
      <c r="F4996" t="s">
        <v>19166</v>
      </c>
      <c r="G4996">
        <v>65205448091</v>
      </c>
      <c r="H4996" t="s">
        <v>1249</v>
      </c>
      <c r="I4996" t="s">
        <v>1250</v>
      </c>
      <c r="J4996" t="s">
        <v>19167</v>
      </c>
    </row>
    <row r="4997" spans="6:10">
      <c r="F4997" t="s">
        <v>19168</v>
      </c>
      <c r="G4997">
        <v>4994</v>
      </c>
      <c r="H4997" t="s">
        <v>19169</v>
      </c>
      <c r="I4997" t="s">
        <v>19169</v>
      </c>
      <c r="J4997" t="s">
        <v>19170</v>
      </c>
    </row>
    <row r="4998" spans="6:10">
      <c r="F4998" t="s">
        <v>19171</v>
      </c>
      <c r="G4998">
        <v>4995</v>
      </c>
      <c r="H4998" t="s">
        <v>1079</v>
      </c>
      <c r="I4998" t="s">
        <v>1079</v>
      </c>
      <c r="J4998" t="s">
        <v>19172</v>
      </c>
    </row>
    <row r="4999" spans="6:10">
      <c r="F4999" t="s">
        <v>19173</v>
      </c>
      <c r="G4999">
        <v>51552574768</v>
      </c>
      <c r="H4999" t="s">
        <v>1216</v>
      </c>
      <c r="I4999" t="s">
        <v>1216</v>
      </c>
      <c r="J4999" t="s">
        <v>19174</v>
      </c>
    </row>
    <row r="5000" spans="6:10">
      <c r="F5000" t="s">
        <v>19175</v>
      </c>
      <c r="G5000">
        <v>10484807471</v>
      </c>
      <c r="H5000" t="s">
        <v>883</v>
      </c>
      <c r="I5000" t="s">
        <v>883</v>
      </c>
      <c r="J5000" t="s">
        <v>19176</v>
      </c>
    </row>
    <row r="5001" spans="6:10">
      <c r="F5001" t="s">
        <v>19177</v>
      </c>
      <c r="G5001">
        <v>26657081839</v>
      </c>
      <c r="H5001" t="s">
        <v>4591</v>
      </c>
      <c r="I5001" t="s">
        <v>4592</v>
      </c>
      <c r="J5001" t="s">
        <v>19178</v>
      </c>
    </row>
    <row r="5002" spans="6:10">
      <c r="F5002" t="s">
        <v>19179</v>
      </c>
      <c r="G5002">
        <v>3055881419</v>
      </c>
      <c r="H5002" t="s">
        <v>345</v>
      </c>
      <c r="I5002" t="s">
        <v>346</v>
      </c>
      <c r="J5002" t="s">
        <v>19180</v>
      </c>
    </row>
    <row r="5003" spans="6:10">
      <c r="F5003" t="s">
        <v>19181</v>
      </c>
      <c r="G5003">
        <v>5000</v>
      </c>
      <c r="H5003" t="s">
        <v>3443</v>
      </c>
      <c r="I5003" t="s">
        <v>3443</v>
      </c>
      <c r="J5003" t="s">
        <v>19182</v>
      </c>
    </row>
    <row r="5004" spans="6:10">
      <c r="F5004" t="s">
        <v>19183</v>
      </c>
      <c r="G5004">
        <v>5001</v>
      </c>
      <c r="H5004" t="s">
        <v>8232</v>
      </c>
      <c r="I5004" t="s">
        <v>8233</v>
      </c>
      <c r="J5004" t="s">
        <v>19184</v>
      </c>
    </row>
    <row r="5005" spans="6:10">
      <c r="F5005" t="s">
        <v>19185</v>
      </c>
      <c r="G5005">
        <v>5581286701</v>
      </c>
      <c r="H5005" t="s">
        <v>3070</v>
      </c>
      <c r="I5005" t="s">
        <v>3070</v>
      </c>
      <c r="J5005" t="s">
        <v>19186</v>
      </c>
    </row>
    <row r="5006" spans="6:10">
      <c r="F5006" t="s">
        <v>19187</v>
      </c>
      <c r="G5006">
        <v>5003</v>
      </c>
      <c r="H5006" t="s">
        <v>19188</v>
      </c>
      <c r="I5006" t="s">
        <v>19189</v>
      </c>
      <c r="J5006" t="s">
        <v>19190</v>
      </c>
    </row>
    <row r="5007" spans="6:10">
      <c r="F5007" t="s">
        <v>19191</v>
      </c>
      <c r="G5007">
        <v>5004</v>
      </c>
      <c r="H5007" t="s">
        <v>1264</v>
      </c>
      <c r="I5007" t="s">
        <v>1265</v>
      </c>
      <c r="J5007" t="s">
        <v>19192</v>
      </c>
    </row>
    <row r="5008" spans="6:10">
      <c r="F5008" t="s">
        <v>19193</v>
      </c>
      <c r="G5008">
        <v>11669317730</v>
      </c>
      <c r="H5008" t="s">
        <v>3092</v>
      </c>
      <c r="I5008" t="s">
        <v>3092</v>
      </c>
      <c r="J5008" t="s">
        <v>19194</v>
      </c>
    </row>
    <row r="5009" spans="6:10">
      <c r="F5009" t="s">
        <v>19195</v>
      </c>
      <c r="G5009">
        <v>11312634995</v>
      </c>
      <c r="H5009" t="s">
        <v>4219</v>
      </c>
      <c r="I5009" t="s">
        <v>4219</v>
      </c>
      <c r="J5009" t="s">
        <v>19196</v>
      </c>
    </row>
    <row r="5010" spans="6:10">
      <c r="F5010" t="s">
        <v>19197</v>
      </c>
      <c r="G5010">
        <v>11302781669</v>
      </c>
      <c r="H5010" t="s">
        <v>3657</v>
      </c>
      <c r="I5010" t="s">
        <v>3657</v>
      </c>
      <c r="J5010" t="s">
        <v>19198</v>
      </c>
    </row>
    <row r="5011" spans="6:10">
      <c r="F5011" t="s">
        <v>19199</v>
      </c>
      <c r="G5011">
        <v>5008</v>
      </c>
      <c r="H5011" t="s">
        <v>19200</v>
      </c>
      <c r="I5011" t="s">
        <v>19201</v>
      </c>
      <c r="J5011" t="s">
        <v>19202</v>
      </c>
    </row>
    <row r="5012" spans="6:10">
      <c r="F5012" t="s">
        <v>19203</v>
      </c>
      <c r="G5012">
        <v>5009</v>
      </c>
      <c r="H5012" t="s">
        <v>19204</v>
      </c>
      <c r="I5012" t="s">
        <v>19205</v>
      </c>
      <c r="J5012" t="s">
        <v>19206</v>
      </c>
    </row>
    <row r="5013" spans="6:10">
      <c r="F5013" t="s">
        <v>19207</v>
      </c>
      <c r="G5013">
        <v>5010</v>
      </c>
      <c r="H5013" t="s">
        <v>19208</v>
      </c>
      <c r="I5013" t="s">
        <v>19209</v>
      </c>
      <c r="J5013" t="s">
        <v>19210</v>
      </c>
    </row>
    <row r="5014" spans="6:10">
      <c r="F5014" t="s">
        <v>19211</v>
      </c>
      <c r="G5014">
        <v>5011</v>
      </c>
      <c r="H5014" t="s">
        <v>291</v>
      </c>
      <c r="I5014" t="s">
        <v>292</v>
      </c>
      <c r="J5014" t="s">
        <v>19212</v>
      </c>
    </row>
    <row r="5015" spans="6:10">
      <c r="F5015" t="s">
        <v>19213</v>
      </c>
      <c r="G5015">
        <v>5012</v>
      </c>
      <c r="H5015" t="s">
        <v>19214</v>
      </c>
      <c r="I5015" t="s">
        <v>19215</v>
      </c>
      <c r="J5015" t="s">
        <v>19216</v>
      </c>
    </row>
    <row r="5016" spans="6:10">
      <c r="F5016" t="s">
        <v>19217</v>
      </c>
      <c r="G5016">
        <v>5013</v>
      </c>
      <c r="H5016" t="s">
        <v>19218</v>
      </c>
      <c r="I5016" t="s">
        <v>19219</v>
      </c>
      <c r="J5016" t="s">
        <v>19220</v>
      </c>
    </row>
    <row r="5017" spans="6:10">
      <c r="F5017" t="s">
        <v>19221</v>
      </c>
      <c r="G5017">
        <v>5014</v>
      </c>
      <c r="H5017" t="s">
        <v>180</v>
      </c>
      <c r="I5017" t="s">
        <v>180</v>
      </c>
      <c r="J5017" t="s">
        <v>19222</v>
      </c>
    </row>
    <row r="5018" spans="6:10">
      <c r="F5018" t="s">
        <v>19223</v>
      </c>
      <c r="G5018">
        <v>5015</v>
      </c>
      <c r="H5018" t="s">
        <v>19224</v>
      </c>
      <c r="I5018" t="s">
        <v>19225</v>
      </c>
      <c r="J5018" t="s">
        <v>19226</v>
      </c>
    </row>
    <row r="5019" spans="6:10">
      <c r="F5019" t="s">
        <v>19227</v>
      </c>
      <c r="G5019">
        <v>34540841807</v>
      </c>
      <c r="H5019" t="s">
        <v>2372</v>
      </c>
      <c r="I5019" t="s">
        <v>2373</v>
      </c>
      <c r="J5019" t="s">
        <v>19228</v>
      </c>
    </row>
    <row r="5020" spans="6:10">
      <c r="F5020" t="s">
        <v>19229</v>
      </c>
      <c r="G5020">
        <v>5017</v>
      </c>
      <c r="H5020" t="s">
        <v>19230</v>
      </c>
      <c r="I5020" t="s">
        <v>19231</v>
      </c>
      <c r="J5020" t="s">
        <v>19232</v>
      </c>
    </row>
    <row r="5021" spans="6:10">
      <c r="F5021" t="s">
        <v>19233</v>
      </c>
      <c r="G5021">
        <v>5018</v>
      </c>
      <c r="H5021" t="s">
        <v>19234</v>
      </c>
      <c r="I5021" t="s">
        <v>19235</v>
      </c>
      <c r="J5021" t="s">
        <v>19236</v>
      </c>
    </row>
    <row r="5022" spans="6:10">
      <c r="F5022" t="s">
        <v>19237</v>
      </c>
      <c r="G5022">
        <v>5019</v>
      </c>
      <c r="H5022" t="s">
        <v>3688</v>
      </c>
      <c r="I5022" t="s">
        <v>3689</v>
      </c>
      <c r="J5022" t="s">
        <v>19238</v>
      </c>
    </row>
    <row r="5023" spans="6:10">
      <c r="F5023" t="s">
        <v>19239</v>
      </c>
      <c r="G5023">
        <v>72196939153</v>
      </c>
      <c r="H5023" t="s">
        <v>695</v>
      </c>
      <c r="I5023" t="s">
        <v>695</v>
      </c>
      <c r="J5023" t="s">
        <v>19240</v>
      </c>
    </row>
    <row r="5024" spans="6:10">
      <c r="F5024" t="s">
        <v>19241</v>
      </c>
      <c r="G5024">
        <v>1543710689</v>
      </c>
      <c r="H5024" t="s">
        <v>5986</v>
      </c>
      <c r="I5024" t="s">
        <v>5987</v>
      </c>
      <c r="J5024" t="s">
        <v>19242</v>
      </c>
    </row>
    <row r="5025" spans="6:10">
      <c r="F5025" t="s">
        <v>19243</v>
      </c>
      <c r="G5025">
        <v>15131820804</v>
      </c>
      <c r="H5025" t="s">
        <v>1254</v>
      </c>
      <c r="I5025" t="s">
        <v>1254</v>
      </c>
      <c r="J5025" t="s">
        <v>19244</v>
      </c>
    </row>
    <row r="5026" spans="6:10">
      <c r="F5026" t="s">
        <v>19245</v>
      </c>
      <c r="G5026">
        <v>5744364137</v>
      </c>
      <c r="H5026" t="s">
        <v>2137</v>
      </c>
      <c r="I5026" t="s">
        <v>2137</v>
      </c>
      <c r="J5026" t="s">
        <v>19246</v>
      </c>
    </row>
    <row r="5027" spans="6:10">
      <c r="F5027" t="s">
        <v>19247</v>
      </c>
      <c r="G5027">
        <v>155891103</v>
      </c>
      <c r="H5027" t="s">
        <v>3236</v>
      </c>
      <c r="I5027" t="s">
        <v>3237</v>
      </c>
      <c r="J5027" t="s">
        <v>19248</v>
      </c>
    </row>
    <row r="5028" spans="6:10">
      <c r="F5028" t="s">
        <v>19249</v>
      </c>
      <c r="G5028">
        <v>5025</v>
      </c>
      <c r="H5028" t="s">
        <v>19250</v>
      </c>
      <c r="I5028" t="s">
        <v>19251</v>
      </c>
      <c r="J5028" t="s">
        <v>19252</v>
      </c>
    </row>
    <row r="5029" spans="6:10">
      <c r="F5029" t="s">
        <v>19253</v>
      </c>
      <c r="G5029">
        <v>13570672670</v>
      </c>
      <c r="H5029" t="s">
        <v>2435</v>
      </c>
      <c r="I5029" t="s">
        <v>2436</v>
      </c>
      <c r="J5029" t="s">
        <v>19254</v>
      </c>
    </row>
    <row r="5030" spans="6:10">
      <c r="F5030" t="s">
        <v>19255</v>
      </c>
      <c r="G5030">
        <v>8272961776</v>
      </c>
      <c r="H5030" t="s">
        <v>3239</v>
      </c>
      <c r="I5030" t="s">
        <v>3239</v>
      </c>
      <c r="J5030" t="s">
        <v>19256</v>
      </c>
    </row>
    <row r="5031" spans="6:10">
      <c r="F5031" t="s">
        <v>19257</v>
      </c>
      <c r="G5031">
        <v>3725049572</v>
      </c>
      <c r="H5031" t="s">
        <v>1615</v>
      </c>
      <c r="I5031" t="s">
        <v>1615</v>
      </c>
      <c r="J5031" t="s">
        <v>19258</v>
      </c>
    </row>
    <row r="5032" spans="6:10">
      <c r="F5032" t="s">
        <v>19259</v>
      </c>
      <c r="G5032">
        <v>7369376680</v>
      </c>
      <c r="H5032" t="s">
        <v>902</v>
      </c>
      <c r="I5032" t="s">
        <v>903</v>
      </c>
      <c r="J5032" t="s">
        <v>19260</v>
      </c>
    </row>
    <row r="5033" spans="6:10">
      <c r="F5033" t="s">
        <v>19261</v>
      </c>
      <c r="G5033">
        <v>27986012153</v>
      </c>
      <c r="H5033" t="s">
        <v>4091</v>
      </c>
      <c r="I5033" t="s">
        <v>4091</v>
      </c>
      <c r="J5033" t="s">
        <v>19262</v>
      </c>
    </row>
    <row r="5034" spans="6:10">
      <c r="F5034" t="s">
        <v>19263</v>
      </c>
      <c r="G5034">
        <v>5031</v>
      </c>
      <c r="H5034" t="s">
        <v>22187</v>
      </c>
      <c r="I5034" t="s">
        <v>22188</v>
      </c>
      <c r="J5034" t="s">
        <v>19264</v>
      </c>
    </row>
    <row r="5035" spans="6:10">
      <c r="F5035" t="s">
        <v>19265</v>
      </c>
      <c r="G5035">
        <v>11759985759</v>
      </c>
      <c r="H5035" t="s">
        <v>6034</v>
      </c>
      <c r="I5035" t="s">
        <v>6034</v>
      </c>
      <c r="J5035" t="s">
        <v>19266</v>
      </c>
    </row>
    <row r="5036" spans="6:10">
      <c r="F5036" t="s">
        <v>19267</v>
      </c>
      <c r="G5036">
        <v>45788497833</v>
      </c>
      <c r="H5036" t="s">
        <v>4377</v>
      </c>
      <c r="I5036" t="s">
        <v>4378</v>
      </c>
      <c r="J5036" t="s">
        <v>19268</v>
      </c>
    </row>
    <row r="5037" spans="6:10">
      <c r="F5037" t="s">
        <v>19269</v>
      </c>
      <c r="G5037">
        <v>35016480818</v>
      </c>
      <c r="H5037" t="s">
        <v>3204</v>
      </c>
      <c r="I5037" t="s">
        <v>3205</v>
      </c>
      <c r="J5037" t="s">
        <v>19270</v>
      </c>
    </row>
    <row r="5038" spans="6:10">
      <c r="F5038" t="s">
        <v>19271</v>
      </c>
      <c r="G5038">
        <v>7125405983</v>
      </c>
      <c r="H5038" t="s">
        <v>5032</v>
      </c>
      <c r="I5038" t="s">
        <v>5033</v>
      </c>
      <c r="J5038" t="s">
        <v>19272</v>
      </c>
    </row>
    <row r="5039" spans="6:10">
      <c r="F5039" t="s">
        <v>19273</v>
      </c>
      <c r="G5039">
        <v>11151573701</v>
      </c>
      <c r="H5039" t="s">
        <v>3358</v>
      </c>
      <c r="I5039" t="s">
        <v>3358</v>
      </c>
      <c r="J5039" t="s">
        <v>19274</v>
      </c>
    </row>
    <row r="5040" spans="6:10">
      <c r="F5040" t="s">
        <v>19275</v>
      </c>
      <c r="G5040">
        <v>9881104408</v>
      </c>
      <c r="H5040" t="s">
        <v>3557</v>
      </c>
      <c r="I5040" t="s">
        <v>3557</v>
      </c>
      <c r="J5040" t="s">
        <v>19276</v>
      </c>
    </row>
    <row r="5041" spans="6:10">
      <c r="F5041" t="s">
        <v>19277</v>
      </c>
      <c r="G5041">
        <v>654307946</v>
      </c>
      <c r="H5041" t="s">
        <v>3285</v>
      </c>
      <c r="I5041" t="s">
        <v>3286</v>
      </c>
      <c r="J5041" t="s">
        <v>19278</v>
      </c>
    </row>
    <row r="5042" spans="6:10">
      <c r="F5042" t="s">
        <v>19279</v>
      </c>
      <c r="G5042">
        <v>10473340623</v>
      </c>
      <c r="H5042" t="s">
        <v>4379</v>
      </c>
      <c r="I5042" t="s">
        <v>4380</v>
      </c>
      <c r="J5042" t="s">
        <v>19280</v>
      </c>
    </row>
    <row r="5043" spans="6:10">
      <c r="F5043" t="s">
        <v>19281</v>
      </c>
      <c r="G5043">
        <v>5040</v>
      </c>
      <c r="H5043" t="s">
        <v>19282</v>
      </c>
      <c r="I5043" t="s">
        <v>19283</v>
      </c>
      <c r="J5043" t="s">
        <v>19284</v>
      </c>
    </row>
    <row r="5044" spans="6:10">
      <c r="F5044" t="s">
        <v>19285</v>
      </c>
      <c r="G5044">
        <v>5041</v>
      </c>
      <c r="H5044" t="s">
        <v>548</v>
      </c>
      <c r="I5044" t="s">
        <v>595</v>
      </c>
      <c r="J5044" t="s">
        <v>19286</v>
      </c>
    </row>
    <row r="5045" spans="6:10">
      <c r="F5045" t="s">
        <v>19287</v>
      </c>
      <c r="G5045">
        <v>5042</v>
      </c>
      <c r="H5045" t="s">
        <v>19288</v>
      </c>
      <c r="I5045" t="s">
        <v>19289</v>
      </c>
      <c r="J5045" t="s">
        <v>19290</v>
      </c>
    </row>
    <row r="5046" spans="6:10">
      <c r="F5046" t="s">
        <v>19291</v>
      </c>
      <c r="G5046">
        <v>5043</v>
      </c>
      <c r="H5046" t="s">
        <v>3294</v>
      </c>
      <c r="I5046" t="s">
        <v>3295</v>
      </c>
      <c r="J5046" t="s">
        <v>19292</v>
      </c>
    </row>
    <row r="5047" spans="6:10">
      <c r="F5047" t="s">
        <v>19293</v>
      </c>
      <c r="G5047">
        <v>34442705852</v>
      </c>
      <c r="H5047" t="s">
        <v>2495</v>
      </c>
      <c r="I5047" t="s">
        <v>2495</v>
      </c>
      <c r="J5047" t="s">
        <v>19294</v>
      </c>
    </row>
    <row r="5048" spans="6:10">
      <c r="F5048" t="s">
        <v>19295</v>
      </c>
      <c r="G5048">
        <v>2078807516</v>
      </c>
      <c r="H5048" t="s">
        <v>4389</v>
      </c>
      <c r="I5048" t="s">
        <v>4390</v>
      </c>
      <c r="J5048" t="s">
        <v>19296</v>
      </c>
    </row>
    <row r="5049" spans="6:10">
      <c r="F5049" t="s">
        <v>19297</v>
      </c>
      <c r="G5049">
        <v>3422647619</v>
      </c>
      <c r="H5049" t="s">
        <v>5684</v>
      </c>
      <c r="I5049" t="s">
        <v>5685</v>
      </c>
      <c r="J5049" t="s">
        <v>19298</v>
      </c>
    </row>
    <row r="5050" spans="6:10">
      <c r="F5050" t="s">
        <v>19299</v>
      </c>
      <c r="G5050">
        <v>5047</v>
      </c>
      <c r="H5050" t="s">
        <v>19300</v>
      </c>
      <c r="I5050" t="s">
        <v>19301</v>
      </c>
      <c r="J5050" t="s">
        <v>19302</v>
      </c>
    </row>
    <row r="5051" spans="6:10">
      <c r="F5051" t="s">
        <v>19303</v>
      </c>
      <c r="G5051">
        <v>26514592830</v>
      </c>
      <c r="H5051" t="s">
        <v>3925</v>
      </c>
      <c r="I5051" t="s">
        <v>3925</v>
      </c>
      <c r="J5051" t="s">
        <v>19304</v>
      </c>
    </row>
    <row r="5052" spans="6:10">
      <c r="F5052" t="s">
        <v>19305</v>
      </c>
      <c r="G5052">
        <v>297263102</v>
      </c>
      <c r="H5052" t="s">
        <v>5686</v>
      </c>
      <c r="I5052" t="s">
        <v>5686</v>
      </c>
      <c r="J5052" t="s">
        <v>19306</v>
      </c>
    </row>
    <row r="5053" spans="6:10">
      <c r="F5053" t="s">
        <v>19307</v>
      </c>
      <c r="G5053">
        <v>16350914708</v>
      </c>
      <c r="H5053" t="s">
        <v>1063</v>
      </c>
      <c r="I5053" t="s">
        <v>1063</v>
      </c>
      <c r="J5053" t="s">
        <v>19308</v>
      </c>
    </row>
    <row r="5054" spans="6:10">
      <c r="F5054" t="s">
        <v>19309</v>
      </c>
      <c r="G5054">
        <v>55006485272</v>
      </c>
      <c r="H5054" t="s">
        <v>3250</v>
      </c>
      <c r="I5054" t="s">
        <v>3250</v>
      </c>
      <c r="J5054" t="s">
        <v>19310</v>
      </c>
    </row>
    <row r="5055" spans="6:10">
      <c r="F5055" t="s">
        <v>19311</v>
      </c>
      <c r="G5055">
        <v>4831592986</v>
      </c>
      <c r="H5055" t="s">
        <v>6129</v>
      </c>
      <c r="I5055" t="s">
        <v>6130</v>
      </c>
      <c r="J5055" t="s">
        <v>19312</v>
      </c>
    </row>
    <row r="5056" spans="6:10">
      <c r="F5056" t="s">
        <v>19313</v>
      </c>
      <c r="G5056">
        <v>7483444541</v>
      </c>
      <c r="H5056" t="s">
        <v>2526</v>
      </c>
      <c r="I5056" t="s">
        <v>2527</v>
      </c>
      <c r="J5056" t="s">
        <v>19314</v>
      </c>
    </row>
    <row r="5057" spans="6:10">
      <c r="F5057" t="s">
        <v>19315</v>
      </c>
      <c r="G5057">
        <v>8004123708</v>
      </c>
      <c r="H5057" t="s">
        <v>3470</v>
      </c>
      <c r="I5057" t="s">
        <v>3471</v>
      </c>
      <c r="J5057" t="s">
        <v>19316</v>
      </c>
    </row>
    <row r="5058" spans="6:10">
      <c r="F5058" t="s">
        <v>19317</v>
      </c>
      <c r="G5058">
        <v>80282113720</v>
      </c>
      <c r="H5058" t="s">
        <v>5981</v>
      </c>
      <c r="I5058" t="s">
        <v>5981</v>
      </c>
      <c r="J5058" t="s">
        <v>19318</v>
      </c>
    </row>
    <row r="5059" spans="6:10">
      <c r="F5059" t="s">
        <v>19319</v>
      </c>
      <c r="G5059">
        <v>1285166310</v>
      </c>
      <c r="H5059" t="s">
        <v>3999</v>
      </c>
      <c r="I5059" t="s">
        <v>3999</v>
      </c>
      <c r="J5059" t="s">
        <v>19320</v>
      </c>
    </row>
    <row r="5060" spans="6:10">
      <c r="F5060" t="s">
        <v>19321</v>
      </c>
      <c r="G5060">
        <v>10775467421</v>
      </c>
      <c r="H5060" t="s">
        <v>2052</v>
      </c>
      <c r="I5060" t="s">
        <v>2052</v>
      </c>
      <c r="J5060" t="s">
        <v>19322</v>
      </c>
    </row>
    <row r="5061" spans="6:10">
      <c r="F5061" t="s">
        <v>19323</v>
      </c>
      <c r="G5061">
        <v>13268683657</v>
      </c>
      <c r="H5061" t="s">
        <v>3124</v>
      </c>
      <c r="I5061" t="s">
        <v>3125</v>
      </c>
      <c r="J5061" t="s">
        <v>19324</v>
      </c>
    </row>
    <row r="5062" spans="6:10">
      <c r="F5062" t="s">
        <v>19325</v>
      </c>
      <c r="G5062">
        <v>22891797876</v>
      </c>
      <c r="H5062" t="s">
        <v>2130</v>
      </c>
      <c r="I5062" t="s">
        <v>2131</v>
      </c>
      <c r="J5062" t="s">
        <v>19326</v>
      </c>
    </row>
    <row r="5063" spans="6:10">
      <c r="F5063" t="s">
        <v>19327</v>
      </c>
      <c r="G5063">
        <v>5060</v>
      </c>
      <c r="H5063" t="s">
        <v>4257</v>
      </c>
      <c r="I5063" t="s">
        <v>4257</v>
      </c>
      <c r="J5063" t="s">
        <v>19328</v>
      </c>
    </row>
    <row r="5064" spans="6:10">
      <c r="F5064" t="s">
        <v>19329</v>
      </c>
      <c r="G5064">
        <v>8757908443</v>
      </c>
      <c r="H5064" t="s">
        <v>3087</v>
      </c>
      <c r="I5064" t="s">
        <v>3088</v>
      </c>
      <c r="J5064" t="s">
        <v>19330</v>
      </c>
    </row>
    <row r="5065" spans="6:10">
      <c r="F5065" t="s">
        <v>19331</v>
      </c>
      <c r="G5065">
        <v>5062</v>
      </c>
      <c r="H5065" t="s">
        <v>1943</v>
      </c>
      <c r="I5065" t="s">
        <v>1943</v>
      </c>
      <c r="J5065" t="s">
        <v>19332</v>
      </c>
    </row>
    <row r="5066" spans="6:10">
      <c r="F5066" t="s">
        <v>19333</v>
      </c>
      <c r="G5066">
        <v>5063</v>
      </c>
      <c r="H5066" t="s">
        <v>187</v>
      </c>
      <c r="I5066" t="s">
        <v>187</v>
      </c>
      <c r="J5066" t="s">
        <v>19334</v>
      </c>
    </row>
    <row r="5067" spans="6:10">
      <c r="F5067" t="s">
        <v>19335</v>
      </c>
      <c r="G5067">
        <v>5064</v>
      </c>
      <c r="H5067" t="s">
        <v>63</v>
      </c>
      <c r="I5067" t="s">
        <v>63</v>
      </c>
      <c r="J5067" t="s">
        <v>19336</v>
      </c>
    </row>
    <row r="5068" spans="6:10">
      <c r="F5068" t="s">
        <v>19337</v>
      </c>
      <c r="G5068">
        <v>5065</v>
      </c>
      <c r="H5068" t="s">
        <v>12671</v>
      </c>
      <c r="I5068" t="s">
        <v>19338</v>
      </c>
      <c r="J5068" t="s">
        <v>19339</v>
      </c>
    </row>
    <row r="5069" spans="6:10">
      <c r="F5069" t="s">
        <v>19340</v>
      </c>
      <c r="G5069">
        <v>5066</v>
      </c>
      <c r="H5069" t="s">
        <v>4050</v>
      </c>
      <c r="I5069" t="s">
        <v>4051</v>
      </c>
      <c r="J5069" t="s">
        <v>19341</v>
      </c>
    </row>
    <row r="5070" spans="6:10">
      <c r="F5070" t="s">
        <v>19342</v>
      </c>
      <c r="G5070">
        <v>8093583440</v>
      </c>
      <c r="H5070" t="s">
        <v>297</v>
      </c>
      <c r="I5070" t="s">
        <v>297</v>
      </c>
      <c r="J5070" t="s">
        <v>19343</v>
      </c>
    </row>
    <row r="5071" spans="6:10">
      <c r="F5071" t="s">
        <v>19344</v>
      </c>
      <c r="G5071">
        <v>5068</v>
      </c>
      <c r="H5071" t="s">
        <v>19345</v>
      </c>
      <c r="I5071" t="s">
        <v>19346</v>
      </c>
      <c r="J5071" t="s">
        <v>19347</v>
      </c>
    </row>
    <row r="5072" spans="6:10">
      <c r="F5072" t="s">
        <v>19348</v>
      </c>
      <c r="G5072">
        <v>5069</v>
      </c>
      <c r="H5072" t="s">
        <v>1636</v>
      </c>
      <c r="I5072" t="s">
        <v>24461</v>
      </c>
      <c r="J5072" t="s">
        <v>19349</v>
      </c>
    </row>
    <row r="5073" spans="6:10">
      <c r="F5073" t="s">
        <v>19350</v>
      </c>
      <c r="G5073">
        <v>5070</v>
      </c>
      <c r="H5073" t="s">
        <v>3702</v>
      </c>
      <c r="I5073" t="s">
        <v>3703</v>
      </c>
      <c r="J5073" t="s">
        <v>19351</v>
      </c>
    </row>
    <row r="5074" spans="6:10">
      <c r="F5074" t="s">
        <v>19352</v>
      </c>
      <c r="G5074">
        <v>5071</v>
      </c>
      <c r="H5074" t="s">
        <v>198</v>
      </c>
      <c r="I5074" t="s">
        <v>198</v>
      </c>
      <c r="J5074" t="s">
        <v>19353</v>
      </c>
    </row>
    <row r="5075" spans="6:10">
      <c r="F5075" t="s">
        <v>19354</v>
      </c>
      <c r="G5075">
        <v>5072</v>
      </c>
      <c r="H5075" t="s">
        <v>5157</v>
      </c>
      <c r="I5075" t="s">
        <v>5158</v>
      </c>
      <c r="J5075" t="s">
        <v>19355</v>
      </c>
    </row>
    <row r="5076" spans="6:10">
      <c r="F5076" t="s">
        <v>19356</v>
      </c>
      <c r="G5076">
        <v>5073</v>
      </c>
      <c r="H5076" t="s">
        <v>4014</v>
      </c>
      <c r="I5076" t="s">
        <v>4015</v>
      </c>
      <c r="J5076" t="s">
        <v>19357</v>
      </c>
    </row>
    <row r="5077" spans="6:10">
      <c r="F5077" t="s">
        <v>19358</v>
      </c>
      <c r="G5077">
        <v>10548209707</v>
      </c>
      <c r="H5077" t="s">
        <v>4266</v>
      </c>
      <c r="I5077" t="s">
        <v>4267</v>
      </c>
      <c r="J5077" t="s">
        <v>19359</v>
      </c>
    </row>
    <row r="5078" spans="6:10">
      <c r="F5078" t="s">
        <v>19360</v>
      </c>
      <c r="G5078">
        <v>40929994884</v>
      </c>
      <c r="H5078" t="s">
        <v>4355</v>
      </c>
      <c r="I5078" t="s">
        <v>4355</v>
      </c>
      <c r="J5078" t="s">
        <v>19361</v>
      </c>
    </row>
    <row r="5079" spans="6:10">
      <c r="F5079" t="s">
        <v>19362</v>
      </c>
      <c r="G5079">
        <v>29891661814</v>
      </c>
      <c r="H5079" t="s">
        <v>3562</v>
      </c>
      <c r="I5079" t="s">
        <v>3562</v>
      </c>
      <c r="J5079" t="s">
        <v>19363</v>
      </c>
    </row>
    <row r="5080" spans="6:10">
      <c r="F5080" t="s">
        <v>19364</v>
      </c>
      <c r="G5080">
        <v>13210099847</v>
      </c>
      <c r="H5080" t="s">
        <v>1781</v>
      </c>
      <c r="I5080" t="s">
        <v>1781</v>
      </c>
      <c r="J5080" t="s">
        <v>19365</v>
      </c>
    </row>
    <row r="5081" spans="6:10">
      <c r="F5081" t="s">
        <v>19366</v>
      </c>
      <c r="G5081">
        <v>5078</v>
      </c>
      <c r="H5081" t="s">
        <v>881</v>
      </c>
      <c r="I5081" t="s">
        <v>881</v>
      </c>
      <c r="J5081" t="s">
        <v>19367</v>
      </c>
    </row>
    <row r="5082" spans="6:10">
      <c r="F5082" t="s">
        <v>19368</v>
      </c>
      <c r="G5082">
        <v>5079</v>
      </c>
      <c r="H5082" t="s">
        <v>2528</v>
      </c>
      <c r="I5082" t="s">
        <v>2528</v>
      </c>
      <c r="J5082" t="s">
        <v>19369</v>
      </c>
    </row>
    <row r="5083" spans="6:10">
      <c r="F5083" t="s">
        <v>19370</v>
      </c>
      <c r="G5083">
        <v>39833208487</v>
      </c>
      <c r="H5083" t="s">
        <v>5398</v>
      </c>
      <c r="I5083" t="s">
        <v>5398</v>
      </c>
      <c r="J5083" t="s">
        <v>19371</v>
      </c>
    </row>
    <row r="5084" spans="6:10">
      <c r="F5084" t="s">
        <v>19372</v>
      </c>
      <c r="G5084">
        <v>5081</v>
      </c>
      <c r="H5084" t="s">
        <v>1790</v>
      </c>
      <c r="I5084" t="s">
        <v>1790</v>
      </c>
      <c r="J5084" t="s">
        <v>19373</v>
      </c>
    </row>
    <row r="5085" spans="6:10">
      <c r="F5085" t="s">
        <v>19374</v>
      </c>
      <c r="G5085">
        <v>43733611691</v>
      </c>
      <c r="H5085" t="s">
        <v>5249</v>
      </c>
      <c r="I5085" t="s">
        <v>5249</v>
      </c>
      <c r="J5085" t="s">
        <v>19375</v>
      </c>
    </row>
    <row r="5086" spans="6:10">
      <c r="F5086" t="s">
        <v>19376</v>
      </c>
      <c r="G5086">
        <v>5083</v>
      </c>
      <c r="H5086" t="s">
        <v>4656</v>
      </c>
      <c r="I5086" t="s">
        <v>4657</v>
      </c>
      <c r="J5086" t="s">
        <v>19377</v>
      </c>
    </row>
    <row r="5087" spans="6:10">
      <c r="F5087" t="s">
        <v>19378</v>
      </c>
      <c r="G5087">
        <v>5084</v>
      </c>
      <c r="H5087" t="s">
        <v>1633</v>
      </c>
      <c r="I5087" t="s">
        <v>1635</v>
      </c>
      <c r="J5087" t="s">
        <v>19379</v>
      </c>
    </row>
    <row r="5088" spans="6:10">
      <c r="F5088" t="s">
        <v>19380</v>
      </c>
      <c r="G5088">
        <v>5085</v>
      </c>
      <c r="H5088" t="s">
        <v>3930</v>
      </c>
      <c r="I5088" t="s">
        <v>3931</v>
      </c>
      <c r="J5088" t="s">
        <v>19381</v>
      </c>
    </row>
    <row r="5089" spans="6:10">
      <c r="F5089" t="s">
        <v>19382</v>
      </c>
      <c r="G5089">
        <v>5086</v>
      </c>
      <c r="H5089" t="s">
        <v>19383</v>
      </c>
      <c r="I5089" t="s">
        <v>19383</v>
      </c>
      <c r="J5089" t="s">
        <v>19384</v>
      </c>
    </row>
    <row r="5090" spans="6:10">
      <c r="F5090" t="s">
        <v>19385</v>
      </c>
      <c r="G5090">
        <v>5087</v>
      </c>
      <c r="H5090" t="s">
        <v>1361</v>
      </c>
      <c r="I5090" t="s">
        <v>1362</v>
      </c>
      <c r="J5090" t="s">
        <v>19386</v>
      </c>
    </row>
    <row r="5091" spans="6:10">
      <c r="F5091" t="s">
        <v>19387</v>
      </c>
      <c r="G5091">
        <v>14981108605</v>
      </c>
      <c r="H5091" t="s">
        <v>5434</v>
      </c>
      <c r="I5091" t="s">
        <v>5435</v>
      </c>
      <c r="J5091" t="s">
        <v>19388</v>
      </c>
    </row>
    <row r="5092" spans="6:10">
      <c r="F5092" t="s">
        <v>19389</v>
      </c>
      <c r="G5092">
        <v>74609300320</v>
      </c>
      <c r="H5092" t="s">
        <v>168</v>
      </c>
      <c r="I5092" t="s">
        <v>169</v>
      </c>
      <c r="J5092" t="s">
        <v>19390</v>
      </c>
    </row>
    <row r="5093" spans="6:10">
      <c r="F5093" t="s">
        <v>19391</v>
      </c>
      <c r="G5093">
        <v>6193885609</v>
      </c>
      <c r="H5093" t="s">
        <v>1818</v>
      </c>
      <c r="I5093" t="s">
        <v>1819</v>
      </c>
      <c r="J5093" t="s">
        <v>19392</v>
      </c>
    </row>
    <row r="5094" spans="6:10">
      <c r="F5094" t="s">
        <v>19393</v>
      </c>
      <c r="G5094">
        <v>10012090441</v>
      </c>
      <c r="H5094" t="s">
        <v>386</v>
      </c>
      <c r="I5094" t="s">
        <v>386</v>
      </c>
      <c r="J5094" t="s">
        <v>19394</v>
      </c>
    </row>
    <row r="5095" spans="6:10">
      <c r="F5095" t="s">
        <v>19395</v>
      </c>
      <c r="G5095">
        <v>98688740178</v>
      </c>
      <c r="H5095" t="s">
        <v>2867</v>
      </c>
      <c r="I5095" t="s">
        <v>2868</v>
      </c>
      <c r="J5095" t="s">
        <v>19396</v>
      </c>
    </row>
    <row r="5096" spans="6:10">
      <c r="F5096" t="s">
        <v>19397</v>
      </c>
      <c r="G5096">
        <v>11312118717</v>
      </c>
      <c r="H5096" t="s">
        <v>3329</v>
      </c>
      <c r="I5096" t="s">
        <v>3330</v>
      </c>
      <c r="J5096" t="s">
        <v>19398</v>
      </c>
    </row>
    <row r="5097" spans="6:10">
      <c r="F5097" t="s">
        <v>19399</v>
      </c>
      <c r="G5097">
        <v>2555243585</v>
      </c>
      <c r="H5097" t="s">
        <v>1886</v>
      </c>
      <c r="I5097" t="s">
        <v>1886</v>
      </c>
      <c r="J5097" t="s">
        <v>19400</v>
      </c>
    </row>
    <row r="5098" spans="6:10">
      <c r="F5098" t="s">
        <v>19401</v>
      </c>
      <c r="G5098">
        <v>2633397182</v>
      </c>
      <c r="H5098" t="s">
        <v>93</v>
      </c>
      <c r="I5098" t="s">
        <v>94</v>
      </c>
      <c r="J5098" t="s">
        <v>19402</v>
      </c>
    </row>
    <row r="5099" spans="6:10">
      <c r="F5099" t="s">
        <v>19403</v>
      </c>
      <c r="G5099">
        <v>7981472709</v>
      </c>
      <c r="H5099" t="s">
        <v>3885</v>
      </c>
      <c r="I5099" t="s">
        <v>3885</v>
      </c>
      <c r="J5099" t="s">
        <v>19404</v>
      </c>
    </row>
    <row r="5100" spans="6:10">
      <c r="F5100" t="s">
        <v>19405</v>
      </c>
      <c r="G5100">
        <v>5097</v>
      </c>
      <c r="H5100" t="s">
        <v>12671</v>
      </c>
      <c r="I5100" t="s">
        <v>12672</v>
      </c>
      <c r="J5100" t="s">
        <v>19406</v>
      </c>
    </row>
    <row r="5101" spans="6:10">
      <c r="F5101" t="s">
        <v>19407</v>
      </c>
      <c r="G5101">
        <v>15922076779</v>
      </c>
      <c r="H5101" t="s">
        <v>340</v>
      </c>
      <c r="I5101" t="s">
        <v>341</v>
      </c>
      <c r="J5101" t="s">
        <v>19408</v>
      </c>
    </row>
    <row r="5102" spans="6:10">
      <c r="F5102" t="s">
        <v>19409</v>
      </c>
      <c r="G5102">
        <v>5666814710</v>
      </c>
      <c r="H5102" t="s">
        <v>1174</v>
      </c>
      <c r="I5102" t="s">
        <v>1174</v>
      </c>
      <c r="J5102" t="s">
        <v>19410</v>
      </c>
    </row>
    <row r="5103" spans="6:10">
      <c r="F5103" t="s">
        <v>19411</v>
      </c>
      <c r="G5103">
        <v>5100</v>
      </c>
      <c r="H5103" t="s">
        <v>1092</v>
      </c>
      <c r="I5103" t="s">
        <v>1092</v>
      </c>
      <c r="J5103" t="s">
        <v>19412</v>
      </c>
    </row>
    <row r="5104" spans="6:10">
      <c r="F5104" t="s">
        <v>19413</v>
      </c>
      <c r="G5104">
        <v>74292889015</v>
      </c>
      <c r="H5104" t="s">
        <v>5214</v>
      </c>
      <c r="I5104" t="s">
        <v>5215</v>
      </c>
      <c r="J5104" t="s">
        <v>19414</v>
      </c>
    </row>
    <row r="5105" spans="6:10">
      <c r="F5105" t="s">
        <v>19415</v>
      </c>
      <c r="G5105">
        <v>5102</v>
      </c>
      <c r="H5105" t="s">
        <v>1988</v>
      </c>
      <c r="I5105" t="s">
        <v>1988</v>
      </c>
      <c r="J5105" t="s">
        <v>19416</v>
      </c>
    </row>
    <row r="5106" spans="6:10">
      <c r="F5106" t="s">
        <v>19417</v>
      </c>
      <c r="G5106">
        <v>5103</v>
      </c>
      <c r="H5106" t="s">
        <v>2936</v>
      </c>
      <c r="I5106" t="s">
        <v>2936</v>
      </c>
      <c r="J5106" t="s">
        <v>19418</v>
      </c>
    </row>
    <row r="5107" spans="6:10">
      <c r="F5107" t="s">
        <v>19419</v>
      </c>
      <c r="G5107">
        <v>5104</v>
      </c>
      <c r="H5107" t="s">
        <v>5761</v>
      </c>
      <c r="I5107" t="s">
        <v>5762</v>
      </c>
      <c r="J5107" t="s">
        <v>19420</v>
      </c>
    </row>
    <row r="5108" spans="6:10">
      <c r="F5108" t="s">
        <v>19421</v>
      </c>
      <c r="G5108">
        <v>5105</v>
      </c>
      <c r="H5108" t="s">
        <v>3478</v>
      </c>
      <c r="I5108" t="s">
        <v>3479</v>
      </c>
      <c r="J5108" t="s">
        <v>19422</v>
      </c>
    </row>
    <row r="5109" spans="6:10">
      <c r="F5109" t="s">
        <v>19423</v>
      </c>
      <c r="G5109">
        <v>5106</v>
      </c>
      <c r="H5109" t="s">
        <v>876</v>
      </c>
      <c r="I5109" t="s">
        <v>876</v>
      </c>
      <c r="J5109" t="s">
        <v>19424</v>
      </c>
    </row>
    <row r="5110" spans="6:10">
      <c r="F5110" t="s">
        <v>19425</v>
      </c>
      <c r="G5110">
        <v>5107</v>
      </c>
      <c r="H5110" t="s">
        <v>633</v>
      </c>
      <c r="I5110" t="s">
        <v>633</v>
      </c>
      <c r="J5110" t="s">
        <v>19426</v>
      </c>
    </row>
    <row r="5111" spans="6:10">
      <c r="F5111" t="s">
        <v>19427</v>
      </c>
      <c r="G5111">
        <v>5108</v>
      </c>
      <c r="H5111" t="s">
        <v>3123</v>
      </c>
      <c r="I5111" t="s">
        <v>3123</v>
      </c>
      <c r="J5111" t="s">
        <v>19428</v>
      </c>
    </row>
    <row r="5112" spans="6:10">
      <c r="F5112" t="s">
        <v>19429</v>
      </c>
      <c r="G5112">
        <v>5109</v>
      </c>
      <c r="H5112" t="s">
        <v>3085</v>
      </c>
      <c r="I5112" t="s">
        <v>3085</v>
      </c>
      <c r="J5112" t="s">
        <v>19430</v>
      </c>
    </row>
    <row r="5113" spans="6:10">
      <c r="F5113" t="s">
        <v>19431</v>
      </c>
      <c r="G5113">
        <v>5110</v>
      </c>
      <c r="H5113" t="s">
        <v>2272</v>
      </c>
      <c r="I5113" t="s">
        <v>2272</v>
      </c>
      <c r="J5113" t="s">
        <v>19432</v>
      </c>
    </row>
    <row r="5114" spans="6:10">
      <c r="F5114" t="s">
        <v>19433</v>
      </c>
      <c r="G5114">
        <v>5111</v>
      </c>
      <c r="H5114" t="s">
        <v>6026</v>
      </c>
      <c r="I5114" t="s">
        <v>6026</v>
      </c>
      <c r="J5114" t="s">
        <v>19434</v>
      </c>
    </row>
    <row r="5115" spans="6:10">
      <c r="F5115" t="s">
        <v>19435</v>
      </c>
      <c r="G5115">
        <v>5112</v>
      </c>
      <c r="H5115" t="s">
        <v>417</v>
      </c>
      <c r="I5115" t="s">
        <v>417</v>
      </c>
      <c r="J5115" t="s">
        <v>19436</v>
      </c>
    </row>
    <row r="5116" spans="6:10">
      <c r="F5116" t="s">
        <v>19437</v>
      </c>
      <c r="G5116">
        <v>27989337819</v>
      </c>
      <c r="H5116" t="s">
        <v>3248</v>
      </c>
      <c r="I5116" t="s">
        <v>3249</v>
      </c>
      <c r="J5116" t="s">
        <v>19438</v>
      </c>
    </row>
    <row r="5117" spans="6:10">
      <c r="F5117" t="s">
        <v>19439</v>
      </c>
      <c r="G5117">
        <v>89871090706</v>
      </c>
      <c r="H5117" t="s">
        <v>358</v>
      </c>
      <c r="I5117" t="s">
        <v>359</v>
      </c>
      <c r="J5117" t="s">
        <v>19440</v>
      </c>
    </row>
    <row r="5118" spans="6:10">
      <c r="F5118" t="s">
        <v>19441</v>
      </c>
      <c r="G5118">
        <v>42390114857</v>
      </c>
      <c r="H5118" t="s">
        <v>1655</v>
      </c>
      <c r="I5118" t="s">
        <v>1656</v>
      </c>
      <c r="J5118" t="s">
        <v>19442</v>
      </c>
    </row>
    <row r="5119" spans="6:10">
      <c r="F5119" t="s">
        <v>19443</v>
      </c>
      <c r="G5119">
        <v>1289754071</v>
      </c>
      <c r="H5119" t="s">
        <v>3318</v>
      </c>
      <c r="I5119" t="s">
        <v>3318</v>
      </c>
      <c r="J5119" t="s">
        <v>19444</v>
      </c>
    </row>
    <row r="5120" spans="6:10">
      <c r="F5120" t="s">
        <v>19445</v>
      </c>
      <c r="G5120">
        <v>47582269896</v>
      </c>
      <c r="H5120" t="s">
        <v>3539</v>
      </c>
      <c r="I5120" t="s">
        <v>3540</v>
      </c>
      <c r="J5120" t="s">
        <v>19446</v>
      </c>
    </row>
    <row r="5121" spans="6:10">
      <c r="F5121" t="s">
        <v>19447</v>
      </c>
      <c r="G5121">
        <v>7780335976</v>
      </c>
      <c r="H5121" t="s">
        <v>4207</v>
      </c>
      <c r="I5121" t="s">
        <v>4207</v>
      </c>
      <c r="J5121" t="s">
        <v>19448</v>
      </c>
    </row>
    <row r="5122" spans="6:10">
      <c r="F5122" t="s">
        <v>19449</v>
      </c>
      <c r="G5122">
        <v>29939382820</v>
      </c>
      <c r="H5122" t="s">
        <v>2148</v>
      </c>
      <c r="I5122" t="s">
        <v>2148</v>
      </c>
      <c r="J5122" t="s">
        <v>19450</v>
      </c>
    </row>
    <row r="5123" spans="6:10">
      <c r="F5123" t="s">
        <v>19451</v>
      </c>
      <c r="G5123">
        <v>28419464791</v>
      </c>
      <c r="H5123" t="s">
        <v>809</v>
      </c>
      <c r="I5123" t="s">
        <v>810</v>
      </c>
      <c r="J5123" t="s">
        <v>19452</v>
      </c>
    </row>
    <row r="5124" spans="6:10">
      <c r="F5124" t="s">
        <v>19453</v>
      </c>
      <c r="G5124">
        <v>13370683814</v>
      </c>
      <c r="H5124" t="s">
        <v>5213</v>
      </c>
      <c r="I5124" t="s">
        <v>5213</v>
      </c>
      <c r="J5124" t="s">
        <v>19454</v>
      </c>
    </row>
    <row r="5125" spans="6:10">
      <c r="F5125" t="s">
        <v>19455</v>
      </c>
      <c r="G5125">
        <v>5122</v>
      </c>
      <c r="H5125" t="s">
        <v>4632</v>
      </c>
      <c r="I5125" t="s">
        <v>4634</v>
      </c>
      <c r="J5125" t="s">
        <v>19456</v>
      </c>
    </row>
    <row r="5126" spans="6:10">
      <c r="F5126" t="s">
        <v>19457</v>
      </c>
      <c r="G5126">
        <v>5123</v>
      </c>
      <c r="H5126" t="s">
        <v>4632</v>
      </c>
      <c r="I5126" t="s">
        <v>4635</v>
      </c>
      <c r="J5126" t="s">
        <v>19458</v>
      </c>
    </row>
    <row r="5127" spans="6:10">
      <c r="F5127" t="s">
        <v>19459</v>
      </c>
      <c r="G5127">
        <v>27833620823</v>
      </c>
      <c r="H5127" t="s">
        <v>974</v>
      </c>
      <c r="I5127" t="s">
        <v>975</v>
      </c>
      <c r="J5127" t="s">
        <v>19460</v>
      </c>
    </row>
    <row r="5128" spans="6:10">
      <c r="F5128" t="s">
        <v>19461</v>
      </c>
      <c r="G5128">
        <v>3359967950</v>
      </c>
      <c r="H5128" t="s">
        <v>1281</v>
      </c>
      <c r="I5128" t="s">
        <v>1282</v>
      </c>
      <c r="J5128" t="s">
        <v>19462</v>
      </c>
    </row>
    <row r="5129" spans="6:10">
      <c r="F5129" t="s">
        <v>19463</v>
      </c>
      <c r="G5129">
        <v>5126</v>
      </c>
      <c r="H5129" t="s">
        <v>2985</v>
      </c>
      <c r="I5129" t="s">
        <v>2985</v>
      </c>
      <c r="J5129" t="s">
        <v>19464</v>
      </c>
    </row>
    <row r="5130" spans="6:10">
      <c r="F5130" t="s">
        <v>19465</v>
      </c>
      <c r="G5130">
        <v>5127</v>
      </c>
      <c r="H5130" t="s">
        <v>3943</v>
      </c>
      <c r="I5130" t="s">
        <v>3943</v>
      </c>
      <c r="J5130" t="s">
        <v>19466</v>
      </c>
    </row>
    <row r="5131" spans="6:10">
      <c r="F5131" t="s">
        <v>19467</v>
      </c>
      <c r="G5131">
        <v>5128</v>
      </c>
      <c r="H5131" t="s">
        <v>3955</v>
      </c>
      <c r="I5131" t="s">
        <v>3956</v>
      </c>
      <c r="J5131" t="s">
        <v>19468</v>
      </c>
    </row>
    <row r="5132" spans="6:10">
      <c r="F5132" t="s">
        <v>19469</v>
      </c>
      <c r="G5132">
        <v>5129</v>
      </c>
      <c r="H5132" t="s">
        <v>5029</v>
      </c>
      <c r="I5132" t="s">
        <v>5030</v>
      </c>
      <c r="J5132" t="s">
        <v>19470</v>
      </c>
    </row>
    <row r="5133" spans="6:10">
      <c r="F5133" t="s">
        <v>19471</v>
      </c>
      <c r="G5133">
        <v>5130</v>
      </c>
      <c r="H5133" t="s">
        <v>19472</v>
      </c>
      <c r="I5133" t="s">
        <v>19473</v>
      </c>
      <c r="J5133" t="s">
        <v>19474</v>
      </c>
    </row>
    <row r="5134" spans="6:10">
      <c r="F5134" t="s">
        <v>19475</v>
      </c>
      <c r="G5134">
        <v>5131</v>
      </c>
      <c r="H5134" t="s">
        <v>19476</v>
      </c>
      <c r="I5134" t="s">
        <v>19477</v>
      </c>
      <c r="J5134" t="s">
        <v>19478</v>
      </c>
    </row>
    <row r="5135" spans="6:10">
      <c r="F5135" t="s">
        <v>19479</v>
      </c>
      <c r="G5135">
        <v>5132</v>
      </c>
      <c r="H5135" t="s">
        <v>1868</v>
      </c>
      <c r="I5135" t="s">
        <v>1869</v>
      </c>
      <c r="J5135" t="s">
        <v>19480</v>
      </c>
    </row>
    <row r="5136" spans="6:10">
      <c r="F5136" t="s">
        <v>19481</v>
      </c>
      <c r="G5136">
        <v>5133</v>
      </c>
      <c r="H5136" t="s">
        <v>3281</v>
      </c>
      <c r="I5136" t="s">
        <v>3281</v>
      </c>
      <c r="J5136" t="s">
        <v>19482</v>
      </c>
    </row>
    <row r="5137" spans="6:10">
      <c r="F5137" t="s">
        <v>19483</v>
      </c>
      <c r="G5137">
        <v>5134</v>
      </c>
      <c r="H5137" t="s">
        <v>3253</v>
      </c>
      <c r="I5137" t="s">
        <v>3253</v>
      </c>
      <c r="J5137" t="s">
        <v>19484</v>
      </c>
    </row>
    <row r="5138" spans="6:10">
      <c r="F5138" t="s">
        <v>19485</v>
      </c>
      <c r="G5138">
        <v>5135</v>
      </c>
      <c r="H5138" t="s">
        <v>5014</v>
      </c>
      <c r="I5138" t="s">
        <v>5014</v>
      </c>
      <c r="J5138" t="s">
        <v>19486</v>
      </c>
    </row>
    <row r="5139" spans="6:10">
      <c r="F5139" t="s">
        <v>19487</v>
      </c>
      <c r="G5139">
        <v>3699912655</v>
      </c>
      <c r="H5139" t="s">
        <v>4400</v>
      </c>
      <c r="I5139" t="s">
        <v>4400</v>
      </c>
      <c r="J5139" t="s">
        <v>19488</v>
      </c>
    </row>
    <row r="5140" spans="6:10">
      <c r="F5140" t="s">
        <v>19489</v>
      </c>
      <c r="G5140">
        <v>5137</v>
      </c>
      <c r="H5140" t="s">
        <v>19490</v>
      </c>
      <c r="I5140" t="s">
        <v>19491</v>
      </c>
      <c r="J5140" t="s">
        <v>19492</v>
      </c>
    </row>
    <row r="5141" spans="6:10">
      <c r="F5141" t="s">
        <v>19493</v>
      </c>
      <c r="G5141">
        <v>46526952844</v>
      </c>
      <c r="H5141" t="s">
        <v>1958</v>
      </c>
      <c r="I5141" t="s">
        <v>1958</v>
      </c>
      <c r="J5141" t="s">
        <v>19494</v>
      </c>
    </row>
    <row r="5142" spans="6:10">
      <c r="F5142" t="s">
        <v>19495</v>
      </c>
      <c r="G5142">
        <v>7436694448</v>
      </c>
      <c r="H5142" t="s">
        <v>3734</v>
      </c>
      <c r="I5142" t="s">
        <v>3734</v>
      </c>
      <c r="J5142" t="s">
        <v>19496</v>
      </c>
    </row>
    <row r="5143" spans="6:10">
      <c r="F5143" t="s">
        <v>19497</v>
      </c>
      <c r="G5143">
        <v>1258738830</v>
      </c>
      <c r="H5143" t="s">
        <v>140</v>
      </c>
      <c r="I5143" t="s">
        <v>140</v>
      </c>
      <c r="J5143" t="s">
        <v>19498</v>
      </c>
    </row>
    <row r="5144" spans="6:10">
      <c r="F5144" t="s">
        <v>19499</v>
      </c>
      <c r="G5144">
        <v>6799670443</v>
      </c>
      <c r="H5144" t="s">
        <v>5995</v>
      </c>
      <c r="I5144" t="s">
        <v>5995</v>
      </c>
      <c r="J5144" t="s">
        <v>19500</v>
      </c>
    </row>
    <row r="5145" spans="6:10">
      <c r="F5145" t="s">
        <v>19501</v>
      </c>
      <c r="G5145">
        <v>679078142</v>
      </c>
      <c r="H5145" t="s">
        <v>1569</v>
      </c>
      <c r="I5145" t="s">
        <v>1570</v>
      </c>
      <c r="J5145" t="s">
        <v>19502</v>
      </c>
    </row>
    <row r="5146" spans="6:10">
      <c r="F5146" t="s">
        <v>19503</v>
      </c>
      <c r="G5146">
        <v>44638205020</v>
      </c>
      <c r="H5146" t="s">
        <v>1725</v>
      </c>
      <c r="I5146" t="s">
        <v>1725</v>
      </c>
      <c r="J5146" t="s">
        <v>19504</v>
      </c>
    </row>
    <row r="5147" spans="6:10">
      <c r="F5147" t="s">
        <v>19505</v>
      </c>
      <c r="G5147">
        <v>9898553170</v>
      </c>
      <c r="H5147" t="s">
        <v>856</v>
      </c>
      <c r="I5147" t="s">
        <v>856</v>
      </c>
      <c r="J5147" t="s">
        <v>19506</v>
      </c>
    </row>
    <row r="5148" spans="6:10">
      <c r="F5148" t="s">
        <v>19507</v>
      </c>
      <c r="G5148">
        <v>5145</v>
      </c>
      <c r="H5148" t="s">
        <v>723</v>
      </c>
      <c r="I5148" t="s">
        <v>724</v>
      </c>
      <c r="J5148" t="s">
        <v>19508</v>
      </c>
    </row>
    <row r="5149" spans="6:10">
      <c r="F5149" t="s">
        <v>19509</v>
      </c>
      <c r="G5149">
        <v>5146</v>
      </c>
      <c r="H5149" t="s">
        <v>19510</v>
      </c>
      <c r="I5149" t="s">
        <v>19511</v>
      </c>
      <c r="J5149" t="s">
        <v>19512</v>
      </c>
    </row>
    <row r="5150" spans="6:10">
      <c r="F5150" t="s">
        <v>19513</v>
      </c>
      <c r="G5150">
        <v>3780539900</v>
      </c>
      <c r="H5150" t="s">
        <v>3206</v>
      </c>
      <c r="I5150" t="s">
        <v>3207</v>
      </c>
      <c r="J5150" t="s">
        <v>19514</v>
      </c>
    </row>
    <row r="5151" spans="6:10">
      <c r="F5151" t="s">
        <v>19515</v>
      </c>
      <c r="G5151">
        <v>12597801985</v>
      </c>
      <c r="H5151" t="s">
        <v>121</v>
      </c>
      <c r="I5151" t="s">
        <v>121</v>
      </c>
      <c r="J5151" t="s">
        <v>19516</v>
      </c>
    </row>
    <row r="5152" spans="6:10">
      <c r="F5152" t="s">
        <v>19517</v>
      </c>
      <c r="G5152">
        <v>5149</v>
      </c>
      <c r="H5152" t="s">
        <v>4264</v>
      </c>
      <c r="I5152" t="s">
        <v>4264</v>
      </c>
      <c r="J5152" t="s">
        <v>19518</v>
      </c>
    </row>
    <row r="5153" spans="6:10">
      <c r="F5153" t="s">
        <v>19519</v>
      </c>
      <c r="G5153">
        <v>5150</v>
      </c>
      <c r="H5153" t="s">
        <v>4098</v>
      </c>
      <c r="I5153" t="s">
        <v>4099</v>
      </c>
      <c r="J5153" t="s">
        <v>19520</v>
      </c>
    </row>
    <row r="5154" spans="6:10">
      <c r="F5154" t="s">
        <v>19521</v>
      </c>
      <c r="G5154">
        <v>5151</v>
      </c>
      <c r="H5154" t="s">
        <v>19522</v>
      </c>
      <c r="I5154" t="s">
        <v>19523</v>
      </c>
      <c r="J5154" t="s">
        <v>19524</v>
      </c>
    </row>
    <row r="5155" spans="6:10">
      <c r="F5155" t="s">
        <v>19525</v>
      </c>
      <c r="G5155">
        <v>5152</v>
      </c>
      <c r="H5155" t="s">
        <v>19526</v>
      </c>
      <c r="I5155" t="s">
        <v>19527</v>
      </c>
      <c r="J5155" t="s">
        <v>19528</v>
      </c>
    </row>
    <row r="5156" spans="6:10">
      <c r="F5156" t="s">
        <v>19529</v>
      </c>
      <c r="G5156">
        <v>5153</v>
      </c>
      <c r="H5156" t="s">
        <v>19530</v>
      </c>
      <c r="I5156" t="s">
        <v>19531</v>
      </c>
      <c r="J5156" t="s">
        <v>19532</v>
      </c>
    </row>
    <row r="5157" spans="6:10">
      <c r="F5157" t="s">
        <v>19533</v>
      </c>
      <c r="G5157">
        <v>5154</v>
      </c>
      <c r="H5157" t="s">
        <v>19534</v>
      </c>
      <c r="I5157" t="s">
        <v>19534</v>
      </c>
      <c r="J5157" t="s">
        <v>19535</v>
      </c>
    </row>
    <row r="5158" spans="6:10">
      <c r="F5158" t="s">
        <v>19536</v>
      </c>
      <c r="G5158">
        <v>5155</v>
      </c>
      <c r="H5158" t="s">
        <v>19537</v>
      </c>
      <c r="I5158" t="s">
        <v>19538</v>
      </c>
      <c r="J5158" t="s">
        <v>19539</v>
      </c>
    </row>
    <row r="5159" spans="6:10">
      <c r="F5159" t="s">
        <v>19540</v>
      </c>
      <c r="G5159">
        <v>5156</v>
      </c>
      <c r="H5159" t="s">
        <v>19541</v>
      </c>
      <c r="I5159" t="s">
        <v>19542</v>
      </c>
      <c r="J5159" t="s">
        <v>19543</v>
      </c>
    </row>
    <row r="5160" spans="6:10">
      <c r="F5160" t="s">
        <v>19544</v>
      </c>
      <c r="G5160">
        <v>13597276636</v>
      </c>
      <c r="H5160" t="s">
        <v>3544</v>
      </c>
      <c r="I5160" t="s">
        <v>3544</v>
      </c>
      <c r="J5160" t="s">
        <v>19545</v>
      </c>
    </row>
    <row r="5161" spans="6:10">
      <c r="F5161" t="s">
        <v>19546</v>
      </c>
      <c r="G5161">
        <v>1146325703</v>
      </c>
      <c r="H5161" t="s">
        <v>877</v>
      </c>
      <c r="I5161" t="s">
        <v>878</v>
      </c>
      <c r="J5161" t="s">
        <v>19547</v>
      </c>
    </row>
    <row r="5162" spans="6:10">
      <c r="F5162" t="s">
        <v>19548</v>
      </c>
      <c r="G5162">
        <v>70875715753</v>
      </c>
      <c r="H5162" t="s">
        <v>4007</v>
      </c>
      <c r="I5162" t="s">
        <v>4007</v>
      </c>
      <c r="J5162" t="s">
        <v>19549</v>
      </c>
    </row>
    <row r="5163" spans="6:10">
      <c r="F5163" t="s">
        <v>19550</v>
      </c>
      <c r="G5163">
        <v>8078418469</v>
      </c>
      <c r="H5163" t="s">
        <v>2543</v>
      </c>
      <c r="I5163" t="s">
        <v>2543</v>
      </c>
      <c r="J5163" t="s">
        <v>19551</v>
      </c>
    </row>
    <row r="5164" spans="6:10">
      <c r="F5164" t="s">
        <v>19552</v>
      </c>
      <c r="G5164">
        <v>5161</v>
      </c>
      <c r="H5164" t="s">
        <v>3896</v>
      </c>
      <c r="I5164" t="s">
        <v>3896</v>
      </c>
      <c r="J5164" t="s">
        <v>19553</v>
      </c>
    </row>
    <row r="5165" spans="6:10">
      <c r="F5165" t="s">
        <v>19554</v>
      </c>
      <c r="G5165">
        <v>5162</v>
      </c>
      <c r="H5165" t="s">
        <v>327</v>
      </c>
      <c r="I5165" t="s">
        <v>328</v>
      </c>
      <c r="J5165" t="s">
        <v>19555</v>
      </c>
    </row>
    <row r="5166" spans="6:10">
      <c r="F5166" t="s">
        <v>19556</v>
      </c>
      <c r="G5166">
        <v>5163</v>
      </c>
      <c r="H5166" t="s">
        <v>3086</v>
      </c>
      <c r="I5166" t="s">
        <v>3086</v>
      </c>
      <c r="J5166" t="s">
        <v>19557</v>
      </c>
    </row>
    <row r="5167" spans="6:10">
      <c r="F5167" t="s">
        <v>19558</v>
      </c>
      <c r="G5167">
        <v>5164</v>
      </c>
      <c r="H5167" t="s">
        <v>3879</v>
      </c>
      <c r="I5167" t="s">
        <v>3880</v>
      </c>
      <c r="J5167" t="s">
        <v>19559</v>
      </c>
    </row>
    <row r="5168" spans="6:10">
      <c r="F5168" t="s">
        <v>19560</v>
      </c>
      <c r="G5168">
        <v>5549574772</v>
      </c>
      <c r="H5168" t="s">
        <v>1896</v>
      </c>
      <c r="I5168" t="s">
        <v>1896</v>
      </c>
      <c r="J5168" t="s">
        <v>19561</v>
      </c>
    </row>
    <row r="5169" spans="6:10">
      <c r="F5169" t="s">
        <v>19562</v>
      </c>
      <c r="G5169">
        <v>8025024660</v>
      </c>
      <c r="H5169" t="s">
        <v>984</v>
      </c>
      <c r="I5169" t="s">
        <v>984</v>
      </c>
      <c r="J5169" t="s">
        <v>19563</v>
      </c>
    </row>
    <row r="5170" spans="6:10">
      <c r="F5170" t="s">
        <v>19564</v>
      </c>
      <c r="G5170">
        <v>5167</v>
      </c>
      <c r="H5170" t="s">
        <v>942</v>
      </c>
      <c r="I5170" t="s">
        <v>943</v>
      </c>
      <c r="J5170" t="s">
        <v>19565</v>
      </c>
    </row>
    <row r="5171" spans="6:10">
      <c r="F5171" t="s">
        <v>19566</v>
      </c>
      <c r="G5171">
        <v>5168</v>
      </c>
      <c r="H5171" t="s">
        <v>19567</v>
      </c>
      <c r="I5171" t="s">
        <v>19568</v>
      </c>
      <c r="J5171" t="s">
        <v>19569</v>
      </c>
    </row>
    <row r="5172" spans="6:10">
      <c r="F5172" t="s">
        <v>19570</v>
      </c>
      <c r="G5172">
        <v>99359243868</v>
      </c>
      <c r="H5172" t="s">
        <v>5980</v>
      </c>
      <c r="I5172" t="s">
        <v>5980</v>
      </c>
      <c r="J5172" t="s">
        <v>19571</v>
      </c>
    </row>
    <row r="5173" spans="6:10">
      <c r="F5173" t="s">
        <v>19572</v>
      </c>
      <c r="G5173">
        <v>9019814605</v>
      </c>
      <c r="H5173" t="s">
        <v>3184</v>
      </c>
      <c r="I5173" t="s">
        <v>3184</v>
      </c>
      <c r="J5173" t="s">
        <v>19573</v>
      </c>
    </row>
    <row r="5174" spans="6:10">
      <c r="F5174" t="s">
        <v>19574</v>
      </c>
      <c r="G5174">
        <v>5171</v>
      </c>
      <c r="H5174" t="s">
        <v>19575</v>
      </c>
      <c r="I5174" t="s">
        <v>19576</v>
      </c>
      <c r="J5174" t="s">
        <v>19577</v>
      </c>
    </row>
    <row r="5175" spans="6:10">
      <c r="F5175" t="s">
        <v>19578</v>
      </c>
      <c r="G5175">
        <v>40949739820</v>
      </c>
      <c r="H5175" t="s">
        <v>3662</v>
      </c>
      <c r="I5175" t="s">
        <v>3663</v>
      </c>
      <c r="J5175" t="s">
        <v>19579</v>
      </c>
    </row>
    <row r="5176" spans="6:10">
      <c r="F5176" t="s">
        <v>19580</v>
      </c>
      <c r="G5176">
        <v>78224128504</v>
      </c>
      <c r="H5176" t="s">
        <v>1601</v>
      </c>
      <c r="I5176" t="s">
        <v>1602</v>
      </c>
      <c r="J5176" t="s">
        <v>19581</v>
      </c>
    </row>
    <row r="5177" spans="6:10">
      <c r="F5177" t="s">
        <v>19582</v>
      </c>
      <c r="G5177">
        <v>5174</v>
      </c>
      <c r="H5177" t="s">
        <v>2261</v>
      </c>
      <c r="I5177" t="s">
        <v>2261</v>
      </c>
      <c r="J5177" t="s">
        <v>19583</v>
      </c>
    </row>
    <row r="5178" spans="6:10">
      <c r="F5178" t="s">
        <v>19584</v>
      </c>
      <c r="G5178">
        <v>33953791591</v>
      </c>
      <c r="H5178" t="s">
        <v>1838</v>
      </c>
      <c r="I5178" t="s">
        <v>1839</v>
      </c>
      <c r="J5178" t="s">
        <v>19585</v>
      </c>
    </row>
    <row r="5179" spans="6:10">
      <c r="F5179" t="s">
        <v>19586</v>
      </c>
      <c r="G5179">
        <v>5176</v>
      </c>
      <c r="H5179" t="s">
        <v>19587</v>
      </c>
      <c r="I5179" t="s">
        <v>19588</v>
      </c>
      <c r="J5179" t="s">
        <v>19589</v>
      </c>
    </row>
    <row r="5180" spans="6:10">
      <c r="F5180" t="s">
        <v>19590</v>
      </c>
      <c r="G5180">
        <v>5177</v>
      </c>
      <c r="H5180" t="s">
        <v>4964</v>
      </c>
      <c r="I5180" t="s">
        <v>4965</v>
      </c>
      <c r="J5180" t="s">
        <v>19591</v>
      </c>
    </row>
    <row r="5181" spans="6:10">
      <c r="F5181" t="s">
        <v>19592</v>
      </c>
      <c r="G5181">
        <v>12327623693</v>
      </c>
      <c r="H5181" t="s">
        <v>5810</v>
      </c>
      <c r="I5181" t="s">
        <v>5811</v>
      </c>
      <c r="J5181" t="s">
        <v>19593</v>
      </c>
    </row>
    <row r="5182" spans="6:10">
      <c r="F5182" t="s">
        <v>19594</v>
      </c>
      <c r="G5182">
        <v>19150797808</v>
      </c>
      <c r="H5182" t="s">
        <v>6131</v>
      </c>
      <c r="I5182" t="s">
        <v>6131</v>
      </c>
      <c r="J5182" t="s">
        <v>19595</v>
      </c>
    </row>
    <row r="5183" spans="6:10">
      <c r="F5183" t="s">
        <v>19596</v>
      </c>
      <c r="G5183">
        <v>924913320</v>
      </c>
      <c r="H5183" t="s">
        <v>3238</v>
      </c>
      <c r="I5183" t="s">
        <v>3238</v>
      </c>
      <c r="J5183" t="s">
        <v>19597</v>
      </c>
    </row>
    <row r="5184" spans="6:10">
      <c r="F5184" t="s">
        <v>19598</v>
      </c>
      <c r="G5184">
        <v>5181</v>
      </c>
      <c r="H5184" t="s">
        <v>19599</v>
      </c>
      <c r="I5184" t="s">
        <v>19600</v>
      </c>
      <c r="J5184" t="s">
        <v>19601</v>
      </c>
    </row>
    <row r="5185" spans="6:10">
      <c r="F5185" t="s">
        <v>19602</v>
      </c>
      <c r="G5185">
        <v>27360649846</v>
      </c>
      <c r="H5185" t="s">
        <v>3944</v>
      </c>
      <c r="I5185" t="s">
        <v>3944</v>
      </c>
      <c r="J5185" t="s">
        <v>19603</v>
      </c>
    </row>
    <row r="5186" spans="6:10">
      <c r="F5186" t="s">
        <v>19604</v>
      </c>
      <c r="G5186">
        <v>5183</v>
      </c>
      <c r="H5186" t="s">
        <v>4208</v>
      </c>
      <c r="I5186" t="s">
        <v>4209</v>
      </c>
      <c r="J5186" t="s">
        <v>19605</v>
      </c>
    </row>
    <row r="5187" spans="6:10">
      <c r="F5187" t="s">
        <v>19606</v>
      </c>
      <c r="G5187">
        <v>5184</v>
      </c>
      <c r="H5187" t="s">
        <v>3520</v>
      </c>
      <c r="I5187" t="s">
        <v>3520</v>
      </c>
      <c r="J5187" t="s">
        <v>19607</v>
      </c>
    </row>
    <row r="5188" spans="6:10">
      <c r="F5188" t="s">
        <v>19608</v>
      </c>
      <c r="G5188">
        <v>5185</v>
      </c>
      <c r="H5188" t="s">
        <v>3056</v>
      </c>
      <c r="I5188" t="s">
        <v>3056</v>
      </c>
      <c r="J5188" t="s">
        <v>19609</v>
      </c>
    </row>
    <row r="5189" spans="6:10">
      <c r="F5189" t="s">
        <v>19610</v>
      </c>
      <c r="G5189">
        <v>7291544831</v>
      </c>
      <c r="H5189" t="s">
        <v>5689</v>
      </c>
      <c r="I5189" t="s">
        <v>5689</v>
      </c>
      <c r="J5189" t="s">
        <v>19611</v>
      </c>
    </row>
    <row r="5190" spans="6:10">
      <c r="F5190" t="s">
        <v>19612</v>
      </c>
      <c r="G5190">
        <v>7976287974</v>
      </c>
      <c r="H5190" t="s">
        <v>4003</v>
      </c>
      <c r="I5190" t="s">
        <v>4004</v>
      </c>
      <c r="J5190" t="s">
        <v>19613</v>
      </c>
    </row>
    <row r="5191" spans="6:10">
      <c r="F5191" t="s">
        <v>19614</v>
      </c>
      <c r="G5191">
        <v>420001905</v>
      </c>
      <c r="H5191" t="s">
        <v>2362</v>
      </c>
      <c r="I5191" t="s">
        <v>2363</v>
      </c>
      <c r="J5191" t="s">
        <v>19615</v>
      </c>
    </row>
    <row r="5192" spans="6:10">
      <c r="F5192" t="s">
        <v>19616</v>
      </c>
      <c r="G5192">
        <v>5189</v>
      </c>
      <c r="H5192" t="s">
        <v>1636</v>
      </c>
      <c r="I5192" t="s">
        <v>1647</v>
      </c>
      <c r="J5192" t="s">
        <v>19617</v>
      </c>
    </row>
    <row r="5193" spans="6:10">
      <c r="F5193" t="s">
        <v>19618</v>
      </c>
      <c r="G5193">
        <v>5190</v>
      </c>
      <c r="H5193" t="s">
        <v>1636</v>
      </c>
      <c r="I5193" t="s">
        <v>1648</v>
      </c>
      <c r="J5193" t="s">
        <v>19619</v>
      </c>
    </row>
    <row r="5194" spans="6:10">
      <c r="F5194" t="s">
        <v>19620</v>
      </c>
      <c r="G5194">
        <v>5191</v>
      </c>
      <c r="H5194" t="s">
        <v>19621</v>
      </c>
      <c r="I5194" t="s">
        <v>19622</v>
      </c>
      <c r="J5194" t="s">
        <v>19623</v>
      </c>
    </row>
    <row r="5195" spans="6:10">
      <c r="F5195" t="s">
        <v>19624</v>
      </c>
      <c r="G5195">
        <v>22404592807</v>
      </c>
      <c r="H5195" t="s">
        <v>354</v>
      </c>
      <c r="I5195" t="s">
        <v>355</v>
      </c>
      <c r="J5195" t="s">
        <v>19625</v>
      </c>
    </row>
    <row r="5196" spans="6:10">
      <c r="F5196" t="s">
        <v>19626</v>
      </c>
      <c r="G5196">
        <v>1205063005</v>
      </c>
      <c r="H5196" t="s">
        <v>2437</v>
      </c>
      <c r="I5196" t="s">
        <v>2437</v>
      </c>
      <c r="J5196" t="s">
        <v>19627</v>
      </c>
    </row>
    <row r="5197" spans="6:10">
      <c r="F5197" t="s">
        <v>19628</v>
      </c>
      <c r="G5197">
        <v>1237537169</v>
      </c>
      <c r="H5197" t="s">
        <v>3219</v>
      </c>
      <c r="I5197" t="s">
        <v>3220</v>
      </c>
      <c r="J5197" t="s">
        <v>19629</v>
      </c>
    </row>
    <row r="5198" spans="6:10">
      <c r="F5198" t="s">
        <v>19630</v>
      </c>
      <c r="G5198">
        <v>5195</v>
      </c>
      <c r="H5198" t="s">
        <v>5262</v>
      </c>
      <c r="I5198" t="s">
        <v>5262</v>
      </c>
      <c r="J5198" t="s">
        <v>19631</v>
      </c>
    </row>
    <row r="5199" spans="6:10">
      <c r="F5199" t="s">
        <v>19632</v>
      </c>
      <c r="G5199">
        <v>27929523349</v>
      </c>
      <c r="H5199" t="s">
        <v>4399</v>
      </c>
      <c r="I5199" t="s">
        <v>4399</v>
      </c>
      <c r="J5199" t="s">
        <v>19633</v>
      </c>
    </row>
    <row r="5200" spans="6:10">
      <c r="F5200" t="s">
        <v>19634</v>
      </c>
      <c r="G5200">
        <v>5197</v>
      </c>
      <c r="H5200" t="s">
        <v>19635</v>
      </c>
      <c r="I5200" t="s">
        <v>19636</v>
      </c>
      <c r="J5200" t="s">
        <v>19637</v>
      </c>
    </row>
    <row r="5201" spans="6:10">
      <c r="F5201" t="s">
        <v>19638</v>
      </c>
      <c r="G5201">
        <v>5198</v>
      </c>
      <c r="H5201" t="s">
        <v>76</v>
      </c>
      <c r="I5201" t="s">
        <v>77</v>
      </c>
      <c r="J5201" t="s">
        <v>19639</v>
      </c>
    </row>
    <row r="5202" spans="6:10">
      <c r="F5202" t="s">
        <v>19640</v>
      </c>
      <c r="G5202">
        <v>5199</v>
      </c>
      <c r="H5202" t="s">
        <v>4329</v>
      </c>
      <c r="I5202" t="s">
        <v>4329</v>
      </c>
      <c r="J5202" t="s">
        <v>19641</v>
      </c>
    </row>
    <row r="5203" spans="6:10">
      <c r="F5203" t="s">
        <v>19642</v>
      </c>
      <c r="G5203">
        <v>16328931778</v>
      </c>
      <c r="H5203" t="s">
        <v>2132</v>
      </c>
      <c r="I5203" t="s">
        <v>2132</v>
      </c>
      <c r="J5203" t="s">
        <v>19643</v>
      </c>
    </row>
    <row r="5204" spans="6:10">
      <c r="F5204" t="s">
        <v>19644</v>
      </c>
      <c r="G5204">
        <v>5201</v>
      </c>
      <c r="H5204" t="s">
        <v>1279</v>
      </c>
      <c r="I5204" t="s">
        <v>1280</v>
      </c>
      <c r="J5204" t="s">
        <v>19645</v>
      </c>
    </row>
    <row r="5205" spans="6:10">
      <c r="F5205" t="s">
        <v>19646</v>
      </c>
      <c r="G5205">
        <v>43620311897</v>
      </c>
      <c r="H5205" t="s">
        <v>1960</v>
      </c>
      <c r="I5205" t="s">
        <v>1961</v>
      </c>
      <c r="J5205" t="s">
        <v>19647</v>
      </c>
    </row>
    <row r="5206" spans="6:10">
      <c r="F5206" t="s">
        <v>19648</v>
      </c>
      <c r="G5206">
        <v>6685057700</v>
      </c>
      <c r="H5206" t="s">
        <v>5645</v>
      </c>
      <c r="I5206" t="s">
        <v>5645</v>
      </c>
      <c r="J5206" t="s">
        <v>19649</v>
      </c>
    </row>
    <row r="5207" spans="6:10">
      <c r="F5207" t="s">
        <v>19650</v>
      </c>
      <c r="G5207">
        <v>5204</v>
      </c>
      <c r="H5207" t="s">
        <v>1170</v>
      </c>
      <c r="I5207" t="s">
        <v>1171</v>
      </c>
      <c r="J5207" t="s">
        <v>19651</v>
      </c>
    </row>
    <row r="5208" spans="6:10">
      <c r="F5208" t="s">
        <v>19652</v>
      </c>
      <c r="G5208">
        <v>5205</v>
      </c>
      <c r="H5208" t="s">
        <v>19653</v>
      </c>
      <c r="I5208" t="s">
        <v>19654</v>
      </c>
      <c r="J5208" t="s">
        <v>19655</v>
      </c>
    </row>
    <row r="5209" spans="6:10">
      <c r="F5209" t="s">
        <v>19656</v>
      </c>
      <c r="G5209">
        <v>8776970</v>
      </c>
      <c r="H5209" t="s">
        <v>1501</v>
      </c>
      <c r="I5209" t="s">
        <v>1501</v>
      </c>
      <c r="J5209" t="s">
        <v>19657</v>
      </c>
    </row>
    <row r="5210" spans="6:10">
      <c r="F5210" t="s">
        <v>19658</v>
      </c>
      <c r="G5210">
        <v>5207</v>
      </c>
      <c r="H5210" t="s">
        <v>1040</v>
      </c>
      <c r="I5210" t="s">
        <v>1041</v>
      </c>
      <c r="J5210" t="s">
        <v>19659</v>
      </c>
    </row>
    <row r="5211" spans="6:10">
      <c r="F5211" t="s">
        <v>19660</v>
      </c>
      <c r="G5211">
        <v>6321678660</v>
      </c>
      <c r="H5211" t="s">
        <v>3265</v>
      </c>
      <c r="I5211" t="s">
        <v>3266</v>
      </c>
      <c r="J5211" t="s">
        <v>19661</v>
      </c>
    </row>
    <row r="5212" spans="6:10">
      <c r="F5212" t="s">
        <v>19662</v>
      </c>
      <c r="G5212">
        <v>5209</v>
      </c>
      <c r="H5212" t="s">
        <v>1936</v>
      </c>
      <c r="I5212" t="s">
        <v>1939</v>
      </c>
      <c r="J5212" t="s">
        <v>19663</v>
      </c>
    </row>
    <row r="5213" spans="6:10">
      <c r="F5213" t="s">
        <v>19664</v>
      </c>
      <c r="G5213">
        <v>5210</v>
      </c>
      <c r="H5213" t="s">
        <v>5578</v>
      </c>
      <c r="I5213" t="s">
        <v>5578</v>
      </c>
      <c r="J5213" t="s">
        <v>19665</v>
      </c>
    </row>
    <row r="5214" spans="6:10">
      <c r="F5214" t="s">
        <v>19666</v>
      </c>
      <c r="G5214">
        <v>37229558824</v>
      </c>
      <c r="H5214" t="s">
        <v>4383</v>
      </c>
      <c r="I5214" t="s">
        <v>4384</v>
      </c>
      <c r="J5214" t="s">
        <v>19667</v>
      </c>
    </row>
    <row r="5215" spans="6:10">
      <c r="F5215" t="s">
        <v>19668</v>
      </c>
      <c r="G5215">
        <v>8601387802</v>
      </c>
      <c r="H5215" t="s">
        <v>3673</v>
      </c>
      <c r="I5215" t="s">
        <v>3674</v>
      </c>
      <c r="J5215" t="s">
        <v>19669</v>
      </c>
    </row>
    <row r="5216" spans="6:10">
      <c r="F5216" t="s">
        <v>19670</v>
      </c>
      <c r="G5216">
        <v>4541531984</v>
      </c>
      <c r="H5216" t="s">
        <v>4204</v>
      </c>
      <c r="I5216" t="s">
        <v>4204</v>
      </c>
      <c r="J5216" t="s">
        <v>19671</v>
      </c>
    </row>
    <row r="5217" spans="6:10">
      <c r="F5217" t="s">
        <v>19672</v>
      </c>
      <c r="G5217">
        <v>79419364534</v>
      </c>
      <c r="H5217" t="s">
        <v>3795</v>
      </c>
      <c r="I5217" t="s">
        <v>3795</v>
      </c>
      <c r="J5217" t="s">
        <v>19673</v>
      </c>
    </row>
    <row r="5218" spans="6:10">
      <c r="F5218" t="s">
        <v>19674</v>
      </c>
      <c r="G5218">
        <v>56549520568</v>
      </c>
      <c r="H5218" t="s">
        <v>5392</v>
      </c>
      <c r="I5218" t="s">
        <v>5393</v>
      </c>
      <c r="J5218" t="s">
        <v>19675</v>
      </c>
    </row>
    <row r="5219" spans="6:10">
      <c r="F5219" t="s">
        <v>19676</v>
      </c>
      <c r="G5219">
        <v>24874571808</v>
      </c>
      <c r="H5219" t="s">
        <v>4056</v>
      </c>
      <c r="I5219" t="s">
        <v>4057</v>
      </c>
      <c r="J5219" t="s">
        <v>19677</v>
      </c>
    </row>
    <row r="5220" spans="6:10">
      <c r="F5220" t="s">
        <v>19678</v>
      </c>
      <c r="G5220">
        <v>5217</v>
      </c>
      <c r="H5220" t="s">
        <v>97</v>
      </c>
      <c r="I5220" t="s">
        <v>98</v>
      </c>
      <c r="J5220" t="s">
        <v>19679</v>
      </c>
    </row>
    <row r="5221" spans="6:10">
      <c r="F5221" t="s">
        <v>19680</v>
      </c>
      <c r="G5221">
        <v>5218</v>
      </c>
      <c r="H5221" t="s">
        <v>1169</v>
      </c>
      <c r="I5221" t="s">
        <v>1169</v>
      </c>
      <c r="J5221" t="s">
        <v>19681</v>
      </c>
    </row>
    <row r="5222" spans="6:10">
      <c r="F5222" t="s">
        <v>19682</v>
      </c>
      <c r="G5222">
        <v>5219</v>
      </c>
      <c r="H5222" t="s">
        <v>19683</v>
      </c>
      <c r="I5222" t="s">
        <v>19684</v>
      </c>
      <c r="J5222" t="s">
        <v>19685</v>
      </c>
    </row>
    <row r="5223" spans="6:10">
      <c r="F5223" t="s">
        <v>19686</v>
      </c>
      <c r="G5223">
        <v>9703408427</v>
      </c>
      <c r="H5223" t="s">
        <v>3338</v>
      </c>
      <c r="I5223" t="s">
        <v>3338</v>
      </c>
      <c r="J5223" t="s">
        <v>19687</v>
      </c>
    </row>
    <row r="5224" spans="6:10">
      <c r="F5224" t="s">
        <v>19688</v>
      </c>
      <c r="G5224">
        <v>19169941726</v>
      </c>
      <c r="H5224" t="s">
        <v>1959</v>
      </c>
      <c r="I5224" t="s">
        <v>1959</v>
      </c>
      <c r="J5224" t="s">
        <v>19689</v>
      </c>
    </row>
    <row r="5225" spans="6:10">
      <c r="F5225" t="s">
        <v>19690</v>
      </c>
      <c r="G5225">
        <v>14344940717</v>
      </c>
      <c r="H5225" t="s">
        <v>2428</v>
      </c>
      <c r="I5225" t="s">
        <v>2428</v>
      </c>
      <c r="J5225" t="s">
        <v>19691</v>
      </c>
    </row>
    <row r="5226" spans="6:10">
      <c r="F5226" t="s">
        <v>19692</v>
      </c>
      <c r="G5226">
        <v>16581310883</v>
      </c>
      <c r="H5226" t="s">
        <v>2100</v>
      </c>
      <c r="I5226" t="s">
        <v>2100</v>
      </c>
      <c r="J5226" t="s">
        <v>19693</v>
      </c>
    </row>
    <row r="5227" spans="6:10">
      <c r="F5227" t="s">
        <v>19694</v>
      </c>
      <c r="G5227">
        <v>34249878830</v>
      </c>
      <c r="H5227" t="s">
        <v>4106</v>
      </c>
      <c r="I5227" t="s">
        <v>4106</v>
      </c>
      <c r="J5227" t="s">
        <v>19695</v>
      </c>
    </row>
    <row r="5228" spans="6:10">
      <c r="F5228" t="s">
        <v>19696</v>
      </c>
      <c r="G5228">
        <v>5225</v>
      </c>
      <c r="H5228" t="s">
        <v>19697</v>
      </c>
      <c r="I5228" t="s">
        <v>19698</v>
      </c>
      <c r="J5228" t="s">
        <v>19699</v>
      </c>
    </row>
    <row r="5229" spans="6:10">
      <c r="F5229" t="s">
        <v>19700</v>
      </c>
      <c r="G5229">
        <v>5226</v>
      </c>
      <c r="H5229" t="s">
        <v>901</v>
      </c>
      <c r="I5229" t="s">
        <v>901</v>
      </c>
      <c r="J5229" t="s">
        <v>19701</v>
      </c>
    </row>
    <row r="5230" spans="6:10">
      <c r="F5230" t="s">
        <v>19702</v>
      </c>
      <c r="G5230">
        <v>3059310327</v>
      </c>
      <c r="H5230" t="s">
        <v>3183</v>
      </c>
      <c r="I5230" t="s">
        <v>3183</v>
      </c>
      <c r="J5230" t="s">
        <v>19703</v>
      </c>
    </row>
    <row r="5231" spans="6:10">
      <c r="F5231" t="s">
        <v>19704</v>
      </c>
      <c r="G5231">
        <v>5228</v>
      </c>
      <c r="H5231" t="s">
        <v>3953</v>
      </c>
      <c r="I5231" t="s">
        <v>3954</v>
      </c>
      <c r="J5231" t="s">
        <v>19705</v>
      </c>
    </row>
    <row r="5232" spans="6:10">
      <c r="F5232" t="s">
        <v>19706</v>
      </c>
      <c r="G5232">
        <v>15098281920</v>
      </c>
      <c r="H5232" t="s">
        <v>5778</v>
      </c>
      <c r="I5232" t="s">
        <v>5779</v>
      </c>
      <c r="J5232" t="s">
        <v>19707</v>
      </c>
    </row>
    <row r="5233" spans="6:10">
      <c r="F5233" t="s">
        <v>19708</v>
      </c>
      <c r="G5233">
        <v>5230</v>
      </c>
      <c r="H5233" t="s">
        <v>228</v>
      </c>
      <c r="I5233" t="s">
        <v>229</v>
      </c>
      <c r="J5233" t="s">
        <v>19709</v>
      </c>
    </row>
    <row r="5234" spans="6:10">
      <c r="F5234" t="s">
        <v>19710</v>
      </c>
      <c r="G5234">
        <v>5231</v>
      </c>
      <c r="H5234" t="s">
        <v>114</v>
      </c>
      <c r="I5234" t="s">
        <v>115</v>
      </c>
      <c r="J5234" t="s">
        <v>19711</v>
      </c>
    </row>
    <row r="5235" spans="6:10">
      <c r="F5235" t="s">
        <v>19712</v>
      </c>
      <c r="G5235">
        <v>5232</v>
      </c>
      <c r="H5235" t="s">
        <v>4658</v>
      </c>
      <c r="I5235" t="s">
        <v>4659</v>
      </c>
      <c r="J5235" t="s">
        <v>19713</v>
      </c>
    </row>
    <row r="5236" spans="6:10">
      <c r="F5236" t="s">
        <v>19714</v>
      </c>
      <c r="G5236">
        <v>11240956916</v>
      </c>
      <c r="H5236" t="s">
        <v>2268</v>
      </c>
      <c r="I5236" t="s">
        <v>2268</v>
      </c>
      <c r="J5236" t="s">
        <v>19715</v>
      </c>
    </row>
    <row r="5237" spans="6:10">
      <c r="F5237" t="s">
        <v>19716</v>
      </c>
      <c r="G5237">
        <v>5234</v>
      </c>
      <c r="H5237" t="s">
        <v>19717</v>
      </c>
      <c r="I5237" t="s">
        <v>19718</v>
      </c>
      <c r="J5237" t="s">
        <v>19719</v>
      </c>
    </row>
    <row r="5238" spans="6:10">
      <c r="F5238" t="s">
        <v>19720</v>
      </c>
      <c r="G5238">
        <v>5235</v>
      </c>
      <c r="H5238" t="s">
        <v>19721</v>
      </c>
      <c r="I5238" t="s">
        <v>19722</v>
      </c>
      <c r="J5238" t="s">
        <v>19723</v>
      </c>
    </row>
    <row r="5239" spans="6:10">
      <c r="F5239" t="s">
        <v>19724</v>
      </c>
      <c r="G5239">
        <v>5236</v>
      </c>
      <c r="H5239" t="s">
        <v>6136</v>
      </c>
      <c r="I5239" t="s">
        <v>6136</v>
      </c>
      <c r="J5239" t="s">
        <v>19725</v>
      </c>
    </row>
    <row r="5240" spans="6:10">
      <c r="F5240" t="s">
        <v>19726</v>
      </c>
      <c r="G5240">
        <v>5482230686</v>
      </c>
      <c r="H5240" t="s">
        <v>456</v>
      </c>
      <c r="I5240" t="s">
        <v>457</v>
      </c>
      <c r="J5240" t="s">
        <v>19727</v>
      </c>
    </row>
    <row r="5241" spans="6:10">
      <c r="F5241" t="s">
        <v>19728</v>
      </c>
      <c r="G5241">
        <v>7124567670</v>
      </c>
      <c r="H5241" t="s">
        <v>4630</v>
      </c>
      <c r="I5241" t="s">
        <v>4631</v>
      </c>
      <c r="J5241" t="s">
        <v>19729</v>
      </c>
    </row>
    <row r="5242" spans="6:10">
      <c r="F5242" t="s">
        <v>19730</v>
      </c>
      <c r="G5242">
        <v>86090753548</v>
      </c>
      <c r="H5242" t="s">
        <v>3835</v>
      </c>
      <c r="I5242" t="s">
        <v>3836</v>
      </c>
      <c r="J5242" t="s">
        <v>19731</v>
      </c>
    </row>
    <row r="5243" spans="6:10">
      <c r="F5243" t="s">
        <v>19732</v>
      </c>
      <c r="G5243">
        <v>8931889488</v>
      </c>
      <c r="H5243" t="s">
        <v>2269</v>
      </c>
      <c r="I5243" t="s">
        <v>2269</v>
      </c>
      <c r="J5243" t="s">
        <v>19733</v>
      </c>
    </row>
    <row r="5244" spans="6:10">
      <c r="F5244" t="s">
        <v>19734</v>
      </c>
      <c r="G5244">
        <v>73172022900</v>
      </c>
      <c r="H5244" t="s">
        <v>3699</v>
      </c>
      <c r="I5244" t="s">
        <v>3699</v>
      </c>
      <c r="J5244" t="s">
        <v>19735</v>
      </c>
    </row>
    <row r="5245" spans="6:10">
      <c r="F5245" t="s">
        <v>19736</v>
      </c>
      <c r="G5245">
        <v>5242</v>
      </c>
      <c r="H5245" t="s">
        <v>19737</v>
      </c>
      <c r="I5245" t="s">
        <v>19738</v>
      </c>
      <c r="J5245" t="s">
        <v>19739</v>
      </c>
    </row>
    <row r="5246" spans="6:10">
      <c r="F5246" t="s">
        <v>19740</v>
      </c>
      <c r="G5246">
        <v>5243</v>
      </c>
      <c r="H5246" t="s">
        <v>3283</v>
      </c>
      <c r="I5246" t="s">
        <v>3284</v>
      </c>
      <c r="J5246" t="s">
        <v>19741</v>
      </c>
    </row>
    <row r="5247" spans="6:10">
      <c r="F5247" t="s">
        <v>19742</v>
      </c>
      <c r="G5247">
        <v>24657183800</v>
      </c>
      <c r="H5247" t="s">
        <v>3567</v>
      </c>
      <c r="I5247" t="s">
        <v>3568</v>
      </c>
      <c r="J5247" t="s">
        <v>19743</v>
      </c>
    </row>
    <row r="5248" spans="6:10">
      <c r="F5248" t="s">
        <v>19744</v>
      </c>
      <c r="G5248">
        <v>30563180846</v>
      </c>
      <c r="H5248" t="s">
        <v>1496</v>
      </c>
      <c r="I5248" t="s">
        <v>1496</v>
      </c>
      <c r="J5248" t="s">
        <v>19745</v>
      </c>
    </row>
    <row r="5249" spans="6:10">
      <c r="F5249" t="s">
        <v>19746</v>
      </c>
      <c r="G5249">
        <v>5246</v>
      </c>
      <c r="H5249" t="s">
        <v>5672</v>
      </c>
      <c r="I5249" t="s">
        <v>5673</v>
      </c>
      <c r="J5249" t="s">
        <v>19747</v>
      </c>
    </row>
    <row r="5250" spans="6:10">
      <c r="F5250" t="s">
        <v>19748</v>
      </c>
      <c r="G5250">
        <v>5247</v>
      </c>
      <c r="H5250" t="s">
        <v>3988</v>
      </c>
      <c r="I5250" t="s">
        <v>3988</v>
      </c>
      <c r="J5250" t="s">
        <v>19749</v>
      </c>
    </row>
    <row r="5251" spans="6:10">
      <c r="F5251" t="s">
        <v>19750</v>
      </c>
      <c r="G5251">
        <v>17439336739</v>
      </c>
      <c r="H5251" t="s">
        <v>6030</v>
      </c>
      <c r="I5251" t="s">
        <v>6031</v>
      </c>
      <c r="J5251" t="s">
        <v>19751</v>
      </c>
    </row>
    <row r="5252" spans="6:10">
      <c r="F5252" t="s">
        <v>19752</v>
      </c>
      <c r="G5252">
        <v>85341916034</v>
      </c>
      <c r="H5252" t="s">
        <v>4122</v>
      </c>
      <c r="I5252" t="s">
        <v>4123</v>
      </c>
      <c r="J5252" t="s">
        <v>19753</v>
      </c>
    </row>
    <row r="5253" spans="6:10">
      <c r="F5253" t="s">
        <v>19754</v>
      </c>
      <c r="G5253">
        <v>1629375128</v>
      </c>
      <c r="H5253" t="s">
        <v>5664</v>
      </c>
      <c r="I5253" t="s">
        <v>5665</v>
      </c>
      <c r="J5253" t="s">
        <v>19755</v>
      </c>
    </row>
    <row r="5254" spans="6:10">
      <c r="F5254" t="s">
        <v>19756</v>
      </c>
      <c r="G5254">
        <v>7833839752</v>
      </c>
      <c r="H5254" t="s">
        <v>5360</v>
      </c>
      <c r="I5254" t="s">
        <v>5360</v>
      </c>
      <c r="J5254" t="s">
        <v>19757</v>
      </c>
    </row>
    <row r="5255" spans="6:10">
      <c r="F5255" t="s">
        <v>19758</v>
      </c>
      <c r="G5255">
        <v>5252</v>
      </c>
      <c r="H5255" t="s">
        <v>19759</v>
      </c>
      <c r="I5255" t="s">
        <v>19760</v>
      </c>
      <c r="J5255" t="s">
        <v>19761</v>
      </c>
    </row>
    <row r="5256" spans="6:10">
      <c r="F5256" t="s">
        <v>19762</v>
      </c>
      <c r="G5256">
        <v>5253</v>
      </c>
      <c r="H5256" t="s">
        <v>19763</v>
      </c>
      <c r="I5256" t="s">
        <v>19764</v>
      </c>
      <c r="J5256" t="s">
        <v>19765</v>
      </c>
    </row>
    <row r="5257" spans="6:10">
      <c r="F5257" t="s">
        <v>19766</v>
      </c>
      <c r="G5257">
        <v>5254</v>
      </c>
      <c r="H5257" t="s">
        <v>19767</v>
      </c>
      <c r="I5257" t="s">
        <v>19768</v>
      </c>
      <c r="J5257" t="s">
        <v>19769</v>
      </c>
    </row>
    <row r="5258" spans="6:10">
      <c r="F5258" t="s">
        <v>19770</v>
      </c>
      <c r="G5258">
        <v>1776511999</v>
      </c>
      <c r="H5258" t="s">
        <v>2073</v>
      </c>
      <c r="I5258" t="s">
        <v>2073</v>
      </c>
      <c r="J5258" t="s">
        <v>19771</v>
      </c>
    </row>
    <row r="5259" spans="6:10">
      <c r="F5259" t="s">
        <v>19772</v>
      </c>
      <c r="G5259">
        <v>5256</v>
      </c>
      <c r="H5259" t="s">
        <v>19773</v>
      </c>
      <c r="I5259" t="s">
        <v>19774</v>
      </c>
      <c r="J5259" t="s">
        <v>19775</v>
      </c>
    </row>
    <row r="5260" spans="6:10">
      <c r="F5260" t="s">
        <v>19776</v>
      </c>
      <c r="G5260">
        <v>5257</v>
      </c>
      <c r="H5260" t="s">
        <v>19777</v>
      </c>
      <c r="I5260" t="s">
        <v>19778</v>
      </c>
      <c r="J5260" t="s">
        <v>19779</v>
      </c>
    </row>
    <row r="5261" spans="6:10">
      <c r="F5261" t="s">
        <v>19780</v>
      </c>
      <c r="G5261">
        <v>5258</v>
      </c>
      <c r="H5261" t="s">
        <v>5606</v>
      </c>
      <c r="I5261" t="s">
        <v>5607</v>
      </c>
      <c r="J5261" t="s">
        <v>19781</v>
      </c>
    </row>
    <row r="5262" spans="6:10">
      <c r="F5262" t="s">
        <v>19782</v>
      </c>
      <c r="G5262">
        <v>5259</v>
      </c>
      <c r="H5262" t="s">
        <v>161</v>
      </c>
      <c r="I5262" t="s">
        <v>161</v>
      </c>
      <c r="J5262" t="s">
        <v>19783</v>
      </c>
    </row>
    <row r="5263" spans="6:10">
      <c r="F5263" t="s">
        <v>19784</v>
      </c>
      <c r="G5263">
        <v>4220224033</v>
      </c>
      <c r="H5263" t="s">
        <v>5082</v>
      </c>
      <c r="I5263" t="s">
        <v>5083</v>
      </c>
      <c r="J5263" t="s">
        <v>19785</v>
      </c>
    </row>
    <row r="5264" spans="6:10">
      <c r="F5264" t="s">
        <v>19786</v>
      </c>
      <c r="G5264">
        <v>83951652500</v>
      </c>
      <c r="H5264" t="s">
        <v>4641</v>
      </c>
      <c r="I5264" t="s">
        <v>4642</v>
      </c>
      <c r="J5264" t="s">
        <v>19787</v>
      </c>
    </row>
    <row r="5265" spans="6:10">
      <c r="F5265" t="s">
        <v>19788</v>
      </c>
      <c r="G5265">
        <v>46591848894</v>
      </c>
      <c r="H5265" t="s">
        <v>3652</v>
      </c>
      <c r="I5265" t="s">
        <v>3652</v>
      </c>
      <c r="J5265" t="s">
        <v>19789</v>
      </c>
    </row>
    <row r="5266" spans="6:10">
      <c r="F5266" t="s">
        <v>19790</v>
      </c>
      <c r="G5266">
        <v>11311125710</v>
      </c>
      <c r="H5266" t="s">
        <v>4594</v>
      </c>
      <c r="I5266" t="s">
        <v>4595</v>
      </c>
      <c r="J5266" t="s">
        <v>19791</v>
      </c>
    </row>
    <row r="5267" spans="6:10">
      <c r="F5267" t="s">
        <v>19792</v>
      </c>
      <c r="G5267">
        <v>17269043779</v>
      </c>
      <c r="H5267" t="s">
        <v>5800</v>
      </c>
      <c r="I5267" t="s">
        <v>5800</v>
      </c>
      <c r="J5267" t="s">
        <v>19793</v>
      </c>
    </row>
    <row r="5268" spans="6:10">
      <c r="F5268" t="s">
        <v>19794</v>
      </c>
      <c r="G5268">
        <v>2216217506</v>
      </c>
      <c r="H5268" t="s">
        <v>3069</v>
      </c>
      <c r="I5268" t="s">
        <v>3069</v>
      </c>
      <c r="J5268" t="s">
        <v>19795</v>
      </c>
    </row>
    <row r="5269" spans="6:10">
      <c r="F5269" t="s">
        <v>19796</v>
      </c>
      <c r="G5269">
        <v>1724145126</v>
      </c>
      <c r="H5269" t="s">
        <v>5436</v>
      </c>
      <c r="I5269" t="s">
        <v>5436</v>
      </c>
      <c r="J5269" t="s">
        <v>19797</v>
      </c>
    </row>
    <row r="5270" spans="6:10">
      <c r="F5270" t="s">
        <v>19798</v>
      </c>
      <c r="G5270">
        <v>2547668114</v>
      </c>
      <c r="H5270" t="s">
        <v>3744</v>
      </c>
      <c r="I5270" t="s">
        <v>3744</v>
      </c>
      <c r="J5270" t="s">
        <v>19799</v>
      </c>
    </row>
    <row r="5271" spans="6:10">
      <c r="F5271" t="s">
        <v>19800</v>
      </c>
      <c r="G5271">
        <v>15383763775</v>
      </c>
      <c r="H5271" t="s">
        <v>5361</v>
      </c>
      <c r="I5271" t="s">
        <v>5362</v>
      </c>
      <c r="J5271" t="s">
        <v>19801</v>
      </c>
    </row>
    <row r="5272" spans="6:10">
      <c r="F5272" t="s">
        <v>19802</v>
      </c>
      <c r="G5272">
        <v>5269</v>
      </c>
      <c r="H5272" t="s">
        <v>3122</v>
      </c>
      <c r="I5272" t="s">
        <v>3122</v>
      </c>
      <c r="J5272" t="s">
        <v>19803</v>
      </c>
    </row>
    <row r="5273" spans="6:10">
      <c r="F5273" t="s">
        <v>19804</v>
      </c>
      <c r="G5273">
        <v>5270</v>
      </c>
      <c r="H5273" t="s">
        <v>2990</v>
      </c>
      <c r="I5273" t="s">
        <v>2991</v>
      </c>
      <c r="J5273" t="s">
        <v>19805</v>
      </c>
    </row>
    <row r="5274" spans="6:10">
      <c r="F5274" t="s">
        <v>19806</v>
      </c>
      <c r="G5274">
        <v>6259003919</v>
      </c>
      <c r="H5274" t="s">
        <v>2187</v>
      </c>
      <c r="I5274" t="s">
        <v>2187</v>
      </c>
      <c r="J5274" t="s">
        <v>19807</v>
      </c>
    </row>
    <row r="5275" spans="6:10">
      <c r="F5275" t="s">
        <v>19808</v>
      </c>
      <c r="G5275">
        <v>3972972032</v>
      </c>
      <c r="H5275" t="s">
        <v>2453</v>
      </c>
      <c r="I5275" t="s">
        <v>2454</v>
      </c>
      <c r="J5275" t="s">
        <v>19809</v>
      </c>
    </row>
    <row r="5276" spans="6:10">
      <c r="F5276" t="s">
        <v>19810</v>
      </c>
      <c r="G5276">
        <v>8489741905</v>
      </c>
      <c r="H5276" t="s">
        <v>4274</v>
      </c>
      <c r="I5276" t="s">
        <v>4275</v>
      </c>
      <c r="J5276" t="s">
        <v>19811</v>
      </c>
    </row>
    <row r="5277" spans="6:10">
      <c r="F5277" t="s">
        <v>19812</v>
      </c>
      <c r="G5277">
        <v>5274</v>
      </c>
      <c r="H5277" t="s">
        <v>19813</v>
      </c>
      <c r="I5277" t="s">
        <v>19813</v>
      </c>
      <c r="J5277" t="s">
        <v>19814</v>
      </c>
    </row>
    <row r="5278" spans="6:10">
      <c r="F5278" t="s">
        <v>19815</v>
      </c>
      <c r="G5278">
        <v>3617367461</v>
      </c>
      <c r="H5278" t="s">
        <v>3160</v>
      </c>
      <c r="I5278" t="s">
        <v>3160</v>
      </c>
      <c r="J5278" t="s">
        <v>19816</v>
      </c>
    </row>
    <row r="5279" spans="6:10">
      <c r="F5279" t="s">
        <v>19817</v>
      </c>
      <c r="G5279">
        <v>5276</v>
      </c>
      <c r="H5279" t="s">
        <v>3598</v>
      </c>
      <c r="I5279" t="s">
        <v>3598</v>
      </c>
      <c r="J5279" t="s">
        <v>19818</v>
      </c>
    </row>
    <row r="5280" spans="6:10">
      <c r="F5280" t="s">
        <v>19819</v>
      </c>
      <c r="G5280">
        <v>5277</v>
      </c>
      <c r="H5280" t="s">
        <v>3832</v>
      </c>
      <c r="I5280" t="s">
        <v>3832</v>
      </c>
      <c r="J5280" t="s">
        <v>19820</v>
      </c>
    </row>
    <row r="5281" spans="6:10">
      <c r="F5281" t="s">
        <v>19821</v>
      </c>
      <c r="G5281">
        <v>5278</v>
      </c>
      <c r="H5281" t="s">
        <v>1483</v>
      </c>
      <c r="I5281" t="s">
        <v>1483</v>
      </c>
      <c r="J5281" t="s">
        <v>19822</v>
      </c>
    </row>
    <row r="5282" spans="6:10">
      <c r="F5282" t="s">
        <v>19823</v>
      </c>
      <c r="G5282">
        <v>5279</v>
      </c>
      <c r="H5282" t="s">
        <v>967</v>
      </c>
      <c r="I5282" t="s">
        <v>968</v>
      </c>
      <c r="J5282" t="s">
        <v>19824</v>
      </c>
    </row>
    <row r="5283" spans="6:10">
      <c r="F5283" t="s">
        <v>19825</v>
      </c>
      <c r="G5283">
        <v>5280</v>
      </c>
      <c r="H5283" t="s">
        <v>206</v>
      </c>
      <c r="I5283" t="s">
        <v>207</v>
      </c>
      <c r="J5283" t="s">
        <v>19826</v>
      </c>
    </row>
    <row r="5284" spans="6:10">
      <c r="F5284" t="s">
        <v>19827</v>
      </c>
      <c r="G5284">
        <v>5281</v>
      </c>
      <c r="H5284" t="s">
        <v>978</v>
      </c>
      <c r="I5284" t="s">
        <v>978</v>
      </c>
      <c r="J5284" t="s">
        <v>19828</v>
      </c>
    </row>
    <row r="5285" spans="6:10">
      <c r="F5285" t="s">
        <v>19829</v>
      </c>
      <c r="G5285">
        <v>5282</v>
      </c>
      <c r="H5285" t="s">
        <v>4276</v>
      </c>
      <c r="I5285" t="s">
        <v>4277</v>
      </c>
      <c r="J5285" t="s">
        <v>19830</v>
      </c>
    </row>
    <row r="5286" spans="6:10">
      <c r="F5286" t="s">
        <v>19831</v>
      </c>
      <c r="G5286">
        <v>5283</v>
      </c>
      <c r="H5286" t="s">
        <v>4852</v>
      </c>
      <c r="I5286" t="s">
        <v>4853</v>
      </c>
      <c r="J5286" t="s">
        <v>19832</v>
      </c>
    </row>
    <row r="5287" spans="6:10">
      <c r="F5287" t="s">
        <v>19833</v>
      </c>
      <c r="G5287">
        <v>11940688710</v>
      </c>
      <c r="H5287" t="s">
        <v>4026</v>
      </c>
      <c r="I5287" t="s">
        <v>4027</v>
      </c>
      <c r="J5287" t="s">
        <v>19834</v>
      </c>
    </row>
    <row r="5288" spans="6:10">
      <c r="F5288" t="s">
        <v>19835</v>
      </c>
      <c r="G5288">
        <v>41593158874</v>
      </c>
      <c r="H5288" t="s">
        <v>2352</v>
      </c>
      <c r="I5288" t="s">
        <v>2352</v>
      </c>
      <c r="J5288" t="s">
        <v>19836</v>
      </c>
    </row>
    <row r="5289" spans="6:10">
      <c r="F5289" t="s">
        <v>19837</v>
      </c>
      <c r="G5289">
        <v>5286</v>
      </c>
      <c r="H5289" t="s">
        <v>2316</v>
      </c>
      <c r="I5289" t="s">
        <v>2317</v>
      </c>
      <c r="J5289" t="s">
        <v>19838</v>
      </c>
    </row>
    <row r="5290" spans="6:10">
      <c r="F5290" t="s">
        <v>19839</v>
      </c>
      <c r="G5290">
        <v>5287</v>
      </c>
      <c r="H5290" t="s">
        <v>19840</v>
      </c>
      <c r="I5290" t="s">
        <v>19840</v>
      </c>
      <c r="J5290" t="s">
        <v>19841</v>
      </c>
    </row>
    <row r="5291" spans="6:10">
      <c r="F5291" t="s">
        <v>19842</v>
      </c>
      <c r="G5291">
        <v>69976783</v>
      </c>
      <c r="H5291" t="s">
        <v>5297</v>
      </c>
      <c r="I5291" t="s">
        <v>5297</v>
      </c>
      <c r="J5291" t="s">
        <v>19843</v>
      </c>
    </row>
    <row r="5292" spans="6:10">
      <c r="F5292" t="s">
        <v>19844</v>
      </c>
      <c r="G5292">
        <v>5289</v>
      </c>
      <c r="H5292" t="s">
        <v>19845</v>
      </c>
      <c r="I5292" t="s">
        <v>19845</v>
      </c>
      <c r="J5292" t="s">
        <v>19846</v>
      </c>
    </row>
    <row r="5293" spans="6:10">
      <c r="F5293" t="s">
        <v>19847</v>
      </c>
      <c r="G5293">
        <v>9580893969</v>
      </c>
      <c r="H5293" t="s">
        <v>4352</v>
      </c>
      <c r="I5293" t="s">
        <v>4352</v>
      </c>
      <c r="J5293" t="s">
        <v>19848</v>
      </c>
    </row>
    <row r="5294" spans="6:10">
      <c r="F5294" t="s">
        <v>19849</v>
      </c>
      <c r="G5294">
        <v>93326513372</v>
      </c>
      <c r="H5294" t="s">
        <v>19850</v>
      </c>
      <c r="I5294" t="s">
        <v>19851</v>
      </c>
      <c r="J5294" t="s">
        <v>19852</v>
      </c>
    </row>
    <row r="5295" spans="6:10">
      <c r="F5295" t="s">
        <v>19853</v>
      </c>
      <c r="G5295">
        <v>5292</v>
      </c>
      <c r="H5295" t="s">
        <v>19854</v>
      </c>
      <c r="I5295" t="s">
        <v>19855</v>
      </c>
      <c r="J5295" t="s">
        <v>19856</v>
      </c>
    </row>
    <row r="5296" spans="6:10">
      <c r="F5296" t="s">
        <v>19857</v>
      </c>
      <c r="G5296">
        <v>80511945515</v>
      </c>
      <c r="H5296" t="s">
        <v>19858</v>
      </c>
      <c r="I5296" t="s">
        <v>19859</v>
      </c>
      <c r="J5296" t="s">
        <v>19860</v>
      </c>
    </row>
    <row r="5297" spans="6:10">
      <c r="F5297" t="s">
        <v>19861</v>
      </c>
      <c r="G5297">
        <v>5294</v>
      </c>
      <c r="H5297" t="s">
        <v>19862</v>
      </c>
      <c r="I5297" t="s">
        <v>19863</v>
      </c>
      <c r="J5297" t="s">
        <v>19864</v>
      </c>
    </row>
    <row r="5298" spans="6:10">
      <c r="F5298" t="s">
        <v>19865</v>
      </c>
      <c r="G5298">
        <v>5295</v>
      </c>
      <c r="H5298" t="s">
        <v>19866</v>
      </c>
      <c r="I5298" t="s">
        <v>19866</v>
      </c>
      <c r="J5298" t="s">
        <v>19867</v>
      </c>
    </row>
    <row r="5299" spans="6:10">
      <c r="F5299" t="s">
        <v>19868</v>
      </c>
      <c r="G5299">
        <v>5296</v>
      </c>
      <c r="H5299" t="s">
        <v>19869</v>
      </c>
      <c r="I5299" t="s">
        <v>2690</v>
      </c>
      <c r="J5299" t="s">
        <v>19870</v>
      </c>
    </row>
    <row r="5300" spans="6:10">
      <c r="F5300" t="s">
        <v>19871</v>
      </c>
      <c r="G5300">
        <v>5297</v>
      </c>
      <c r="H5300" t="s">
        <v>19872</v>
      </c>
      <c r="I5300" t="s">
        <v>19872</v>
      </c>
      <c r="J5300" t="s">
        <v>19873</v>
      </c>
    </row>
    <row r="5301" spans="6:10">
      <c r="F5301" t="s">
        <v>19874</v>
      </c>
      <c r="G5301">
        <v>5298</v>
      </c>
      <c r="H5301" t="s">
        <v>19875</v>
      </c>
      <c r="I5301" t="s">
        <v>19875</v>
      </c>
      <c r="J5301" t="s">
        <v>19876</v>
      </c>
    </row>
    <row r="5302" spans="6:10">
      <c r="F5302" t="s">
        <v>19877</v>
      </c>
      <c r="G5302">
        <v>16419465710</v>
      </c>
      <c r="H5302" t="s">
        <v>19878</v>
      </c>
      <c r="I5302" t="s">
        <v>19878</v>
      </c>
      <c r="J5302" t="s">
        <v>19879</v>
      </c>
    </row>
    <row r="5303" spans="6:10">
      <c r="F5303" t="s">
        <v>19880</v>
      </c>
      <c r="G5303">
        <v>12419040732</v>
      </c>
      <c r="H5303" t="s">
        <v>19881</v>
      </c>
      <c r="I5303" t="s">
        <v>19881</v>
      </c>
      <c r="J5303" t="s">
        <v>19882</v>
      </c>
    </row>
    <row r="5304" spans="6:10">
      <c r="F5304" t="s">
        <v>19883</v>
      </c>
      <c r="G5304">
        <v>89928148791</v>
      </c>
      <c r="H5304" t="s">
        <v>19884</v>
      </c>
      <c r="I5304" t="s">
        <v>19884</v>
      </c>
      <c r="J5304" t="s">
        <v>19885</v>
      </c>
    </row>
    <row r="5305" spans="6:10">
      <c r="F5305" t="s">
        <v>19886</v>
      </c>
      <c r="G5305">
        <v>5302</v>
      </c>
      <c r="H5305" t="s">
        <v>19887</v>
      </c>
      <c r="I5305" t="s">
        <v>19888</v>
      </c>
      <c r="J5305" t="s">
        <v>19889</v>
      </c>
    </row>
    <row r="5306" spans="6:10">
      <c r="F5306" t="s">
        <v>19890</v>
      </c>
      <c r="G5306">
        <v>5303</v>
      </c>
      <c r="H5306" t="s">
        <v>19891</v>
      </c>
      <c r="I5306" t="s">
        <v>19892</v>
      </c>
      <c r="J5306" t="s">
        <v>19893</v>
      </c>
    </row>
    <row r="5307" spans="6:10">
      <c r="F5307" t="s">
        <v>19894</v>
      </c>
      <c r="G5307">
        <v>5304</v>
      </c>
      <c r="H5307" t="s">
        <v>19895</v>
      </c>
      <c r="I5307" t="s">
        <v>19896</v>
      </c>
      <c r="J5307" t="s">
        <v>19897</v>
      </c>
    </row>
    <row r="5308" spans="6:10">
      <c r="F5308" t="s">
        <v>19898</v>
      </c>
      <c r="G5308">
        <v>10494045728</v>
      </c>
      <c r="H5308" t="s">
        <v>19899</v>
      </c>
      <c r="I5308" t="s">
        <v>19899</v>
      </c>
      <c r="J5308" t="s">
        <v>19900</v>
      </c>
    </row>
    <row r="5309" spans="6:10">
      <c r="F5309" t="s">
        <v>19901</v>
      </c>
      <c r="G5309">
        <v>36736022843</v>
      </c>
      <c r="H5309" t="s">
        <v>19902</v>
      </c>
      <c r="I5309" t="s">
        <v>19902</v>
      </c>
      <c r="J5309" t="s">
        <v>19903</v>
      </c>
    </row>
    <row r="5310" spans="6:10">
      <c r="F5310" t="s">
        <v>19904</v>
      </c>
      <c r="G5310">
        <v>5307</v>
      </c>
      <c r="H5310" t="s">
        <v>19905</v>
      </c>
      <c r="I5310" t="s">
        <v>19906</v>
      </c>
      <c r="J5310" t="s">
        <v>19907</v>
      </c>
    </row>
    <row r="5311" spans="6:10">
      <c r="F5311" t="s">
        <v>19908</v>
      </c>
      <c r="G5311">
        <v>5308</v>
      </c>
      <c r="H5311" t="s">
        <v>19909</v>
      </c>
      <c r="I5311" t="s">
        <v>19910</v>
      </c>
      <c r="J5311" t="s">
        <v>19911</v>
      </c>
    </row>
    <row r="5312" spans="6:10">
      <c r="F5312" t="s">
        <v>19912</v>
      </c>
      <c r="G5312">
        <v>11440616795</v>
      </c>
      <c r="H5312" t="s">
        <v>19913</v>
      </c>
      <c r="I5312" t="s">
        <v>19914</v>
      </c>
      <c r="J5312" t="s">
        <v>19915</v>
      </c>
    </row>
    <row r="5313" spans="6:10">
      <c r="F5313" t="s">
        <v>19916</v>
      </c>
      <c r="G5313">
        <v>2835301038</v>
      </c>
      <c r="H5313" t="s">
        <v>19917</v>
      </c>
      <c r="I5313" t="s">
        <v>19917</v>
      </c>
      <c r="J5313" t="s">
        <v>19918</v>
      </c>
    </row>
    <row r="5314" spans="6:10">
      <c r="F5314" t="s">
        <v>19919</v>
      </c>
      <c r="G5314">
        <v>9586647730</v>
      </c>
      <c r="H5314" t="s">
        <v>19920</v>
      </c>
      <c r="I5314" t="s">
        <v>19920</v>
      </c>
      <c r="J5314" t="s">
        <v>19921</v>
      </c>
    </row>
    <row r="5315" spans="6:10">
      <c r="F5315" t="s">
        <v>19922</v>
      </c>
      <c r="G5315">
        <v>5312</v>
      </c>
      <c r="H5315" t="s">
        <v>19862</v>
      </c>
      <c r="I5315" t="s">
        <v>19863</v>
      </c>
      <c r="J5315" t="s">
        <v>19923</v>
      </c>
    </row>
    <row r="5316" spans="6:10">
      <c r="F5316" t="s">
        <v>19924</v>
      </c>
      <c r="G5316">
        <v>5313</v>
      </c>
      <c r="H5316" t="s">
        <v>19925</v>
      </c>
      <c r="I5316" t="s">
        <v>19926</v>
      </c>
      <c r="J5316" t="s">
        <v>19927</v>
      </c>
    </row>
    <row r="5317" spans="6:10">
      <c r="F5317" t="s">
        <v>19928</v>
      </c>
      <c r="G5317">
        <v>35687831851</v>
      </c>
      <c r="H5317" t="s">
        <v>19929</v>
      </c>
      <c r="I5317" t="s">
        <v>19929</v>
      </c>
      <c r="J5317" t="s">
        <v>19930</v>
      </c>
    </row>
    <row r="5318" spans="6:10">
      <c r="F5318" t="s">
        <v>19931</v>
      </c>
      <c r="G5318">
        <v>4606225521</v>
      </c>
      <c r="H5318" t="s">
        <v>19932</v>
      </c>
      <c r="I5318" t="s">
        <v>19932</v>
      </c>
      <c r="J5318" t="s">
        <v>19933</v>
      </c>
    </row>
    <row r="5319" spans="6:10">
      <c r="F5319" t="s">
        <v>19934</v>
      </c>
      <c r="G5319">
        <v>5316</v>
      </c>
      <c r="H5319" t="s">
        <v>19935</v>
      </c>
      <c r="I5319" t="s">
        <v>19936</v>
      </c>
      <c r="J5319" t="s">
        <v>19937</v>
      </c>
    </row>
    <row r="5320" spans="6:10">
      <c r="F5320" t="s">
        <v>19938</v>
      </c>
      <c r="G5320">
        <v>30837972817</v>
      </c>
      <c r="H5320" t="s">
        <v>19939</v>
      </c>
      <c r="I5320" t="s">
        <v>19939</v>
      </c>
      <c r="J5320" t="s">
        <v>19940</v>
      </c>
    </row>
    <row r="5321" spans="6:10">
      <c r="F5321" t="s">
        <v>19941</v>
      </c>
      <c r="G5321">
        <v>138075522</v>
      </c>
      <c r="H5321" t="s">
        <v>19942</v>
      </c>
      <c r="I5321" t="s">
        <v>19942</v>
      </c>
      <c r="J5321" t="s">
        <v>19943</v>
      </c>
    </row>
    <row r="5322" spans="6:10">
      <c r="F5322" t="s">
        <v>19944</v>
      </c>
      <c r="G5322">
        <v>5319</v>
      </c>
      <c r="H5322" t="s">
        <v>19945</v>
      </c>
      <c r="I5322" t="s">
        <v>19946</v>
      </c>
      <c r="J5322" t="s">
        <v>19947</v>
      </c>
    </row>
    <row r="5323" spans="6:10">
      <c r="F5323" t="s">
        <v>19948</v>
      </c>
      <c r="G5323">
        <v>5320</v>
      </c>
      <c r="H5323" t="s">
        <v>19949</v>
      </c>
      <c r="I5323" t="s">
        <v>19949</v>
      </c>
      <c r="J5323" t="s">
        <v>19950</v>
      </c>
    </row>
    <row r="5324" spans="6:10">
      <c r="F5324" t="s">
        <v>19951</v>
      </c>
      <c r="G5324">
        <v>5321</v>
      </c>
      <c r="H5324" t="s">
        <v>19952</v>
      </c>
      <c r="I5324" t="s">
        <v>19953</v>
      </c>
      <c r="J5324" t="s">
        <v>19954</v>
      </c>
    </row>
    <row r="5325" spans="6:10">
      <c r="F5325" t="s">
        <v>19955</v>
      </c>
      <c r="G5325">
        <v>1644710811</v>
      </c>
      <c r="H5325" t="s">
        <v>19956</v>
      </c>
      <c r="I5325" t="s">
        <v>19956</v>
      </c>
      <c r="J5325" t="s">
        <v>19957</v>
      </c>
    </row>
    <row r="5326" spans="6:10">
      <c r="F5326" t="s">
        <v>19958</v>
      </c>
      <c r="G5326">
        <v>5323</v>
      </c>
      <c r="H5326" t="s">
        <v>19959</v>
      </c>
      <c r="I5326" t="s">
        <v>19960</v>
      </c>
      <c r="J5326" t="s">
        <v>19961</v>
      </c>
    </row>
    <row r="5327" spans="6:10">
      <c r="F5327" t="s">
        <v>19962</v>
      </c>
      <c r="G5327">
        <v>5324</v>
      </c>
      <c r="H5327" t="s">
        <v>19963</v>
      </c>
      <c r="I5327" t="s">
        <v>19963</v>
      </c>
      <c r="J5327" t="s">
        <v>19964</v>
      </c>
    </row>
    <row r="5328" spans="6:10">
      <c r="F5328" t="s">
        <v>19965</v>
      </c>
      <c r="G5328">
        <v>5325</v>
      </c>
      <c r="H5328" t="s">
        <v>19966</v>
      </c>
      <c r="I5328" t="s">
        <v>19967</v>
      </c>
      <c r="J5328" t="s">
        <v>19968</v>
      </c>
    </row>
    <row r="5329" spans="6:10">
      <c r="F5329" t="s">
        <v>19969</v>
      </c>
      <c r="G5329">
        <v>5326</v>
      </c>
      <c r="H5329" t="s">
        <v>19970</v>
      </c>
      <c r="I5329" t="s">
        <v>19971</v>
      </c>
      <c r="J5329" t="s">
        <v>19972</v>
      </c>
    </row>
    <row r="5330" spans="6:10">
      <c r="F5330" t="s">
        <v>19973</v>
      </c>
      <c r="G5330">
        <v>5327</v>
      </c>
      <c r="H5330" t="s">
        <v>19974</v>
      </c>
      <c r="I5330" t="s">
        <v>2065</v>
      </c>
      <c r="J5330" t="s">
        <v>19975</v>
      </c>
    </row>
    <row r="5331" spans="6:10">
      <c r="F5331" t="s">
        <v>19976</v>
      </c>
      <c r="G5331">
        <v>5328</v>
      </c>
      <c r="H5331" t="s">
        <v>19977</v>
      </c>
      <c r="I5331" t="s">
        <v>19977</v>
      </c>
      <c r="J5331" t="s">
        <v>19978</v>
      </c>
    </row>
    <row r="5332" spans="6:10">
      <c r="F5332" t="s">
        <v>19979</v>
      </c>
      <c r="G5332">
        <v>5329</v>
      </c>
      <c r="H5332" t="s">
        <v>19980</v>
      </c>
      <c r="I5332" t="s">
        <v>19980</v>
      </c>
      <c r="J5332" t="s">
        <v>19981</v>
      </c>
    </row>
    <row r="5333" spans="6:10">
      <c r="F5333" t="s">
        <v>19982</v>
      </c>
      <c r="G5333">
        <v>5330</v>
      </c>
      <c r="H5333" t="s">
        <v>19983</v>
      </c>
      <c r="I5333" t="s">
        <v>19983</v>
      </c>
      <c r="J5333" t="s">
        <v>19984</v>
      </c>
    </row>
    <row r="5334" spans="6:10">
      <c r="F5334" t="s">
        <v>19985</v>
      </c>
      <c r="G5334">
        <v>12731414669</v>
      </c>
      <c r="H5334" t="s">
        <v>19986</v>
      </c>
      <c r="I5334" t="s">
        <v>19987</v>
      </c>
      <c r="J5334" t="s">
        <v>19988</v>
      </c>
    </row>
    <row r="5335" spans="6:10">
      <c r="F5335" t="s">
        <v>19989</v>
      </c>
      <c r="G5335">
        <v>86288067091</v>
      </c>
      <c r="H5335" t="s">
        <v>19990</v>
      </c>
      <c r="I5335" t="s">
        <v>19990</v>
      </c>
      <c r="J5335" t="s">
        <v>19991</v>
      </c>
    </row>
    <row r="5336" spans="6:10">
      <c r="F5336" t="s">
        <v>19992</v>
      </c>
      <c r="G5336">
        <v>145154076</v>
      </c>
      <c r="H5336" t="s">
        <v>19993</v>
      </c>
      <c r="I5336" t="s">
        <v>19993</v>
      </c>
      <c r="J5336" t="s">
        <v>19994</v>
      </c>
    </row>
    <row r="5337" spans="6:10">
      <c r="F5337" t="s">
        <v>19995</v>
      </c>
      <c r="G5337">
        <v>38397102868</v>
      </c>
      <c r="H5337" t="s">
        <v>19996</v>
      </c>
      <c r="I5337" t="s">
        <v>19996</v>
      </c>
      <c r="J5337" t="s">
        <v>19997</v>
      </c>
    </row>
    <row r="5338" spans="6:10">
      <c r="F5338" t="s">
        <v>19998</v>
      </c>
      <c r="G5338">
        <v>11693557495</v>
      </c>
      <c r="H5338" t="s">
        <v>19999</v>
      </c>
      <c r="I5338" t="s">
        <v>20000</v>
      </c>
      <c r="J5338" t="s">
        <v>20001</v>
      </c>
    </row>
    <row r="5339" spans="6:10">
      <c r="F5339" t="s">
        <v>20002</v>
      </c>
      <c r="G5339">
        <v>19578863748</v>
      </c>
      <c r="H5339" t="s">
        <v>20003</v>
      </c>
      <c r="I5339" t="s">
        <v>20004</v>
      </c>
      <c r="J5339" t="s">
        <v>20005</v>
      </c>
    </row>
    <row r="5340" spans="6:10">
      <c r="F5340" t="s">
        <v>20006</v>
      </c>
      <c r="G5340">
        <v>5337</v>
      </c>
      <c r="H5340" t="s">
        <v>20007</v>
      </c>
      <c r="I5340" t="s">
        <v>20008</v>
      </c>
      <c r="J5340" t="s">
        <v>20009</v>
      </c>
    </row>
    <row r="5341" spans="6:10">
      <c r="F5341" t="s">
        <v>20010</v>
      </c>
      <c r="G5341">
        <v>5338</v>
      </c>
      <c r="H5341" t="s">
        <v>20011</v>
      </c>
      <c r="I5341" t="s">
        <v>20012</v>
      </c>
      <c r="J5341" t="s">
        <v>20013</v>
      </c>
    </row>
    <row r="5342" spans="6:10">
      <c r="F5342" t="s">
        <v>20014</v>
      </c>
      <c r="G5342">
        <v>5339</v>
      </c>
      <c r="H5342" t="s">
        <v>20015</v>
      </c>
      <c r="I5342" t="s">
        <v>20015</v>
      </c>
      <c r="J5342" t="s">
        <v>20016</v>
      </c>
    </row>
    <row r="5343" spans="6:10">
      <c r="F5343" t="s">
        <v>20017</v>
      </c>
      <c r="G5343">
        <v>5340</v>
      </c>
      <c r="H5343" t="s">
        <v>20018</v>
      </c>
      <c r="I5343" t="s">
        <v>20018</v>
      </c>
      <c r="J5343" t="s">
        <v>20019</v>
      </c>
    </row>
    <row r="5344" spans="6:10">
      <c r="F5344" t="s">
        <v>20020</v>
      </c>
      <c r="G5344">
        <v>5341</v>
      </c>
      <c r="H5344" t="s">
        <v>20021</v>
      </c>
      <c r="I5344" t="s">
        <v>20021</v>
      </c>
      <c r="J5344" t="s">
        <v>20022</v>
      </c>
    </row>
    <row r="5345" spans="6:10">
      <c r="F5345" t="s">
        <v>20023</v>
      </c>
      <c r="G5345">
        <v>5342</v>
      </c>
      <c r="H5345" t="s">
        <v>20024</v>
      </c>
      <c r="I5345" t="s">
        <v>20025</v>
      </c>
      <c r="J5345" t="s">
        <v>20026</v>
      </c>
    </row>
    <row r="5346" spans="6:10">
      <c r="F5346" t="s">
        <v>20027</v>
      </c>
      <c r="G5346">
        <v>5343</v>
      </c>
      <c r="H5346" t="s">
        <v>20028</v>
      </c>
      <c r="I5346" t="s">
        <v>20029</v>
      </c>
      <c r="J5346" t="s">
        <v>20030</v>
      </c>
    </row>
    <row r="5347" spans="6:10">
      <c r="F5347" t="s">
        <v>20031</v>
      </c>
      <c r="G5347">
        <v>5344</v>
      </c>
      <c r="H5347" t="s">
        <v>20032</v>
      </c>
      <c r="I5347" t="s">
        <v>20033</v>
      </c>
      <c r="J5347" t="s">
        <v>20034</v>
      </c>
    </row>
    <row r="5348" spans="6:10">
      <c r="F5348" t="s">
        <v>20035</v>
      </c>
      <c r="G5348">
        <v>5345</v>
      </c>
      <c r="H5348" t="s">
        <v>20036</v>
      </c>
      <c r="I5348" t="s">
        <v>20036</v>
      </c>
      <c r="J5348" t="s">
        <v>20037</v>
      </c>
    </row>
    <row r="5349" spans="6:10">
      <c r="F5349" t="s">
        <v>20038</v>
      </c>
      <c r="G5349">
        <v>5346</v>
      </c>
      <c r="H5349" t="s">
        <v>20039</v>
      </c>
      <c r="I5349" t="s">
        <v>20039</v>
      </c>
      <c r="J5349" t="s">
        <v>20040</v>
      </c>
    </row>
    <row r="5350" spans="6:10">
      <c r="F5350" t="s">
        <v>20041</v>
      </c>
      <c r="G5350">
        <v>5347</v>
      </c>
      <c r="H5350" t="s">
        <v>20042</v>
      </c>
      <c r="I5350" t="s">
        <v>20043</v>
      </c>
      <c r="J5350" t="s">
        <v>20044</v>
      </c>
    </row>
    <row r="5351" spans="6:10">
      <c r="F5351" t="s">
        <v>20045</v>
      </c>
      <c r="G5351">
        <v>5348</v>
      </c>
      <c r="H5351" t="s">
        <v>20046</v>
      </c>
      <c r="I5351" t="s">
        <v>20046</v>
      </c>
      <c r="J5351" t="s">
        <v>20047</v>
      </c>
    </row>
    <row r="5352" spans="6:10">
      <c r="F5352" t="s">
        <v>20048</v>
      </c>
      <c r="G5352">
        <v>6974156782</v>
      </c>
      <c r="H5352" t="s">
        <v>20049</v>
      </c>
      <c r="I5352" t="s">
        <v>20050</v>
      </c>
      <c r="J5352" t="s">
        <v>20051</v>
      </c>
    </row>
    <row r="5353" spans="6:10">
      <c r="F5353" t="s">
        <v>20052</v>
      </c>
      <c r="G5353">
        <v>5350</v>
      </c>
      <c r="H5353" t="s">
        <v>20053</v>
      </c>
      <c r="I5353" t="s">
        <v>20054</v>
      </c>
      <c r="J5353" t="s">
        <v>20055</v>
      </c>
    </row>
    <row r="5354" spans="6:10">
      <c r="F5354" t="s">
        <v>20056</v>
      </c>
      <c r="G5354">
        <v>5351</v>
      </c>
      <c r="H5354" t="s">
        <v>20057</v>
      </c>
      <c r="I5354" t="s">
        <v>20058</v>
      </c>
      <c r="J5354" t="s">
        <v>20059</v>
      </c>
    </row>
    <row r="5355" spans="6:10">
      <c r="F5355" t="s">
        <v>20060</v>
      </c>
      <c r="G5355">
        <v>5352</v>
      </c>
      <c r="H5355" t="s">
        <v>20061</v>
      </c>
      <c r="I5355" t="s">
        <v>20061</v>
      </c>
      <c r="J5355" t="s">
        <v>20062</v>
      </c>
    </row>
    <row r="5356" spans="6:10">
      <c r="F5356" t="s">
        <v>20063</v>
      </c>
      <c r="G5356">
        <v>5353</v>
      </c>
      <c r="H5356" t="s">
        <v>20064</v>
      </c>
      <c r="I5356" t="s">
        <v>20064</v>
      </c>
      <c r="J5356" t="s">
        <v>20065</v>
      </c>
    </row>
    <row r="5357" spans="6:10">
      <c r="F5357" t="s">
        <v>20066</v>
      </c>
      <c r="G5357">
        <v>5354</v>
      </c>
      <c r="H5357" t="s">
        <v>20067</v>
      </c>
      <c r="I5357" t="s">
        <v>20068</v>
      </c>
      <c r="J5357" t="s">
        <v>20069</v>
      </c>
    </row>
    <row r="5358" spans="6:10">
      <c r="F5358" t="s">
        <v>20070</v>
      </c>
      <c r="G5358">
        <v>5355</v>
      </c>
      <c r="H5358" t="s">
        <v>20071</v>
      </c>
      <c r="I5358" t="s">
        <v>20072</v>
      </c>
      <c r="J5358" t="s">
        <v>20073</v>
      </c>
    </row>
    <row r="5359" spans="6:10">
      <c r="F5359" t="s">
        <v>20074</v>
      </c>
      <c r="G5359">
        <v>5356</v>
      </c>
      <c r="H5359" t="s">
        <v>20075</v>
      </c>
      <c r="I5359" t="s">
        <v>20075</v>
      </c>
      <c r="J5359" t="s">
        <v>20076</v>
      </c>
    </row>
    <row r="5360" spans="6:10">
      <c r="F5360" t="s">
        <v>20077</v>
      </c>
      <c r="G5360">
        <v>2667437063</v>
      </c>
      <c r="H5360" t="s">
        <v>20078</v>
      </c>
      <c r="I5360" t="s">
        <v>20078</v>
      </c>
      <c r="J5360" t="s">
        <v>20079</v>
      </c>
    </row>
    <row r="5361" spans="6:10">
      <c r="F5361" t="s">
        <v>20080</v>
      </c>
      <c r="G5361">
        <v>29197963801</v>
      </c>
      <c r="H5361" t="s">
        <v>20081</v>
      </c>
      <c r="I5361" t="s">
        <v>20082</v>
      </c>
      <c r="J5361" t="s">
        <v>20083</v>
      </c>
    </row>
    <row r="5362" spans="6:10">
      <c r="F5362" t="s">
        <v>20084</v>
      </c>
      <c r="G5362">
        <v>8889636610</v>
      </c>
      <c r="H5362" t="s">
        <v>20085</v>
      </c>
      <c r="I5362" t="s">
        <v>20085</v>
      </c>
      <c r="J5362" t="s">
        <v>20086</v>
      </c>
    </row>
    <row r="5363" spans="6:10">
      <c r="F5363" t="s">
        <v>20087</v>
      </c>
      <c r="G5363">
        <v>5360</v>
      </c>
      <c r="H5363" t="s">
        <v>20088</v>
      </c>
      <c r="I5363" t="s">
        <v>20089</v>
      </c>
      <c r="J5363" t="s">
        <v>20090</v>
      </c>
    </row>
    <row r="5364" spans="6:10">
      <c r="F5364" t="s">
        <v>20091</v>
      </c>
      <c r="G5364">
        <v>52928799753</v>
      </c>
      <c r="H5364" t="s">
        <v>20092</v>
      </c>
      <c r="I5364" t="s">
        <v>20092</v>
      </c>
      <c r="J5364" t="s">
        <v>20093</v>
      </c>
    </row>
    <row r="5365" spans="6:10">
      <c r="F5365" t="s">
        <v>20094</v>
      </c>
      <c r="G5365">
        <v>5362</v>
      </c>
      <c r="H5365" t="s">
        <v>20095</v>
      </c>
      <c r="I5365" t="s">
        <v>20096</v>
      </c>
      <c r="J5365" t="s">
        <v>20097</v>
      </c>
    </row>
    <row r="5366" spans="6:10">
      <c r="F5366" t="s">
        <v>20098</v>
      </c>
      <c r="G5366">
        <v>76648982691</v>
      </c>
      <c r="H5366" t="s">
        <v>20099</v>
      </c>
      <c r="I5366" t="s">
        <v>20099</v>
      </c>
      <c r="J5366" t="s">
        <v>20100</v>
      </c>
    </row>
    <row r="5367" spans="6:10">
      <c r="F5367" t="s">
        <v>20101</v>
      </c>
      <c r="G5367">
        <v>21534780653</v>
      </c>
      <c r="H5367" t="s">
        <v>20102</v>
      </c>
      <c r="I5367" t="s">
        <v>20103</v>
      </c>
      <c r="J5367" t="s">
        <v>20104</v>
      </c>
    </row>
    <row r="5368" spans="6:10">
      <c r="F5368" t="s">
        <v>20105</v>
      </c>
      <c r="G5368">
        <v>4281044795</v>
      </c>
      <c r="H5368" t="s">
        <v>20106</v>
      </c>
      <c r="I5368" t="s">
        <v>20107</v>
      </c>
      <c r="J5368" t="s">
        <v>20108</v>
      </c>
    </row>
    <row r="5369" spans="6:10">
      <c r="F5369" t="s">
        <v>20109</v>
      </c>
      <c r="G5369">
        <v>1242488537</v>
      </c>
      <c r="H5369" t="s">
        <v>20110</v>
      </c>
      <c r="I5369" t="s">
        <v>20111</v>
      </c>
      <c r="J5369" t="s">
        <v>20112</v>
      </c>
    </row>
    <row r="5370" spans="6:10">
      <c r="F5370" t="s">
        <v>20113</v>
      </c>
      <c r="G5370">
        <v>1816252700</v>
      </c>
      <c r="H5370" t="s">
        <v>20114</v>
      </c>
      <c r="I5370" t="s">
        <v>20115</v>
      </c>
      <c r="J5370" t="s">
        <v>20116</v>
      </c>
    </row>
    <row r="5371" spans="6:10">
      <c r="F5371" t="s">
        <v>20117</v>
      </c>
      <c r="G5371">
        <v>5368</v>
      </c>
      <c r="H5371" t="s">
        <v>20118</v>
      </c>
      <c r="I5371" t="s">
        <v>20119</v>
      </c>
      <c r="J5371" t="s">
        <v>20120</v>
      </c>
    </row>
    <row r="5372" spans="6:10">
      <c r="F5372" t="s">
        <v>20121</v>
      </c>
      <c r="G5372">
        <v>5369</v>
      </c>
      <c r="H5372" t="s">
        <v>20122</v>
      </c>
      <c r="I5372" t="s">
        <v>20123</v>
      </c>
      <c r="J5372" t="s">
        <v>20124</v>
      </c>
    </row>
    <row r="5373" spans="6:10">
      <c r="F5373" t="s">
        <v>20125</v>
      </c>
      <c r="G5373">
        <v>5370</v>
      </c>
      <c r="H5373" t="s">
        <v>20126</v>
      </c>
      <c r="I5373" t="s">
        <v>20127</v>
      </c>
      <c r="J5373" t="s">
        <v>20128</v>
      </c>
    </row>
    <row r="5374" spans="6:10">
      <c r="F5374" t="s">
        <v>20129</v>
      </c>
      <c r="G5374">
        <v>33929304821</v>
      </c>
      <c r="H5374" t="s">
        <v>20130</v>
      </c>
      <c r="I5374" t="s">
        <v>20130</v>
      </c>
      <c r="J5374" t="s">
        <v>20131</v>
      </c>
    </row>
    <row r="5375" spans="6:10">
      <c r="F5375" t="s">
        <v>20132</v>
      </c>
      <c r="G5375">
        <v>59465</v>
      </c>
      <c r="H5375" t="s">
        <v>20133</v>
      </c>
      <c r="I5375" t="s">
        <v>20134</v>
      </c>
      <c r="J5375" t="s">
        <v>20135</v>
      </c>
    </row>
    <row r="5376" spans="6:10">
      <c r="F5376" t="s">
        <v>20136</v>
      </c>
      <c r="G5376">
        <v>5373</v>
      </c>
      <c r="H5376" t="s">
        <v>20137</v>
      </c>
      <c r="I5376" t="s">
        <v>20138</v>
      </c>
      <c r="J5376" t="s">
        <v>20139</v>
      </c>
    </row>
    <row r="5377" spans="6:10">
      <c r="F5377" t="s">
        <v>20140</v>
      </c>
      <c r="G5377">
        <v>5374</v>
      </c>
      <c r="H5377" t="s">
        <v>20141</v>
      </c>
      <c r="I5377" t="s">
        <v>20142</v>
      </c>
      <c r="J5377" t="s">
        <v>20143</v>
      </c>
    </row>
    <row r="5378" spans="6:10">
      <c r="F5378" t="s">
        <v>20144</v>
      </c>
      <c r="G5378">
        <v>5375</v>
      </c>
      <c r="H5378" t="s">
        <v>20145</v>
      </c>
      <c r="I5378" t="s">
        <v>20146</v>
      </c>
      <c r="J5378" t="s">
        <v>20147</v>
      </c>
    </row>
    <row r="5379" spans="6:10">
      <c r="F5379" t="s">
        <v>20148</v>
      </c>
      <c r="G5379">
        <v>14891455837</v>
      </c>
      <c r="H5379" t="s">
        <v>20149</v>
      </c>
      <c r="I5379" t="s">
        <v>20149</v>
      </c>
      <c r="J5379" t="s">
        <v>20150</v>
      </c>
    </row>
    <row r="5380" spans="6:10">
      <c r="F5380" t="s">
        <v>20151</v>
      </c>
      <c r="G5380">
        <v>5377</v>
      </c>
      <c r="H5380" t="s">
        <v>20152</v>
      </c>
      <c r="I5380" t="s">
        <v>20153</v>
      </c>
      <c r="J5380" t="s">
        <v>20154</v>
      </c>
    </row>
    <row r="5381" spans="6:10">
      <c r="F5381" t="s">
        <v>20155</v>
      </c>
      <c r="G5381">
        <v>5378</v>
      </c>
      <c r="H5381" t="s">
        <v>20156</v>
      </c>
      <c r="I5381" t="s">
        <v>20157</v>
      </c>
      <c r="J5381" t="s">
        <v>20158</v>
      </c>
    </row>
    <row r="5382" spans="6:10">
      <c r="F5382" t="s">
        <v>20159</v>
      </c>
      <c r="G5382">
        <v>33667262884</v>
      </c>
      <c r="H5382" t="s">
        <v>20160</v>
      </c>
      <c r="I5382" t="s">
        <v>20161</v>
      </c>
      <c r="J5382" t="s">
        <v>20162</v>
      </c>
    </row>
    <row r="5383" spans="6:10">
      <c r="F5383" t="s">
        <v>20163</v>
      </c>
      <c r="G5383">
        <v>14037727625</v>
      </c>
      <c r="H5383" t="s">
        <v>20164</v>
      </c>
      <c r="I5383" t="s">
        <v>20164</v>
      </c>
      <c r="J5383" t="s">
        <v>20165</v>
      </c>
    </row>
    <row r="5384" spans="6:10">
      <c r="F5384" t="s">
        <v>20166</v>
      </c>
      <c r="G5384">
        <v>8662081789</v>
      </c>
      <c r="H5384" t="s">
        <v>20167</v>
      </c>
      <c r="I5384" t="s">
        <v>20168</v>
      </c>
      <c r="J5384" t="s">
        <v>20169</v>
      </c>
    </row>
    <row r="5385" spans="6:10">
      <c r="F5385" t="s">
        <v>20170</v>
      </c>
      <c r="G5385">
        <v>5382</v>
      </c>
      <c r="H5385" t="s">
        <v>20171</v>
      </c>
      <c r="I5385" t="s">
        <v>20172</v>
      </c>
      <c r="J5385" t="s">
        <v>20173</v>
      </c>
    </row>
    <row r="5386" spans="6:10">
      <c r="F5386" t="s">
        <v>20174</v>
      </c>
      <c r="G5386">
        <v>5941055102</v>
      </c>
      <c r="H5386" t="s">
        <v>20175</v>
      </c>
      <c r="I5386" t="s">
        <v>20176</v>
      </c>
      <c r="J5386" t="s">
        <v>20177</v>
      </c>
    </row>
    <row r="5387" spans="6:10">
      <c r="F5387" t="s">
        <v>20178</v>
      </c>
      <c r="G5387">
        <v>5384</v>
      </c>
      <c r="H5387" t="s">
        <v>20179</v>
      </c>
      <c r="I5387" t="s">
        <v>20179</v>
      </c>
      <c r="J5387" t="s">
        <v>20180</v>
      </c>
    </row>
    <row r="5388" spans="6:10">
      <c r="F5388" t="s">
        <v>20181</v>
      </c>
      <c r="G5388">
        <v>7277136985</v>
      </c>
      <c r="H5388" t="s">
        <v>20182</v>
      </c>
      <c r="I5388" t="s">
        <v>20183</v>
      </c>
      <c r="J5388" t="s">
        <v>20184</v>
      </c>
    </row>
    <row r="5389" spans="6:10">
      <c r="F5389" t="s">
        <v>20185</v>
      </c>
      <c r="G5389">
        <v>5386</v>
      </c>
      <c r="H5389" t="s">
        <v>20186</v>
      </c>
      <c r="I5389" t="s">
        <v>20187</v>
      </c>
      <c r="J5389" t="s">
        <v>20188</v>
      </c>
    </row>
    <row r="5390" spans="6:10">
      <c r="F5390" t="s">
        <v>20189</v>
      </c>
      <c r="G5390">
        <v>36722423816</v>
      </c>
      <c r="H5390" t="s">
        <v>20190</v>
      </c>
      <c r="I5390" t="s">
        <v>20191</v>
      </c>
      <c r="J5390" t="s">
        <v>20192</v>
      </c>
    </row>
    <row r="5391" spans="6:10">
      <c r="F5391" t="s">
        <v>20193</v>
      </c>
      <c r="G5391">
        <v>5388</v>
      </c>
      <c r="H5391" t="s">
        <v>20194</v>
      </c>
      <c r="I5391" t="s">
        <v>20195</v>
      </c>
      <c r="J5391" t="s">
        <v>20196</v>
      </c>
    </row>
    <row r="5392" spans="6:10">
      <c r="F5392" t="s">
        <v>20197</v>
      </c>
      <c r="G5392">
        <v>5389</v>
      </c>
      <c r="H5392" t="s">
        <v>20198</v>
      </c>
      <c r="I5392" t="s">
        <v>20199</v>
      </c>
      <c r="J5392" t="s">
        <v>20200</v>
      </c>
    </row>
    <row r="5393" spans="6:10">
      <c r="F5393" t="s">
        <v>20201</v>
      </c>
      <c r="G5393">
        <v>5390</v>
      </c>
      <c r="H5393" t="s">
        <v>20202</v>
      </c>
      <c r="I5393" t="s">
        <v>20203</v>
      </c>
      <c r="J5393" t="s">
        <v>20204</v>
      </c>
    </row>
    <row r="5394" spans="6:10">
      <c r="F5394" t="s">
        <v>20205</v>
      </c>
      <c r="G5394">
        <v>5391</v>
      </c>
      <c r="H5394" t="s">
        <v>20206</v>
      </c>
      <c r="I5394" t="s">
        <v>5129</v>
      </c>
      <c r="J5394" t="s">
        <v>20207</v>
      </c>
    </row>
    <row r="5395" spans="6:10">
      <c r="F5395" t="s">
        <v>20208</v>
      </c>
      <c r="G5395">
        <v>5392</v>
      </c>
      <c r="H5395" t="s">
        <v>20209</v>
      </c>
      <c r="I5395" t="s">
        <v>20209</v>
      </c>
      <c r="J5395" t="s">
        <v>20210</v>
      </c>
    </row>
    <row r="5396" spans="6:10">
      <c r="F5396" t="s">
        <v>20211</v>
      </c>
      <c r="G5396">
        <v>5246517950</v>
      </c>
      <c r="H5396" t="s">
        <v>20212</v>
      </c>
      <c r="I5396" t="s">
        <v>20213</v>
      </c>
      <c r="J5396" t="s">
        <v>20214</v>
      </c>
    </row>
    <row r="5397" spans="6:10">
      <c r="F5397" t="s">
        <v>20215</v>
      </c>
      <c r="G5397">
        <v>5394</v>
      </c>
      <c r="H5397" t="s">
        <v>20216</v>
      </c>
      <c r="I5397" t="s">
        <v>20217</v>
      </c>
      <c r="J5397" t="s">
        <v>20218</v>
      </c>
    </row>
    <row r="5398" spans="6:10">
      <c r="F5398" t="s">
        <v>20219</v>
      </c>
      <c r="G5398">
        <v>5395</v>
      </c>
      <c r="H5398" t="s">
        <v>20220</v>
      </c>
      <c r="I5398" t="s">
        <v>20221</v>
      </c>
      <c r="J5398" t="s">
        <v>20222</v>
      </c>
    </row>
    <row r="5399" spans="6:10">
      <c r="F5399" t="s">
        <v>20223</v>
      </c>
      <c r="G5399">
        <v>5396</v>
      </c>
      <c r="H5399" t="s">
        <v>20224</v>
      </c>
      <c r="I5399" t="s">
        <v>20225</v>
      </c>
      <c r="J5399" t="s">
        <v>20226</v>
      </c>
    </row>
    <row r="5400" spans="6:10">
      <c r="F5400" t="s">
        <v>20227</v>
      </c>
      <c r="G5400">
        <v>5397</v>
      </c>
      <c r="H5400" t="s">
        <v>20228</v>
      </c>
      <c r="I5400" t="s">
        <v>20229</v>
      </c>
      <c r="J5400" t="s">
        <v>20230</v>
      </c>
    </row>
    <row r="5401" spans="6:10">
      <c r="F5401" t="s">
        <v>20231</v>
      </c>
      <c r="G5401">
        <v>5398</v>
      </c>
      <c r="H5401" t="s">
        <v>20232</v>
      </c>
      <c r="I5401" t="s">
        <v>20232</v>
      </c>
      <c r="J5401" t="s">
        <v>20233</v>
      </c>
    </row>
    <row r="5402" spans="6:10">
      <c r="F5402" t="s">
        <v>20234</v>
      </c>
      <c r="G5402">
        <v>5399</v>
      </c>
      <c r="H5402" t="s">
        <v>20235</v>
      </c>
      <c r="I5402" t="s">
        <v>20236</v>
      </c>
      <c r="J5402" t="s">
        <v>20237</v>
      </c>
    </row>
    <row r="5403" spans="6:10">
      <c r="F5403" t="s">
        <v>20238</v>
      </c>
      <c r="G5403">
        <v>5400</v>
      </c>
      <c r="H5403" t="s">
        <v>20239</v>
      </c>
      <c r="I5403" t="s">
        <v>20239</v>
      </c>
      <c r="J5403" t="s">
        <v>20240</v>
      </c>
    </row>
    <row r="5404" spans="6:10">
      <c r="F5404" t="s">
        <v>20241</v>
      </c>
      <c r="G5404">
        <v>5401</v>
      </c>
      <c r="H5404" t="s">
        <v>20242</v>
      </c>
      <c r="I5404" t="s">
        <v>20243</v>
      </c>
      <c r="J5404" t="s">
        <v>20244</v>
      </c>
    </row>
    <row r="5405" spans="6:10">
      <c r="F5405" t="s">
        <v>20245</v>
      </c>
      <c r="G5405">
        <v>5402</v>
      </c>
      <c r="H5405" t="s">
        <v>20246</v>
      </c>
      <c r="I5405" t="s">
        <v>20247</v>
      </c>
      <c r="J5405" t="s">
        <v>20248</v>
      </c>
    </row>
    <row r="5406" spans="6:10">
      <c r="F5406" t="s">
        <v>20249</v>
      </c>
      <c r="G5406">
        <v>5403</v>
      </c>
      <c r="H5406" t="s">
        <v>20250</v>
      </c>
      <c r="I5406" t="s">
        <v>20251</v>
      </c>
      <c r="J5406" t="s">
        <v>20252</v>
      </c>
    </row>
    <row r="5407" spans="6:10">
      <c r="F5407" t="s">
        <v>20253</v>
      </c>
      <c r="G5407">
        <v>5404</v>
      </c>
      <c r="H5407" t="s">
        <v>20254</v>
      </c>
      <c r="I5407" t="s">
        <v>20255</v>
      </c>
      <c r="J5407" t="s">
        <v>20256</v>
      </c>
    </row>
    <row r="5408" spans="6:10">
      <c r="F5408" t="s">
        <v>20257</v>
      </c>
      <c r="G5408">
        <v>34672575420</v>
      </c>
      <c r="H5408" t="s">
        <v>20258</v>
      </c>
      <c r="I5408" t="s">
        <v>20259</v>
      </c>
      <c r="J5408" t="s">
        <v>20260</v>
      </c>
    </row>
    <row r="5409" spans="6:10">
      <c r="F5409" t="s">
        <v>20261</v>
      </c>
      <c r="G5409">
        <v>5406</v>
      </c>
      <c r="H5409" t="s">
        <v>20262</v>
      </c>
      <c r="I5409" t="s">
        <v>20263</v>
      </c>
      <c r="J5409" t="s">
        <v>20264</v>
      </c>
    </row>
    <row r="5410" spans="6:10">
      <c r="F5410" t="s">
        <v>20265</v>
      </c>
      <c r="G5410">
        <v>5407</v>
      </c>
      <c r="H5410" t="s">
        <v>20266</v>
      </c>
      <c r="I5410" t="s">
        <v>20266</v>
      </c>
      <c r="J5410" t="s">
        <v>20267</v>
      </c>
    </row>
    <row r="5411" spans="6:10">
      <c r="F5411" t="s">
        <v>20268</v>
      </c>
      <c r="G5411">
        <v>5408</v>
      </c>
      <c r="H5411" t="s">
        <v>20269</v>
      </c>
      <c r="I5411" t="s">
        <v>20270</v>
      </c>
      <c r="J5411" t="s">
        <v>20271</v>
      </c>
    </row>
    <row r="5412" spans="6:10">
      <c r="F5412" t="s">
        <v>20272</v>
      </c>
      <c r="G5412">
        <v>5409</v>
      </c>
      <c r="H5412" t="s">
        <v>20273</v>
      </c>
      <c r="I5412" t="s">
        <v>20273</v>
      </c>
      <c r="J5412" t="s">
        <v>20274</v>
      </c>
    </row>
    <row r="5413" spans="6:10">
      <c r="F5413" t="s">
        <v>20275</v>
      </c>
      <c r="G5413">
        <v>5410</v>
      </c>
      <c r="H5413" t="s">
        <v>20276</v>
      </c>
      <c r="I5413" t="s">
        <v>20277</v>
      </c>
      <c r="J5413" t="s">
        <v>20278</v>
      </c>
    </row>
    <row r="5414" spans="6:10">
      <c r="F5414" t="s">
        <v>20279</v>
      </c>
      <c r="G5414">
        <v>5411</v>
      </c>
      <c r="H5414" t="s">
        <v>20280</v>
      </c>
      <c r="I5414" t="s">
        <v>20281</v>
      </c>
      <c r="J5414" t="s">
        <v>20282</v>
      </c>
    </row>
    <row r="5415" spans="6:10">
      <c r="F5415" t="s">
        <v>20283</v>
      </c>
      <c r="G5415">
        <v>5412</v>
      </c>
      <c r="H5415" t="s">
        <v>20284</v>
      </c>
      <c r="I5415" t="s">
        <v>20284</v>
      </c>
      <c r="J5415" t="s">
        <v>20285</v>
      </c>
    </row>
    <row r="5416" spans="6:10">
      <c r="F5416" t="s">
        <v>20286</v>
      </c>
      <c r="G5416">
        <v>5413</v>
      </c>
      <c r="H5416" t="s">
        <v>20287</v>
      </c>
      <c r="I5416" t="s">
        <v>20287</v>
      </c>
      <c r="J5416" t="s">
        <v>20288</v>
      </c>
    </row>
    <row r="5417" spans="6:10">
      <c r="F5417" t="s">
        <v>20426</v>
      </c>
      <c r="G5417">
        <v>5414</v>
      </c>
      <c r="H5417" t="s">
        <v>20427</v>
      </c>
      <c r="I5417" t="s">
        <v>20427</v>
      </c>
      <c r="J5417" t="s">
        <v>20428</v>
      </c>
    </row>
    <row r="5418" spans="6:10">
      <c r="F5418" t="s">
        <v>20429</v>
      </c>
      <c r="G5418">
        <v>5415</v>
      </c>
      <c r="H5418" t="s">
        <v>20430</v>
      </c>
      <c r="I5418" t="s">
        <v>20430</v>
      </c>
      <c r="J5418" t="s">
        <v>20431</v>
      </c>
    </row>
    <row r="5419" spans="6:10">
      <c r="F5419" t="s">
        <v>20432</v>
      </c>
      <c r="G5419">
        <v>5416</v>
      </c>
      <c r="H5419" t="s">
        <v>20433</v>
      </c>
      <c r="I5419" t="s">
        <v>20434</v>
      </c>
      <c r="J5419" t="s">
        <v>20435</v>
      </c>
    </row>
    <row r="5420" spans="6:10">
      <c r="F5420" t="s">
        <v>20436</v>
      </c>
      <c r="G5420">
        <v>5417</v>
      </c>
      <c r="H5420" t="s">
        <v>20437</v>
      </c>
      <c r="I5420" t="s">
        <v>20438</v>
      </c>
      <c r="J5420" t="s">
        <v>20439</v>
      </c>
    </row>
    <row r="5421" spans="6:10">
      <c r="F5421" t="s">
        <v>20440</v>
      </c>
      <c r="G5421">
        <v>93857101504</v>
      </c>
      <c r="H5421" t="s">
        <v>20441</v>
      </c>
      <c r="I5421" t="s">
        <v>20442</v>
      </c>
      <c r="J5421" t="s">
        <v>20443</v>
      </c>
    </row>
    <row r="5422" spans="6:10">
      <c r="F5422" t="s">
        <v>20444</v>
      </c>
      <c r="G5422">
        <v>5419</v>
      </c>
      <c r="H5422" t="s">
        <v>20445</v>
      </c>
      <c r="I5422" t="s">
        <v>20446</v>
      </c>
      <c r="J5422" t="s">
        <v>20447</v>
      </c>
    </row>
    <row r="5423" spans="6:10">
      <c r="F5423" t="s">
        <v>20448</v>
      </c>
      <c r="G5423">
        <v>43336166896</v>
      </c>
      <c r="H5423" t="s">
        <v>20449</v>
      </c>
      <c r="I5423" t="s">
        <v>20449</v>
      </c>
      <c r="J5423" t="s">
        <v>20450</v>
      </c>
    </row>
    <row r="5424" spans="6:10">
      <c r="F5424" t="s">
        <v>20451</v>
      </c>
      <c r="G5424">
        <v>5421</v>
      </c>
      <c r="H5424" t="s">
        <v>20452</v>
      </c>
      <c r="I5424" t="s">
        <v>20452</v>
      </c>
      <c r="J5424" t="s">
        <v>20453</v>
      </c>
    </row>
    <row r="5425" spans="6:10">
      <c r="F5425" t="s">
        <v>20454</v>
      </c>
      <c r="G5425">
        <v>31589703847</v>
      </c>
      <c r="H5425" t="s">
        <v>20455</v>
      </c>
      <c r="I5425" t="s">
        <v>20455</v>
      </c>
      <c r="J5425" t="s">
        <v>20456</v>
      </c>
    </row>
    <row r="5426" spans="6:10">
      <c r="F5426" t="s">
        <v>20457</v>
      </c>
      <c r="G5426">
        <v>8308872107</v>
      </c>
      <c r="H5426" t="s">
        <v>20458</v>
      </c>
      <c r="I5426" t="s">
        <v>20459</v>
      </c>
      <c r="J5426" t="s">
        <v>20460</v>
      </c>
    </row>
    <row r="5427" spans="6:10">
      <c r="F5427" t="s">
        <v>20461</v>
      </c>
      <c r="G5427">
        <v>5424</v>
      </c>
      <c r="H5427" t="s">
        <v>20462</v>
      </c>
      <c r="I5427" t="s">
        <v>20463</v>
      </c>
      <c r="J5427" t="s">
        <v>20464</v>
      </c>
    </row>
    <row r="5428" spans="6:10">
      <c r="F5428" t="s">
        <v>20465</v>
      </c>
      <c r="G5428">
        <v>5425</v>
      </c>
      <c r="H5428" t="s">
        <v>20466</v>
      </c>
      <c r="I5428" t="s">
        <v>20466</v>
      </c>
      <c r="J5428" t="s">
        <v>20467</v>
      </c>
    </row>
    <row r="5429" spans="6:10">
      <c r="F5429" t="s">
        <v>20468</v>
      </c>
      <c r="G5429">
        <v>5426</v>
      </c>
      <c r="H5429" t="s">
        <v>20469</v>
      </c>
      <c r="I5429" t="s">
        <v>20470</v>
      </c>
      <c r="J5429" t="s">
        <v>20471</v>
      </c>
    </row>
    <row r="5430" spans="6:10">
      <c r="F5430" t="s">
        <v>20472</v>
      </c>
      <c r="G5430">
        <v>5427</v>
      </c>
      <c r="H5430" t="s">
        <v>20473</v>
      </c>
      <c r="I5430" t="s">
        <v>20473</v>
      </c>
      <c r="J5430" t="s">
        <v>20474</v>
      </c>
    </row>
    <row r="5431" spans="6:10">
      <c r="F5431" t="s">
        <v>20475</v>
      </c>
      <c r="G5431">
        <v>5428</v>
      </c>
      <c r="H5431" t="s">
        <v>20476</v>
      </c>
      <c r="I5431" t="s">
        <v>20476</v>
      </c>
      <c r="J5431" t="s">
        <v>20477</v>
      </c>
    </row>
    <row r="5432" spans="6:10">
      <c r="F5432" t="s">
        <v>20478</v>
      </c>
      <c r="G5432">
        <v>5429</v>
      </c>
      <c r="H5432" t="s">
        <v>20479</v>
      </c>
      <c r="I5432" t="s">
        <v>20480</v>
      </c>
      <c r="J5432" t="s">
        <v>20481</v>
      </c>
    </row>
    <row r="5433" spans="6:10">
      <c r="F5433" t="s">
        <v>20482</v>
      </c>
      <c r="G5433">
        <v>5430</v>
      </c>
      <c r="H5433" t="s">
        <v>20483</v>
      </c>
      <c r="I5433" t="s">
        <v>20484</v>
      </c>
      <c r="J5433" t="s">
        <v>20485</v>
      </c>
    </row>
    <row r="5434" spans="6:10">
      <c r="F5434" t="s">
        <v>20486</v>
      </c>
      <c r="G5434">
        <v>5431</v>
      </c>
      <c r="H5434" t="s">
        <v>20487</v>
      </c>
      <c r="I5434" t="s">
        <v>23277</v>
      </c>
      <c r="J5434" t="s">
        <v>20488</v>
      </c>
    </row>
    <row r="5435" spans="6:10">
      <c r="F5435" t="s">
        <v>20489</v>
      </c>
      <c r="G5435">
        <v>5432</v>
      </c>
      <c r="H5435" t="s">
        <v>20490</v>
      </c>
      <c r="I5435" t="s">
        <v>20491</v>
      </c>
      <c r="J5435" t="s">
        <v>20492</v>
      </c>
    </row>
    <row r="5436" spans="6:10">
      <c r="F5436" t="s">
        <v>20493</v>
      </c>
      <c r="G5436">
        <v>5433</v>
      </c>
      <c r="H5436" t="s">
        <v>20494</v>
      </c>
      <c r="I5436" t="s">
        <v>20495</v>
      </c>
      <c r="J5436" t="s">
        <v>20496</v>
      </c>
    </row>
    <row r="5437" spans="6:10">
      <c r="F5437" t="s">
        <v>20497</v>
      </c>
      <c r="G5437">
        <v>5434</v>
      </c>
      <c r="H5437" t="s">
        <v>20498</v>
      </c>
      <c r="I5437" t="s">
        <v>20498</v>
      </c>
      <c r="J5437" t="s">
        <v>20499</v>
      </c>
    </row>
    <row r="5438" spans="6:10">
      <c r="F5438" t="s">
        <v>21179</v>
      </c>
      <c r="G5438">
        <v>13328442600</v>
      </c>
      <c r="H5438" t="s">
        <v>21180</v>
      </c>
      <c r="I5438" t="s">
        <v>21180</v>
      </c>
      <c r="J5438" t="s">
        <v>21181</v>
      </c>
    </row>
    <row r="5439" spans="6:10">
      <c r="F5439" t="s">
        <v>21182</v>
      </c>
      <c r="G5439">
        <v>33627354877</v>
      </c>
      <c r="H5439" t="s">
        <v>21183</v>
      </c>
      <c r="I5439" t="s">
        <v>21183</v>
      </c>
      <c r="J5439" t="s">
        <v>21184</v>
      </c>
    </row>
    <row r="5440" spans="6:10">
      <c r="F5440" t="s">
        <v>21185</v>
      </c>
      <c r="G5440">
        <v>5437</v>
      </c>
      <c r="H5440" t="s">
        <v>21186</v>
      </c>
      <c r="I5440" t="s">
        <v>21186</v>
      </c>
      <c r="J5440" t="s">
        <v>21187</v>
      </c>
    </row>
    <row r="5441" spans="6:10">
      <c r="F5441" t="s">
        <v>21188</v>
      </c>
      <c r="G5441">
        <v>5438</v>
      </c>
      <c r="H5441" t="s">
        <v>21189</v>
      </c>
      <c r="I5441" t="s">
        <v>21189</v>
      </c>
      <c r="J5441" t="s">
        <v>21190</v>
      </c>
    </row>
    <row r="5442" spans="6:10">
      <c r="F5442" t="s">
        <v>21191</v>
      </c>
      <c r="G5442">
        <v>5439</v>
      </c>
      <c r="H5442" t="s">
        <v>21192</v>
      </c>
      <c r="I5442" t="s">
        <v>21192</v>
      </c>
      <c r="J5442" t="s">
        <v>21193</v>
      </c>
    </row>
    <row r="5443" spans="6:10">
      <c r="F5443" t="s">
        <v>21242</v>
      </c>
      <c r="G5443">
        <v>5440</v>
      </c>
      <c r="H5443" t="s">
        <v>21243</v>
      </c>
      <c r="I5443" t="s">
        <v>21244</v>
      </c>
      <c r="J5443" t="s">
        <v>21245</v>
      </c>
    </row>
    <row r="5444" spans="6:10">
      <c r="F5444" t="s">
        <v>21246</v>
      </c>
      <c r="G5444">
        <v>50929938801</v>
      </c>
      <c r="H5444" t="s">
        <v>21247</v>
      </c>
      <c r="I5444" t="s">
        <v>21247</v>
      </c>
      <c r="J5444" t="s">
        <v>21248</v>
      </c>
    </row>
    <row r="5445" spans="6:10">
      <c r="F5445" t="s">
        <v>21249</v>
      </c>
      <c r="G5445">
        <v>5442</v>
      </c>
      <c r="H5445" t="s">
        <v>21250</v>
      </c>
      <c r="I5445" t="s">
        <v>21250</v>
      </c>
      <c r="J5445" t="s">
        <v>21251</v>
      </c>
    </row>
    <row r="5446" spans="6:10">
      <c r="F5446" t="s">
        <v>21252</v>
      </c>
      <c r="G5446">
        <v>5443</v>
      </c>
      <c r="H5446" t="s">
        <v>21253</v>
      </c>
      <c r="I5446" t="s">
        <v>21253</v>
      </c>
      <c r="J5446" t="s">
        <v>21254</v>
      </c>
    </row>
    <row r="5447" spans="6:10">
      <c r="F5447" t="s">
        <v>21255</v>
      </c>
      <c r="G5447">
        <v>5444</v>
      </c>
      <c r="H5447" t="s">
        <v>21256</v>
      </c>
      <c r="I5447" t="s">
        <v>21257</v>
      </c>
      <c r="J5447" t="s">
        <v>21258</v>
      </c>
    </row>
    <row r="5448" spans="6:10">
      <c r="F5448" t="s">
        <v>21259</v>
      </c>
      <c r="G5448">
        <v>5445</v>
      </c>
      <c r="H5448" t="s">
        <v>21260</v>
      </c>
      <c r="I5448" t="s">
        <v>21261</v>
      </c>
      <c r="J5448" t="s">
        <v>21262</v>
      </c>
    </row>
    <row r="5449" spans="6:10">
      <c r="F5449" t="s">
        <v>21263</v>
      </c>
      <c r="G5449">
        <v>5446</v>
      </c>
      <c r="H5449" t="s">
        <v>21264</v>
      </c>
      <c r="I5449" t="s">
        <v>21264</v>
      </c>
      <c r="J5449" t="s">
        <v>21265</v>
      </c>
    </row>
    <row r="5450" spans="6:10">
      <c r="F5450" t="s">
        <v>21266</v>
      </c>
      <c r="G5450">
        <v>5447</v>
      </c>
      <c r="H5450" t="s">
        <v>21267</v>
      </c>
      <c r="I5450" t="s">
        <v>21268</v>
      </c>
      <c r="J5450" t="s">
        <v>21269</v>
      </c>
    </row>
    <row r="5451" spans="6:10">
      <c r="F5451" t="s">
        <v>21270</v>
      </c>
      <c r="G5451">
        <v>5448</v>
      </c>
      <c r="H5451" t="s">
        <v>21271</v>
      </c>
      <c r="I5451" t="s">
        <v>21272</v>
      </c>
      <c r="J5451" t="s">
        <v>21273</v>
      </c>
    </row>
    <row r="5452" spans="6:10">
      <c r="F5452" t="s">
        <v>21274</v>
      </c>
      <c r="G5452">
        <v>5449</v>
      </c>
      <c r="H5452" t="s">
        <v>21275</v>
      </c>
      <c r="I5452" t="s">
        <v>21276</v>
      </c>
      <c r="J5452" t="s">
        <v>21277</v>
      </c>
    </row>
    <row r="5453" spans="6:10">
      <c r="F5453" t="s">
        <v>21278</v>
      </c>
      <c r="G5453">
        <v>5450</v>
      </c>
      <c r="H5453" t="s">
        <v>21279</v>
      </c>
      <c r="I5453" t="s">
        <v>21280</v>
      </c>
      <c r="J5453" t="s">
        <v>21281</v>
      </c>
    </row>
    <row r="5454" spans="6:10">
      <c r="F5454" t="s">
        <v>21282</v>
      </c>
      <c r="G5454">
        <v>5451</v>
      </c>
      <c r="H5454" t="s">
        <v>21283</v>
      </c>
      <c r="I5454" t="s">
        <v>21284</v>
      </c>
      <c r="J5454" t="s">
        <v>21285</v>
      </c>
    </row>
    <row r="5455" spans="6:10">
      <c r="F5455" t="s">
        <v>21286</v>
      </c>
      <c r="G5455">
        <v>5452</v>
      </c>
      <c r="H5455" t="s">
        <v>21287</v>
      </c>
      <c r="I5455" t="s">
        <v>21288</v>
      </c>
      <c r="J5455" t="s">
        <v>21289</v>
      </c>
    </row>
    <row r="5456" spans="6:10">
      <c r="F5456" t="s">
        <v>21290</v>
      </c>
      <c r="G5456">
        <v>32685618880</v>
      </c>
      <c r="H5456" t="s">
        <v>21291</v>
      </c>
      <c r="I5456" t="s">
        <v>21291</v>
      </c>
      <c r="J5456" t="s">
        <v>21292</v>
      </c>
    </row>
    <row r="5457" spans="6:10">
      <c r="F5457" t="s">
        <v>21293</v>
      </c>
      <c r="G5457">
        <v>5454</v>
      </c>
      <c r="H5457" t="s">
        <v>21294</v>
      </c>
      <c r="I5457" t="s">
        <v>21295</v>
      </c>
      <c r="J5457" t="s">
        <v>21296</v>
      </c>
    </row>
    <row r="5458" spans="6:10">
      <c r="F5458" t="s">
        <v>21297</v>
      </c>
      <c r="G5458">
        <v>5455</v>
      </c>
      <c r="H5458" t="s">
        <v>21298</v>
      </c>
      <c r="I5458" t="s">
        <v>21299</v>
      </c>
      <c r="J5458" t="s">
        <v>21300</v>
      </c>
    </row>
    <row r="5459" spans="6:10">
      <c r="F5459" t="s">
        <v>21430</v>
      </c>
      <c r="G5459">
        <v>5456</v>
      </c>
      <c r="H5459" t="s">
        <v>21431</v>
      </c>
      <c r="I5459" t="s">
        <v>21432</v>
      </c>
      <c r="J5459" t="s">
        <v>21433</v>
      </c>
    </row>
    <row r="5460" spans="6:10">
      <c r="F5460" t="s">
        <v>21434</v>
      </c>
      <c r="G5460">
        <v>5457</v>
      </c>
      <c r="H5460" t="s">
        <v>21435</v>
      </c>
      <c r="I5460" t="s">
        <v>21436</v>
      </c>
      <c r="J5460" t="s">
        <v>21437</v>
      </c>
    </row>
    <row r="5461" spans="6:10">
      <c r="F5461" t="s">
        <v>21438</v>
      </c>
      <c r="G5461">
        <v>5458</v>
      </c>
      <c r="H5461" t="s">
        <v>21439</v>
      </c>
      <c r="I5461" t="s">
        <v>21440</v>
      </c>
      <c r="J5461" t="s">
        <v>21441</v>
      </c>
    </row>
    <row r="5462" spans="6:10">
      <c r="F5462" t="s">
        <v>21442</v>
      </c>
      <c r="G5462">
        <v>5459</v>
      </c>
      <c r="H5462" t="s">
        <v>21443</v>
      </c>
      <c r="I5462" t="s">
        <v>21443</v>
      </c>
      <c r="J5462" t="s">
        <v>21444</v>
      </c>
    </row>
    <row r="5463" spans="6:10">
      <c r="F5463" t="s">
        <v>21445</v>
      </c>
      <c r="G5463">
        <v>5460</v>
      </c>
      <c r="H5463" t="s">
        <v>21446</v>
      </c>
      <c r="I5463" t="s">
        <v>21447</v>
      </c>
      <c r="J5463" t="s">
        <v>21448</v>
      </c>
    </row>
    <row r="5464" spans="6:10">
      <c r="F5464" t="s">
        <v>22189</v>
      </c>
      <c r="G5464">
        <v>5461</v>
      </c>
      <c r="H5464" t="s">
        <v>22190</v>
      </c>
      <c r="I5464" t="s">
        <v>22190</v>
      </c>
      <c r="J5464" t="s">
        <v>22191</v>
      </c>
    </row>
    <row r="5465" spans="6:10">
      <c r="F5465" t="s">
        <v>22192</v>
      </c>
      <c r="G5465">
        <v>5462</v>
      </c>
      <c r="H5465" t="s">
        <v>22193</v>
      </c>
      <c r="I5465" t="s">
        <v>22193</v>
      </c>
      <c r="J5465" t="s">
        <v>22194</v>
      </c>
    </row>
    <row r="5466" spans="6:10">
      <c r="F5466" t="s">
        <v>22195</v>
      </c>
      <c r="G5466">
        <v>46265054813</v>
      </c>
      <c r="H5466" t="s">
        <v>22196</v>
      </c>
      <c r="I5466" t="s">
        <v>22197</v>
      </c>
      <c r="J5466" t="s">
        <v>22198</v>
      </c>
    </row>
    <row r="5467" spans="6:10">
      <c r="F5467" t="s">
        <v>22199</v>
      </c>
      <c r="G5467">
        <v>5464</v>
      </c>
      <c r="H5467" t="s">
        <v>22200</v>
      </c>
      <c r="I5467" t="s">
        <v>22201</v>
      </c>
      <c r="J5467" t="s">
        <v>22202</v>
      </c>
    </row>
    <row r="5468" spans="6:10">
      <c r="F5468" t="s">
        <v>22203</v>
      </c>
      <c r="G5468">
        <v>25030782818</v>
      </c>
      <c r="H5468" t="s">
        <v>22204</v>
      </c>
      <c r="I5468" t="s">
        <v>22204</v>
      </c>
      <c r="J5468" t="s">
        <v>22205</v>
      </c>
    </row>
    <row r="5469" spans="6:10">
      <c r="F5469" t="s">
        <v>22206</v>
      </c>
      <c r="G5469">
        <v>5466</v>
      </c>
      <c r="H5469" t="s">
        <v>22207</v>
      </c>
      <c r="I5469" t="s">
        <v>22207</v>
      </c>
      <c r="J5469" t="s">
        <v>22208</v>
      </c>
    </row>
    <row r="5470" spans="6:10">
      <c r="F5470" t="s">
        <v>22209</v>
      </c>
      <c r="G5470">
        <v>5467</v>
      </c>
      <c r="H5470" t="s">
        <v>22210</v>
      </c>
      <c r="I5470" t="s">
        <v>22210</v>
      </c>
      <c r="J5470" t="s">
        <v>22211</v>
      </c>
    </row>
    <row r="5471" spans="6:10">
      <c r="F5471" t="s">
        <v>22212</v>
      </c>
      <c r="G5471">
        <v>5468</v>
      </c>
      <c r="H5471" t="s">
        <v>22213</v>
      </c>
      <c r="I5471" t="s">
        <v>22214</v>
      </c>
      <c r="J5471" t="s">
        <v>22215</v>
      </c>
    </row>
    <row r="5472" spans="6:10">
      <c r="F5472" t="s">
        <v>22216</v>
      </c>
      <c r="G5472">
        <v>72500638715</v>
      </c>
      <c r="H5472" t="s">
        <v>22217</v>
      </c>
      <c r="I5472" t="s">
        <v>22218</v>
      </c>
      <c r="J5472" t="s">
        <v>22219</v>
      </c>
    </row>
    <row r="5473" spans="6:10">
      <c r="F5473" t="s">
        <v>22220</v>
      </c>
      <c r="G5473">
        <v>10848130766</v>
      </c>
      <c r="H5473" t="s">
        <v>22221</v>
      </c>
      <c r="I5473" t="s">
        <v>22221</v>
      </c>
      <c r="J5473" t="s">
        <v>22222</v>
      </c>
    </row>
    <row r="5474" spans="6:10">
      <c r="F5474" t="s">
        <v>22223</v>
      </c>
      <c r="G5474">
        <v>14206100748</v>
      </c>
      <c r="H5474" t="s">
        <v>22224</v>
      </c>
      <c r="I5474" t="s">
        <v>22224</v>
      </c>
      <c r="J5474" t="s">
        <v>22225</v>
      </c>
    </row>
    <row r="5475" spans="6:10">
      <c r="F5475" t="s">
        <v>22226</v>
      </c>
      <c r="G5475">
        <v>9957153781</v>
      </c>
      <c r="H5475" t="s">
        <v>22227</v>
      </c>
      <c r="I5475" t="s">
        <v>22227</v>
      </c>
      <c r="J5475" t="s">
        <v>22228</v>
      </c>
    </row>
    <row r="5476" spans="6:10">
      <c r="F5476" t="s">
        <v>22229</v>
      </c>
      <c r="G5476">
        <v>5473</v>
      </c>
      <c r="H5476" t="s">
        <v>22230</v>
      </c>
      <c r="I5476" t="s">
        <v>22231</v>
      </c>
      <c r="J5476" t="s">
        <v>22232</v>
      </c>
    </row>
    <row r="5477" spans="6:10">
      <c r="F5477" t="s">
        <v>22233</v>
      </c>
      <c r="G5477">
        <v>5474</v>
      </c>
      <c r="H5477" t="s">
        <v>22234</v>
      </c>
      <c r="I5477" t="s">
        <v>22235</v>
      </c>
      <c r="J5477" t="s">
        <v>22236</v>
      </c>
    </row>
    <row r="5478" spans="6:10">
      <c r="F5478" t="s">
        <v>22237</v>
      </c>
      <c r="G5478">
        <v>5475</v>
      </c>
      <c r="H5478" t="s">
        <v>22238</v>
      </c>
      <c r="I5478" t="s">
        <v>22238</v>
      </c>
      <c r="J5478" t="s">
        <v>22239</v>
      </c>
    </row>
    <row r="5479" spans="6:10">
      <c r="F5479" t="s">
        <v>22240</v>
      </c>
      <c r="G5479">
        <v>5476</v>
      </c>
      <c r="H5479" t="s">
        <v>22241</v>
      </c>
      <c r="I5479" t="s">
        <v>22241</v>
      </c>
      <c r="J5479" t="s">
        <v>22242</v>
      </c>
    </row>
    <row r="5480" spans="6:10">
      <c r="F5480" t="s">
        <v>22243</v>
      </c>
      <c r="G5480">
        <v>5477</v>
      </c>
      <c r="H5480" t="s">
        <v>22244</v>
      </c>
      <c r="I5480" t="s">
        <v>22245</v>
      </c>
      <c r="J5480" t="s">
        <v>22246</v>
      </c>
    </row>
    <row r="5481" spans="6:10">
      <c r="F5481" t="s">
        <v>22247</v>
      </c>
      <c r="G5481">
        <v>5478</v>
      </c>
      <c r="H5481" t="s">
        <v>22248</v>
      </c>
      <c r="I5481" t="s">
        <v>22248</v>
      </c>
      <c r="J5481" t="s">
        <v>22249</v>
      </c>
    </row>
    <row r="5482" spans="6:10">
      <c r="F5482" t="s">
        <v>22250</v>
      </c>
      <c r="G5482">
        <v>5479</v>
      </c>
      <c r="H5482" t="s">
        <v>22251</v>
      </c>
      <c r="I5482" t="s">
        <v>22252</v>
      </c>
      <c r="J5482" t="s">
        <v>22253</v>
      </c>
    </row>
    <row r="5483" spans="6:10">
      <c r="F5483" t="s">
        <v>22254</v>
      </c>
      <c r="G5483">
        <v>5480</v>
      </c>
      <c r="H5483" t="s">
        <v>22255</v>
      </c>
      <c r="I5483" t="s">
        <v>22256</v>
      </c>
      <c r="J5483" t="s">
        <v>22257</v>
      </c>
    </row>
    <row r="5484" spans="6:10">
      <c r="F5484" t="s">
        <v>22258</v>
      </c>
      <c r="G5484">
        <v>11068243694</v>
      </c>
      <c r="H5484" t="s">
        <v>22259</v>
      </c>
      <c r="I5484" t="s">
        <v>22260</v>
      </c>
      <c r="J5484" t="s">
        <v>22261</v>
      </c>
    </row>
    <row r="5485" spans="6:10">
      <c r="F5485" t="s">
        <v>22262</v>
      </c>
      <c r="G5485">
        <v>5482</v>
      </c>
      <c r="H5485" t="s">
        <v>22263</v>
      </c>
      <c r="I5485" t="s">
        <v>22263</v>
      </c>
      <c r="J5485" t="s">
        <v>22264</v>
      </c>
    </row>
    <row r="5486" spans="6:10">
      <c r="F5486" t="s">
        <v>22265</v>
      </c>
      <c r="G5486">
        <v>5483</v>
      </c>
      <c r="H5486" t="s">
        <v>22266</v>
      </c>
      <c r="I5486" t="s">
        <v>22267</v>
      </c>
      <c r="J5486" t="s">
        <v>22268</v>
      </c>
    </row>
    <row r="5487" spans="6:10">
      <c r="F5487" t="s">
        <v>22269</v>
      </c>
      <c r="G5487">
        <v>5484</v>
      </c>
      <c r="H5487" t="s">
        <v>22185</v>
      </c>
      <c r="I5487" t="s">
        <v>22186</v>
      </c>
      <c r="J5487" t="s">
        <v>22270</v>
      </c>
    </row>
    <row r="5488" spans="6:10">
      <c r="F5488" t="s">
        <v>22271</v>
      </c>
      <c r="G5488">
        <v>5485</v>
      </c>
      <c r="H5488" t="s">
        <v>1744</v>
      </c>
      <c r="I5488" t="s">
        <v>22272</v>
      </c>
      <c r="J5488" t="s">
        <v>22273</v>
      </c>
    </row>
    <row r="5489" spans="6:10">
      <c r="F5489" t="s">
        <v>22274</v>
      </c>
      <c r="G5489">
        <v>5486</v>
      </c>
      <c r="H5489" t="s">
        <v>22275</v>
      </c>
      <c r="I5489" t="s">
        <v>22276</v>
      </c>
      <c r="J5489" t="s">
        <v>22277</v>
      </c>
    </row>
    <row r="5490" spans="6:10">
      <c r="F5490" t="s">
        <v>22278</v>
      </c>
      <c r="G5490">
        <v>3465193903</v>
      </c>
      <c r="H5490" t="s">
        <v>22279</v>
      </c>
      <c r="I5490" t="s">
        <v>22279</v>
      </c>
      <c r="J5490" t="s">
        <v>22280</v>
      </c>
    </row>
    <row r="5491" spans="6:10">
      <c r="F5491" t="s">
        <v>22281</v>
      </c>
      <c r="G5491">
        <v>6869363455</v>
      </c>
      <c r="H5491" t="s">
        <v>22282</v>
      </c>
      <c r="I5491" t="s">
        <v>22283</v>
      </c>
      <c r="J5491" t="s">
        <v>22284</v>
      </c>
    </row>
    <row r="5492" spans="6:10">
      <c r="F5492" t="s">
        <v>22285</v>
      </c>
      <c r="G5492">
        <v>5489</v>
      </c>
      <c r="H5492" t="s">
        <v>22286</v>
      </c>
      <c r="I5492" t="s">
        <v>22286</v>
      </c>
      <c r="J5492" t="s">
        <v>22287</v>
      </c>
    </row>
    <row r="5493" spans="6:10">
      <c r="F5493" t="s">
        <v>22288</v>
      </c>
      <c r="G5493">
        <v>13489113799</v>
      </c>
      <c r="H5493" t="s">
        <v>22289</v>
      </c>
      <c r="I5493" t="s">
        <v>22289</v>
      </c>
      <c r="J5493" t="s">
        <v>22290</v>
      </c>
    </row>
    <row r="5494" spans="6:10">
      <c r="F5494" t="s">
        <v>22291</v>
      </c>
      <c r="G5494">
        <v>656254807</v>
      </c>
      <c r="H5494" t="s">
        <v>22292</v>
      </c>
      <c r="I5494" t="s">
        <v>22292</v>
      </c>
      <c r="J5494" t="s">
        <v>22293</v>
      </c>
    </row>
    <row r="5495" spans="6:10">
      <c r="F5495" t="s">
        <v>22294</v>
      </c>
      <c r="G5495">
        <v>5492</v>
      </c>
      <c r="H5495" t="s">
        <v>22295</v>
      </c>
      <c r="I5495" t="s">
        <v>22296</v>
      </c>
      <c r="J5495" t="s">
        <v>22297</v>
      </c>
    </row>
    <row r="5496" spans="6:10">
      <c r="F5496" t="s">
        <v>22298</v>
      </c>
      <c r="G5496">
        <v>5493</v>
      </c>
      <c r="H5496" t="s">
        <v>22299</v>
      </c>
      <c r="I5496" t="s">
        <v>22300</v>
      </c>
      <c r="J5496" t="s">
        <v>22301</v>
      </c>
    </row>
    <row r="5497" spans="6:10">
      <c r="F5497" t="s">
        <v>22302</v>
      </c>
      <c r="G5497">
        <v>5494</v>
      </c>
      <c r="H5497" t="s">
        <v>22303</v>
      </c>
      <c r="I5497" t="s">
        <v>22304</v>
      </c>
      <c r="J5497" t="s">
        <v>22305</v>
      </c>
    </row>
    <row r="5498" spans="6:10">
      <c r="F5498" t="s">
        <v>22306</v>
      </c>
      <c r="G5498">
        <v>5495</v>
      </c>
      <c r="H5498" t="s">
        <v>22307</v>
      </c>
      <c r="I5498" t="s">
        <v>22307</v>
      </c>
      <c r="J5498" t="s">
        <v>22308</v>
      </c>
    </row>
    <row r="5499" spans="6:10">
      <c r="F5499" t="s">
        <v>22309</v>
      </c>
      <c r="G5499">
        <v>5496</v>
      </c>
      <c r="H5499" t="s">
        <v>22310</v>
      </c>
      <c r="I5499" t="s">
        <v>22311</v>
      </c>
      <c r="J5499" t="s">
        <v>22312</v>
      </c>
    </row>
    <row r="5500" spans="6:10">
      <c r="F5500" t="s">
        <v>22313</v>
      </c>
      <c r="G5500">
        <v>5497</v>
      </c>
      <c r="H5500" t="s">
        <v>22314</v>
      </c>
      <c r="I5500" t="s">
        <v>22315</v>
      </c>
      <c r="J5500" t="s">
        <v>22316</v>
      </c>
    </row>
    <row r="5501" spans="6:10">
      <c r="F5501" t="s">
        <v>22317</v>
      </c>
      <c r="G5501">
        <v>5498</v>
      </c>
      <c r="H5501" t="s">
        <v>22318</v>
      </c>
      <c r="I5501" t="s">
        <v>22319</v>
      </c>
      <c r="J5501" t="s">
        <v>22320</v>
      </c>
    </row>
    <row r="5502" spans="6:10">
      <c r="F5502" t="s">
        <v>22321</v>
      </c>
      <c r="G5502">
        <v>5499</v>
      </c>
      <c r="H5502" t="s">
        <v>22322</v>
      </c>
      <c r="I5502" t="s">
        <v>22322</v>
      </c>
      <c r="J5502" t="s">
        <v>22323</v>
      </c>
    </row>
    <row r="5503" spans="6:10">
      <c r="F5503" t="s">
        <v>22324</v>
      </c>
      <c r="G5503">
        <v>5500</v>
      </c>
      <c r="H5503" t="s">
        <v>22325</v>
      </c>
      <c r="I5503" t="s">
        <v>22326</v>
      </c>
      <c r="J5503" t="s">
        <v>22327</v>
      </c>
    </row>
    <row r="5504" spans="6:10">
      <c r="F5504" t="s">
        <v>22373</v>
      </c>
      <c r="G5504">
        <v>1942899157</v>
      </c>
      <c r="H5504" t="s">
        <v>22374</v>
      </c>
      <c r="I5504" t="s">
        <v>22375</v>
      </c>
      <c r="J5504" t="s">
        <v>22376</v>
      </c>
    </row>
    <row r="5505" spans="6:10">
      <c r="F5505" t="s">
        <v>22377</v>
      </c>
      <c r="G5505">
        <v>5502</v>
      </c>
      <c r="H5505" t="s">
        <v>22378</v>
      </c>
      <c r="I5505" t="s">
        <v>22379</v>
      </c>
      <c r="J5505" t="s">
        <v>22380</v>
      </c>
    </row>
    <row r="5506" spans="6:10">
      <c r="F5506" t="s">
        <v>22381</v>
      </c>
      <c r="G5506">
        <v>5503</v>
      </c>
      <c r="H5506" t="s">
        <v>22382</v>
      </c>
      <c r="I5506" t="s">
        <v>22383</v>
      </c>
      <c r="J5506" t="s">
        <v>22384</v>
      </c>
    </row>
    <row r="5507" spans="6:10">
      <c r="F5507" t="s">
        <v>22385</v>
      </c>
      <c r="G5507">
        <v>5504</v>
      </c>
      <c r="H5507" t="s">
        <v>22386</v>
      </c>
      <c r="I5507" t="s">
        <v>22387</v>
      </c>
      <c r="J5507" t="s">
        <v>22388</v>
      </c>
    </row>
    <row r="5508" spans="6:10">
      <c r="F5508" t="s">
        <v>22389</v>
      </c>
      <c r="G5508">
        <v>5505</v>
      </c>
      <c r="H5508" t="s">
        <v>22390</v>
      </c>
      <c r="I5508" t="s">
        <v>22391</v>
      </c>
      <c r="J5508" t="s">
        <v>22392</v>
      </c>
    </row>
    <row r="5509" spans="6:10">
      <c r="F5509" t="s">
        <v>22393</v>
      </c>
      <c r="G5509">
        <v>5506</v>
      </c>
      <c r="H5509" t="s">
        <v>22394</v>
      </c>
      <c r="I5509" t="s">
        <v>22394</v>
      </c>
      <c r="J5509" t="s">
        <v>22395</v>
      </c>
    </row>
    <row r="5510" spans="6:10">
      <c r="F5510" t="s">
        <v>22396</v>
      </c>
      <c r="G5510">
        <v>5507</v>
      </c>
      <c r="H5510" t="s">
        <v>22397</v>
      </c>
      <c r="I5510" t="s">
        <v>22398</v>
      </c>
      <c r="J5510" t="s">
        <v>22399</v>
      </c>
    </row>
    <row r="5511" spans="6:10">
      <c r="F5511" t="s">
        <v>22400</v>
      </c>
      <c r="G5511">
        <v>5508</v>
      </c>
      <c r="H5511" t="s">
        <v>22401</v>
      </c>
      <c r="I5511" t="s">
        <v>22391</v>
      </c>
      <c r="J5511" t="s">
        <v>22402</v>
      </c>
    </row>
    <row r="5512" spans="6:10">
      <c r="F5512" t="s">
        <v>22403</v>
      </c>
      <c r="G5512">
        <v>83593985772</v>
      </c>
      <c r="H5512" t="s">
        <v>22404</v>
      </c>
      <c r="I5512" t="s">
        <v>22404</v>
      </c>
      <c r="J5512" t="s">
        <v>22405</v>
      </c>
    </row>
    <row r="5513" spans="6:10">
      <c r="F5513" t="s">
        <v>22406</v>
      </c>
      <c r="G5513">
        <v>5510</v>
      </c>
      <c r="H5513" t="s">
        <v>22407</v>
      </c>
      <c r="I5513" t="s">
        <v>22408</v>
      </c>
      <c r="J5513" t="s">
        <v>22409</v>
      </c>
    </row>
    <row r="5514" spans="6:10">
      <c r="F5514" t="s">
        <v>22410</v>
      </c>
      <c r="G5514">
        <v>5511</v>
      </c>
      <c r="H5514" t="s">
        <v>22411</v>
      </c>
      <c r="I5514" t="s">
        <v>22412</v>
      </c>
      <c r="J5514" t="s">
        <v>22413</v>
      </c>
    </row>
    <row r="5515" spans="6:10">
      <c r="F5515" t="s">
        <v>22414</v>
      </c>
      <c r="G5515">
        <v>5512</v>
      </c>
      <c r="H5515" t="s">
        <v>22415</v>
      </c>
      <c r="I5515" t="s">
        <v>22415</v>
      </c>
      <c r="J5515" t="s">
        <v>22416</v>
      </c>
    </row>
    <row r="5516" spans="6:10">
      <c r="F5516" t="s">
        <v>22417</v>
      </c>
      <c r="G5516">
        <v>5513</v>
      </c>
      <c r="H5516" t="s">
        <v>22418</v>
      </c>
      <c r="I5516" t="s">
        <v>23009</v>
      </c>
      <c r="J5516" t="s">
        <v>22419</v>
      </c>
    </row>
    <row r="5517" spans="6:10">
      <c r="F5517" t="s">
        <v>22420</v>
      </c>
      <c r="G5517">
        <v>5514</v>
      </c>
      <c r="H5517" t="s">
        <v>22421</v>
      </c>
      <c r="I5517" t="s">
        <v>22422</v>
      </c>
      <c r="J5517" t="s">
        <v>22423</v>
      </c>
    </row>
    <row r="5518" spans="6:10">
      <c r="F5518" t="s">
        <v>22424</v>
      </c>
      <c r="G5518">
        <v>5515</v>
      </c>
      <c r="H5518" t="s">
        <v>22425</v>
      </c>
      <c r="I5518" t="s">
        <v>22426</v>
      </c>
      <c r="J5518" t="s">
        <v>22427</v>
      </c>
    </row>
    <row r="5519" spans="6:10">
      <c r="F5519" t="s">
        <v>22428</v>
      </c>
      <c r="G5519">
        <v>5516</v>
      </c>
      <c r="H5519" t="s">
        <v>22429</v>
      </c>
      <c r="I5519" t="s">
        <v>22429</v>
      </c>
      <c r="J5519" t="s">
        <v>22430</v>
      </c>
    </row>
    <row r="5520" spans="6:10">
      <c r="F5520" t="s">
        <v>22431</v>
      </c>
      <c r="G5520">
        <v>8156857186</v>
      </c>
      <c r="H5520" t="s">
        <v>22432</v>
      </c>
      <c r="I5520" t="s">
        <v>22432</v>
      </c>
      <c r="J5520" t="s">
        <v>22433</v>
      </c>
    </row>
    <row r="5521" spans="6:10">
      <c r="F5521" t="s">
        <v>22434</v>
      </c>
      <c r="G5521">
        <v>5518</v>
      </c>
      <c r="H5521" t="s">
        <v>22435</v>
      </c>
      <c r="I5521" t="s">
        <v>22436</v>
      </c>
      <c r="J5521" t="s">
        <v>22437</v>
      </c>
    </row>
    <row r="5522" spans="6:10">
      <c r="F5522" t="s">
        <v>22438</v>
      </c>
      <c r="G5522">
        <v>5519</v>
      </c>
      <c r="H5522" t="s">
        <v>22439</v>
      </c>
      <c r="I5522" t="s">
        <v>22439</v>
      </c>
      <c r="J5522" t="s">
        <v>22440</v>
      </c>
    </row>
    <row r="5523" spans="6:10">
      <c r="F5523" t="s">
        <v>22441</v>
      </c>
      <c r="G5523">
        <v>5520</v>
      </c>
      <c r="H5523" t="s">
        <v>13267</v>
      </c>
      <c r="I5523" t="s">
        <v>13267</v>
      </c>
      <c r="J5523" t="s">
        <v>22442</v>
      </c>
    </row>
    <row r="5524" spans="6:10">
      <c r="F5524" t="s">
        <v>22476</v>
      </c>
      <c r="G5524">
        <v>5521</v>
      </c>
      <c r="H5524" t="s">
        <v>22477</v>
      </c>
      <c r="I5524" t="s">
        <v>22478</v>
      </c>
      <c r="J5524" t="s">
        <v>22479</v>
      </c>
    </row>
    <row r="5525" spans="6:10">
      <c r="F5525" t="s">
        <v>22480</v>
      </c>
      <c r="G5525">
        <v>5522</v>
      </c>
      <c r="H5525" t="s">
        <v>22481</v>
      </c>
      <c r="I5525" t="s">
        <v>22482</v>
      </c>
      <c r="J5525" t="s">
        <v>22483</v>
      </c>
    </row>
    <row r="5526" spans="6:10">
      <c r="F5526" t="s">
        <v>22484</v>
      </c>
      <c r="G5526">
        <v>22580098801</v>
      </c>
      <c r="H5526" t="s">
        <v>22485</v>
      </c>
      <c r="I5526" t="s">
        <v>22485</v>
      </c>
      <c r="J5526" t="s">
        <v>22486</v>
      </c>
    </row>
    <row r="5527" spans="6:10">
      <c r="F5527" t="s">
        <v>22487</v>
      </c>
      <c r="G5527">
        <v>13485314790</v>
      </c>
      <c r="H5527" t="s">
        <v>22488</v>
      </c>
      <c r="I5527" t="s">
        <v>22489</v>
      </c>
      <c r="J5527" t="s">
        <v>22490</v>
      </c>
    </row>
    <row r="5528" spans="6:10">
      <c r="F5528" t="s">
        <v>22491</v>
      </c>
      <c r="G5528">
        <v>5525</v>
      </c>
      <c r="H5528" t="s">
        <v>22492</v>
      </c>
      <c r="I5528" t="s">
        <v>22493</v>
      </c>
      <c r="J5528" t="s">
        <v>22494</v>
      </c>
    </row>
    <row r="5529" spans="6:10">
      <c r="F5529" t="s">
        <v>22495</v>
      </c>
      <c r="G5529">
        <v>5526</v>
      </c>
      <c r="H5529" t="s">
        <v>22496</v>
      </c>
      <c r="I5529" t="s">
        <v>22497</v>
      </c>
      <c r="J5529" t="s">
        <v>22498</v>
      </c>
    </row>
    <row r="5530" spans="6:10">
      <c r="F5530" t="s">
        <v>22499</v>
      </c>
      <c r="G5530">
        <v>5527</v>
      </c>
      <c r="H5530" t="s">
        <v>22500</v>
      </c>
      <c r="I5530" t="s">
        <v>22501</v>
      </c>
      <c r="J5530" t="s">
        <v>22502</v>
      </c>
    </row>
    <row r="5531" spans="6:10">
      <c r="F5531" t="s">
        <v>22503</v>
      </c>
      <c r="G5531">
        <v>5528</v>
      </c>
      <c r="H5531" t="s">
        <v>22504</v>
      </c>
      <c r="I5531" t="s">
        <v>22505</v>
      </c>
      <c r="J5531" t="s">
        <v>22506</v>
      </c>
    </row>
    <row r="5532" spans="6:10">
      <c r="F5532" t="s">
        <v>22507</v>
      </c>
      <c r="G5532">
        <v>5529</v>
      </c>
      <c r="H5532" t="s">
        <v>22508</v>
      </c>
      <c r="I5532" t="s">
        <v>22509</v>
      </c>
      <c r="J5532" t="s">
        <v>22510</v>
      </c>
    </row>
    <row r="5533" spans="6:10">
      <c r="F5533" t="s">
        <v>22511</v>
      </c>
      <c r="G5533">
        <v>5530</v>
      </c>
      <c r="H5533" t="s">
        <v>22512</v>
      </c>
      <c r="I5533" t="s">
        <v>22513</v>
      </c>
      <c r="J5533" t="s">
        <v>22514</v>
      </c>
    </row>
    <row r="5534" spans="6:10">
      <c r="F5534" t="s">
        <v>22515</v>
      </c>
      <c r="G5534">
        <v>5531</v>
      </c>
      <c r="H5534" t="s">
        <v>22516</v>
      </c>
      <c r="I5534" t="s">
        <v>22516</v>
      </c>
      <c r="J5534" t="s">
        <v>22517</v>
      </c>
    </row>
    <row r="5535" spans="6:10">
      <c r="F5535" t="s">
        <v>22518</v>
      </c>
      <c r="G5535">
        <v>5532</v>
      </c>
      <c r="H5535" t="s">
        <v>22519</v>
      </c>
      <c r="I5535" t="s">
        <v>22520</v>
      </c>
      <c r="J5535" t="s">
        <v>22521</v>
      </c>
    </row>
    <row r="5536" spans="6:10">
      <c r="F5536" t="s">
        <v>22522</v>
      </c>
      <c r="G5536">
        <v>5533</v>
      </c>
      <c r="H5536" t="s">
        <v>22523</v>
      </c>
      <c r="I5536" t="s">
        <v>22523</v>
      </c>
      <c r="J5536" t="s">
        <v>22524</v>
      </c>
    </row>
    <row r="5537" spans="6:10">
      <c r="F5537" t="s">
        <v>22560</v>
      </c>
      <c r="G5537">
        <v>27000870893</v>
      </c>
      <c r="H5537" t="s">
        <v>22561</v>
      </c>
      <c r="I5537" t="s">
        <v>22561</v>
      </c>
      <c r="J5537" t="s">
        <v>22562</v>
      </c>
    </row>
    <row r="5538" spans="6:10">
      <c r="F5538" t="s">
        <v>22563</v>
      </c>
      <c r="G5538">
        <v>5535</v>
      </c>
      <c r="H5538" t="s">
        <v>22564</v>
      </c>
      <c r="I5538" t="s">
        <v>22565</v>
      </c>
      <c r="J5538" t="s">
        <v>22566</v>
      </c>
    </row>
    <row r="5539" spans="6:10">
      <c r="F5539" t="s">
        <v>22567</v>
      </c>
      <c r="G5539">
        <v>5536</v>
      </c>
      <c r="H5539" t="s">
        <v>22568</v>
      </c>
      <c r="I5539" t="s">
        <v>22568</v>
      </c>
      <c r="J5539" t="s">
        <v>22569</v>
      </c>
    </row>
    <row r="5540" spans="6:10">
      <c r="F5540" t="s">
        <v>22570</v>
      </c>
      <c r="G5540">
        <v>5537</v>
      </c>
      <c r="H5540" t="s">
        <v>22571</v>
      </c>
      <c r="I5540" t="s">
        <v>22572</v>
      </c>
      <c r="J5540" t="s">
        <v>22573</v>
      </c>
    </row>
    <row r="5541" spans="6:10">
      <c r="F5541" t="s">
        <v>22574</v>
      </c>
      <c r="G5541">
        <v>5538</v>
      </c>
      <c r="H5541" t="s">
        <v>22575</v>
      </c>
      <c r="I5541" t="s">
        <v>22576</v>
      </c>
      <c r="J5541" t="s">
        <v>22577</v>
      </c>
    </row>
    <row r="5542" spans="6:10">
      <c r="F5542" t="s">
        <v>22578</v>
      </c>
      <c r="G5542">
        <v>5539</v>
      </c>
      <c r="H5542" t="s">
        <v>22579</v>
      </c>
      <c r="I5542" t="s">
        <v>22580</v>
      </c>
      <c r="J5542" t="s">
        <v>22581</v>
      </c>
    </row>
    <row r="5543" spans="6:10">
      <c r="F5543" t="s">
        <v>22582</v>
      </c>
      <c r="G5543">
        <v>5540</v>
      </c>
      <c r="H5543" t="s">
        <v>22583</v>
      </c>
      <c r="I5543" t="s">
        <v>22584</v>
      </c>
      <c r="J5543" t="s">
        <v>22585</v>
      </c>
    </row>
    <row r="5544" spans="6:10">
      <c r="F5544" t="s">
        <v>22586</v>
      </c>
      <c r="G5544">
        <v>5541</v>
      </c>
      <c r="H5544" t="s">
        <v>22587</v>
      </c>
      <c r="I5544" t="s">
        <v>22588</v>
      </c>
      <c r="J5544" t="s">
        <v>22589</v>
      </c>
    </row>
    <row r="5545" spans="6:10">
      <c r="F5545" t="s">
        <v>22590</v>
      </c>
      <c r="G5545">
        <v>5542</v>
      </c>
      <c r="H5545" t="s">
        <v>22591</v>
      </c>
      <c r="I5545" t="s">
        <v>22592</v>
      </c>
      <c r="J5545" t="s">
        <v>22593</v>
      </c>
    </row>
    <row r="5546" spans="6:10">
      <c r="F5546" t="s">
        <v>22594</v>
      </c>
      <c r="G5546">
        <v>5543</v>
      </c>
      <c r="H5546" t="s">
        <v>22595</v>
      </c>
      <c r="I5546" t="s">
        <v>22596</v>
      </c>
      <c r="J5546" t="s">
        <v>22597</v>
      </c>
    </row>
    <row r="5547" spans="6:10">
      <c r="F5547" t="s">
        <v>22598</v>
      </c>
      <c r="G5547">
        <v>4750203165</v>
      </c>
      <c r="H5547" t="s">
        <v>22599</v>
      </c>
      <c r="I5547" t="s">
        <v>22599</v>
      </c>
      <c r="J5547" t="s">
        <v>22600</v>
      </c>
    </row>
    <row r="5548" spans="6:10">
      <c r="F5548" t="s">
        <v>22601</v>
      </c>
      <c r="G5548">
        <v>5545</v>
      </c>
      <c r="H5548" t="s">
        <v>22602</v>
      </c>
      <c r="I5548" t="s">
        <v>22602</v>
      </c>
      <c r="J5548" t="s">
        <v>22603</v>
      </c>
    </row>
    <row r="5549" spans="6:10">
      <c r="F5549" t="s">
        <v>22604</v>
      </c>
      <c r="G5549">
        <v>5546</v>
      </c>
      <c r="H5549" t="s">
        <v>22605</v>
      </c>
      <c r="I5549" t="s">
        <v>22606</v>
      </c>
      <c r="J5549" t="s">
        <v>22607</v>
      </c>
    </row>
    <row r="5550" spans="6:10">
      <c r="F5550" t="s">
        <v>22608</v>
      </c>
      <c r="G5550">
        <v>5547</v>
      </c>
      <c r="H5550" t="s">
        <v>22609</v>
      </c>
      <c r="I5550" t="s">
        <v>22610</v>
      </c>
      <c r="J5550" t="s">
        <v>22611</v>
      </c>
    </row>
    <row r="5551" spans="6:10">
      <c r="F5551" t="s">
        <v>22612</v>
      </c>
      <c r="G5551">
        <v>5548</v>
      </c>
      <c r="H5551" t="s">
        <v>22613</v>
      </c>
      <c r="I5551" t="s">
        <v>22614</v>
      </c>
      <c r="J5551" t="s">
        <v>22615</v>
      </c>
    </row>
    <row r="5552" spans="6:10">
      <c r="F5552" t="s">
        <v>22616</v>
      </c>
      <c r="G5552">
        <v>5549</v>
      </c>
      <c r="H5552" t="s">
        <v>22617</v>
      </c>
      <c r="I5552" t="s">
        <v>22618</v>
      </c>
      <c r="J5552" t="s">
        <v>22619</v>
      </c>
    </row>
    <row r="5553" spans="6:10">
      <c r="F5553" t="s">
        <v>22620</v>
      </c>
      <c r="G5553">
        <v>5550</v>
      </c>
      <c r="H5553" t="s">
        <v>22621</v>
      </c>
      <c r="I5553" t="s">
        <v>22621</v>
      </c>
      <c r="J5553" t="s">
        <v>22622</v>
      </c>
    </row>
    <row r="5554" spans="6:10">
      <c r="F5554" t="s">
        <v>22623</v>
      </c>
      <c r="G5554">
        <v>5551</v>
      </c>
      <c r="H5554" t="s">
        <v>22624</v>
      </c>
      <c r="I5554" t="s">
        <v>22624</v>
      </c>
      <c r="J5554" t="s">
        <v>22625</v>
      </c>
    </row>
    <row r="5555" spans="6:10">
      <c r="F5555" t="s">
        <v>22702</v>
      </c>
      <c r="G5555">
        <v>5552</v>
      </c>
      <c r="H5555" t="s">
        <v>22703</v>
      </c>
      <c r="I5555" t="s">
        <v>22704</v>
      </c>
      <c r="J5555" t="s">
        <v>22705</v>
      </c>
    </row>
    <row r="5556" spans="6:10">
      <c r="F5556" t="s">
        <v>22706</v>
      </c>
      <c r="G5556">
        <v>5553</v>
      </c>
      <c r="H5556" t="s">
        <v>22707</v>
      </c>
      <c r="I5556" t="s">
        <v>22707</v>
      </c>
      <c r="J5556" t="s">
        <v>22708</v>
      </c>
    </row>
    <row r="5557" spans="6:10">
      <c r="F5557" t="s">
        <v>22709</v>
      </c>
      <c r="G5557">
        <v>5554</v>
      </c>
      <c r="H5557" t="s">
        <v>22710</v>
      </c>
      <c r="I5557" t="s">
        <v>22711</v>
      </c>
      <c r="J5557" t="s">
        <v>22712</v>
      </c>
    </row>
    <row r="5558" spans="6:10">
      <c r="F5558" t="s">
        <v>22713</v>
      </c>
      <c r="G5558">
        <v>5555</v>
      </c>
      <c r="H5558" t="s">
        <v>22714</v>
      </c>
      <c r="I5558" t="s">
        <v>22715</v>
      </c>
      <c r="J5558" t="s">
        <v>22716</v>
      </c>
    </row>
    <row r="5559" spans="6:10">
      <c r="F5559" t="s">
        <v>22717</v>
      </c>
      <c r="G5559">
        <v>8149172670</v>
      </c>
      <c r="H5559" t="s">
        <v>22718</v>
      </c>
      <c r="I5559" t="s">
        <v>22719</v>
      </c>
      <c r="J5559" t="s">
        <v>22720</v>
      </c>
    </row>
    <row r="5560" spans="6:10">
      <c r="F5560" t="s">
        <v>22721</v>
      </c>
      <c r="G5560">
        <v>5557</v>
      </c>
      <c r="H5560" t="s">
        <v>13267</v>
      </c>
      <c r="I5560" t="s">
        <v>13267</v>
      </c>
      <c r="J5560" t="s">
        <v>22722</v>
      </c>
    </row>
    <row r="5561" spans="6:10">
      <c r="F5561" t="s">
        <v>22723</v>
      </c>
      <c r="G5561">
        <v>5558</v>
      </c>
      <c r="H5561" t="s">
        <v>22724</v>
      </c>
      <c r="I5561" t="s">
        <v>22725</v>
      </c>
      <c r="J5561" t="s">
        <v>22726</v>
      </c>
    </row>
    <row r="5562" spans="6:10">
      <c r="F5562" t="s">
        <v>22727</v>
      </c>
      <c r="G5562">
        <v>5559</v>
      </c>
      <c r="H5562" t="s">
        <v>22728</v>
      </c>
      <c r="I5562" t="s">
        <v>22729</v>
      </c>
      <c r="J5562" t="s">
        <v>22730</v>
      </c>
    </row>
    <row r="5563" spans="6:10">
      <c r="F5563" t="s">
        <v>22731</v>
      </c>
      <c r="G5563">
        <v>5560</v>
      </c>
      <c r="H5563" t="s">
        <v>22732</v>
      </c>
      <c r="I5563" t="s">
        <v>22733</v>
      </c>
      <c r="J5563" t="s">
        <v>22734</v>
      </c>
    </row>
    <row r="5564" spans="6:10">
      <c r="F5564" t="s">
        <v>22735</v>
      </c>
      <c r="G5564">
        <v>5561</v>
      </c>
      <c r="H5564" t="s">
        <v>22736</v>
      </c>
      <c r="I5564" t="s">
        <v>22737</v>
      </c>
      <c r="J5564" t="s">
        <v>22738</v>
      </c>
    </row>
    <row r="5565" spans="6:10">
      <c r="F5565" t="s">
        <v>22739</v>
      </c>
      <c r="G5565">
        <v>5562</v>
      </c>
      <c r="H5565" t="s">
        <v>13267</v>
      </c>
      <c r="I5565" t="s">
        <v>13267</v>
      </c>
      <c r="J5565" t="s">
        <v>22740</v>
      </c>
    </row>
    <row r="5566" spans="6:10">
      <c r="F5566" t="s">
        <v>22741</v>
      </c>
      <c r="G5566">
        <v>5563</v>
      </c>
      <c r="H5566" t="s">
        <v>22742</v>
      </c>
      <c r="I5566" t="s">
        <v>22743</v>
      </c>
      <c r="J5566" t="s">
        <v>22744</v>
      </c>
    </row>
    <row r="5567" spans="6:10">
      <c r="F5567" t="s">
        <v>22745</v>
      </c>
      <c r="G5567">
        <v>5564</v>
      </c>
      <c r="H5567" t="s">
        <v>22746</v>
      </c>
      <c r="I5567" t="s">
        <v>22747</v>
      </c>
      <c r="J5567" t="s">
        <v>22748</v>
      </c>
    </row>
    <row r="5568" spans="6:10">
      <c r="F5568" t="s">
        <v>22749</v>
      </c>
      <c r="G5568">
        <v>5565</v>
      </c>
      <c r="H5568" t="s">
        <v>22750</v>
      </c>
      <c r="I5568" t="s">
        <v>22751</v>
      </c>
      <c r="J5568" t="s">
        <v>22752</v>
      </c>
    </row>
    <row r="5569" spans="6:10">
      <c r="F5569" t="s">
        <v>22753</v>
      </c>
      <c r="G5569">
        <v>32180584814</v>
      </c>
      <c r="H5569" t="s">
        <v>22754</v>
      </c>
      <c r="I5569" t="s">
        <v>22755</v>
      </c>
      <c r="J5569" t="s">
        <v>22756</v>
      </c>
    </row>
    <row r="5570" spans="6:10">
      <c r="F5570" t="s">
        <v>22757</v>
      </c>
      <c r="G5570">
        <v>5567</v>
      </c>
      <c r="H5570" t="s">
        <v>22758</v>
      </c>
      <c r="I5570" t="s">
        <v>22759</v>
      </c>
      <c r="J5570" t="s">
        <v>22760</v>
      </c>
    </row>
    <row r="5571" spans="6:10">
      <c r="F5571" t="s">
        <v>22761</v>
      </c>
      <c r="G5571">
        <v>5568</v>
      </c>
      <c r="H5571" t="s">
        <v>22762</v>
      </c>
      <c r="I5571" t="s">
        <v>22763</v>
      </c>
      <c r="J5571" t="s">
        <v>22764</v>
      </c>
    </row>
    <row r="5572" spans="6:10">
      <c r="F5572" t="s">
        <v>22784</v>
      </c>
      <c r="G5572">
        <v>5569</v>
      </c>
      <c r="H5572" t="s">
        <v>22785</v>
      </c>
      <c r="I5572" t="s">
        <v>22785</v>
      </c>
      <c r="J5572" t="s">
        <v>22786</v>
      </c>
    </row>
    <row r="5573" spans="6:10">
      <c r="F5573" t="s">
        <v>22787</v>
      </c>
      <c r="G5573">
        <v>30924804300</v>
      </c>
      <c r="H5573" t="s">
        <v>22788</v>
      </c>
      <c r="I5573" t="s">
        <v>22788</v>
      </c>
      <c r="J5573" t="s">
        <v>22789</v>
      </c>
    </row>
    <row r="5574" spans="6:10">
      <c r="F5574" t="s">
        <v>22790</v>
      </c>
      <c r="G5574">
        <v>5571</v>
      </c>
      <c r="H5574" t="s">
        <v>22791</v>
      </c>
      <c r="I5574" t="s">
        <v>22791</v>
      </c>
      <c r="J5574" t="s">
        <v>22792</v>
      </c>
    </row>
    <row r="5575" spans="6:10">
      <c r="F5575" t="s">
        <v>22793</v>
      </c>
      <c r="G5575">
        <v>5572</v>
      </c>
      <c r="H5575" t="s">
        <v>22794</v>
      </c>
      <c r="I5575" t="s">
        <v>22795</v>
      </c>
      <c r="J5575" t="s">
        <v>22796</v>
      </c>
    </row>
    <row r="5576" spans="6:10">
      <c r="F5576" t="s">
        <v>22797</v>
      </c>
      <c r="G5576">
        <v>5573</v>
      </c>
      <c r="H5576" t="s">
        <v>22798</v>
      </c>
      <c r="I5576" t="s">
        <v>22799</v>
      </c>
      <c r="J5576" t="s">
        <v>22800</v>
      </c>
    </row>
    <row r="5577" spans="6:10">
      <c r="F5577" t="s">
        <v>22801</v>
      </c>
      <c r="G5577">
        <v>5574</v>
      </c>
      <c r="H5577" t="s">
        <v>22802</v>
      </c>
      <c r="I5577" t="s">
        <v>22803</v>
      </c>
      <c r="J5577" t="s">
        <v>22804</v>
      </c>
    </row>
    <row r="5578" spans="6:10">
      <c r="F5578" t="s">
        <v>22805</v>
      </c>
      <c r="G5578">
        <v>44577297876</v>
      </c>
      <c r="H5578" t="s">
        <v>22806</v>
      </c>
      <c r="I5578" t="s">
        <v>22807</v>
      </c>
      <c r="J5578" t="s">
        <v>22808</v>
      </c>
    </row>
    <row r="5579" spans="6:10">
      <c r="F5579" t="s">
        <v>22809</v>
      </c>
      <c r="G5579">
        <v>2702235689</v>
      </c>
      <c r="H5579" t="s">
        <v>22810</v>
      </c>
      <c r="I5579" t="s">
        <v>22811</v>
      </c>
      <c r="J5579" t="s">
        <v>22812</v>
      </c>
    </row>
    <row r="5580" spans="6:10">
      <c r="F5580" t="s">
        <v>22820</v>
      </c>
      <c r="G5580">
        <v>5577</v>
      </c>
      <c r="H5580" t="s">
        <v>22821</v>
      </c>
      <c r="I5580" t="s">
        <v>22822</v>
      </c>
      <c r="J5580" t="s">
        <v>22823</v>
      </c>
    </row>
    <row r="5581" spans="6:10">
      <c r="F5581" t="s">
        <v>22824</v>
      </c>
      <c r="G5581">
        <v>5578</v>
      </c>
      <c r="H5581" t="s">
        <v>22825</v>
      </c>
      <c r="I5581" t="s">
        <v>22826</v>
      </c>
      <c r="J5581" t="s">
        <v>22827</v>
      </c>
    </row>
    <row r="5582" spans="6:10">
      <c r="F5582" t="s">
        <v>22828</v>
      </c>
      <c r="G5582">
        <v>5579</v>
      </c>
      <c r="H5582" t="s">
        <v>22829</v>
      </c>
      <c r="I5582" t="s">
        <v>22830</v>
      </c>
      <c r="J5582" t="s">
        <v>22831</v>
      </c>
    </row>
    <row r="5583" spans="6:10">
      <c r="F5583" t="s">
        <v>22832</v>
      </c>
      <c r="G5583">
        <v>5580</v>
      </c>
      <c r="H5583" t="s">
        <v>22833</v>
      </c>
      <c r="I5583" t="s">
        <v>22834</v>
      </c>
      <c r="J5583" t="s">
        <v>22835</v>
      </c>
    </row>
    <row r="5584" spans="6:10">
      <c r="F5584" t="s">
        <v>22836</v>
      </c>
      <c r="G5584">
        <v>5581</v>
      </c>
      <c r="H5584" t="s">
        <v>22837</v>
      </c>
      <c r="I5584" t="s">
        <v>22838</v>
      </c>
      <c r="J5584" t="s">
        <v>22839</v>
      </c>
    </row>
    <row r="5585" spans="6:10">
      <c r="F5585" t="s">
        <v>22840</v>
      </c>
      <c r="G5585">
        <v>5582</v>
      </c>
      <c r="H5585" t="s">
        <v>22841</v>
      </c>
      <c r="I5585" t="s">
        <v>22842</v>
      </c>
      <c r="J5585" t="s">
        <v>22843</v>
      </c>
    </row>
    <row r="5586" spans="6:10">
      <c r="F5586" t="s">
        <v>23010</v>
      </c>
      <c r="G5586">
        <v>5583</v>
      </c>
      <c r="H5586" t="s">
        <v>23011</v>
      </c>
      <c r="I5586" t="s">
        <v>23011</v>
      </c>
      <c r="J5586" t="s">
        <v>23012</v>
      </c>
    </row>
    <row r="5587" spans="6:10">
      <c r="F5587" t="s">
        <v>23013</v>
      </c>
      <c r="G5587">
        <v>5584</v>
      </c>
      <c r="H5587" t="s">
        <v>23014</v>
      </c>
      <c r="I5587" t="s">
        <v>23015</v>
      </c>
      <c r="J5587" t="s">
        <v>23016</v>
      </c>
    </row>
    <row r="5588" spans="6:10">
      <c r="F5588" t="s">
        <v>23017</v>
      </c>
      <c r="G5588">
        <v>5585</v>
      </c>
      <c r="H5588" t="s">
        <v>23018</v>
      </c>
      <c r="I5588" t="s">
        <v>23019</v>
      </c>
      <c r="J5588" t="s">
        <v>23020</v>
      </c>
    </row>
    <row r="5589" spans="6:10">
      <c r="F5589" t="s">
        <v>23021</v>
      </c>
      <c r="G5589">
        <v>5586</v>
      </c>
      <c r="H5589" t="s">
        <v>23022</v>
      </c>
      <c r="I5589" t="s">
        <v>23023</v>
      </c>
      <c r="J5589" t="s">
        <v>23024</v>
      </c>
    </row>
    <row r="5590" spans="6:10">
      <c r="F5590" t="s">
        <v>23025</v>
      </c>
      <c r="G5590">
        <v>5587</v>
      </c>
      <c r="H5590" t="s">
        <v>23026</v>
      </c>
      <c r="I5590" t="s">
        <v>23027</v>
      </c>
      <c r="J5590" t="s">
        <v>23028</v>
      </c>
    </row>
    <row r="5591" spans="6:10">
      <c r="F5591" t="s">
        <v>23029</v>
      </c>
      <c r="G5591">
        <v>5588</v>
      </c>
      <c r="H5591" t="s">
        <v>23030</v>
      </c>
      <c r="I5591" t="s">
        <v>23031</v>
      </c>
      <c r="J5591" t="s">
        <v>23032</v>
      </c>
    </row>
    <row r="5592" spans="6:10">
      <c r="F5592" t="s">
        <v>23033</v>
      </c>
      <c r="G5592">
        <v>5589</v>
      </c>
      <c r="H5592" t="s">
        <v>23034</v>
      </c>
      <c r="I5592" t="s">
        <v>23035</v>
      </c>
      <c r="J5592" t="s">
        <v>23036</v>
      </c>
    </row>
    <row r="5593" spans="6:10">
      <c r="F5593" t="s">
        <v>23037</v>
      </c>
      <c r="G5593">
        <v>27402035867</v>
      </c>
      <c r="H5593" t="s">
        <v>23038</v>
      </c>
      <c r="I5593" t="s">
        <v>23039</v>
      </c>
      <c r="J5593" t="s">
        <v>23040</v>
      </c>
    </row>
    <row r="5594" spans="6:10">
      <c r="F5594" t="s">
        <v>23041</v>
      </c>
      <c r="G5594">
        <v>5591</v>
      </c>
      <c r="H5594" t="s">
        <v>23042</v>
      </c>
      <c r="I5594" t="s">
        <v>23043</v>
      </c>
      <c r="J5594" t="s">
        <v>23044</v>
      </c>
    </row>
    <row r="5595" spans="6:10">
      <c r="F5595" t="s">
        <v>23045</v>
      </c>
      <c r="G5595">
        <v>5592</v>
      </c>
      <c r="H5595" t="s">
        <v>23046</v>
      </c>
      <c r="I5595" t="s">
        <v>23046</v>
      </c>
      <c r="J5595" t="s">
        <v>23047</v>
      </c>
    </row>
    <row r="5596" spans="6:10">
      <c r="F5596" t="s">
        <v>23048</v>
      </c>
      <c r="G5596">
        <v>5593</v>
      </c>
      <c r="H5596" t="s">
        <v>23049</v>
      </c>
      <c r="I5596" t="s">
        <v>23049</v>
      </c>
      <c r="J5596" t="s">
        <v>23050</v>
      </c>
    </row>
    <row r="5597" spans="6:10">
      <c r="F5597" t="s">
        <v>23051</v>
      </c>
      <c r="G5597">
        <v>5594</v>
      </c>
      <c r="H5597" t="s">
        <v>23052</v>
      </c>
      <c r="I5597" t="s">
        <v>23053</v>
      </c>
      <c r="J5597" t="s">
        <v>23054</v>
      </c>
    </row>
    <row r="5598" spans="6:10">
      <c r="F5598" t="s">
        <v>23055</v>
      </c>
      <c r="G5598">
        <v>5595</v>
      </c>
      <c r="H5598" t="s">
        <v>23056</v>
      </c>
      <c r="I5598" t="s">
        <v>23057</v>
      </c>
      <c r="J5598" t="s">
        <v>23058</v>
      </c>
    </row>
    <row r="5599" spans="6:10">
      <c r="F5599" t="s">
        <v>23059</v>
      </c>
      <c r="G5599">
        <v>5596</v>
      </c>
      <c r="H5599" t="s">
        <v>23060</v>
      </c>
      <c r="I5599" t="s">
        <v>23061</v>
      </c>
      <c r="J5599" t="s">
        <v>23062</v>
      </c>
    </row>
    <row r="5600" spans="6:10">
      <c r="F5600" t="s">
        <v>23063</v>
      </c>
      <c r="G5600">
        <v>5597</v>
      </c>
      <c r="H5600" t="s">
        <v>23064</v>
      </c>
      <c r="I5600" t="s">
        <v>23065</v>
      </c>
      <c r="J5600" t="s">
        <v>23066</v>
      </c>
    </row>
    <row r="5601" spans="6:10">
      <c r="F5601" t="s">
        <v>23067</v>
      </c>
      <c r="G5601">
        <v>5598</v>
      </c>
      <c r="H5601" t="s">
        <v>23068</v>
      </c>
      <c r="I5601" t="s">
        <v>23069</v>
      </c>
      <c r="J5601" t="s">
        <v>23070</v>
      </c>
    </row>
    <row r="5602" spans="6:10">
      <c r="F5602" t="s">
        <v>23071</v>
      </c>
      <c r="G5602">
        <v>5599</v>
      </c>
      <c r="H5602" t="s">
        <v>23072</v>
      </c>
      <c r="I5602" t="s">
        <v>23072</v>
      </c>
      <c r="J5602" t="s">
        <v>23073</v>
      </c>
    </row>
    <row r="5603" spans="6:10">
      <c r="F5603" t="s">
        <v>23074</v>
      </c>
      <c r="G5603">
        <v>5600</v>
      </c>
      <c r="H5603" t="s">
        <v>23075</v>
      </c>
      <c r="I5603" t="s">
        <v>23076</v>
      </c>
      <c r="J5603" t="s">
        <v>23077</v>
      </c>
    </row>
    <row r="5604" spans="6:10">
      <c r="F5604" t="s">
        <v>23078</v>
      </c>
      <c r="G5604">
        <v>5601</v>
      </c>
      <c r="H5604" t="s">
        <v>23634</v>
      </c>
      <c r="I5604" t="s">
        <v>23635</v>
      </c>
      <c r="J5604" t="s">
        <v>23079</v>
      </c>
    </row>
    <row r="5605" spans="6:10">
      <c r="F5605" t="s">
        <v>23080</v>
      </c>
      <c r="G5605">
        <v>5602</v>
      </c>
      <c r="H5605" t="s">
        <v>23081</v>
      </c>
      <c r="I5605" t="s">
        <v>23081</v>
      </c>
      <c r="J5605" t="s">
        <v>23082</v>
      </c>
    </row>
    <row r="5606" spans="6:10">
      <c r="F5606" t="s">
        <v>23083</v>
      </c>
      <c r="G5606">
        <v>5603</v>
      </c>
      <c r="H5606" t="s">
        <v>23084</v>
      </c>
      <c r="I5606" t="s">
        <v>23085</v>
      </c>
      <c r="J5606" t="s">
        <v>23086</v>
      </c>
    </row>
    <row r="5607" spans="6:10">
      <c r="F5607" t="s">
        <v>23116</v>
      </c>
      <c r="G5607">
        <v>10757610692</v>
      </c>
      <c r="H5607" t="s">
        <v>23117</v>
      </c>
      <c r="I5607" t="s">
        <v>23118</v>
      </c>
      <c r="J5607" t="s">
        <v>23119</v>
      </c>
    </row>
    <row r="5608" spans="6:10">
      <c r="F5608" t="s">
        <v>23120</v>
      </c>
      <c r="G5608">
        <v>5605</v>
      </c>
      <c r="H5608" t="s">
        <v>23121</v>
      </c>
      <c r="I5608" t="s">
        <v>23122</v>
      </c>
      <c r="J5608" t="s">
        <v>23123</v>
      </c>
    </row>
    <row r="5609" spans="6:10">
      <c r="F5609" t="s">
        <v>23124</v>
      </c>
      <c r="G5609">
        <v>56352980520</v>
      </c>
      <c r="H5609" t="s">
        <v>23125</v>
      </c>
      <c r="I5609" t="s">
        <v>23126</v>
      </c>
      <c r="J5609" t="s">
        <v>23127</v>
      </c>
    </row>
    <row r="5610" spans="6:10">
      <c r="F5610" t="s">
        <v>23128</v>
      </c>
      <c r="G5610">
        <v>5607</v>
      </c>
      <c r="H5610" t="s">
        <v>23129</v>
      </c>
      <c r="I5610" t="s">
        <v>23130</v>
      </c>
      <c r="J5610" t="s">
        <v>23131</v>
      </c>
    </row>
    <row r="5611" spans="6:10">
      <c r="F5611" t="s">
        <v>23278</v>
      </c>
      <c r="G5611">
        <v>61335150153</v>
      </c>
      <c r="H5611" t="s">
        <v>23279</v>
      </c>
      <c r="I5611" t="s">
        <v>23280</v>
      </c>
      <c r="J5611" t="s">
        <v>23281</v>
      </c>
    </row>
    <row r="5612" spans="6:10">
      <c r="F5612" t="s">
        <v>23282</v>
      </c>
      <c r="G5612">
        <v>30139553843</v>
      </c>
      <c r="H5612" t="s">
        <v>23283</v>
      </c>
      <c r="I5612" t="s">
        <v>23284</v>
      </c>
      <c r="J5612" t="s">
        <v>23285</v>
      </c>
    </row>
    <row r="5613" spans="6:10">
      <c r="F5613" t="s">
        <v>23286</v>
      </c>
      <c r="G5613">
        <v>5610</v>
      </c>
      <c r="H5613" t="s">
        <v>23287</v>
      </c>
      <c r="I5613" t="s">
        <v>23288</v>
      </c>
      <c r="J5613" t="s">
        <v>23289</v>
      </c>
    </row>
    <row r="5614" spans="6:10">
      <c r="F5614" t="s">
        <v>23290</v>
      </c>
      <c r="G5614">
        <v>10875643795</v>
      </c>
      <c r="H5614" t="s">
        <v>23291</v>
      </c>
      <c r="I5614" t="s">
        <v>23292</v>
      </c>
      <c r="J5614" t="s">
        <v>23293</v>
      </c>
    </row>
    <row r="5615" spans="6:10">
      <c r="F5615" t="s">
        <v>23294</v>
      </c>
      <c r="G5615">
        <v>4686664357</v>
      </c>
      <c r="H5615" t="s">
        <v>23295</v>
      </c>
      <c r="I5615" t="s">
        <v>23295</v>
      </c>
      <c r="J5615" t="s">
        <v>23296</v>
      </c>
    </row>
    <row r="5616" spans="6:10">
      <c r="F5616" t="s">
        <v>23297</v>
      </c>
      <c r="G5616">
        <v>5613</v>
      </c>
      <c r="H5616" t="s">
        <v>23298</v>
      </c>
      <c r="I5616" t="s">
        <v>23298</v>
      </c>
      <c r="J5616" t="s">
        <v>23299</v>
      </c>
    </row>
    <row r="5617" spans="6:10">
      <c r="F5617" t="s">
        <v>23300</v>
      </c>
      <c r="G5617">
        <v>5614</v>
      </c>
      <c r="H5617" t="s">
        <v>23301</v>
      </c>
      <c r="I5617" t="s">
        <v>23301</v>
      </c>
      <c r="J5617" t="s">
        <v>23302</v>
      </c>
    </row>
    <row r="5618" spans="6:10">
      <c r="F5618" t="s">
        <v>23303</v>
      </c>
      <c r="G5618">
        <v>5615</v>
      </c>
      <c r="H5618" t="s">
        <v>23304</v>
      </c>
      <c r="I5618" t="s">
        <v>23305</v>
      </c>
      <c r="J5618" t="s">
        <v>23306</v>
      </c>
    </row>
    <row r="5619" spans="6:10">
      <c r="F5619" t="s">
        <v>23307</v>
      </c>
      <c r="G5619">
        <v>5616</v>
      </c>
      <c r="H5619" t="s">
        <v>23308</v>
      </c>
      <c r="I5619" t="s">
        <v>23309</v>
      </c>
      <c r="J5619" t="s">
        <v>23310</v>
      </c>
    </row>
    <row r="5620" spans="6:10">
      <c r="F5620" t="s">
        <v>23311</v>
      </c>
      <c r="G5620">
        <v>46193097880</v>
      </c>
      <c r="H5620" t="s">
        <v>23312</v>
      </c>
      <c r="I5620" t="s">
        <v>23312</v>
      </c>
      <c r="J5620" t="s">
        <v>23313</v>
      </c>
    </row>
    <row r="5621" spans="6:10">
      <c r="F5621" t="s">
        <v>23314</v>
      </c>
      <c r="G5621">
        <v>5618</v>
      </c>
      <c r="H5621" t="s">
        <v>23315</v>
      </c>
      <c r="I5621" t="s">
        <v>23315</v>
      </c>
      <c r="J5621" t="s">
        <v>23316</v>
      </c>
    </row>
    <row r="5622" spans="6:10">
      <c r="F5622" t="s">
        <v>23317</v>
      </c>
      <c r="G5622">
        <v>5619</v>
      </c>
      <c r="H5622" t="s">
        <v>23318</v>
      </c>
      <c r="I5622" t="s">
        <v>23319</v>
      </c>
      <c r="J5622" t="s">
        <v>23320</v>
      </c>
    </row>
    <row r="5623" spans="6:10">
      <c r="F5623" t="s">
        <v>23321</v>
      </c>
      <c r="G5623">
        <v>6917004863</v>
      </c>
      <c r="H5623" t="s">
        <v>23322</v>
      </c>
      <c r="I5623" t="s">
        <v>23322</v>
      </c>
      <c r="J5623" t="s">
        <v>23323</v>
      </c>
    </row>
    <row r="5624" spans="6:10">
      <c r="F5624" t="s">
        <v>23324</v>
      </c>
      <c r="G5624">
        <v>5621</v>
      </c>
      <c r="H5624" t="s">
        <v>23325</v>
      </c>
      <c r="I5624" t="s">
        <v>23326</v>
      </c>
      <c r="J5624" t="s">
        <v>23327</v>
      </c>
    </row>
    <row r="5625" spans="6:10">
      <c r="F5625" t="s">
        <v>23328</v>
      </c>
      <c r="G5625">
        <v>5622</v>
      </c>
      <c r="H5625" t="s">
        <v>23329</v>
      </c>
      <c r="I5625" t="s">
        <v>23329</v>
      </c>
      <c r="J5625" t="s">
        <v>23330</v>
      </c>
    </row>
    <row r="5626" spans="6:10">
      <c r="F5626" t="s">
        <v>23331</v>
      </c>
      <c r="G5626">
        <v>5623</v>
      </c>
      <c r="H5626" t="s">
        <v>23332</v>
      </c>
      <c r="I5626" t="s">
        <v>23333</v>
      </c>
      <c r="J5626" t="s">
        <v>23334</v>
      </c>
    </row>
    <row r="5627" spans="6:10">
      <c r="F5627" t="s">
        <v>23335</v>
      </c>
      <c r="G5627">
        <v>5624</v>
      </c>
      <c r="H5627" t="s">
        <v>23336</v>
      </c>
      <c r="I5627" t="s">
        <v>23337</v>
      </c>
      <c r="J5627" t="s">
        <v>23338</v>
      </c>
    </row>
    <row r="5628" spans="6:10">
      <c r="F5628" t="s">
        <v>23339</v>
      </c>
      <c r="G5628">
        <v>5625</v>
      </c>
      <c r="H5628" t="s">
        <v>23340</v>
      </c>
      <c r="I5628" t="s">
        <v>23341</v>
      </c>
      <c r="J5628" t="s">
        <v>23342</v>
      </c>
    </row>
    <row r="5629" spans="6:10">
      <c r="F5629" t="s">
        <v>23343</v>
      </c>
      <c r="G5629">
        <v>5626</v>
      </c>
      <c r="H5629" t="s">
        <v>23344</v>
      </c>
      <c r="I5629" t="s">
        <v>23345</v>
      </c>
      <c r="J5629" t="s">
        <v>23346</v>
      </c>
    </row>
    <row r="5630" spans="6:10">
      <c r="F5630" t="s">
        <v>23347</v>
      </c>
      <c r="G5630">
        <v>5627</v>
      </c>
      <c r="H5630" t="s">
        <v>23348</v>
      </c>
      <c r="I5630" t="s">
        <v>23349</v>
      </c>
      <c r="J5630" t="s">
        <v>23350</v>
      </c>
    </row>
    <row r="5631" spans="6:10">
      <c r="F5631" t="s">
        <v>23351</v>
      </c>
      <c r="G5631">
        <v>5628</v>
      </c>
      <c r="H5631" t="s">
        <v>23352</v>
      </c>
      <c r="I5631" t="s">
        <v>23353</v>
      </c>
      <c r="J5631" t="s">
        <v>23354</v>
      </c>
    </row>
    <row r="5632" spans="6:10">
      <c r="F5632" t="s">
        <v>23355</v>
      </c>
      <c r="G5632">
        <v>5629</v>
      </c>
      <c r="H5632" t="s">
        <v>23356</v>
      </c>
      <c r="I5632" t="s">
        <v>23357</v>
      </c>
      <c r="J5632" t="s">
        <v>23358</v>
      </c>
    </row>
    <row r="5633" spans="6:10">
      <c r="F5633" t="s">
        <v>23359</v>
      </c>
      <c r="G5633">
        <v>25358174893</v>
      </c>
      <c r="H5633" t="s">
        <v>23360</v>
      </c>
      <c r="I5633" t="s">
        <v>23360</v>
      </c>
      <c r="J5633" t="s">
        <v>23361</v>
      </c>
    </row>
    <row r="5634" spans="6:10">
      <c r="F5634" t="s">
        <v>23362</v>
      </c>
      <c r="G5634">
        <v>5631</v>
      </c>
      <c r="H5634" t="s">
        <v>23363</v>
      </c>
      <c r="I5634" t="s">
        <v>23364</v>
      </c>
      <c r="J5634" t="s">
        <v>23365</v>
      </c>
    </row>
    <row r="5635" spans="6:10">
      <c r="F5635" t="s">
        <v>23366</v>
      </c>
      <c r="G5635">
        <v>5632</v>
      </c>
      <c r="H5635" t="s">
        <v>23367</v>
      </c>
      <c r="I5635" t="s">
        <v>23368</v>
      </c>
      <c r="J5635" t="s">
        <v>23369</v>
      </c>
    </row>
    <row r="5636" spans="6:10">
      <c r="F5636" t="s">
        <v>23370</v>
      </c>
      <c r="G5636">
        <v>5633</v>
      </c>
      <c r="H5636" t="s">
        <v>23371</v>
      </c>
      <c r="I5636" t="s">
        <v>23371</v>
      </c>
      <c r="J5636" t="s">
        <v>23372</v>
      </c>
    </row>
    <row r="5637" spans="6:10">
      <c r="F5637" t="s">
        <v>23392</v>
      </c>
      <c r="G5637">
        <v>5634</v>
      </c>
      <c r="H5637" t="s">
        <v>23393</v>
      </c>
      <c r="I5637" t="s">
        <v>23394</v>
      </c>
      <c r="J5637" t="s">
        <v>23395</v>
      </c>
    </row>
    <row r="5638" spans="6:10">
      <c r="F5638" t="s">
        <v>23396</v>
      </c>
      <c r="G5638">
        <v>5635</v>
      </c>
      <c r="H5638" t="s">
        <v>23397</v>
      </c>
      <c r="I5638" t="s">
        <v>23398</v>
      </c>
      <c r="J5638" t="s">
        <v>23399</v>
      </c>
    </row>
    <row r="5639" spans="6:10">
      <c r="F5639" t="s">
        <v>23400</v>
      </c>
      <c r="G5639">
        <v>5636</v>
      </c>
      <c r="H5639" t="s">
        <v>23401</v>
      </c>
      <c r="I5639" t="s">
        <v>23402</v>
      </c>
      <c r="J5639" t="s">
        <v>23403</v>
      </c>
    </row>
    <row r="5640" spans="6:10">
      <c r="F5640" t="s">
        <v>23404</v>
      </c>
      <c r="G5640">
        <v>36249407839</v>
      </c>
      <c r="H5640" t="s">
        <v>23405</v>
      </c>
      <c r="I5640" t="s">
        <v>23405</v>
      </c>
      <c r="J5640" t="s">
        <v>23406</v>
      </c>
    </row>
    <row r="5641" spans="6:10">
      <c r="F5641" t="s">
        <v>23460</v>
      </c>
      <c r="G5641">
        <v>5638</v>
      </c>
      <c r="H5641" t="s">
        <v>23461</v>
      </c>
      <c r="I5641" t="s">
        <v>23462</v>
      </c>
      <c r="J5641" t="s">
        <v>23463</v>
      </c>
    </row>
    <row r="5642" spans="6:10">
      <c r="F5642" t="s">
        <v>23464</v>
      </c>
      <c r="G5642">
        <v>12373039745</v>
      </c>
      <c r="H5642" t="s">
        <v>23465</v>
      </c>
      <c r="I5642" t="s">
        <v>23465</v>
      </c>
      <c r="J5642" t="s">
        <v>23466</v>
      </c>
    </row>
    <row r="5643" spans="6:10">
      <c r="F5643" t="s">
        <v>23467</v>
      </c>
      <c r="G5643">
        <v>5640</v>
      </c>
      <c r="H5643" t="s">
        <v>23468</v>
      </c>
      <c r="I5643" t="s">
        <v>23468</v>
      </c>
      <c r="J5643" t="s">
        <v>23469</v>
      </c>
    </row>
    <row r="5644" spans="6:10">
      <c r="F5644" t="s">
        <v>23470</v>
      </c>
      <c r="G5644">
        <v>5641</v>
      </c>
      <c r="H5644" t="s">
        <v>23471</v>
      </c>
      <c r="I5644" t="s">
        <v>23472</v>
      </c>
      <c r="J5644" t="s">
        <v>23473</v>
      </c>
    </row>
    <row r="5645" spans="6:10">
      <c r="F5645" t="s">
        <v>23474</v>
      </c>
      <c r="G5645">
        <v>5642</v>
      </c>
      <c r="H5645" t="s">
        <v>23475</v>
      </c>
      <c r="I5645" t="s">
        <v>23476</v>
      </c>
      <c r="J5645" t="s">
        <v>23477</v>
      </c>
    </row>
    <row r="5646" spans="6:10">
      <c r="F5646" t="s">
        <v>23478</v>
      </c>
      <c r="G5646">
        <v>5643</v>
      </c>
      <c r="H5646" t="s">
        <v>23479</v>
      </c>
      <c r="I5646" t="s">
        <v>23480</v>
      </c>
      <c r="J5646" t="s">
        <v>23481</v>
      </c>
    </row>
    <row r="5647" spans="6:10">
      <c r="F5647" t="s">
        <v>23482</v>
      </c>
      <c r="G5647">
        <v>5644</v>
      </c>
      <c r="H5647" t="s">
        <v>19108</v>
      </c>
      <c r="I5647" t="s">
        <v>19109</v>
      </c>
      <c r="J5647" t="s">
        <v>23483</v>
      </c>
    </row>
    <row r="5648" spans="6:10">
      <c r="F5648" t="s">
        <v>23484</v>
      </c>
      <c r="G5648">
        <v>5645</v>
      </c>
      <c r="H5648" t="s">
        <v>23485</v>
      </c>
      <c r="I5648" t="s">
        <v>2911</v>
      </c>
      <c r="J5648" t="s">
        <v>23486</v>
      </c>
    </row>
    <row r="5649" spans="6:10">
      <c r="F5649" t="s">
        <v>23487</v>
      </c>
      <c r="G5649">
        <v>5646</v>
      </c>
      <c r="H5649" t="s">
        <v>23488</v>
      </c>
      <c r="I5649" t="s">
        <v>23489</v>
      </c>
      <c r="J5649" t="s">
        <v>23490</v>
      </c>
    </row>
    <row r="5650" spans="6:10">
      <c r="F5650" t="s">
        <v>23491</v>
      </c>
      <c r="G5650">
        <v>5647</v>
      </c>
      <c r="H5650" t="s">
        <v>23492</v>
      </c>
      <c r="I5650" t="s">
        <v>23493</v>
      </c>
      <c r="J5650" t="s">
        <v>23494</v>
      </c>
    </row>
    <row r="5651" spans="6:10">
      <c r="F5651" t="s">
        <v>23495</v>
      </c>
      <c r="G5651">
        <v>66995205120</v>
      </c>
      <c r="H5651" t="s">
        <v>23496</v>
      </c>
      <c r="I5651" t="s">
        <v>23496</v>
      </c>
      <c r="J5651" t="s">
        <v>23497</v>
      </c>
    </row>
    <row r="5652" spans="6:10">
      <c r="F5652" t="s">
        <v>23498</v>
      </c>
      <c r="G5652">
        <v>5649</v>
      </c>
      <c r="H5652" t="s">
        <v>23499</v>
      </c>
      <c r="I5652" t="s">
        <v>23500</v>
      </c>
      <c r="J5652" t="s">
        <v>23501</v>
      </c>
    </row>
    <row r="5653" spans="6:10">
      <c r="F5653" t="s">
        <v>23502</v>
      </c>
      <c r="G5653">
        <v>5650</v>
      </c>
      <c r="H5653" t="s">
        <v>23503</v>
      </c>
      <c r="I5653" t="s">
        <v>23504</v>
      </c>
      <c r="J5653" t="s">
        <v>23505</v>
      </c>
    </row>
    <row r="5654" spans="6:10">
      <c r="F5654" t="s">
        <v>23506</v>
      </c>
      <c r="G5654">
        <v>5651</v>
      </c>
      <c r="H5654" t="s">
        <v>23507</v>
      </c>
      <c r="I5654" t="s">
        <v>23508</v>
      </c>
      <c r="J5654" t="s">
        <v>23509</v>
      </c>
    </row>
    <row r="5655" spans="6:10">
      <c r="F5655" t="s">
        <v>23510</v>
      </c>
      <c r="G5655">
        <v>5652</v>
      </c>
      <c r="H5655" t="s">
        <v>23511</v>
      </c>
      <c r="I5655" t="s">
        <v>23512</v>
      </c>
      <c r="J5655" t="s">
        <v>23513</v>
      </c>
    </row>
    <row r="5656" spans="6:10">
      <c r="F5656" t="s">
        <v>23514</v>
      </c>
      <c r="G5656">
        <v>5653</v>
      </c>
      <c r="H5656" t="s">
        <v>23515</v>
      </c>
      <c r="I5656" t="s">
        <v>23516</v>
      </c>
      <c r="J5656" t="s">
        <v>23517</v>
      </c>
    </row>
    <row r="5657" spans="6:10">
      <c r="F5657" t="s">
        <v>23518</v>
      </c>
      <c r="G5657">
        <v>5654</v>
      </c>
      <c r="H5657" t="s">
        <v>23519</v>
      </c>
      <c r="I5657" t="s">
        <v>23520</v>
      </c>
      <c r="J5657" t="s">
        <v>23521</v>
      </c>
    </row>
    <row r="5658" spans="6:10">
      <c r="F5658" t="s">
        <v>23522</v>
      </c>
      <c r="G5658">
        <v>5655</v>
      </c>
      <c r="H5658" t="s">
        <v>23523</v>
      </c>
      <c r="I5658" t="s">
        <v>23524</v>
      </c>
      <c r="J5658" t="s">
        <v>23525</v>
      </c>
    </row>
    <row r="5659" spans="6:10">
      <c r="F5659" t="s">
        <v>23526</v>
      </c>
      <c r="G5659">
        <v>5656</v>
      </c>
      <c r="H5659" t="s">
        <v>23527</v>
      </c>
      <c r="I5659" t="s">
        <v>23527</v>
      </c>
      <c r="J5659" t="s">
        <v>23528</v>
      </c>
    </row>
    <row r="5660" spans="6:10">
      <c r="F5660" t="s">
        <v>23529</v>
      </c>
      <c r="G5660">
        <v>5657</v>
      </c>
      <c r="H5660" t="s">
        <v>23530</v>
      </c>
      <c r="I5660" t="s">
        <v>23531</v>
      </c>
      <c r="J5660" t="s">
        <v>23532</v>
      </c>
    </row>
    <row r="5661" spans="6:10">
      <c r="F5661" t="s">
        <v>23533</v>
      </c>
      <c r="G5661">
        <v>5658</v>
      </c>
      <c r="H5661" t="s">
        <v>23534</v>
      </c>
      <c r="I5661" t="s">
        <v>23534</v>
      </c>
      <c r="J5661" t="s">
        <v>23535</v>
      </c>
    </row>
    <row r="5662" spans="6:10">
      <c r="F5662" t="s">
        <v>23536</v>
      </c>
      <c r="G5662">
        <v>6653504654</v>
      </c>
      <c r="H5662" t="s">
        <v>23537</v>
      </c>
      <c r="I5662" t="s">
        <v>23538</v>
      </c>
      <c r="J5662" t="s">
        <v>23539</v>
      </c>
    </row>
    <row r="5663" spans="6:10">
      <c r="F5663" t="s">
        <v>23588</v>
      </c>
      <c r="G5663">
        <v>5660</v>
      </c>
      <c r="H5663" t="s">
        <v>23589</v>
      </c>
      <c r="I5663" t="s">
        <v>10677</v>
      </c>
      <c r="J5663" t="s">
        <v>23590</v>
      </c>
    </row>
    <row r="5664" spans="6:10">
      <c r="F5664" t="s">
        <v>23591</v>
      </c>
      <c r="G5664">
        <v>5661</v>
      </c>
      <c r="H5664" t="s">
        <v>23592</v>
      </c>
      <c r="I5664" t="s">
        <v>23592</v>
      </c>
      <c r="J5664" t="s">
        <v>23593</v>
      </c>
    </row>
    <row r="5665" spans="6:10">
      <c r="F5665" t="s">
        <v>23594</v>
      </c>
      <c r="G5665">
        <v>5662</v>
      </c>
      <c r="H5665" t="s">
        <v>23595</v>
      </c>
      <c r="I5665" t="s">
        <v>23595</v>
      </c>
      <c r="J5665" t="s">
        <v>23596</v>
      </c>
    </row>
    <row r="5666" spans="6:10">
      <c r="F5666" t="s">
        <v>23597</v>
      </c>
      <c r="G5666">
        <v>5663</v>
      </c>
      <c r="H5666" t="s">
        <v>23598</v>
      </c>
      <c r="I5666" t="s">
        <v>23598</v>
      </c>
      <c r="J5666" t="s">
        <v>23599</v>
      </c>
    </row>
    <row r="5667" spans="6:10">
      <c r="F5667" t="s">
        <v>23600</v>
      </c>
      <c r="G5667">
        <v>29029282894</v>
      </c>
      <c r="H5667" t="s">
        <v>23601</v>
      </c>
      <c r="I5667" t="s">
        <v>23601</v>
      </c>
      <c r="J5667" t="s">
        <v>23602</v>
      </c>
    </row>
    <row r="5668" spans="6:10">
      <c r="F5668" t="s">
        <v>23603</v>
      </c>
      <c r="G5668">
        <v>51197123806</v>
      </c>
      <c r="H5668" t="s">
        <v>23604</v>
      </c>
      <c r="I5668" t="s">
        <v>23604</v>
      </c>
      <c r="J5668" t="s">
        <v>23605</v>
      </c>
    </row>
    <row r="5669" spans="6:10">
      <c r="F5669" t="s">
        <v>23606</v>
      </c>
      <c r="G5669">
        <v>5666</v>
      </c>
      <c r="H5669" t="s">
        <v>23607</v>
      </c>
      <c r="I5669" t="s">
        <v>23607</v>
      </c>
      <c r="J5669" t="s">
        <v>23608</v>
      </c>
    </row>
    <row r="5670" spans="6:10">
      <c r="F5670" t="s">
        <v>23636</v>
      </c>
      <c r="G5670">
        <v>5667</v>
      </c>
      <c r="H5670" t="s">
        <v>23637</v>
      </c>
      <c r="I5670" t="s">
        <v>23638</v>
      </c>
      <c r="J5670" t="s">
        <v>23639</v>
      </c>
    </row>
    <row r="5671" spans="6:10">
      <c r="F5671" t="s">
        <v>23640</v>
      </c>
      <c r="G5671">
        <v>5668</v>
      </c>
      <c r="H5671" t="s">
        <v>23641</v>
      </c>
      <c r="I5671" t="s">
        <v>23642</v>
      </c>
      <c r="J5671" t="s">
        <v>23643</v>
      </c>
    </row>
    <row r="5672" spans="6:10">
      <c r="F5672" t="s">
        <v>23644</v>
      </c>
      <c r="G5672">
        <v>5669</v>
      </c>
      <c r="H5672" t="s">
        <v>1930</v>
      </c>
      <c r="I5672" t="s">
        <v>23645</v>
      </c>
      <c r="J5672" t="s">
        <v>23646</v>
      </c>
    </row>
    <row r="5673" spans="6:10">
      <c r="F5673" t="s">
        <v>23647</v>
      </c>
      <c r="G5673">
        <v>5670</v>
      </c>
      <c r="H5673" t="s">
        <v>23648</v>
      </c>
      <c r="I5673" t="s">
        <v>23649</v>
      </c>
      <c r="J5673" t="s">
        <v>23650</v>
      </c>
    </row>
    <row r="5674" spans="6:10">
      <c r="F5674" t="s">
        <v>23651</v>
      </c>
      <c r="G5674">
        <v>5671</v>
      </c>
      <c r="H5674" t="s">
        <v>23652</v>
      </c>
      <c r="I5674" t="s">
        <v>23653</v>
      </c>
      <c r="J5674" t="s">
        <v>23654</v>
      </c>
    </row>
    <row r="5675" spans="6:10">
      <c r="F5675" t="s">
        <v>23655</v>
      </c>
      <c r="G5675">
        <v>5672</v>
      </c>
      <c r="H5675" t="s">
        <v>23656</v>
      </c>
      <c r="I5675" t="s">
        <v>23657</v>
      </c>
      <c r="J5675" t="s">
        <v>23658</v>
      </c>
    </row>
    <row r="5676" spans="6:10">
      <c r="F5676" t="s">
        <v>23659</v>
      </c>
      <c r="G5676">
        <v>5673</v>
      </c>
      <c r="H5676" t="s">
        <v>23660</v>
      </c>
      <c r="I5676" t="s">
        <v>23661</v>
      </c>
      <c r="J5676" t="s">
        <v>23662</v>
      </c>
    </row>
    <row r="5677" spans="6:10">
      <c r="F5677" t="s">
        <v>23663</v>
      </c>
      <c r="G5677">
        <v>5674</v>
      </c>
      <c r="H5677" t="s">
        <v>5115</v>
      </c>
      <c r="I5677" t="s">
        <v>23664</v>
      </c>
      <c r="J5677" t="s">
        <v>23665</v>
      </c>
    </row>
    <row r="5678" spans="6:10">
      <c r="F5678" t="s">
        <v>23666</v>
      </c>
      <c r="G5678">
        <v>5675</v>
      </c>
      <c r="H5678" t="s">
        <v>23667</v>
      </c>
      <c r="I5678" t="s">
        <v>23668</v>
      </c>
      <c r="J5678" t="s">
        <v>23669</v>
      </c>
    </row>
    <row r="5679" spans="6:10">
      <c r="F5679" t="s">
        <v>23670</v>
      </c>
      <c r="G5679">
        <v>5676</v>
      </c>
      <c r="H5679" t="s">
        <v>23671</v>
      </c>
      <c r="I5679" t="s">
        <v>23672</v>
      </c>
      <c r="J5679" t="s">
        <v>23673</v>
      </c>
    </row>
    <row r="5680" spans="6:10">
      <c r="F5680" t="s">
        <v>23674</v>
      </c>
      <c r="G5680">
        <v>41638927880</v>
      </c>
      <c r="H5680" t="s">
        <v>23675</v>
      </c>
      <c r="I5680" t="s">
        <v>23675</v>
      </c>
      <c r="J5680" t="s">
        <v>23676</v>
      </c>
    </row>
    <row r="5681" spans="6:10">
      <c r="F5681" t="s">
        <v>23677</v>
      </c>
      <c r="G5681">
        <v>99283840615</v>
      </c>
      <c r="H5681" t="s">
        <v>23678</v>
      </c>
      <c r="I5681" t="s">
        <v>23679</v>
      </c>
      <c r="J5681" t="s">
        <v>23680</v>
      </c>
    </row>
    <row r="5682" spans="6:10">
      <c r="F5682" t="s">
        <v>23681</v>
      </c>
      <c r="G5682">
        <v>5679</v>
      </c>
      <c r="H5682" t="s">
        <v>23682</v>
      </c>
      <c r="I5682" t="s">
        <v>23683</v>
      </c>
      <c r="J5682" t="s">
        <v>23684</v>
      </c>
    </row>
    <row r="5683" spans="6:10">
      <c r="F5683" t="s">
        <v>23685</v>
      </c>
      <c r="G5683">
        <v>5680</v>
      </c>
      <c r="H5683" t="s">
        <v>23686</v>
      </c>
      <c r="I5683" t="s">
        <v>23687</v>
      </c>
      <c r="J5683" t="s">
        <v>23688</v>
      </c>
    </row>
    <row r="5684" spans="6:10">
      <c r="F5684" t="s">
        <v>23689</v>
      </c>
      <c r="G5684">
        <v>5681</v>
      </c>
      <c r="H5684" t="s">
        <v>23690</v>
      </c>
      <c r="I5684" t="s">
        <v>24285</v>
      </c>
      <c r="J5684" t="s">
        <v>23691</v>
      </c>
    </row>
    <row r="5685" spans="6:10">
      <c r="F5685" t="s">
        <v>24117</v>
      </c>
      <c r="G5685">
        <v>5682</v>
      </c>
      <c r="H5685" t="s">
        <v>24118</v>
      </c>
      <c r="I5685" t="s">
        <v>24119</v>
      </c>
      <c r="J5685" t="s">
        <v>24120</v>
      </c>
    </row>
    <row r="5686" spans="6:10">
      <c r="F5686" t="s">
        <v>24121</v>
      </c>
      <c r="G5686">
        <v>5683</v>
      </c>
      <c r="H5686" t="s">
        <v>24122</v>
      </c>
      <c r="I5686" t="s">
        <v>24122</v>
      </c>
      <c r="J5686" t="s">
        <v>24123</v>
      </c>
    </row>
    <row r="5687" spans="6:10">
      <c r="F5687" t="s">
        <v>24124</v>
      </c>
      <c r="G5687">
        <v>5684</v>
      </c>
      <c r="H5687" t="s">
        <v>24125</v>
      </c>
      <c r="I5687" t="s">
        <v>24125</v>
      </c>
      <c r="J5687" t="s">
        <v>24126</v>
      </c>
    </row>
    <row r="5688" spans="6:10">
      <c r="F5688" t="s">
        <v>24127</v>
      </c>
      <c r="G5688">
        <v>5685</v>
      </c>
      <c r="H5688" t="s">
        <v>24128</v>
      </c>
      <c r="I5688" t="s">
        <v>24128</v>
      </c>
      <c r="J5688" t="s">
        <v>24129</v>
      </c>
    </row>
    <row r="5689" spans="6:10">
      <c r="F5689" t="s">
        <v>24130</v>
      </c>
      <c r="G5689">
        <v>5686</v>
      </c>
      <c r="H5689" t="s">
        <v>24131</v>
      </c>
      <c r="I5689" t="s">
        <v>24132</v>
      </c>
      <c r="J5689" t="s">
        <v>24133</v>
      </c>
    </row>
    <row r="5690" spans="6:10">
      <c r="F5690" t="s">
        <v>24134</v>
      </c>
      <c r="G5690">
        <v>5687</v>
      </c>
      <c r="H5690" t="s">
        <v>24135</v>
      </c>
      <c r="I5690" t="s">
        <v>24136</v>
      </c>
      <c r="J5690" t="s">
        <v>24137</v>
      </c>
    </row>
    <row r="5691" spans="6:10">
      <c r="F5691" t="s">
        <v>24138</v>
      </c>
      <c r="G5691">
        <v>5688</v>
      </c>
      <c r="H5691" t="s">
        <v>24139</v>
      </c>
      <c r="I5691" t="s">
        <v>24139</v>
      </c>
      <c r="J5691" t="s">
        <v>24140</v>
      </c>
    </row>
    <row r="5692" spans="6:10">
      <c r="F5692" t="s">
        <v>24141</v>
      </c>
      <c r="G5692">
        <v>5689</v>
      </c>
      <c r="H5692" t="s">
        <v>24142</v>
      </c>
      <c r="I5692" t="s">
        <v>24143</v>
      </c>
      <c r="J5692" t="s">
        <v>24144</v>
      </c>
    </row>
    <row r="5693" spans="6:10">
      <c r="F5693" t="s">
        <v>24145</v>
      </c>
      <c r="G5693">
        <v>5690</v>
      </c>
      <c r="H5693" t="s">
        <v>24146</v>
      </c>
      <c r="I5693" t="s">
        <v>24147</v>
      </c>
      <c r="J5693" t="s">
        <v>24148</v>
      </c>
    </row>
    <row r="5694" spans="6:10">
      <c r="F5694" t="s">
        <v>24149</v>
      </c>
      <c r="G5694">
        <v>5691</v>
      </c>
      <c r="H5694" t="s">
        <v>24150</v>
      </c>
      <c r="I5694" t="s">
        <v>24151</v>
      </c>
      <c r="J5694" t="s">
        <v>24152</v>
      </c>
    </row>
    <row r="5695" spans="6:10">
      <c r="F5695" t="s">
        <v>24153</v>
      </c>
      <c r="G5695">
        <v>5692</v>
      </c>
      <c r="H5695" t="s">
        <v>24154</v>
      </c>
      <c r="I5695" t="s">
        <v>24154</v>
      </c>
      <c r="J5695" t="s">
        <v>24155</v>
      </c>
    </row>
    <row r="5696" spans="6:10">
      <c r="F5696" t="s">
        <v>24156</v>
      </c>
      <c r="G5696">
        <v>5693</v>
      </c>
      <c r="H5696" t="s">
        <v>24157</v>
      </c>
      <c r="I5696" t="s">
        <v>24157</v>
      </c>
      <c r="J5696" t="s">
        <v>24158</v>
      </c>
    </row>
    <row r="5697" spans="6:10">
      <c r="F5697" t="s">
        <v>24159</v>
      </c>
      <c r="G5697">
        <v>7475785408</v>
      </c>
      <c r="H5697" t="s">
        <v>3994</v>
      </c>
      <c r="I5697" t="s">
        <v>3994</v>
      </c>
      <c r="J5697" t="s">
        <v>24160</v>
      </c>
    </row>
    <row r="5698" spans="6:10">
      <c r="F5698" t="s">
        <v>24161</v>
      </c>
      <c r="G5698">
        <v>10612463702</v>
      </c>
      <c r="H5698" t="s">
        <v>24162</v>
      </c>
      <c r="I5698" t="s">
        <v>24162</v>
      </c>
      <c r="J5698" t="s">
        <v>24163</v>
      </c>
    </row>
    <row r="5699" spans="6:10">
      <c r="F5699" t="s">
        <v>24164</v>
      </c>
      <c r="G5699">
        <v>12205132709</v>
      </c>
      <c r="H5699" t="s">
        <v>24165</v>
      </c>
      <c r="I5699" t="s">
        <v>24165</v>
      </c>
      <c r="J5699" t="s">
        <v>24166</v>
      </c>
    </row>
    <row r="5700" spans="6:10">
      <c r="F5700" t="s">
        <v>24167</v>
      </c>
      <c r="G5700">
        <v>33583943520</v>
      </c>
      <c r="H5700" t="s">
        <v>24168</v>
      </c>
      <c r="I5700" t="s">
        <v>24169</v>
      </c>
      <c r="J5700" t="s">
        <v>24170</v>
      </c>
    </row>
    <row r="5701" spans="6:10">
      <c r="F5701" t="s">
        <v>24171</v>
      </c>
      <c r="G5701">
        <v>5698</v>
      </c>
      <c r="H5701" t="s">
        <v>24172</v>
      </c>
      <c r="I5701" t="s">
        <v>24173</v>
      </c>
      <c r="J5701" t="s">
        <v>24174</v>
      </c>
    </row>
    <row r="5702" spans="6:10">
      <c r="F5702" t="s">
        <v>24175</v>
      </c>
      <c r="G5702">
        <v>5699</v>
      </c>
      <c r="H5702" t="s">
        <v>24176</v>
      </c>
      <c r="I5702" t="s">
        <v>24177</v>
      </c>
      <c r="J5702" t="s">
        <v>24178</v>
      </c>
    </row>
    <row r="5703" spans="6:10">
      <c r="F5703" t="s">
        <v>24179</v>
      </c>
      <c r="G5703">
        <v>15516179866</v>
      </c>
      <c r="H5703" t="s">
        <v>24180</v>
      </c>
      <c r="I5703" t="s">
        <v>24181</v>
      </c>
      <c r="J5703" t="s">
        <v>24182</v>
      </c>
    </row>
    <row r="5704" spans="6:10">
      <c r="F5704" t="s">
        <v>24183</v>
      </c>
      <c r="G5704">
        <v>5701</v>
      </c>
      <c r="H5704" t="s">
        <v>24184</v>
      </c>
      <c r="I5704" t="s">
        <v>24185</v>
      </c>
      <c r="J5704" t="s">
        <v>24186</v>
      </c>
    </row>
    <row r="5705" spans="6:10">
      <c r="F5705" t="s">
        <v>24187</v>
      </c>
      <c r="G5705">
        <v>41688690832</v>
      </c>
      <c r="H5705" t="s">
        <v>24188</v>
      </c>
      <c r="I5705" t="s">
        <v>24189</v>
      </c>
      <c r="J5705" t="s">
        <v>24190</v>
      </c>
    </row>
    <row r="5706" spans="6:10">
      <c r="F5706" t="s">
        <v>24191</v>
      </c>
      <c r="G5706">
        <v>6805589851</v>
      </c>
      <c r="H5706" t="s">
        <v>24192</v>
      </c>
      <c r="I5706" t="s">
        <v>24193</v>
      </c>
      <c r="J5706" t="s">
        <v>24194</v>
      </c>
    </row>
    <row r="5707" spans="6:10">
      <c r="F5707" t="s">
        <v>24195</v>
      </c>
      <c r="G5707">
        <v>5704</v>
      </c>
      <c r="H5707" t="s">
        <v>24196</v>
      </c>
      <c r="I5707" t="s">
        <v>24197</v>
      </c>
      <c r="J5707" t="s">
        <v>24198</v>
      </c>
    </row>
    <row r="5708" spans="6:10">
      <c r="F5708" t="s">
        <v>24199</v>
      </c>
      <c r="G5708">
        <v>5705</v>
      </c>
      <c r="H5708" t="s">
        <v>24200</v>
      </c>
      <c r="I5708" t="s">
        <v>24201</v>
      </c>
      <c r="J5708" t="s">
        <v>24202</v>
      </c>
    </row>
    <row r="5709" spans="6:10">
      <c r="F5709" t="s">
        <v>24203</v>
      </c>
      <c r="G5709">
        <v>5706</v>
      </c>
      <c r="H5709" t="s">
        <v>24204</v>
      </c>
      <c r="I5709" t="s">
        <v>24205</v>
      </c>
      <c r="J5709" t="s">
        <v>24206</v>
      </c>
    </row>
    <row r="5710" spans="6:10">
      <c r="F5710" t="s">
        <v>24207</v>
      </c>
      <c r="G5710">
        <v>5707</v>
      </c>
      <c r="H5710" t="s">
        <v>24208</v>
      </c>
      <c r="I5710" t="s">
        <v>24209</v>
      </c>
      <c r="J5710" t="s">
        <v>24210</v>
      </c>
    </row>
    <row r="5711" spans="6:10">
      <c r="F5711" t="s">
        <v>24211</v>
      </c>
      <c r="G5711">
        <v>5708</v>
      </c>
      <c r="H5711" t="s">
        <v>24212</v>
      </c>
      <c r="I5711" t="s">
        <v>24213</v>
      </c>
      <c r="J5711" t="s">
        <v>24214</v>
      </c>
    </row>
    <row r="5712" spans="6:10">
      <c r="F5712" t="s">
        <v>24215</v>
      </c>
      <c r="G5712">
        <v>5709</v>
      </c>
      <c r="H5712" t="s">
        <v>24216</v>
      </c>
      <c r="I5712" t="s">
        <v>24217</v>
      </c>
      <c r="J5712" t="s">
        <v>24218</v>
      </c>
    </row>
    <row r="5713" spans="6:10">
      <c r="F5713" t="s">
        <v>24219</v>
      </c>
      <c r="G5713">
        <v>5710</v>
      </c>
      <c r="H5713" t="s">
        <v>24220</v>
      </c>
      <c r="I5713" t="s">
        <v>24221</v>
      </c>
      <c r="J5713" t="s">
        <v>24222</v>
      </c>
    </row>
    <row r="5714" spans="6:10">
      <c r="F5714" t="s">
        <v>24223</v>
      </c>
      <c r="G5714">
        <v>5711</v>
      </c>
      <c r="H5714" t="s">
        <v>24224</v>
      </c>
      <c r="I5714" t="s">
        <v>24225</v>
      </c>
      <c r="J5714" t="s">
        <v>24226</v>
      </c>
    </row>
    <row r="5715" spans="6:10">
      <c r="F5715" t="s">
        <v>24227</v>
      </c>
      <c r="G5715">
        <v>5712</v>
      </c>
      <c r="H5715" t="s">
        <v>24228</v>
      </c>
      <c r="I5715" t="s">
        <v>24229</v>
      </c>
      <c r="J5715" t="s">
        <v>24230</v>
      </c>
    </row>
    <row r="5716" spans="6:10">
      <c r="F5716" t="s">
        <v>24231</v>
      </c>
      <c r="G5716">
        <v>5713</v>
      </c>
      <c r="H5716" t="s">
        <v>24232</v>
      </c>
      <c r="I5716" t="s">
        <v>24233</v>
      </c>
      <c r="J5716" t="s">
        <v>24234</v>
      </c>
    </row>
    <row r="5717" spans="6:10">
      <c r="F5717" t="s">
        <v>24235</v>
      </c>
      <c r="G5717">
        <v>5714</v>
      </c>
      <c r="H5717" t="s">
        <v>24236</v>
      </c>
      <c r="I5717" t="s">
        <v>24237</v>
      </c>
      <c r="J5717" t="s">
        <v>24238</v>
      </c>
    </row>
    <row r="5718" spans="6:10">
      <c r="F5718" t="s">
        <v>24286</v>
      </c>
      <c r="G5718">
        <v>5715</v>
      </c>
      <c r="H5718" t="s">
        <v>24287</v>
      </c>
      <c r="I5718" t="s">
        <v>24546</v>
      </c>
      <c r="J5718" t="s">
        <v>24288</v>
      </c>
    </row>
    <row r="5719" spans="6:10">
      <c r="F5719" t="s">
        <v>24289</v>
      </c>
      <c r="G5719">
        <v>5716</v>
      </c>
      <c r="H5719" t="s">
        <v>24290</v>
      </c>
      <c r="I5719" t="s">
        <v>24291</v>
      </c>
      <c r="J5719" t="s">
        <v>24292</v>
      </c>
    </row>
    <row r="5720" spans="6:10">
      <c r="F5720" t="s">
        <v>24293</v>
      </c>
      <c r="G5720">
        <v>5717</v>
      </c>
      <c r="H5720" t="s">
        <v>24294</v>
      </c>
      <c r="I5720" t="s">
        <v>24294</v>
      </c>
      <c r="J5720" t="s">
        <v>24295</v>
      </c>
    </row>
    <row r="5721" spans="6:10">
      <c r="F5721" t="s">
        <v>24296</v>
      </c>
      <c r="G5721">
        <v>5718</v>
      </c>
      <c r="H5721" t="s">
        <v>24297</v>
      </c>
      <c r="I5721" t="s">
        <v>24297</v>
      </c>
      <c r="J5721" t="s">
        <v>24298</v>
      </c>
    </row>
    <row r="5722" spans="6:10">
      <c r="F5722" t="s">
        <v>24299</v>
      </c>
      <c r="G5722">
        <v>5719</v>
      </c>
      <c r="H5722" t="s">
        <v>24300</v>
      </c>
      <c r="I5722" t="s">
        <v>24301</v>
      </c>
      <c r="J5722" t="s">
        <v>24302</v>
      </c>
    </row>
    <row r="5723" spans="6:10">
      <c r="F5723" t="s">
        <v>24303</v>
      </c>
      <c r="G5723">
        <v>5720</v>
      </c>
      <c r="H5723" t="s">
        <v>24304</v>
      </c>
      <c r="I5723" t="s">
        <v>24305</v>
      </c>
      <c r="J5723" t="s">
        <v>24306</v>
      </c>
    </row>
    <row r="5724" spans="6:10">
      <c r="F5724" t="s">
        <v>24307</v>
      </c>
      <c r="G5724">
        <v>5721</v>
      </c>
      <c r="H5724" t="s">
        <v>24308</v>
      </c>
      <c r="I5724" t="s">
        <v>24309</v>
      </c>
      <c r="J5724" t="s">
        <v>24310</v>
      </c>
    </row>
    <row r="5725" spans="6:10">
      <c r="F5725" t="s">
        <v>24311</v>
      </c>
      <c r="G5725">
        <v>26515416806</v>
      </c>
      <c r="H5725" t="s">
        <v>24312</v>
      </c>
      <c r="I5725" t="s">
        <v>24312</v>
      </c>
      <c r="J5725" t="s">
        <v>24313</v>
      </c>
    </row>
    <row r="5726" spans="6:10">
      <c r="F5726" t="s">
        <v>24314</v>
      </c>
      <c r="G5726">
        <v>5723</v>
      </c>
      <c r="H5726" t="s">
        <v>24315</v>
      </c>
      <c r="I5726" t="s">
        <v>24316</v>
      </c>
      <c r="J5726" t="s">
        <v>24317</v>
      </c>
    </row>
    <row r="5727" spans="6:10">
      <c r="F5727" t="s">
        <v>24318</v>
      </c>
      <c r="G5727">
        <v>5724</v>
      </c>
      <c r="H5727" t="s">
        <v>24319</v>
      </c>
      <c r="I5727" t="s">
        <v>24320</v>
      </c>
      <c r="J5727" t="s">
        <v>24321</v>
      </c>
    </row>
    <row r="5728" spans="6:10">
      <c r="F5728" t="s">
        <v>24322</v>
      </c>
      <c r="G5728">
        <v>5725</v>
      </c>
      <c r="H5728" t="s">
        <v>24323</v>
      </c>
      <c r="I5728" t="s">
        <v>24324</v>
      </c>
      <c r="J5728" t="s">
        <v>24325</v>
      </c>
    </row>
    <row r="5729" spans="6:10">
      <c r="F5729" t="s">
        <v>24326</v>
      </c>
      <c r="G5729">
        <v>5726</v>
      </c>
      <c r="H5729" t="s">
        <v>24327</v>
      </c>
      <c r="I5729" t="s">
        <v>24328</v>
      </c>
      <c r="J5729" t="s">
        <v>24329</v>
      </c>
    </row>
    <row r="5730" spans="6:10">
      <c r="F5730" t="s">
        <v>24330</v>
      </c>
      <c r="G5730">
        <v>5727</v>
      </c>
      <c r="H5730" t="s">
        <v>24331</v>
      </c>
      <c r="I5730" t="s">
        <v>24332</v>
      </c>
      <c r="J5730" t="s">
        <v>24333</v>
      </c>
    </row>
    <row r="5731" spans="6:10">
      <c r="F5731" t="s">
        <v>24566</v>
      </c>
      <c r="G5731">
        <v>5728</v>
      </c>
      <c r="H5731" t="s">
        <v>24567</v>
      </c>
      <c r="I5731" t="s">
        <v>24568</v>
      </c>
      <c r="J5731" t="s">
        <v>24569</v>
      </c>
    </row>
    <row r="5732" spans="6:10">
      <c r="F5732" t="s">
        <v>24570</v>
      </c>
      <c r="G5732">
        <v>5729</v>
      </c>
      <c r="H5732" t="s">
        <v>24571</v>
      </c>
      <c r="I5732" t="s">
        <v>24572</v>
      </c>
      <c r="J5732" t="s">
        <v>24573</v>
      </c>
    </row>
    <row r="5733" spans="6:10">
      <c r="F5733" t="s">
        <v>24574</v>
      </c>
      <c r="G5733">
        <v>5730</v>
      </c>
      <c r="H5733" t="s">
        <v>24575</v>
      </c>
      <c r="I5733" t="s">
        <v>24576</v>
      </c>
      <c r="J5733" t="s">
        <v>24577</v>
      </c>
    </row>
    <row r="5734" spans="6:10">
      <c r="F5734" t="s">
        <v>24578</v>
      </c>
      <c r="G5734">
        <v>5731</v>
      </c>
      <c r="H5734" t="s">
        <v>24579</v>
      </c>
      <c r="I5734" t="s">
        <v>24580</v>
      </c>
      <c r="J5734" t="s">
        <v>24581</v>
      </c>
    </row>
    <row r="5735" spans="6:10">
      <c r="F5735" t="s">
        <v>24582</v>
      </c>
      <c r="G5735">
        <v>5732</v>
      </c>
      <c r="H5735" t="s">
        <v>24583</v>
      </c>
      <c r="I5735" t="s">
        <v>24584</v>
      </c>
      <c r="J5735" t="s">
        <v>24585</v>
      </c>
    </row>
    <row r="5736" spans="6:10">
      <c r="F5736" t="s">
        <v>24586</v>
      </c>
      <c r="G5736">
        <v>5733</v>
      </c>
      <c r="H5736" t="s">
        <v>24587</v>
      </c>
      <c r="I5736" t="s">
        <v>24587</v>
      </c>
      <c r="J5736" t="s">
        <v>24588</v>
      </c>
    </row>
    <row r="5737" spans="6:10">
      <c r="F5737" t="s">
        <v>24589</v>
      </c>
      <c r="G5737">
        <v>5734</v>
      </c>
      <c r="H5737" t="s">
        <v>24590</v>
      </c>
      <c r="I5737" t="s">
        <v>24591</v>
      </c>
      <c r="J5737" t="s">
        <v>24592</v>
      </c>
    </row>
    <row r="5738" spans="6:10">
      <c r="F5738" t="s">
        <v>24593</v>
      </c>
      <c r="G5738">
        <v>5735</v>
      </c>
      <c r="H5738" t="s">
        <v>24594</v>
      </c>
      <c r="I5738" t="s">
        <v>24595</v>
      </c>
      <c r="J5738" t="s">
        <v>24596</v>
      </c>
    </row>
    <row r="5739" spans="6:10">
      <c r="F5739" t="s">
        <v>24597</v>
      </c>
      <c r="G5739">
        <v>5736</v>
      </c>
      <c r="H5739" t="s">
        <v>24598</v>
      </c>
      <c r="I5739" t="s">
        <v>24598</v>
      </c>
      <c r="J5739" t="s">
        <v>24599</v>
      </c>
    </row>
    <row r="5740" spans="6:10">
      <c r="F5740" t="s">
        <v>24600</v>
      </c>
      <c r="G5740">
        <v>5737</v>
      </c>
      <c r="H5740" t="s">
        <v>24496</v>
      </c>
      <c r="I5740" t="s">
        <v>24496</v>
      </c>
      <c r="J5740" t="s">
        <v>24601</v>
      </c>
    </row>
    <row r="5741" spans="6:10">
      <c r="F5741" t="s">
        <v>24602</v>
      </c>
      <c r="G5741">
        <v>5738</v>
      </c>
      <c r="H5741" t="s">
        <v>24603</v>
      </c>
      <c r="I5741" t="s">
        <v>24604</v>
      </c>
      <c r="J5741" t="s">
        <v>24605</v>
      </c>
    </row>
    <row r="5742" spans="6:10">
      <c r="F5742" t="s">
        <v>24606</v>
      </c>
      <c r="G5742">
        <v>5739</v>
      </c>
      <c r="H5742" t="s">
        <v>24607</v>
      </c>
      <c r="I5742" t="s">
        <v>24608</v>
      </c>
      <c r="J5742" t="s">
        <v>24609</v>
      </c>
    </row>
    <row r="5743" spans="6:10">
      <c r="F5743" t="s">
        <v>24610</v>
      </c>
      <c r="G5743">
        <v>5740</v>
      </c>
      <c r="H5743" t="s">
        <v>24611</v>
      </c>
      <c r="I5743" t="s">
        <v>24611</v>
      </c>
      <c r="J5743" t="s">
        <v>24612</v>
      </c>
    </row>
    <row r="5744" spans="6:10">
      <c r="F5744" t="s">
        <v>24613</v>
      </c>
      <c r="G5744">
        <v>5741</v>
      </c>
      <c r="H5744" t="s">
        <v>24614</v>
      </c>
      <c r="I5744" t="s">
        <v>24615</v>
      </c>
      <c r="J5744" t="s">
        <v>24616</v>
      </c>
    </row>
    <row r="5745" spans="6:10">
      <c r="F5745" t="s">
        <v>24617</v>
      </c>
      <c r="G5745">
        <v>5742</v>
      </c>
      <c r="H5745" t="s">
        <v>24618</v>
      </c>
      <c r="I5745" t="s">
        <v>24619</v>
      </c>
      <c r="J5745" t="s">
        <v>24620</v>
      </c>
    </row>
    <row r="5746" spans="6:10">
      <c r="F5746" t="s">
        <v>24621</v>
      </c>
      <c r="G5746">
        <v>5743</v>
      </c>
      <c r="H5746" t="s">
        <v>13267</v>
      </c>
      <c r="I5746" t="s">
        <v>13267</v>
      </c>
      <c r="J5746" t="s">
        <v>24622</v>
      </c>
    </row>
    <row r="5747" spans="6:10">
      <c r="F5747" t="s">
        <v>24623</v>
      </c>
      <c r="G5747">
        <v>5744</v>
      </c>
      <c r="H5747" t="s">
        <v>24624</v>
      </c>
      <c r="I5747" t="s">
        <v>24625</v>
      </c>
      <c r="J5747" t="s">
        <v>24626</v>
      </c>
    </row>
    <row r="5748" spans="6:10">
      <c r="F5748" t="s">
        <v>24627</v>
      </c>
      <c r="G5748">
        <v>9848677674</v>
      </c>
      <c r="H5748" t="s">
        <v>24628</v>
      </c>
      <c r="I5748" t="s">
        <v>24628</v>
      </c>
      <c r="J5748" t="s">
        <v>24629</v>
      </c>
    </row>
    <row r="5749" spans="6:10">
      <c r="F5749" t="s">
        <v>24630</v>
      </c>
      <c r="G5749">
        <v>68894244504</v>
      </c>
      <c r="H5749" t="s">
        <v>24631</v>
      </c>
      <c r="I5749" t="s">
        <v>24632</v>
      </c>
      <c r="J5749" t="s">
        <v>24633</v>
      </c>
    </row>
    <row r="5750" spans="6:10">
      <c r="F5750" t="s">
        <v>24634</v>
      </c>
      <c r="G5750">
        <v>5747</v>
      </c>
      <c r="H5750" t="s">
        <v>24635</v>
      </c>
      <c r="I5750" t="s">
        <v>24635</v>
      </c>
      <c r="J5750" t="s">
        <v>24636</v>
      </c>
    </row>
    <row r="5751" spans="6:10">
      <c r="F5751" t="s">
        <v>24637</v>
      </c>
      <c r="G5751">
        <v>5748</v>
      </c>
      <c r="H5751" t="s">
        <v>24638</v>
      </c>
      <c r="I5751" t="s">
        <v>24638</v>
      </c>
      <c r="J5751" t="s">
        <v>24639</v>
      </c>
    </row>
    <row r="5752" spans="6:10">
      <c r="F5752" t="s">
        <v>24640</v>
      </c>
      <c r="G5752">
        <v>9122762825</v>
      </c>
      <c r="H5752" t="s">
        <v>24641</v>
      </c>
      <c r="I5752" t="s">
        <v>24642</v>
      </c>
      <c r="J5752" t="s">
        <v>24643</v>
      </c>
    </row>
    <row r="5753" spans="6:10">
      <c r="F5753" t="s">
        <v>24644</v>
      </c>
      <c r="G5753">
        <v>5750</v>
      </c>
      <c r="H5753" t="s">
        <v>24645</v>
      </c>
      <c r="I5753" t="s">
        <v>24645</v>
      </c>
      <c r="J5753" t="s">
        <v>24646</v>
      </c>
    </row>
    <row r="5754" spans="6:10">
      <c r="F5754" t="s">
        <v>24647</v>
      </c>
      <c r="G5754">
        <v>536800146</v>
      </c>
      <c r="H5754" t="s">
        <v>24648</v>
      </c>
      <c r="I5754" t="s">
        <v>24648</v>
      </c>
      <c r="J5754" t="s">
        <v>24649</v>
      </c>
    </row>
    <row r="5755" spans="6:10">
      <c r="F5755" t="s">
        <v>24650</v>
      </c>
      <c r="G5755">
        <v>5766194773</v>
      </c>
      <c r="H5755" t="s">
        <v>24651</v>
      </c>
      <c r="I5755" t="s">
        <v>24651</v>
      </c>
      <c r="J5755" t="s">
        <v>24652</v>
      </c>
    </row>
    <row r="5756" spans="6:10">
      <c r="F5756" t="s">
        <v>24653</v>
      </c>
      <c r="G5756">
        <v>2861200979</v>
      </c>
      <c r="H5756" t="s">
        <v>24654</v>
      </c>
      <c r="I5756" t="s">
        <v>24654</v>
      </c>
      <c r="J5756" t="s">
        <v>24655</v>
      </c>
    </row>
    <row r="5757" spans="6:10">
      <c r="F5757" t="s">
        <v>24656</v>
      </c>
      <c r="G5757">
        <v>2182856633</v>
      </c>
      <c r="H5757" t="s">
        <v>24657</v>
      </c>
      <c r="I5757" t="s">
        <v>24657</v>
      </c>
      <c r="J5757" t="s">
        <v>24658</v>
      </c>
    </row>
    <row r="5758" spans="6:10">
      <c r="F5758" t="s">
        <v>24659</v>
      </c>
      <c r="G5758">
        <v>5755</v>
      </c>
      <c r="H5758" t="s">
        <v>24660</v>
      </c>
      <c r="I5758" t="s">
        <v>24661</v>
      </c>
      <c r="J5758" t="s">
        <v>24662</v>
      </c>
    </row>
    <row r="5759" spans="6:10">
      <c r="F5759" t="s">
        <v>24663</v>
      </c>
      <c r="G5759">
        <v>5756</v>
      </c>
      <c r="H5759" t="s">
        <v>24481</v>
      </c>
      <c r="I5759" t="s">
        <v>24480</v>
      </c>
      <c r="J5759" t="s">
        <v>24664</v>
      </c>
    </row>
    <row r="5760" spans="6:10">
      <c r="F5760" t="s">
        <v>24665</v>
      </c>
      <c r="G5760">
        <v>5757</v>
      </c>
      <c r="H5760" t="s">
        <v>24666</v>
      </c>
      <c r="I5760" t="s">
        <v>24201</v>
      </c>
      <c r="J5760" t="s">
        <v>24667</v>
      </c>
    </row>
    <row r="5761" spans="6:10">
      <c r="F5761" t="s">
        <v>24668</v>
      </c>
      <c r="G5761">
        <v>5758</v>
      </c>
      <c r="H5761" t="s">
        <v>24477</v>
      </c>
      <c r="I5761" t="s">
        <v>24476</v>
      </c>
      <c r="J5761" t="s">
        <v>24669</v>
      </c>
    </row>
    <row r="5762" spans="6:10">
      <c r="F5762" t="s">
        <v>24670</v>
      </c>
      <c r="G5762">
        <v>5759</v>
      </c>
      <c r="H5762" t="s">
        <v>24671</v>
      </c>
      <c r="I5762" t="s">
        <v>24672</v>
      </c>
      <c r="J5762" t="s">
        <v>24673</v>
      </c>
    </row>
    <row r="5763" spans="6:10">
      <c r="F5763" t="s">
        <v>24674</v>
      </c>
      <c r="G5763">
        <v>5760</v>
      </c>
      <c r="H5763" t="s">
        <v>24675</v>
      </c>
      <c r="I5763" t="s">
        <v>24675</v>
      </c>
      <c r="J5763" t="s">
        <v>24676</v>
      </c>
    </row>
    <row r="5764" spans="6:10">
      <c r="F5764" t="s">
        <v>24677</v>
      </c>
      <c r="G5764">
        <v>5761</v>
      </c>
      <c r="H5764" t="s">
        <v>24678</v>
      </c>
      <c r="I5764" t="s">
        <v>24679</v>
      </c>
      <c r="J5764" t="s">
        <v>24680</v>
      </c>
    </row>
    <row r="5765" spans="6:10">
      <c r="F5765" t="s">
        <v>24681</v>
      </c>
      <c r="G5765">
        <v>5762</v>
      </c>
      <c r="H5765" t="s">
        <v>24518</v>
      </c>
      <c r="I5765" t="s">
        <v>24517</v>
      </c>
      <c r="J5765" t="s">
        <v>24682</v>
      </c>
    </row>
    <row r="5766" spans="6:10">
      <c r="F5766" t="s">
        <v>24683</v>
      </c>
      <c r="G5766">
        <v>5763</v>
      </c>
      <c r="H5766" t="s">
        <v>24684</v>
      </c>
      <c r="I5766" t="s">
        <v>24684</v>
      </c>
      <c r="J5766" t="s">
        <v>24685</v>
      </c>
    </row>
    <row r="5767" spans="6:10">
      <c r="F5767" t="s">
        <v>24686</v>
      </c>
      <c r="G5767">
        <v>5764</v>
      </c>
      <c r="H5767" t="s">
        <v>24687</v>
      </c>
      <c r="I5767" t="s">
        <v>24688</v>
      </c>
      <c r="J5767" t="s">
        <v>24689</v>
      </c>
    </row>
    <row r="5768" spans="6:10">
      <c r="F5768" t="s">
        <v>24690</v>
      </c>
      <c r="G5768">
        <v>5765</v>
      </c>
      <c r="H5768" t="s">
        <v>24691</v>
      </c>
      <c r="I5768" t="s">
        <v>24691</v>
      </c>
      <c r="J5768" t="s">
        <v>24692</v>
      </c>
    </row>
    <row r="5769" spans="6:10">
      <c r="F5769" t="s">
        <v>24693</v>
      </c>
      <c r="G5769">
        <v>5766</v>
      </c>
      <c r="H5769" t="s">
        <v>24694</v>
      </c>
      <c r="I5769" t="s">
        <v>24694</v>
      </c>
      <c r="J5769" t="s">
        <v>24695</v>
      </c>
    </row>
    <row r="5770" spans="6:10">
      <c r="F5770" t="s">
        <v>24696</v>
      </c>
      <c r="G5770">
        <v>5767</v>
      </c>
      <c r="H5770" t="s">
        <v>24697</v>
      </c>
      <c r="I5770" t="s">
        <v>24698</v>
      </c>
      <c r="J5770" t="s">
        <v>24699</v>
      </c>
    </row>
    <row r="5771" spans="6:10">
      <c r="F5771" t="s">
        <v>24700</v>
      </c>
      <c r="G5771">
        <v>5768</v>
      </c>
      <c r="H5771" t="s">
        <v>24701</v>
      </c>
      <c r="I5771" t="s">
        <v>24702</v>
      </c>
      <c r="J5771" t="s">
        <v>24703</v>
      </c>
    </row>
    <row r="5772" spans="6:10">
      <c r="F5772" t="s">
        <v>24704</v>
      </c>
      <c r="G5772">
        <v>5769</v>
      </c>
      <c r="H5772" t="s">
        <v>24705</v>
      </c>
      <c r="I5772" t="s">
        <v>24706</v>
      </c>
      <c r="J5772" t="s">
        <v>24707</v>
      </c>
    </row>
    <row r="5773" spans="6:10">
      <c r="F5773" t="s">
        <v>24708</v>
      </c>
      <c r="G5773">
        <v>5770</v>
      </c>
      <c r="H5773" t="s">
        <v>24709</v>
      </c>
      <c r="I5773" t="s">
        <v>24710</v>
      </c>
      <c r="J5773" t="s">
        <v>24711</v>
      </c>
    </row>
    <row r="5774" spans="6:10">
      <c r="F5774" t="s">
        <v>24712</v>
      </c>
      <c r="G5774">
        <v>5771</v>
      </c>
      <c r="H5774" t="s">
        <v>24713</v>
      </c>
      <c r="I5774" t="s">
        <v>24714</v>
      </c>
      <c r="J5774" t="s">
        <v>24715</v>
      </c>
    </row>
    <row r="5775" spans="6:10">
      <c r="F5775" t="s">
        <v>24716</v>
      </c>
      <c r="G5775">
        <v>5772</v>
      </c>
      <c r="H5775" t="s">
        <v>16274</v>
      </c>
      <c r="I5775" t="s">
        <v>24717</v>
      </c>
      <c r="J5775" t="s">
        <v>24718</v>
      </c>
    </row>
    <row r="5776" spans="6:10">
      <c r="F5776" t="s">
        <v>24719</v>
      </c>
      <c r="G5776">
        <v>5773</v>
      </c>
      <c r="H5776" t="s">
        <v>24720</v>
      </c>
      <c r="I5776" t="s">
        <v>24721</v>
      </c>
      <c r="J5776" t="s">
        <v>24722</v>
      </c>
    </row>
    <row r="5777" spans="6:10">
      <c r="F5777" t="s">
        <v>24723</v>
      </c>
      <c r="G5777">
        <v>5774</v>
      </c>
      <c r="H5777" t="s">
        <v>24724</v>
      </c>
      <c r="I5777" t="s">
        <v>24724</v>
      </c>
      <c r="J5777" t="s">
        <v>24725</v>
      </c>
    </row>
    <row r="5778" spans="6:10">
      <c r="F5778" t="s">
        <v>24726</v>
      </c>
      <c r="G5778">
        <v>5775</v>
      </c>
      <c r="H5778" t="s">
        <v>24727</v>
      </c>
      <c r="I5778" t="s">
        <v>24727</v>
      </c>
      <c r="J5778" t="s">
        <v>24728</v>
      </c>
    </row>
    <row r="5779" spans="6:10">
      <c r="F5779" t="s">
        <v>24729</v>
      </c>
      <c r="G5779">
        <v>5776</v>
      </c>
      <c r="H5779" t="s">
        <v>24730</v>
      </c>
      <c r="I5779" t="s">
        <v>24731</v>
      </c>
      <c r="J5779" t="s">
        <v>24732</v>
      </c>
    </row>
    <row r="5780" spans="6:10">
      <c r="F5780" t="s">
        <v>24733</v>
      </c>
      <c r="G5780">
        <v>21576934837</v>
      </c>
      <c r="H5780" t="s">
        <v>24734</v>
      </c>
      <c r="I5780" t="s">
        <v>24734</v>
      </c>
      <c r="J5780" t="s">
        <v>24735</v>
      </c>
    </row>
    <row r="5781" spans="6:10">
      <c r="F5781" t="s">
        <v>24736</v>
      </c>
      <c r="G5781">
        <v>6245126738</v>
      </c>
      <c r="H5781" t="s">
        <v>24737</v>
      </c>
      <c r="I5781" t="s">
        <v>24737</v>
      </c>
      <c r="J5781" t="s">
        <v>24738</v>
      </c>
    </row>
    <row r="5782" spans="6:10">
      <c r="F5782" t="s">
        <v>24739</v>
      </c>
      <c r="G5782">
        <v>5779</v>
      </c>
      <c r="H5782" t="s">
        <v>24740</v>
      </c>
      <c r="I5782" t="s">
        <v>24741</v>
      </c>
      <c r="J5782" t="s">
        <v>24742</v>
      </c>
    </row>
    <row r="5783" spans="6:10">
      <c r="F5783" t="s">
        <v>24743</v>
      </c>
      <c r="G5783">
        <v>5780</v>
      </c>
      <c r="H5783" t="s">
        <v>24744</v>
      </c>
      <c r="I5783" t="s">
        <v>24744</v>
      </c>
      <c r="J5783" t="s">
        <v>24745</v>
      </c>
    </row>
    <row r="5784" spans="6:10">
      <c r="F5784" t="s">
        <v>24746</v>
      </c>
      <c r="G5784">
        <v>5781</v>
      </c>
      <c r="H5784" t="s">
        <v>24747</v>
      </c>
      <c r="I5784" t="s">
        <v>24748</v>
      </c>
      <c r="J5784" t="s">
        <v>24749</v>
      </c>
    </row>
    <row r="5785" spans="6:10">
      <c r="F5785" t="s">
        <v>24750</v>
      </c>
      <c r="G5785">
        <v>5782</v>
      </c>
      <c r="H5785" t="s">
        <v>24751</v>
      </c>
      <c r="I5785" t="s">
        <v>24752</v>
      </c>
      <c r="J5785" t="s">
        <v>24753</v>
      </c>
    </row>
    <row r="5786" spans="6:10">
      <c r="F5786" t="s">
        <v>24754</v>
      </c>
      <c r="G5786">
        <v>5783</v>
      </c>
      <c r="H5786" t="s">
        <v>24755</v>
      </c>
      <c r="I5786" t="s">
        <v>24756</v>
      </c>
      <c r="J5786" t="s">
        <v>24757</v>
      </c>
    </row>
    <row r="5787" spans="6:10">
      <c r="F5787" t="s">
        <v>24758</v>
      </c>
      <c r="G5787">
        <v>5784</v>
      </c>
      <c r="H5787" t="s">
        <v>24759</v>
      </c>
      <c r="I5787" t="s">
        <v>24759</v>
      </c>
      <c r="J5787" t="s">
        <v>24760</v>
      </c>
    </row>
    <row r="5788" spans="6:10">
      <c r="F5788" t="s">
        <v>24761</v>
      </c>
      <c r="G5788">
        <v>5785</v>
      </c>
      <c r="H5788" t="s">
        <v>24762</v>
      </c>
      <c r="I5788" t="s">
        <v>24762</v>
      </c>
      <c r="J5788" t="s">
        <v>24763</v>
      </c>
    </row>
    <row r="5789" spans="6:10">
      <c r="F5789" t="s">
        <v>24764</v>
      </c>
      <c r="G5789">
        <v>5786</v>
      </c>
      <c r="H5789" t="s">
        <v>24765</v>
      </c>
      <c r="I5789" t="s">
        <v>24766</v>
      </c>
      <c r="J5789" t="s">
        <v>24767</v>
      </c>
    </row>
    <row r="5790" spans="6:10">
      <c r="F5790" t="s">
        <v>24768</v>
      </c>
      <c r="G5790">
        <v>5787</v>
      </c>
      <c r="H5790" t="s">
        <v>24769</v>
      </c>
      <c r="I5790" t="s">
        <v>24769</v>
      </c>
      <c r="J5790" t="s">
        <v>24770</v>
      </c>
    </row>
    <row r="5791" spans="6:10">
      <c r="F5791" t="s">
        <v>24771</v>
      </c>
      <c r="G5791">
        <v>5788</v>
      </c>
      <c r="H5791" t="s">
        <v>24772</v>
      </c>
      <c r="I5791" t="s">
        <v>24773</v>
      </c>
      <c r="J5791" t="s">
        <v>24774</v>
      </c>
    </row>
    <row r="5792" spans="6:10">
      <c r="F5792" t="s">
        <v>24775</v>
      </c>
      <c r="G5792">
        <v>5789</v>
      </c>
      <c r="H5792" t="s">
        <v>24776</v>
      </c>
      <c r="I5792" t="s">
        <v>24776</v>
      </c>
      <c r="J5792" t="s">
        <v>24777</v>
      </c>
    </row>
    <row r="5793" spans="6:10">
      <c r="F5793" t="s">
        <v>24778</v>
      </c>
      <c r="G5793">
        <v>10786517794</v>
      </c>
      <c r="H5793" t="s">
        <v>24779</v>
      </c>
      <c r="I5793" t="s">
        <v>24779</v>
      </c>
      <c r="J5793" t="s">
        <v>24780</v>
      </c>
    </row>
    <row r="5794" spans="6:10">
      <c r="F5794" t="s">
        <v>24781</v>
      </c>
      <c r="G5794">
        <v>5791</v>
      </c>
      <c r="H5794" t="s">
        <v>24782</v>
      </c>
      <c r="I5794" t="s">
        <v>24783</v>
      </c>
      <c r="J5794" t="s">
        <v>24784</v>
      </c>
    </row>
    <row r="5795" spans="6:10">
      <c r="F5795" t="s">
        <v>24785</v>
      </c>
      <c r="G5795">
        <v>5792</v>
      </c>
      <c r="H5795" t="s">
        <v>24786</v>
      </c>
      <c r="I5795" t="s">
        <v>24787</v>
      </c>
      <c r="J5795" t="s">
        <v>24788</v>
      </c>
    </row>
    <row r="5796" spans="6:10">
      <c r="F5796" t="s">
        <v>24789</v>
      </c>
      <c r="G5796">
        <v>5793</v>
      </c>
      <c r="H5796" t="s">
        <v>24790</v>
      </c>
      <c r="I5796" t="s">
        <v>24790</v>
      </c>
      <c r="J5796" t="s">
        <v>24791</v>
      </c>
    </row>
    <row r="5797" spans="6:10">
      <c r="F5797" t="s">
        <v>24792</v>
      </c>
      <c r="G5797">
        <v>5794</v>
      </c>
      <c r="H5797" t="s">
        <v>24793</v>
      </c>
      <c r="I5797" t="s">
        <v>24794</v>
      </c>
      <c r="J5797" t="s">
        <v>24795</v>
      </c>
    </row>
    <row r="5798" spans="6:10">
      <c r="F5798" t="s">
        <v>24796</v>
      </c>
      <c r="G5798">
        <v>5795</v>
      </c>
      <c r="H5798" t="s">
        <v>24797</v>
      </c>
      <c r="I5798" t="s">
        <v>24798</v>
      </c>
      <c r="J5798" t="s">
        <v>24799</v>
      </c>
    </row>
    <row r="5799" spans="6:10">
      <c r="F5799" t="s">
        <v>24800</v>
      </c>
      <c r="G5799">
        <v>5796</v>
      </c>
      <c r="H5799" t="s">
        <v>24527</v>
      </c>
      <c r="I5799" t="s">
        <v>24527</v>
      </c>
      <c r="J5799" t="s">
        <v>24801</v>
      </c>
    </row>
    <row r="5800" spans="6:10">
      <c r="F5800" t="s">
        <v>24802</v>
      </c>
      <c r="G5800">
        <v>44746641838</v>
      </c>
      <c r="H5800" t="s">
        <v>24803</v>
      </c>
      <c r="I5800" t="s">
        <v>24804</v>
      </c>
      <c r="J5800" t="s">
        <v>24805</v>
      </c>
    </row>
    <row r="5801" spans="6:10">
      <c r="F5801" t="s">
        <v>24806</v>
      </c>
      <c r="G5801">
        <v>5798</v>
      </c>
      <c r="H5801" t="s">
        <v>24556</v>
      </c>
      <c r="I5801" t="s">
        <v>24555</v>
      </c>
      <c r="J5801" t="s">
        <v>24807</v>
      </c>
    </row>
    <row r="5802" spans="6:10">
      <c r="F5802" t="s">
        <v>24808</v>
      </c>
      <c r="G5802">
        <v>5799</v>
      </c>
      <c r="H5802" t="s">
        <v>24809</v>
      </c>
      <c r="I5802" t="s">
        <v>24810</v>
      </c>
      <c r="J5802" t="s">
        <v>24811</v>
      </c>
    </row>
    <row r="5803" spans="6:10">
      <c r="F5803" t="s">
        <v>24812</v>
      </c>
      <c r="G5803">
        <v>5800</v>
      </c>
      <c r="H5803" t="s">
        <v>24813</v>
      </c>
      <c r="I5803" t="s">
        <v>24813</v>
      </c>
      <c r="J5803" t="s">
        <v>24814</v>
      </c>
    </row>
    <row r="5804" spans="6:10">
      <c r="F5804" t="s">
        <v>24815</v>
      </c>
      <c r="G5804">
        <v>5801</v>
      </c>
      <c r="H5804" t="s">
        <v>24816</v>
      </c>
      <c r="I5804" t="s">
        <v>24817</v>
      </c>
      <c r="J5804" t="s">
        <v>24818</v>
      </c>
    </row>
    <row r="5805" spans="6:10">
      <c r="F5805" t="s">
        <v>24819</v>
      </c>
      <c r="G5805">
        <v>5802</v>
      </c>
      <c r="H5805" t="s">
        <v>24820</v>
      </c>
      <c r="I5805" t="s">
        <v>24820</v>
      </c>
      <c r="J5805" t="s">
        <v>24821</v>
      </c>
    </row>
    <row r="5806" spans="6:10">
      <c r="F5806" t="s">
        <v>24822</v>
      </c>
      <c r="G5806">
        <v>5803</v>
      </c>
      <c r="H5806" t="s">
        <v>24823</v>
      </c>
      <c r="I5806" t="s">
        <v>24823</v>
      </c>
      <c r="J5806" t="s">
        <v>24824</v>
      </c>
    </row>
    <row r="5807" spans="6:10">
      <c r="F5807" t="s">
        <v>24825</v>
      </c>
      <c r="G5807">
        <v>5804</v>
      </c>
      <c r="H5807" t="s">
        <v>24826</v>
      </c>
      <c r="I5807" t="s">
        <v>24827</v>
      </c>
      <c r="J5807" t="s">
        <v>24828</v>
      </c>
    </row>
    <row r="5808" spans="6:10">
      <c r="F5808" t="s">
        <v>24829</v>
      </c>
      <c r="G5808">
        <v>5805</v>
      </c>
      <c r="H5808" t="s">
        <v>24830</v>
      </c>
      <c r="I5808" t="s">
        <v>24831</v>
      </c>
      <c r="J5808" t="s">
        <v>24832</v>
      </c>
    </row>
    <row r="5809" spans="6:10">
      <c r="F5809" t="s">
        <v>24833</v>
      </c>
      <c r="G5809">
        <v>5806</v>
      </c>
      <c r="H5809" t="s">
        <v>24834</v>
      </c>
      <c r="I5809" t="s">
        <v>24835</v>
      </c>
      <c r="J5809" t="s">
        <v>24836</v>
      </c>
    </row>
    <row r="5810" spans="6:10">
      <c r="F5810" t="s">
        <v>24837</v>
      </c>
      <c r="G5810">
        <v>5807</v>
      </c>
      <c r="H5810" t="s">
        <v>24838</v>
      </c>
      <c r="I5810" t="s">
        <v>24838</v>
      </c>
      <c r="J5810" t="s">
        <v>24839</v>
      </c>
    </row>
    <row r="5811" spans="6:10">
      <c r="F5811" t="s">
        <v>24840</v>
      </c>
      <c r="G5811">
        <v>5808</v>
      </c>
      <c r="H5811" t="s">
        <v>24841</v>
      </c>
      <c r="I5811" t="s">
        <v>24842</v>
      </c>
      <c r="J5811" t="s">
        <v>24843</v>
      </c>
    </row>
    <row r="5812" spans="6:10">
      <c r="F5812" t="s">
        <v>24844</v>
      </c>
      <c r="G5812">
        <v>5809</v>
      </c>
      <c r="H5812" t="s">
        <v>24845</v>
      </c>
      <c r="I5812" t="s">
        <v>24846</v>
      </c>
      <c r="J5812" t="s">
        <v>24847</v>
      </c>
    </row>
    <row r="5813" spans="6:10">
      <c r="F5813" t="s">
        <v>24848</v>
      </c>
      <c r="G5813">
        <v>5810</v>
      </c>
      <c r="H5813" t="s">
        <v>24849</v>
      </c>
      <c r="I5813" t="s">
        <v>24849</v>
      </c>
      <c r="J5813" t="s">
        <v>24850</v>
      </c>
    </row>
    <row r="5814" spans="6:10">
      <c r="F5814" t="s">
        <v>24851</v>
      </c>
      <c r="G5814">
        <v>5811</v>
      </c>
      <c r="H5814" t="s">
        <v>24852</v>
      </c>
      <c r="I5814" t="s">
        <v>24852</v>
      </c>
      <c r="J5814" t="s">
        <v>24853</v>
      </c>
    </row>
    <row r="5815" spans="6:10">
      <c r="F5815" t="s">
        <v>24854</v>
      </c>
      <c r="G5815">
        <v>5812</v>
      </c>
      <c r="H5815" t="s">
        <v>24855</v>
      </c>
      <c r="I5815" t="s">
        <v>24855</v>
      </c>
      <c r="J5815" t="s">
        <v>24856</v>
      </c>
    </row>
    <row r="5816" spans="6:10">
      <c r="F5816" t="s">
        <v>24857</v>
      </c>
      <c r="G5816">
        <v>5813</v>
      </c>
      <c r="H5816" t="s">
        <v>24858</v>
      </c>
      <c r="I5816" t="s">
        <v>24858</v>
      </c>
      <c r="J5816" t="s">
        <v>24859</v>
      </c>
    </row>
    <row r="5817" spans="6:10">
      <c r="F5817" t="s">
        <v>24860</v>
      </c>
      <c r="G5817">
        <v>5814</v>
      </c>
      <c r="H5817" t="s">
        <v>24861</v>
      </c>
      <c r="I5817" t="s">
        <v>24862</v>
      </c>
      <c r="J5817" t="s">
        <v>24863</v>
      </c>
    </row>
    <row r="5818" spans="6:10">
      <c r="F5818" t="s">
        <v>24864</v>
      </c>
      <c r="G5818">
        <v>5815</v>
      </c>
      <c r="H5818" t="s">
        <v>24865</v>
      </c>
      <c r="I5818" t="s">
        <v>24865</v>
      </c>
      <c r="J5818" t="s">
        <v>24866</v>
      </c>
    </row>
    <row r="5819" spans="6:10">
      <c r="F5819" t="s">
        <v>24867</v>
      </c>
      <c r="G5819">
        <v>5816</v>
      </c>
      <c r="H5819" t="s">
        <v>24868</v>
      </c>
      <c r="I5819" t="s">
        <v>24868</v>
      </c>
      <c r="J5819" t="s">
        <v>24869</v>
      </c>
    </row>
    <row r="5820" spans="6:10">
      <c r="F5820" t="s">
        <v>24870</v>
      </c>
      <c r="G5820">
        <v>5817</v>
      </c>
      <c r="H5820" t="s">
        <v>24871</v>
      </c>
      <c r="I5820" t="s">
        <v>24871</v>
      </c>
      <c r="J5820" t="s">
        <v>24872</v>
      </c>
    </row>
    <row r="5821" spans="6:10">
      <c r="F5821" t="s">
        <v>24873</v>
      </c>
      <c r="G5821">
        <v>5818</v>
      </c>
      <c r="H5821" t="s">
        <v>24874</v>
      </c>
      <c r="I5821" t="s">
        <v>24874</v>
      </c>
      <c r="J5821" t="s">
        <v>24875</v>
      </c>
    </row>
    <row r="5822" spans="6:10">
      <c r="F5822" t="s">
        <v>24876</v>
      </c>
      <c r="G5822">
        <v>5819</v>
      </c>
      <c r="H5822" t="s">
        <v>24877</v>
      </c>
      <c r="I5822" t="s">
        <v>24877</v>
      </c>
      <c r="J5822" t="s">
        <v>24878</v>
      </c>
    </row>
    <row r="5823" spans="6:10">
      <c r="F5823" t="s">
        <v>24879</v>
      </c>
      <c r="G5823">
        <v>5820</v>
      </c>
      <c r="H5823" t="s">
        <v>24880</v>
      </c>
      <c r="I5823" t="s">
        <v>24881</v>
      </c>
      <c r="J5823" t="s">
        <v>24882</v>
      </c>
    </row>
    <row r="5824" spans="6:10">
      <c r="F5824" t="s">
        <v>24883</v>
      </c>
      <c r="G5824">
        <v>5821</v>
      </c>
      <c r="H5824" t="s">
        <v>24884</v>
      </c>
      <c r="I5824" t="s">
        <v>24885</v>
      </c>
      <c r="J5824" t="s">
        <v>24886</v>
      </c>
    </row>
    <row r="5825" spans="6:10">
      <c r="F5825" t="s">
        <v>24887</v>
      </c>
      <c r="G5825">
        <v>5822</v>
      </c>
      <c r="H5825" t="s">
        <v>24888</v>
      </c>
      <c r="I5825" t="s">
        <v>24888</v>
      </c>
      <c r="J5825" t="s">
        <v>24889</v>
      </c>
    </row>
    <row r="5826" spans="6:10">
      <c r="F5826" t="s">
        <v>24890</v>
      </c>
      <c r="G5826">
        <v>5823</v>
      </c>
      <c r="H5826" t="s">
        <v>24891</v>
      </c>
      <c r="I5826" t="s">
        <v>24892</v>
      </c>
      <c r="J5826" t="s">
        <v>24893</v>
      </c>
    </row>
    <row r="5827" spans="6:10">
      <c r="F5827" t="s">
        <v>24894</v>
      </c>
      <c r="G5827">
        <v>5824</v>
      </c>
      <c r="H5827" t="s">
        <v>24895</v>
      </c>
      <c r="I5827" t="s">
        <v>24896</v>
      </c>
      <c r="J5827" t="s">
        <v>24897</v>
      </c>
    </row>
    <row r="5828" spans="6:10">
      <c r="F5828" t="s">
        <v>24898</v>
      </c>
      <c r="G5828">
        <v>5825</v>
      </c>
      <c r="H5828" t="s">
        <v>24559</v>
      </c>
      <c r="I5828" t="s">
        <v>24558</v>
      </c>
      <c r="J5828" t="s">
        <v>24899</v>
      </c>
    </row>
    <row r="5829" spans="6:10">
      <c r="F5829" t="s">
        <v>24900</v>
      </c>
      <c r="G5829">
        <v>5826</v>
      </c>
      <c r="H5829" t="s">
        <v>24901</v>
      </c>
      <c r="I5829" t="s">
        <v>24902</v>
      </c>
      <c r="J5829" t="s">
        <v>24903</v>
      </c>
    </row>
    <row r="5830" spans="6:10">
      <c r="F5830" t="s">
        <v>24904</v>
      </c>
      <c r="G5830">
        <v>5827</v>
      </c>
      <c r="H5830" t="s">
        <v>1936</v>
      </c>
      <c r="I5830" t="s">
        <v>24905</v>
      </c>
      <c r="J5830" t="s">
        <v>24906</v>
      </c>
    </row>
    <row r="5831" spans="6:10">
      <c r="F5831" t="s">
        <v>24907</v>
      </c>
      <c r="G5831">
        <v>5828</v>
      </c>
      <c r="H5831" t="s">
        <v>24908</v>
      </c>
      <c r="I5831" t="s">
        <v>24909</v>
      </c>
      <c r="J5831" t="s">
        <v>24910</v>
      </c>
    </row>
    <row r="5832" spans="6:10">
      <c r="F5832" t="s">
        <v>24911</v>
      </c>
      <c r="G5832">
        <v>5829</v>
      </c>
      <c r="H5832" t="s">
        <v>24912</v>
      </c>
      <c r="I5832" t="s">
        <v>24913</v>
      </c>
      <c r="J5832" t="s">
        <v>24914</v>
      </c>
    </row>
    <row r="5833" spans="6:10">
      <c r="F5833" t="s">
        <v>24915</v>
      </c>
      <c r="G5833">
        <v>5830</v>
      </c>
      <c r="H5833" t="s">
        <v>24916</v>
      </c>
      <c r="I5833" t="s">
        <v>24916</v>
      </c>
      <c r="J5833" t="s">
        <v>24917</v>
      </c>
    </row>
    <row r="5834" spans="6:10">
      <c r="F5834" t="s">
        <v>24918</v>
      </c>
      <c r="G5834">
        <v>5831</v>
      </c>
      <c r="H5834" t="s">
        <v>24919</v>
      </c>
      <c r="I5834" t="s">
        <v>24920</v>
      </c>
      <c r="J5834" t="s">
        <v>24921</v>
      </c>
    </row>
    <row r="5835" spans="6:10">
      <c r="F5835" t="s">
        <v>24922</v>
      </c>
      <c r="G5835">
        <v>5832</v>
      </c>
      <c r="H5835" t="s">
        <v>24923</v>
      </c>
      <c r="I5835" t="s">
        <v>24924</v>
      </c>
      <c r="J5835" t="s">
        <v>24925</v>
      </c>
    </row>
    <row r="5836" spans="6:10">
      <c r="F5836" t="s">
        <v>24926</v>
      </c>
      <c r="G5836">
        <v>5833</v>
      </c>
      <c r="H5836" t="s">
        <v>24927</v>
      </c>
      <c r="I5836" t="s">
        <v>24928</v>
      </c>
      <c r="J5836" t="s">
        <v>24929</v>
      </c>
    </row>
    <row r="5837" spans="6:10">
      <c r="F5837" t="s">
        <v>24930</v>
      </c>
      <c r="G5837">
        <v>5834</v>
      </c>
      <c r="H5837" t="s">
        <v>24931</v>
      </c>
      <c r="I5837" t="s">
        <v>24932</v>
      </c>
      <c r="J5837" t="s">
        <v>24933</v>
      </c>
    </row>
    <row r="5838" spans="6:10">
      <c r="F5838" t="s">
        <v>24934</v>
      </c>
      <c r="G5838">
        <v>5835</v>
      </c>
      <c r="H5838" t="s">
        <v>24935</v>
      </c>
      <c r="I5838" t="s">
        <v>24935</v>
      </c>
      <c r="J5838" t="s">
        <v>24936</v>
      </c>
    </row>
    <row r="5839" spans="6:10">
      <c r="F5839" t="s">
        <v>24937</v>
      </c>
      <c r="G5839">
        <v>5836</v>
      </c>
      <c r="H5839" t="s">
        <v>24938</v>
      </c>
      <c r="I5839" t="s">
        <v>24939</v>
      </c>
      <c r="J5839" t="s">
        <v>24940</v>
      </c>
    </row>
    <row r="5840" spans="6:10">
      <c r="F5840" t="s">
        <v>24941</v>
      </c>
      <c r="G5840">
        <v>5837</v>
      </c>
      <c r="H5840" t="s">
        <v>24942</v>
      </c>
      <c r="I5840" t="s">
        <v>24943</v>
      </c>
      <c r="J5840" t="s">
        <v>24944</v>
      </c>
    </row>
    <row r="5841" spans="6:10">
      <c r="F5841" t="s">
        <v>24945</v>
      </c>
      <c r="G5841">
        <v>5838</v>
      </c>
      <c r="H5841" t="s">
        <v>24946</v>
      </c>
      <c r="I5841" t="s">
        <v>24946</v>
      </c>
      <c r="J5841" t="s">
        <v>24947</v>
      </c>
    </row>
    <row r="5842" spans="6:10">
      <c r="F5842" t="s">
        <v>24948</v>
      </c>
      <c r="G5842">
        <v>5839</v>
      </c>
      <c r="H5842" t="s">
        <v>24949</v>
      </c>
      <c r="I5842" t="s">
        <v>24949</v>
      </c>
      <c r="J5842" t="s">
        <v>24950</v>
      </c>
    </row>
    <row r="5843" spans="6:10">
      <c r="F5843" t="s">
        <v>24951</v>
      </c>
      <c r="G5843">
        <v>5840</v>
      </c>
      <c r="H5843" t="s">
        <v>24952</v>
      </c>
      <c r="I5843" t="s">
        <v>24953</v>
      </c>
      <c r="J5843" t="s">
        <v>24954</v>
      </c>
    </row>
    <row r="5844" spans="6:10">
      <c r="F5844" t="s">
        <v>24955</v>
      </c>
      <c r="G5844">
        <v>5841</v>
      </c>
      <c r="H5844" t="s">
        <v>24956</v>
      </c>
      <c r="I5844" t="s">
        <v>24957</v>
      </c>
      <c r="J5844" t="s">
        <v>24958</v>
      </c>
    </row>
    <row r="5845" spans="6:10">
      <c r="F5845" t="s">
        <v>24959</v>
      </c>
      <c r="G5845">
        <v>5842</v>
      </c>
      <c r="H5845" t="s">
        <v>24960</v>
      </c>
      <c r="I5845" t="s">
        <v>24961</v>
      </c>
      <c r="J5845" t="s">
        <v>24962</v>
      </c>
    </row>
    <row r="5846" spans="6:10">
      <c r="F5846" t="s">
        <v>24963</v>
      </c>
      <c r="G5846">
        <v>5843</v>
      </c>
      <c r="H5846" t="s">
        <v>24960</v>
      </c>
      <c r="I5846" t="s">
        <v>24961</v>
      </c>
      <c r="J5846" t="s">
        <v>24964</v>
      </c>
    </row>
    <row r="5847" spans="6:10">
      <c r="F5847" t="s">
        <v>24965</v>
      </c>
      <c r="G5847">
        <v>5844</v>
      </c>
      <c r="H5847" t="s">
        <v>24966</v>
      </c>
      <c r="I5847" t="s">
        <v>24966</v>
      </c>
      <c r="J5847" t="s">
        <v>24967</v>
      </c>
    </row>
    <row r="5848" spans="6:10">
      <c r="F5848" t="s">
        <v>24968</v>
      </c>
      <c r="G5848">
        <v>5845</v>
      </c>
      <c r="H5848" t="s">
        <v>24969</v>
      </c>
      <c r="I5848" t="s">
        <v>24970</v>
      </c>
      <c r="J5848" t="s">
        <v>24971</v>
      </c>
    </row>
  </sheetData>
  <phoneticPr fontId="2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8"/>
  <sheetViews>
    <sheetView workbookViewId="0">
      <selection sqref="A1:C1311"/>
    </sheetView>
  </sheetViews>
  <sheetFormatPr defaultRowHeight="14.25"/>
  <cols>
    <col min="1" max="1" width="16.25" bestFit="1" customWidth="1"/>
    <col min="2" max="2" width="81.125" bestFit="1" customWidth="1"/>
    <col min="3" max="3" width="17.375" bestFit="1" customWidth="1"/>
  </cols>
  <sheetData>
    <row r="1" spans="1:3">
      <c r="A1" t="s">
        <v>21177</v>
      </c>
      <c r="B1" t="s">
        <v>20501</v>
      </c>
      <c r="C1" t="s">
        <v>21176</v>
      </c>
    </row>
    <row r="2" spans="1:3">
      <c r="A2">
        <v>103012167</v>
      </c>
      <c r="B2" t="s">
        <v>21114</v>
      </c>
      <c r="C2" t="s">
        <v>21113</v>
      </c>
    </row>
    <row r="3" spans="1:3">
      <c r="A3">
        <v>210112487</v>
      </c>
      <c r="B3" t="s">
        <v>24001</v>
      </c>
      <c r="C3" t="s">
        <v>24002</v>
      </c>
    </row>
    <row r="4" spans="1:3">
      <c r="A4">
        <v>210518559</v>
      </c>
      <c r="B4" t="s">
        <v>20696</v>
      </c>
      <c r="C4" t="s">
        <v>20695</v>
      </c>
    </row>
    <row r="5" spans="1:3">
      <c r="A5">
        <v>211078601</v>
      </c>
      <c r="B5" t="s">
        <v>21139</v>
      </c>
      <c r="C5" t="s">
        <v>21138</v>
      </c>
    </row>
    <row r="6" spans="1:3">
      <c r="A6">
        <v>330171406</v>
      </c>
      <c r="B6" t="s">
        <v>24972</v>
      </c>
      <c r="C6" t="s">
        <v>24973</v>
      </c>
    </row>
    <row r="7" spans="1:3">
      <c r="A7">
        <v>1101015336</v>
      </c>
      <c r="B7" t="s">
        <v>21199</v>
      </c>
      <c r="C7" t="s">
        <v>21200</v>
      </c>
    </row>
    <row r="8" spans="1:3">
      <c r="A8">
        <v>1102685333</v>
      </c>
      <c r="B8" t="s">
        <v>21201</v>
      </c>
      <c r="C8" t="s">
        <v>21202</v>
      </c>
    </row>
    <row r="9" spans="1:3">
      <c r="A9">
        <v>1102685334</v>
      </c>
      <c r="B9" t="s">
        <v>21203</v>
      </c>
      <c r="C9" t="s">
        <v>21204</v>
      </c>
    </row>
    <row r="10" spans="1:3">
      <c r="A10">
        <v>1102689530</v>
      </c>
      <c r="B10" t="s">
        <v>20628</v>
      </c>
      <c r="C10" t="s">
        <v>20627</v>
      </c>
    </row>
    <row r="11" spans="1:3">
      <c r="A11">
        <v>1114309657</v>
      </c>
      <c r="B11" t="s">
        <v>24974</v>
      </c>
      <c r="C11" t="s">
        <v>24975</v>
      </c>
    </row>
    <row r="12" spans="1:3">
      <c r="A12">
        <v>2101011231</v>
      </c>
      <c r="B12" t="s">
        <v>23721</v>
      </c>
      <c r="C12" t="s">
        <v>23722</v>
      </c>
    </row>
    <row r="13" spans="1:3">
      <c r="A13">
        <v>2101011527</v>
      </c>
      <c r="B13" t="s">
        <v>24553</v>
      </c>
      <c r="C13" t="s">
        <v>24976</v>
      </c>
    </row>
    <row r="14" spans="1:3">
      <c r="A14">
        <v>2101012393</v>
      </c>
      <c r="B14" t="s">
        <v>21608</v>
      </c>
      <c r="C14" t="s">
        <v>21609</v>
      </c>
    </row>
    <row r="15" spans="1:3">
      <c r="A15">
        <v>2101012401</v>
      </c>
      <c r="B15" t="s">
        <v>21610</v>
      </c>
      <c r="C15" t="s">
        <v>21611</v>
      </c>
    </row>
    <row r="16" spans="1:3">
      <c r="A16">
        <v>2101012407</v>
      </c>
      <c r="B16" t="s">
        <v>21610</v>
      </c>
      <c r="C16" t="s">
        <v>21612</v>
      </c>
    </row>
    <row r="17" spans="1:3">
      <c r="A17">
        <v>2101012433</v>
      </c>
      <c r="B17" t="s">
        <v>23723</v>
      </c>
      <c r="C17" t="s">
        <v>20656</v>
      </c>
    </row>
    <row r="18" spans="1:3">
      <c r="A18">
        <v>2101012439</v>
      </c>
      <c r="B18" t="s">
        <v>23724</v>
      </c>
      <c r="C18" t="s">
        <v>20655</v>
      </c>
    </row>
    <row r="19" spans="1:3">
      <c r="A19">
        <v>2101012447</v>
      </c>
      <c r="B19" t="s">
        <v>21610</v>
      </c>
      <c r="C19" t="s">
        <v>21613</v>
      </c>
    </row>
    <row r="20" spans="1:3">
      <c r="A20">
        <v>2101012452</v>
      </c>
      <c r="B20" t="s">
        <v>21614</v>
      </c>
      <c r="C20" t="s">
        <v>21615</v>
      </c>
    </row>
    <row r="21" spans="1:3">
      <c r="A21">
        <v>2101012454</v>
      </c>
      <c r="B21" t="s">
        <v>21614</v>
      </c>
      <c r="C21" t="s">
        <v>21616</v>
      </c>
    </row>
    <row r="22" spans="1:3">
      <c r="A22">
        <v>2101012973</v>
      </c>
      <c r="B22" t="s">
        <v>23725</v>
      </c>
      <c r="C22" t="s">
        <v>20654</v>
      </c>
    </row>
    <row r="23" spans="1:3">
      <c r="A23">
        <v>2101012979</v>
      </c>
      <c r="B23" t="s">
        <v>21610</v>
      </c>
      <c r="C23" t="s">
        <v>21617</v>
      </c>
    </row>
    <row r="24" spans="1:3">
      <c r="A24">
        <v>2101014250</v>
      </c>
      <c r="B24" t="s">
        <v>21610</v>
      </c>
      <c r="C24" t="s">
        <v>21618</v>
      </c>
    </row>
    <row r="25" spans="1:3">
      <c r="A25">
        <v>2101015260</v>
      </c>
      <c r="B25" t="s">
        <v>21398</v>
      </c>
      <c r="C25" t="s">
        <v>21399</v>
      </c>
    </row>
    <row r="26" spans="1:3">
      <c r="A26">
        <v>2101015261</v>
      </c>
      <c r="B26" t="s">
        <v>21172</v>
      </c>
      <c r="C26" t="s">
        <v>21171</v>
      </c>
    </row>
    <row r="27" spans="1:3">
      <c r="A27">
        <v>2101018624</v>
      </c>
      <c r="B27" t="s">
        <v>21075</v>
      </c>
      <c r="C27" t="s">
        <v>21074</v>
      </c>
    </row>
    <row r="28" spans="1:3">
      <c r="A28">
        <v>2101019656</v>
      </c>
      <c r="B28" t="s">
        <v>21619</v>
      </c>
      <c r="C28" t="s">
        <v>21620</v>
      </c>
    </row>
    <row r="29" spans="1:3">
      <c r="A29">
        <v>2101019658</v>
      </c>
      <c r="B29" t="s">
        <v>21621</v>
      </c>
      <c r="C29" t="s">
        <v>21622</v>
      </c>
    </row>
    <row r="30" spans="1:3">
      <c r="A30">
        <v>2101019890</v>
      </c>
      <c r="B30" t="s">
        <v>22915</v>
      </c>
      <c r="C30" t="s">
        <v>22916</v>
      </c>
    </row>
    <row r="31" spans="1:3">
      <c r="A31">
        <v>2101020059</v>
      </c>
      <c r="B31" t="s">
        <v>20702</v>
      </c>
      <c r="C31" t="s">
        <v>20701</v>
      </c>
    </row>
    <row r="32" spans="1:3">
      <c r="A32">
        <v>2101021214</v>
      </c>
      <c r="B32" t="s">
        <v>23726</v>
      </c>
      <c r="C32" t="s">
        <v>23727</v>
      </c>
    </row>
    <row r="33" spans="1:3">
      <c r="A33">
        <v>2101021234</v>
      </c>
      <c r="B33" t="s">
        <v>23728</v>
      </c>
      <c r="C33" t="s">
        <v>23729</v>
      </c>
    </row>
    <row r="34" spans="1:3">
      <c r="A34">
        <v>2101022497</v>
      </c>
      <c r="B34" t="s">
        <v>23190</v>
      </c>
      <c r="C34" t="s">
        <v>21624</v>
      </c>
    </row>
    <row r="35" spans="1:3">
      <c r="A35">
        <v>2101022498</v>
      </c>
      <c r="B35" t="s">
        <v>23191</v>
      </c>
      <c r="C35" t="s">
        <v>20660</v>
      </c>
    </row>
    <row r="36" spans="1:3">
      <c r="A36">
        <v>2101022499</v>
      </c>
      <c r="B36" t="s">
        <v>21623</v>
      </c>
      <c r="C36" t="s">
        <v>21625</v>
      </c>
    </row>
    <row r="37" spans="1:3">
      <c r="A37">
        <v>2101022500</v>
      </c>
      <c r="B37" t="s">
        <v>21623</v>
      </c>
      <c r="C37" t="s">
        <v>20659</v>
      </c>
    </row>
    <row r="38" spans="1:3">
      <c r="A38">
        <v>2101022974</v>
      </c>
      <c r="B38" t="s">
        <v>21623</v>
      </c>
      <c r="C38" t="s">
        <v>20658</v>
      </c>
    </row>
    <row r="39" spans="1:3">
      <c r="A39">
        <v>2101022975</v>
      </c>
      <c r="B39" t="s">
        <v>6260</v>
      </c>
      <c r="C39" t="s">
        <v>21626</v>
      </c>
    </row>
    <row r="40" spans="1:3">
      <c r="A40">
        <v>2101024241</v>
      </c>
      <c r="B40" t="s">
        <v>20550</v>
      </c>
      <c r="C40" t="s">
        <v>20549</v>
      </c>
    </row>
    <row r="41" spans="1:3">
      <c r="A41">
        <v>2101024288</v>
      </c>
      <c r="B41" t="s">
        <v>23192</v>
      </c>
      <c r="C41" t="s">
        <v>21627</v>
      </c>
    </row>
    <row r="42" spans="1:3">
      <c r="A42">
        <v>2101025118</v>
      </c>
      <c r="B42" t="s">
        <v>21623</v>
      </c>
      <c r="C42" t="s">
        <v>20657</v>
      </c>
    </row>
    <row r="43" spans="1:3">
      <c r="A43">
        <v>2101025248</v>
      </c>
      <c r="B43" t="s">
        <v>23730</v>
      </c>
      <c r="C43" t="s">
        <v>20653</v>
      </c>
    </row>
    <row r="44" spans="1:3">
      <c r="A44">
        <v>2101028498</v>
      </c>
      <c r="B44" t="s">
        <v>21302</v>
      </c>
      <c r="C44" t="s">
        <v>21303</v>
      </c>
    </row>
    <row r="45" spans="1:3">
      <c r="A45">
        <v>2101028849</v>
      </c>
      <c r="B45" t="s">
        <v>22917</v>
      </c>
      <c r="C45" t="s">
        <v>22918</v>
      </c>
    </row>
    <row r="46" spans="1:3">
      <c r="A46">
        <v>2101029613</v>
      </c>
      <c r="B46" t="s">
        <v>21629</v>
      </c>
      <c r="C46" t="s">
        <v>21630</v>
      </c>
    </row>
    <row r="47" spans="1:3">
      <c r="A47">
        <v>2101029863</v>
      </c>
      <c r="B47" t="s">
        <v>23193</v>
      </c>
      <c r="C47" t="s">
        <v>23194</v>
      </c>
    </row>
    <row r="48" spans="1:3">
      <c r="A48">
        <v>2101029894</v>
      </c>
      <c r="B48" t="s">
        <v>22637</v>
      </c>
      <c r="C48" t="s">
        <v>22638</v>
      </c>
    </row>
    <row r="49" spans="1:3">
      <c r="A49">
        <v>2101031585</v>
      </c>
      <c r="B49" t="s">
        <v>24977</v>
      </c>
      <c r="C49" t="s">
        <v>24978</v>
      </c>
    </row>
    <row r="50" spans="1:3">
      <c r="A50">
        <v>2101032357</v>
      </c>
      <c r="B50" t="s">
        <v>21101</v>
      </c>
      <c r="C50" t="s">
        <v>21100</v>
      </c>
    </row>
    <row r="51" spans="1:3">
      <c r="A51">
        <v>2101032489</v>
      </c>
      <c r="B51" t="s">
        <v>21157</v>
      </c>
      <c r="C51" t="s">
        <v>21156</v>
      </c>
    </row>
    <row r="52" spans="1:3">
      <c r="A52">
        <v>2101033503</v>
      </c>
      <c r="B52" t="s">
        <v>23547</v>
      </c>
      <c r="C52" t="s">
        <v>23548</v>
      </c>
    </row>
    <row r="53" spans="1:3">
      <c r="A53">
        <v>2101038623</v>
      </c>
      <c r="B53" t="s">
        <v>21077</v>
      </c>
      <c r="C53" t="s">
        <v>21076</v>
      </c>
    </row>
    <row r="54" spans="1:3">
      <c r="A54">
        <v>2101039910</v>
      </c>
      <c r="B54" t="s">
        <v>22774</v>
      </c>
      <c r="C54" t="s">
        <v>22775</v>
      </c>
    </row>
    <row r="55" spans="1:3">
      <c r="A55">
        <v>2101041148</v>
      </c>
      <c r="B55" t="s">
        <v>23195</v>
      </c>
      <c r="C55" t="s">
        <v>23196</v>
      </c>
    </row>
    <row r="56" spans="1:3">
      <c r="A56">
        <v>2101042056</v>
      </c>
      <c r="B56" t="s">
        <v>21004</v>
      </c>
      <c r="C56" t="s">
        <v>21205</v>
      </c>
    </row>
    <row r="57" spans="1:3">
      <c r="A57">
        <v>2101042368</v>
      </c>
      <c r="B57" t="s">
        <v>23197</v>
      </c>
      <c r="C57" t="s">
        <v>21632</v>
      </c>
    </row>
    <row r="58" spans="1:3">
      <c r="A58">
        <v>2101042369</v>
      </c>
      <c r="B58" t="s">
        <v>21631</v>
      </c>
      <c r="C58" t="s">
        <v>21633</v>
      </c>
    </row>
    <row r="59" spans="1:3">
      <c r="A59">
        <v>2101042483</v>
      </c>
      <c r="B59" t="s">
        <v>21036</v>
      </c>
      <c r="C59" t="s">
        <v>21035</v>
      </c>
    </row>
    <row r="60" spans="1:3">
      <c r="A60">
        <v>2101042975</v>
      </c>
      <c r="B60" t="s">
        <v>23105</v>
      </c>
      <c r="C60" t="s">
        <v>21634</v>
      </c>
    </row>
    <row r="61" spans="1:3">
      <c r="A61">
        <v>2101042976</v>
      </c>
      <c r="B61" t="s">
        <v>23088</v>
      </c>
      <c r="C61" t="s">
        <v>21635</v>
      </c>
    </row>
    <row r="62" spans="1:3">
      <c r="A62">
        <v>2101043138</v>
      </c>
      <c r="B62" t="s">
        <v>24979</v>
      </c>
      <c r="C62" t="s">
        <v>24980</v>
      </c>
    </row>
    <row r="63" spans="1:3">
      <c r="A63">
        <v>2101044086</v>
      </c>
      <c r="B63" t="s">
        <v>20749</v>
      </c>
      <c r="C63" t="s">
        <v>20748</v>
      </c>
    </row>
    <row r="64" spans="1:3">
      <c r="A64">
        <v>2101046053</v>
      </c>
      <c r="B64" t="s">
        <v>23731</v>
      </c>
      <c r="C64" t="s">
        <v>23732</v>
      </c>
    </row>
    <row r="65" spans="1:3">
      <c r="A65">
        <v>2101046858</v>
      </c>
      <c r="B65" t="s">
        <v>24981</v>
      </c>
      <c r="C65" t="s">
        <v>24982</v>
      </c>
    </row>
    <row r="66" spans="1:3">
      <c r="A66">
        <v>2101048638</v>
      </c>
      <c r="B66" t="s">
        <v>21097</v>
      </c>
      <c r="C66" t="s">
        <v>21096</v>
      </c>
    </row>
    <row r="67" spans="1:3">
      <c r="A67">
        <v>2101049617</v>
      </c>
      <c r="B67" t="s">
        <v>21636</v>
      </c>
      <c r="C67" t="s">
        <v>21637</v>
      </c>
    </row>
    <row r="68" spans="1:3">
      <c r="A68">
        <v>2101049619</v>
      </c>
      <c r="B68" t="s">
        <v>21638</v>
      </c>
      <c r="C68" t="s">
        <v>21639</v>
      </c>
    </row>
    <row r="69" spans="1:3">
      <c r="A69">
        <v>2101049753</v>
      </c>
      <c r="B69" t="s">
        <v>21640</v>
      </c>
      <c r="C69" t="s">
        <v>21641</v>
      </c>
    </row>
    <row r="70" spans="1:3">
      <c r="A70">
        <v>2101049763</v>
      </c>
      <c r="B70" t="s">
        <v>22353</v>
      </c>
      <c r="C70" t="s">
        <v>22354</v>
      </c>
    </row>
    <row r="71" spans="1:3">
      <c r="A71">
        <v>2101050221</v>
      </c>
      <c r="B71" t="s">
        <v>21116</v>
      </c>
      <c r="C71" t="s">
        <v>21115</v>
      </c>
    </row>
    <row r="72" spans="1:3">
      <c r="A72">
        <v>2101051142</v>
      </c>
      <c r="B72" t="s">
        <v>23198</v>
      </c>
      <c r="C72" t="s">
        <v>23199</v>
      </c>
    </row>
    <row r="73" spans="1:3">
      <c r="A73">
        <v>2101051172</v>
      </c>
      <c r="B73" t="s">
        <v>23549</v>
      </c>
      <c r="C73" t="s">
        <v>23550</v>
      </c>
    </row>
    <row r="74" spans="1:3">
      <c r="A74">
        <v>2101051173</v>
      </c>
      <c r="B74" t="s">
        <v>23551</v>
      </c>
      <c r="C74" t="s">
        <v>23552</v>
      </c>
    </row>
    <row r="75" spans="1:3">
      <c r="A75">
        <v>2101051176</v>
      </c>
      <c r="B75" t="s">
        <v>23553</v>
      </c>
      <c r="C75" t="s">
        <v>23554</v>
      </c>
    </row>
    <row r="76" spans="1:3">
      <c r="A76">
        <v>2101051183</v>
      </c>
      <c r="B76" t="s">
        <v>23733</v>
      </c>
      <c r="C76" t="s">
        <v>23734</v>
      </c>
    </row>
    <row r="77" spans="1:3">
      <c r="A77">
        <v>2101051870</v>
      </c>
      <c r="B77" t="s">
        <v>23735</v>
      </c>
      <c r="C77" t="s">
        <v>20752</v>
      </c>
    </row>
    <row r="78" spans="1:3">
      <c r="A78">
        <v>2101051871</v>
      </c>
      <c r="B78" t="s">
        <v>22639</v>
      </c>
      <c r="C78" t="s">
        <v>22640</v>
      </c>
    </row>
    <row r="79" spans="1:3">
      <c r="A79">
        <v>2101058044</v>
      </c>
      <c r="B79" t="s">
        <v>21087</v>
      </c>
      <c r="C79" t="s">
        <v>21086</v>
      </c>
    </row>
    <row r="80" spans="1:3">
      <c r="A80">
        <v>2101058046</v>
      </c>
      <c r="B80" t="s">
        <v>20745</v>
      </c>
      <c r="C80" t="s">
        <v>20744</v>
      </c>
    </row>
    <row r="81" spans="1:3">
      <c r="A81">
        <v>2101059620</v>
      </c>
      <c r="B81" t="s">
        <v>21642</v>
      </c>
      <c r="C81" t="s">
        <v>21643</v>
      </c>
    </row>
    <row r="82" spans="1:3">
      <c r="A82">
        <v>2101061044</v>
      </c>
      <c r="B82" t="s">
        <v>24003</v>
      </c>
      <c r="C82" t="s">
        <v>24004</v>
      </c>
    </row>
    <row r="83" spans="1:3">
      <c r="A83">
        <v>2101061045</v>
      </c>
      <c r="B83" t="s">
        <v>23736</v>
      </c>
      <c r="C83" t="s">
        <v>23737</v>
      </c>
    </row>
    <row r="84" spans="1:3">
      <c r="A84">
        <v>2101061046</v>
      </c>
      <c r="B84" t="s">
        <v>24005</v>
      </c>
      <c r="C84" t="s">
        <v>24006</v>
      </c>
    </row>
    <row r="85" spans="1:3">
      <c r="A85">
        <v>2101061047</v>
      </c>
      <c r="B85" t="s">
        <v>24007</v>
      </c>
      <c r="C85" t="s">
        <v>24008</v>
      </c>
    </row>
    <row r="86" spans="1:3">
      <c r="A86">
        <v>2101061048</v>
      </c>
      <c r="B86" t="s">
        <v>23738</v>
      </c>
      <c r="C86" t="s">
        <v>23739</v>
      </c>
    </row>
    <row r="87" spans="1:3">
      <c r="A87">
        <v>2101061049</v>
      </c>
      <c r="B87" t="s">
        <v>24009</v>
      </c>
      <c r="C87" t="s">
        <v>24010</v>
      </c>
    </row>
    <row r="88" spans="1:3">
      <c r="A88">
        <v>2101061050</v>
      </c>
      <c r="B88" t="s">
        <v>24011</v>
      </c>
      <c r="C88" t="s">
        <v>24012</v>
      </c>
    </row>
    <row r="89" spans="1:3">
      <c r="A89">
        <v>2101061051</v>
      </c>
      <c r="B89" t="s">
        <v>23740</v>
      </c>
      <c r="C89" t="s">
        <v>23741</v>
      </c>
    </row>
    <row r="90" spans="1:3">
      <c r="A90">
        <v>2101061052</v>
      </c>
      <c r="B90" t="s">
        <v>24013</v>
      </c>
      <c r="C90" t="s">
        <v>24014</v>
      </c>
    </row>
    <row r="91" spans="1:3">
      <c r="A91">
        <v>2101061082</v>
      </c>
      <c r="B91" t="s">
        <v>23200</v>
      </c>
      <c r="C91" t="s">
        <v>23201</v>
      </c>
    </row>
    <row r="92" spans="1:3">
      <c r="A92">
        <v>2101061083</v>
      </c>
      <c r="B92" t="s">
        <v>23202</v>
      </c>
      <c r="C92" t="s">
        <v>23203</v>
      </c>
    </row>
    <row r="93" spans="1:3">
      <c r="A93">
        <v>2101061229</v>
      </c>
      <c r="B93" t="s">
        <v>23742</v>
      </c>
      <c r="C93" t="s">
        <v>23743</v>
      </c>
    </row>
    <row r="94" spans="1:3">
      <c r="A94">
        <v>2101061311</v>
      </c>
      <c r="B94" t="s">
        <v>24015</v>
      </c>
      <c r="C94" t="s">
        <v>24016</v>
      </c>
    </row>
    <row r="95" spans="1:3">
      <c r="A95">
        <v>2101061341</v>
      </c>
      <c r="B95" t="s">
        <v>24334</v>
      </c>
      <c r="C95" t="s">
        <v>24335</v>
      </c>
    </row>
    <row r="96" spans="1:3">
      <c r="A96">
        <v>2101061409</v>
      </c>
      <c r="B96" t="s">
        <v>24983</v>
      </c>
      <c r="C96" t="s">
        <v>24984</v>
      </c>
    </row>
    <row r="97" spans="1:3">
      <c r="A97">
        <v>2101061455</v>
      </c>
      <c r="B97" t="s">
        <v>24985</v>
      </c>
      <c r="C97" t="s">
        <v>24986</v>
      </c>
    </row>
    <row r="98" spans="1:3">
      <c r="A98">
        <v>2101063053</v>
      </c>
      <c r="B98" t="s">
        <v>20917</v>
      </c>
      <c r="C98" t="s">
        <v>20916</v>
      </c>
    </row>
    <row r="99" spans="1:3">
      <c r="A99">
        <v>2101063146</v>
      </c>
      <c r="B99" t="s">
        <v>20735</v>
      </c>
      <c r="C99" t="s">
        <v>20734</v>
      </c>
    </row>
    <row r="100" spans="1:3">
      <c r="A100">
        <v>2101063344</v>
      </c>
      <c r="B100" t="s">
        <v>20712</v>
      </c>
      <c r="C100" t="s">
        <v>20711</v>
      </c>
    </row>
    <row r="101" spans="1:3">
      <c r="A101">
        <v>2101063504</v>
      </c>
      <c r="B101" t="s">
        <v>23555</v>
      </c>
      <c r="C101" t="s">
        <v>23556</v>
      </c>
    </row>
    <row r="102" spans="1:3">
      <c r="A102">
        <v>2101064183</v>
      </c>
      <c r="B102" t="s">
        <v>24987</v>
      </c>
      <c r="C102" t="s">
        <v>24988</v>
      </c>
    </row>
    <row r="103" spans="1:3">
      <c r="A103">
        <v>2101064252</v>
      </c>
      <c r="B103" t="s">
        <v>23089</v>
      </c>
      <c r="C103" t="s">
        <v>21645</v>
      </c>
    </row>
    <row r="104" spans="1:3">
      <c r="A104">
        <v>2101064272</v>
      </c>
      <c r="B104" t="s">
        <v>21644</v>
      </c>
      <c r="C104" t="s">
        <v>21646</v>
      </c>
    </row>
    <row r="105" spans="1:3">
      <c r="A105">
        <v>2101064285</v>
      </c>
      <c r="B105" t="s">
        <v>23090</v>
      </c>
      <c r="C105" t="s">
        <v>21647</v>
      </c>
    </row>
    <row r="106" spans="1:3">
      <c r="A106">
        <v>2101064286</v>
      </c>
      <c r="B106" t="s">
        <v>6260</v>
      </c>
      <c r="C106" t="s">
        <v>21648</v>
      </c>
    </row>
    <row r="107" spans="1:3">
      <c r="A107">
        <v>2101064296</v>
      </c>
      <c r="B107" t="s">
        <v>21644</v>
      </c>
      <c r="C107" t="s">
        <v>20637</v>
      </c>
    </row>
    <row r="108" spans="1:3">
      <c r="A108">
        <v>2101064314</v>
      </c>
      <c r="B108" t="s">
        <v>21644</v>
      </c>
      <c r="C108" t="s">
        <v>21649</v>
      </c>
    </row>
    <row r="109" spans="1:3">
      <c r="A109">
        <v>2101064417</v>
      </c>
      <c r="B109" t="s">
        <v>20983</v>
      </c>
      <c r="C109" t="s">
        <v>20982</v>
      </c>
    </row>
    <row r="110" spans="1:3">
      <c r="A110">
        <v>2101065171</v>
      </c>
      <c r="B110" t="s">
        <v>23091</v>
      </c>
      <c r="C110" t="s">
        <v>21650</v>
      </c>
    </row>
    <row r="111" spans="1:3">
      <c r="A111">
        <v>2101065196</v>
      </c>
      <c r="B111" t="s">
        <v>21644</v>
      </c>
      <c r="C111" t="s">
        <v>21651</v>
      </c>
    </row>
    <row r="112" spans="1:3">
      <c r="A112">
        <v>2101065692</v>
      </c>
      <c r="B112" t="s">
        <v>24336</v>
      </c>
      <c r="C112" t="s">
        <v>21468</v>
      </c>
    </row>
    <row r="113" spans="1:3">
      <c r="A113">
        <v>2101065884</v>
      </c>
      <c r="B113" t="s">
        <v>22540</v>
      </c>
      <c r="C113" t="s">
        <v>22541</v>
      </c>
    </row>
    <row r="114" spans="1:3">
      <c r="A114">
        <v>2101065926</v>
      </c>
      <c r="B114" t="s">
        <v>23374</v>
      </c>
      <c r="C114" t="s">
        <v>23375</v>
      </c>
    </row>
    <row r="115" spans="1:3">
      <c r="A115">
        <v>2101065927</v>
      </c>
      <c r="B115" t="s">
        <v>23376</v>
      </c>
      <c r="C115" t="s">
        <v>23377</v>
      </c>
    </row>
    <row r="116" spans="1:3">
      <c r="A116">
        <v>2101065978</v>
      </c>
      <c r="B116" t="s">
        <v>24337</v>
      </c>
      <c r="C116" t="s">
        <v>24338</v>
      </c>
    </row>
    <row r="117" spans="1:3">
      <c r="A117">
        <v>2101066054</v>
      </c>
      <c r="B117" t="s">
        <v>20913</v>
      </c>
      <c r="C117" t="s">
        <v>20912</v>
      </c>
    </row>
    <row r="118" spans="1:3">
      <c r="A118">
        <v>2101066940</v>
      </c>
      <c r="B118" t="s">
        <v>24339</v>
      </c>
      <c r="C118" t="s">
        <v>24340</v>
      </c>
    </row>
    <row r="119" spans="1:3">
      <c r="A119">
        <v>2101067799</v>
      </c>
      <c r="B119" t="s">
        <v>22641</v>
      </c>
      <c r="C119" t="s">
        <v>22642</v>
      </c>
    </row>
    <row r="120" spans="1:3">
      <c r="A120">
        <v>2101067951</v>
      </c>
      <c r="B120" t="s">
        <v>23092</v>
      </c>
      <c r="C120" t="s">
        <v>23093</v>
      </c>
    </row>
    <row r="121" spans="1:3">
      <c r="A121">
        <v>2101068416</v>
      </c>
      <c r="B121" t="s">
        <v>21652</v>
      </c>
      <c r="C121" t="s">
        <v>21653</v>
      </c>
    </row>
    <row r="122" spans="1:3">
      <c r="A122">
        <v>2101068570</v>
      </c>
      <c r="B122" t="s">
        <v>20754</v>
      </c>
      <c r="C122" t="s">
        <v>20753</v>
      </c>
    </row>
    <row r="123" spans="1:3">
      <c r="A123">
        <v>2101068585</v>
      </c>
      <c r="B123" t="s">
        <v>20915</v>
      </c>
      <c r="C123" t="s">
        <v>20914</v>
      </c>
    </row>
    <row r="124" spans="1:3">
      <c r="A124">
        <v>2101068595</v>
      </c>
      <c r="B124" t="s">
        <v>20981</v>
      </c>
      <c r="C124" t="s">
        <v>20980</v>
      </c>
    </row>
    <row r="125" spans="1:3">
      <c r="A125">
        <v>2101068614</v>
      </c>
      <c r="B125" t="s">
        <v>21104</v>
      </c>
      <c r="C125" t="s">
        <v>21103</v>
      </c>
    </row>
    <row r="126" spans="1:3">
      <c r="A126">
        <v>2101068615</v>
      </c>
      <c r="B126" t="s">
        <v>21106</v>
      </c>
      <c r="C126" t="s">
        <v>21105</v>
      </c>
    </row>
    <row r="127" spans="1:3">
      <c r="A127">
        <v>2101068805</v>
      </c>
      <c r="B127" t="s">
        <v>21469</v>
      </c>
      <c r="C127" t="s">
        <v>21470</v>
      </c>
    </row>
    <row r="128" spans="1:3">
      <c r="A128">
        <v>2101069009</v>
      </c>
      <c r="B128" t="s">
        <v>24989</v>
      </c>
      <c r="C128" t="s">
        <v>24990</v>
      </c>
    </row>
    <row r="129" spans="1:3">
      <c r="A129">
        <v>2101069076</v>
      </c>
      <c r="B129" t="s">
        <v>24991</v>
      </c>
      <c r="C129" t="s">
        <v>24992</v>
      </c>
    </row>
    <row r="130" spans="1:3">
      <c r="A130">
        <v>2101069312</v>
      </c>
      <c r="B130" t="s">
        <v>21135</v>
      </c>
      <c r="C130" t="s">
        <v>21134</v>
      </c>
    </row>
    <row r="131" spans="1:3">
      <c r="A131">
        <v>2101069327</v>
      </c>
      <c r="B131" t="s">
        <v>22643</v>
      </c>
      <c r="C131" t="s">
        <v>22644</v>
      </c>
    </row>
    <row r="132" spans="1:3">
      <c r="A132">
        <v>2101069537</v>
      </c>
      <c r="B132" t="s">
        <v>21206</v>
      </c>
      <c r="C132" t="s">
        <v>21207</v>
      </c>
    </row>
    <row r="133" spans="1:3">
      <c r="A133">
        <v>2101069635</v>
      </c>
      <c r="B133" t="s">
        <v>21654</v>
      </c>
      <c r="C133" t="s">
        <v>21655</v>
      </c>
    </row>
    <row r="134" spans="1:3">
      <c r="A134">
        <v>2101069655</v>
      </c>
      <c r="B134" t="s">
        <v>21208</v>
      </c>
      <c r="C134" t="s">
        <v>21209</v>
      </c>
    </row>
    <row r="135" spans="1:3">
      <c r="A135">
        <v>2101069656</v>
      </c>
      <c r="B135" t="s">
        <v>21210</v>
      </c>
      <c r="C135" t="s">
        <v>21211</v>
      </c>
    </row>
    <row r="136" spans="1:3">
      <c r="A136">
        <v>2101069657</v>
      </c>
      <c r="B136" t="s">
        <v>21212</v>
      </c>
      <c r="C136" t="s">
        <v>21213</v>
      </c>
    </row>
    <row r="137" spans="1:3">
      <c r="A137">
        <v>2101069661</v>
      </c>
      <c r="B137" t="s">
        <v>21214</v>
      </c>
      <c r="C137" t="s">
        <v>21215</v>
      </c>
    </row>
    <row r="138" spans="1:3">
      <c r="A138">
        <v>2101069665</v>
      </c>
      <c r="B138" t="s">
        <v>24993</v>
      </c>
      <c r="C138" t="s">
        <v>20674</v>
      </c>
    </row>
    <row r="139" spans="1:3">
      <c r="A139">
        <v>2101069667</v>
      </c>
      <c r="B139" t="s">
        <v>21216</v>
      </c>
      <c r="C139" t="s">
        <v>21217</v>
      </c>
    </row>
    <row r="140" spans="1:3">
      <c r="A140">
        <v>2101069668</v>
      </c>
      <c r="B140" t="s">
        <v>20676</v>
      </c>
      <c r="C140" t="s">
        <v>20675</v>
      </c>
    </row>
    <row r="141" spans="1:3">
      <c r="A141">
        <v>2101069671</v>
      </c>
      <c r="B141" t="s">
        <v>21218</v>
      </c>
      <c r="C141" t="s">
        <v>21219</v>
      </c>
    </row>
    <row r="142" spans="1:3">
      <c r="A142">
        <v>2101069672</v>
      </c>
      <c r="B142" t="s">
        <v>21220</v>
      </c>
      <c r="C142" t="s">
        <v>21221</v>
      </c>
    </row>
    <row r="143" spans="1:3">
      <c r="A143">
        <v>2101069674</v>
      </c>
      <c r="B143" t="s">
        <v>20678</v>
      </c>
      <c r="C143" t="s">
        <v>20677</v>
      </c>
    </row>
    <row r="144" spans="1:3">
      <c r="A144">
        <v>2101069709</v>
      </c>
      <c r="B144" t="s">
        <v>21656</v>
      </c>
      <c r="C144" t="s">
        <v>21657</v>
      </c>
    </row>
    <row r="145" spans="1:3">
      <c r="A145">
        <v>2101069710</v>
      </c>
      <c r="B145" t="s">
        <v>21658</v>
      </c>
      <c r="C145" t="s">
        <v>21659</v>
      </c>
    </row>
    <row r="146" spans="1:3">
      <c r="A146">
        <v>2101069711</v>
      </c>
      <c r="B146" t="s">
        <v>21660</v>
      </c>
      <c r="C146" t="s">
        <v>21661</v>
      </c>
    </row>
    <row r="147" spans="1:3">
      <c r="A147">
        <v>2101069712</v>
      </c>
      <c r="B147" t="s">
        <v>21662</v>
      </c>
      <c r="C147" t="s">
        <v>21663</v>
      </c>
    </row>
    <row r="148" spans="1:3">
      <c r="A148">
        <v>2101069713</v>
      </c>
      <c r="B148" t="s">
        <v>21664</v>
      </c>
      <c r="C148" t="s">
        <v>21665</v>
      </c>
    </row>
    <row r="149" spans="1:3">
      <c r="A149">
        <v>2101069714</v>
      </c>
      <c r="B149" t="s">
        <v>21666</v>
      </c>
      <c r="C149" t="s">
        <v>21667</v>
      </c>
    </row>
    <row r="150" spans="1:3">
      <c r="A150">
        <v>2101069715</v>
      </c>
      <c r="B150" t="s">
        <v>21668</v>
      </c>
      <c r="C150" t="s">
        <v>21669</v>
      </c>
    </row>
    <row r="151" spans="1:3">
      <c r="A151">
        <v>2101069716</v>
      </c>
      <c r="B151" t="s">
        <v>21670</v>
      </c>
      <c r="C151" t="s">
        <v>21671</v>
      </c>
    </row>
    <row r="152" spans="1:3">
      <c r="A152">
        <v>2101069717</v>
      </c>
      <c r="B152" t="s">
        <v>21672</v>
      </c>
      <c r="C152" t="s">
        <v>21673</v>
      </c>
    </row>
    <row r="153" spans="1:3">
      <c r="A153">
        <v>2101069718</v>
      </c>
      <c r="B153" t="s">
        <v>21674</v>
      </c>
      <c r="C153" t="s">
        <v>21675</v>
      </c>
    </row>
    <row r="154" spans="1:3">
      <c r="A154">
        <v>2101069719</v>
      </c>
      <c r="B154" t="s">
        <v>21676</v>
      </c>
      <c r="C154" t="s">
        <v>21677</v>
      </c>
    </row>
    <row r="155" spans="1:3">
      <c r="A155">
        <v>2101069720</v>
      </c>
      <c r="B155" t="s">
        <v>21678</v>
      </c>
      <c r="C155" t="s">
        <v>21679</v>
      </c>
    </row>
    <row r="156" spans="1:3">
      <c r="A156">
        <v>2101069721</v>
      </c>
      <c r="B156" t="s">
        <v>21680</v>
      </c>
      <c r="C156" t="s">
        <v>21681</v>
      </c>
    </row>
    <row r="157" spans="1:3">
      <c r="A157">
        <v>2101069726</v>
      </c>
      <c r="B157" t="s">
        <v>21400</v>
      </c>
      <c r="C157" t="s">
        <v>21401</v>
      </c>
    </row>
    <row r="158" spans="1:3">
      <c r="A158">
        <v>2101069744</v>
      </c>
      <c r="B158" t="s">
        <v>21682</v>
      </c>
      <c r="C158" t="s">
        <v>21683</v>
      </c>
    </row>
    <row r="159" spans="1:3">
      <c r="A159">
        <v>2101069843</v>
      </c>
      <c r="B159" t="s">
        <v>23744</v>
      </c>
      <c r="C159" t="s">
        <v>22542</v>
      </c>
    </row>
    <row r="160" spans="1:3">
      <c r="A160">
        <v>2101069911</v>
      </c>
      <c r="B160" t="s">
        <v>22919</v>
      </c>
      <c r="C160" t="s">
        <v>22920</v>
      </c>
    </row>
    <row r="161" spans="1:3">
      <c r="A161">
        <v>2101071271</v>
      </c>
      <c r="B161" t="s">
        <v>24017</v>
      </c>
      <c r="C161" t="s">
        <v>24018</v>
      </c>
    </row>
    <row r="162" spans="1:3">
      <c r="A162">
        <v>2101071272</v>
      </c>
      <c r="B162" t="s">
        <v>24019</v>
      </c>
      <c r="C162" t="s">
        <v>24020</v>
      </c>
    </row>
    <row r="163" spans="1:3">
      <c r="A163">
        <v>2101071273</v>
      </c>
      <c r="B163" t="s">
        <v>24021</v>
      </c>
      <c r="C163" t="s">
        <v>24022</v>
      </c>
    </row>
    <row r="164" spans="1:3">
      <c r="A164">
        <v>2101071275</v>
      </c>
      <c r="B164" t="s">
        <v>24023</v>
      </c>
      <c r="C164" t="s">
        <v>24024</v>
      </c>
    </row>
    <row r="165" spans="1:3">
      <c r="A165">
        <v>2101071276</v>
      </c>
      <c r="B165" t="s">
        <v>24025</v>
      </c>
      <c r="C165" t="s">
        <v>24026</v>
      </c>
    </row>
    <row r="166" spans="1:3">
      <c r="A166">
        <v>2101071277</v>
      </c>
      <c r="B166" t="s">
        <v>24027</v>
      </c>
      <c r="C166" t="s">
        <v>24028</v>
      </c>
    </row>
    <row r="167" spans="1:3">
      <c r="A167">
        <v>2101071278</v>
      </c>
      <c r="B167" t="s">
        <v>24029</v>
      </c>
      <c r="C167" t="s">
        <v>24030</v>
      </c>
    </row>
    <row r="168" spans="1:3">
      <c r="A168">
        <v>2101071279</v>
      </c>
      <c r="B168" t="s">
        <v>24031</v>
      </c>
      <c r="C168" t="s">
        <v>24032</v>
      </c>
    </row>
    <row r="169" spans="1:3">
      <c r="A169">
        <v>2101071280</v>
      </c>
      <c r="B169" t="s">
        <v>24033</v>
      </c>
      <c r="C169" t="s">
        <v>24034</v>
      </c>
    </row>
    <row r="170" spans="1:3">
      <c r="A170">
        <v>2101071281</v>
      </c>
      <c r="B170" t="s">
        <v>24035</v>
      </c>
      <c r="C170" t="s">
        <v>24036</v>
      </c>
    </row>
    <row r="171" spans="1:3">
      <c r="A171">
        <v>2101071282</v>
      </c>
      <c r="B171" t="s">
        <v>24037</v>
      </c>
      <c r="C171" t="s">
        <v>24038</v>
      </c>
    </row>
    <row r="172" spans="1:3">
      <c r="A172">
        <v>2101071283</v>
      </c>
      <c r="B172" t="s">
        <v>24039</v>
      </c>
      <c r="C172" t="s">
        <v>24040</v>
      </c>
    </row>
    <row r="173" spans="1:3">
      <c r="A173">
        <v>2101071284</v>
      </c>
      <c r="B173" t="s">
        <v>24041</v>
      </c>
      <c r="C173" t="s">
        <v>24042</v>
      </c>
    </row>
    <row r="174" spans="1:3">
      <c r="A174">
        <v>2101071285</v>
      </c>
      <c r="B174" t="s">
        <v>24043</v>
      </c>
      <c r="C174" t="s">
        <v>24044</v>
      </c>
    </row>
    <row r="175" spans="1:3">
      <c r="A175">
        <v>2101071286</v>
      </c>
      <c r="B175" t="s">
        <v>24045</v>
      </c>
      <c r="C175" t="s">
        <v>24046</v>
      </c>
    </row>
    <row r="176" spans="1:3">
      <c r="A176">
        <v>2101071287</v>
      </c>
      <c r="B176" t="s">
        <v>24047</v>
      </c>
      <c r="C176" t="s">
        <v>24048</v>
      </c>
    </row>
    <row r="177" spans="1:3">
      <c r="A177">
        <v>2101071288</v>
      </c>
      <c r="B177" t="s">
        <v>24049</v>
      </c>
      <c r="C177" t="s">
        <v>24050</v>
      </c>
    </row>
    <row r="178" spans="1:3">
      <c r="A178">
        <v>2101076924</v>
      </c>
      <c r="B178" t="s">
        <v>21304</v>
      </c>
      <c r="C178" t="s">
        <v>21305</v>
      </c>
    </row>
    <row r="179" spans="1:3">
      <c r="A179">
        <v>2101083077</v>
      </c>
      <c r="B179" t="s">
        <v>20921</v>
      </c>
      <c r="C179" t="s">
        <v>20920</v>
      </c>
    </row>
    <row r="180" spans="1:3">
      <c r="A180">
        <v>2101101230</v>
      </c>
      <c r="B180" t="s">
        <v>23745</v>
      </c>
      <c r="C180" t="s">
        <v>23746</v>
      </c>
    </row>
    <row r="181" spans="1:3">
      <c r="A181">
        <v>2101101237</v>
      </c>
      <c r="B181" t="s">
        <v>23747</v>
      </c>
      <c r="C181" t="s">
        <v>23748</v>
      </c>
    </row>
    <row r="182" spans="1:3">
      <c r="A182">
        <v>2101101361</v>
      </c>
      <c r="B182" t="s">
        <v>24341</v>
      </c>
      <c r="C182" t="s">
        <v>24342</v>
      </c>
    </row>
    <row r="183" spans="1:3">
      <c r="A183">
        <v>2101102487</v>
      </c>
      <c r="B183" t="s">
        <v>20777</v>
      </c>
      <c r="C183" t="s">
        <v>20776</v>
      </c>
    </row>
    <row r="184" spans="1:3">
      <c r="A184">
        <v>2101102488</v>
      </c>
      <c r="B184" t="s">
        <v>24994</v>
      </c>
      <c r="C184" t="s">
        <v>20771</v>
      </c>
    </row>
    <row r="185" spans="1:3">
      <c r="A185">
        <v>2101105263</v>
      </c>
      <c r="B185" t="s">
        <v>21684</v>
      </c>
      <c r="C185" t="s">
        <v>21167</v>
      </c>
    </row>
    <row r="186" spans="1:3">
      <c r="A186">
        <v>2101105264</v>
      </c>
      <c r="B186" t="s">
        <v>21163</v>
      </c>
      <c r="C186" t="s">
        <v>21162</v>
      </c>
    </row>
    <row r="187" spans="1:3">
      <c r="A187">
        <v>2101107032</v>
      </c>
      <c r="B187" t="s">
        <v>20779</v>
      </c>
      <c r="C187" t="s">
        <v>20778</v>
      </c>
    </row>
    <row r="188" spans="1:3">
      <c r="A188">
        <v>2101107946</v>
      </c>
      <c r="B188" t="s">
        <v>21685</v>
      </c>
      <c r="C188" t="s">
        <v>21686</v>
      </c>
    </row>
    <row r="189" spans="1:3">
      <c r="A189">
        <v>2101107948</v>
      </c>
      <c r="B189" t="s">
        <v>21372</v>
      </c>
      <c r="C189" t="s">
        <v>21403</v>
      </c>
    </row>
    <row r="190" spans="1:3">
      <c r="A190">
        <v>2101107950</v>
      </c>
      <c r="B190" t="s">
        <v>20706</v>
      </c>
      <c r="C190" t="s">
        <v>20705</v>
      </c>
    </row>
    <row r="191" spans="1:3">
      <c r="A191">
        <v>2101108562</v>
      </c>
      <c r="B191" t="s">
        <v>21161</v>
      </c>
      <c r="C191" t="s">
        <v>21160</v>
      </c>
    </row>
    <row r="192" spans="1:3">
      <c r="A192">
        <v>2101109332</v>
      </c>
      <c r="B192" t="s">
        <v>21471</v>
      </c>
      <c r="C192" t="s">
        <v>21168</v>
      </c>
    </row>
    <row r="193" spans="1:3">
      <c r="A193">
        <v>2101111078</v>
      </c>
      <c r="B193" t="s">
        <v>23204</v>
      </c>
      <c r="C193" t="s">
        <v>23205</v>
      </c>
    </row>
    <row r="194" spans="1:3">
      <c r="A194">
        <v>2101111079</v>
      </c>
      <c r="B194" t="s">
        <v>23206</v>
      </c>
      <c r="C194" t="s">
        <v>23207</v>
      </c>
    </row>
    <row r="195" spans="1:3">
      <c r="A195">
        <v>2101111169</v>
      </c>
      <c r="B195" t="s">
        <v>23557</v>
      </c>
      <c r="C195" t="s">
        <v>23558</v>
      </c>
    </row>
    <row r="196" spans="1:3">
      <c r="A196">
        <v>2101111177</v>
      </c>
      <c r="B196" t="s">
        <v>23749</v>
      </c>
      <c r="C196" t="s">
        <v>23559</v>
      </c>
    </row>
    <row r="197" spans="1:3">
      <c r="A197">
        <v>2101112653</v>
      </c>
      <c r="B197" t="s">
        <v>20793</v>
      </c>
      <c r="C197" t="s">
        <v>20792</v>
      </c>
    </row>
    <row r="198" spans="1:3">
      <c r="A198">
        <v>2101112654</v>
      </c>
      <c r="B198" t="s">
        <v>20795</v>
      </c>
      <c r="C198" t="s">
        <v>20794</v>
      </c>
    </row>
    <row r="199" spans="1:3">
      <c r="A199">
        <v>2101477188</v>
      </c>
      <c r="B199" t="s">
        <v>24343</v>
      </c>
      <c r="C199" t="s">
        <v>24344</v>
      </c>
    </row>
    <row r="200" spans="1:3">
      <c r="A200">
        <v>2101851773</v>
      </c>
      <c r="B200" t="s">
        <v>23208</v>
      </c>
      <c r="C200" t="s">
        <v>22645</v>
      </c>
    </row>
    <row r="201" spans="1:3">
      <c r="A201">
        <v>2101858692</v>
      </c>
      <c r="B201" t="s">
        <v>24548</v>
      </c>
      <c r="C201" t="s">
        <v>24995</v>
      </c>
    </row>
    <row r="202" spans="1:3">
      <c r="A202">
        <v>2101862252</v>
      </c>
      <c r="B202" t="s">
        <v>22355</v>
      </c>
      <c r="C202" t="s">
        <v>22356</v>
      </c>
    </row>
    <row r="203" spans="1:3">
      <c r="A203">
        <v>2102021171</v>
      </c>
      <c r="B203" t="s">
        <v>23560</v>
      </c>
      <c r="C203" t="s">
        <v>23561</v>
      </c>
    </row>
    <row r="204" spans="1:3">
      <c r="A204">
        <v>2102021179</v>
      </c>
      <c r="B204" t="s">
        <v>23750</v>
      </c>
      <c r="C204" t="s">
        <v>23562</v>
      </c>
    </row>
    <row r="205" spans="1:3">
      <c r="A205">
        <v>2102021348</v>
      </c>
      <c r="B205" t="s">
        <v>24345</v>
      </c>
      <c r="C205" t="s">
        <v>24346</v>
      </c>
    </row>
    <row r="206" spans="1:3">
      <c r="A206">
        <v>2102021545</v>
      </c>
      <c r="B206" t="s">
        <v>24996</v>
      </c>
      <c r="C206" t="s">
        <v>24997</v>
      </c>
    </row>
    <row r="207" spans="1:3">
      <c r="A207">
        <v>2102023333</v>
      </c>
      <c r="B207" t="s">
        <v>20714</v>
      </c>
      <c r="C207" t="s">
        <v>20713</v>
      </c>
    </row>
    <row r="208" spans="1:3">
      <c r="A208">
        <v>2102024380</v>
      </c>
      <c r="B208" t="s">
        <v>24998</v>
      </c>
      <c r="C208" t="s">
        <v>24999</v>
      </c>
    </row>
    <row r="209" spans="1:3">
      <c r="A209">
        <v>2102029317</v>
      </c>
      <c r="B209" t="s">
        <v>21118</v>
      </c>
      <c r="C209" t="s">
        <v>21117</v>
      </c>
    </row>
    <row r="210" spans="1:3">
      <c r="A210">
        <v>2102029565</v>
      </c>
      <c r="B210" t="s">
        <v>21687</v>
      </c>
      <c r="C210" t="s">
        <v>21688</v>
      </c>
    </row>
    <row r="211" spans="1:3">
      <c r="A211">
        <v>2102029652</v>
      </c>
      <c r="B211" t="s">
        <v>20937</v>
      </c>
      <c r="C211" t="s">
        <v>20936</v>
      </c>
    </row>
    <row r="212" spans="1:3">
      <c r="A212">
        <v>2102029772</v>
      </c>
      <c r="B212" t="s">
        <v>21689</v>
      </c>
      <c r="C212" t="s">
        <v>21690</v>
      </c>
    </row>
    <row r="213" spans="1:3">
      <c r="A213">
        <v>2102033211</v>
      </c>
      <c r="B213" t="s">
        <v>20733</v>
      </c>
      <c r="C213" t="s">
        <v>20732</v>
      </c>
    </row>
    <row r="214" spans="1:3">
      <c r="A214">
        <v>2102039754</v>
      </c>
      <c r="B214" t="s">
        <v>21691</v>
      </c>
      <c r="C214" t="s">
        <v>21692</v>
      </c>
    </row>
    <row r="215" spans="1:3">
      <c r="A215">
        <v>2102049892</v>
      </c>
      <c r="B215" t="s">
        <v>22646</v>
      </c>
      <c r="C215" t="s">
        <v>22647</v>
      </c>
    </row>
    <row r="216" spans="1:3">
      <c r="A216">
        <v>2102049893</v>
      </c>
      <c r="B216" t="s">
        <v>22648</v>
      </c>
      <c r="C216" t="s">
        <v>22649</v>
      </c>
    </row>
    <row r="217" spans="1:3">
      <c r="A217">
        <v>2102049924</v>
      </c>
      <c r="B217" t="s">
        <v>22650</v>
      </c>
      <c r="C217" t="s">
        <v>22651</v>
      </c>
    </row>
    <row r="218" spans="1:3">
      <c r="A218">
        <v>2102057307</v>
      </c>
      <c r="B218" t="s">
        <v>24347</v>
      </c>
      <c r="C218" t="s">
        <v>21472</v>
      </c>
    </row>
    <row r="219" spans="1:3">
      <c r="A219">
        <v>2102059758</v>
      </c>
      <c r="B219" t="s">
        <v>21693</v>
      </c>
      <c r="C219" t="s">
        <v>21694</v>
      </c>
    </row>
    <row r="220" spans="1:3">
      <c r="A220">
        <v>2102061185</v>
      </c>
      <c r="B220" t="s">
        <v>23751</v>
      </c>
      <c r="C220" t="s">
        <v>23752</v>
      </c>
    </row>
    <row r="221" spans="1:3">
      <c r="A221">
        <v>2102061186</v>
      </c>
      <c r="B221" t="s">
        <v>23753</v>
      </c>
      <c r="C221" t="s">
        <v>23754</v>
      </c>
    </row>
    <row r="222" spans="1:3">
      <c r="A222">
        <v>2102061187</v>
      </c>
      <c r="B222" t="s">
        <v>23755</v>
      </c>
      <c r="C222" t="s">
        <v>23756</v>
      </c>
    </row>
    <row r="223" spans="1:3">
      <c r="A223">
        <v>2102065599</v>
      </c>
      <c r="B223" t="s">
        <v>21473</v>
      </c>
      <c r="C223" t="s">
        <v>21474</v>
      </c>
    </row>
    <row r="224" spans="1:3">
      <c r="A224">
        <v>2102068749</v>
      </c>
      <c r="B224" t="s">
        <v>24348</v>
      </c>
      <c r="C224" t="s">
        <v>24349</v>
      </c>
    </row>
    <row r="225" spans="1:3">
      <c r="A225">
        <v>2102088627</v>
      </c>
      <c r="B225" t="s">
        <v>21081</v>
      </c>
      <c r="C225" t="s">
        <v>21080</v>
      </c>
    </row>
    <row r="226" spans="1:3">
      <c r="A226">
        <v>2102102948</v>
      </c>
      <c r="B226" t="s">
        <v>25000</v>
      </c>
      <c r="C226" t="s">
        <v>21222</v>
      </c>
    </row>
    <row r="227" spans="1:3">
      <c r="A227">
        <v>2102116436</v>
      </c>
      <c r="B227" t="s">
        <v>23757</v>
      </c>
      <c r="C227" t="s">
        <v>23758</v>
      </c>
    </row>
    <row r="228" spans="1:3">
      <c r="A228">
        <v>2102118569</v>
      </c>
      <c r="B228" t="s">
        <v>20751</v>
      </c>
      <c r="C228" t="s">
        <v>20750</v>
      </c>
    </row>
    <row r="229" spans="1:3">
      <c r="A229">
        <v>2102119970</v>
      </c>
      <c r="B229" t="s">
        <v>24350</v>
      </c>
      <c r="C229" t="s">
        <v>24351</v>
      </c>
    </row>
    <row r="230" spans="1:3">
      <c r="A230">
        <v>2102161785</v>
      </c>
      <c r="B230" t="s">
        <v>20797</v>
      </c>
      <c r="C230" t="s">
        <v>20796</v>
      </c>
    </row>
    <row r="231" spans="1:3">
      <c r="A231">
        <v>2102165979</v>
      </c>
      <c r="B231" t="s">
        <v>24352</v>
      </c>
      <c r="C231" t="s">
        <v>24353</v>
      </c>
    </row>
    <row r="232" spans="1:3">
      <c r="A232">
        <v>2102221362</v>
      </c>
      <c r="B232" t="s">
        <v>24354</v>
      </c>
      <c r="C232" t="s">
        <v>24355</v>
      </c>
    </row>
    <row r="233" spans="1:3">
      <c r="A233">
        <v>2102222749</v>
      </c>
      <c r="B233" t="s">
        <v>21475</v>
      </c>
      <c r="C233" t="s">
        <v>21476</v>
      </c>
    </row>
    <row r="234" spans="1:3">
      <c r="A234">
        <v>2102223251</v>
      </c>
      <c r="B234" t="s">
        <v>21038</v>
      </c>
      <c r="C234" t="s">
        <v>21037</v>
      </c>
    </row>
    <row r="235" spans="1:3">
      <c r="A235">
        <v>2102223812</v>
      </c>
      <c r="B235" t="s">
        <v>21120</v>
      </c>
      <c r="C235" t="s">
        <v>21119</v>
      </c>
    </row>
    <row r="236" spans="1:3">
      <c r="A236">
        <v>2102229759</v>
      </c>
      <c r="B236" t="s">
        <v>22357</v>
      </c>
      <c r="C236" t="s">
        <v>22358</v>
      </c>
    </row>
    <row r="237" spans="1:3">
      <c r="A237">
        <v>2102268625</v>
      </c>
      <c r="B237" t="s">
        <v>21083</v>
      </c>
      <c r="C237" t="s">
        <v>21082</v>
      </c>
    </row>
    <row r="238" spans="1:3">
      <c r="A238">
        <v>2102301312</v>
      </c>
      <c r="B238" t="s">
        <v>24051</v>
      </c>
      <c r="C238" t="s">
        <v>24052</v>
      </c>
    </row>
    <row r="239" spans="1:3">
      <c r="A239">
        <v>2102301586</v>
      </c>
      <c r="B239" t="s">
        <v>25001</v>
      </c>
      <c r="C239" t="s">
        <v>25002</v>
      </c>
    </row>
    <row r="240" spans="1:3">
      <c r="A240">
        <v>2102309746</v>
      </c>
      <c r="B240" t="s">
        <v>21695</v>
      </c>
      <c r="C240" t="s">
        <v>21696</v>
      </c>
    </row>
    <row r="241" spans="1:3">
      <c r="A241">
        <v>2102348255</v>
      </c>
      <c r="B241" t="s">
        <v>20991</v>
      </c>
      <c r="C241" t="s">
        <v>20990</v>
      </c>
    </row>
    <row r="242" spans="1:3">
      <c r="A242">
        <v>2102388568</v>
      </c>
      <c r="B242" t="s">
        <v>20989</v>
      </c>
      <c r="C242" t="s">
        <v>20988</v>
      </c>
    </row>
    <row r="243" spans="1:3">
      <c r="A243">
        <v>2102408544</v>
      </c>
      <c r="B243" t="s">
        <v>20719</v>
      </c>
      <c r="C243" t="s">
        <v>20718</v>
      </c>
    </row>
    <row r="244" spans="1:3">
      <c r="A244">
        <v>2102408617</v>
      </c>
      <c r="B244" t="s">
        <v>21224</v>
      </c>
      <c r="C244" t="s">
        <v>21225</v>
      </c>
    </row>
    <row r="245" spans="1:3">
      <c r="A245">
        <v>2102461270</v>
      </c>
      <c r="B245" t="s">
        <v>24053</v>
      </c>
      <c r="C245" t="s">
        <v>24054</v>
      </c>
    </row>
    <row r="246" spans="1:3">
      <c r="A246">
        <v>2102502655</v>
      </c>
      <c r="B246" t="s">
        <v>20799</v>
      </c>
      <c r="C246" t="s">
        <v>20798</v>
      </c>
    </row>
    <row r="247" spans="1:3">
      <c r="A247">
        <v>2102508626</v>
      </c>
      <c r="B247" t="s">
        <v>21079</v>
      </c>
      <c r="C247" t="s">
        <v>21078</v>
      </c>
    </row>
    <row r="248" spans="1:3">
      <c r="A248">
        <v>2102856822</v>
      </c>
      <c r="B248" t="s">
        <v>20737</v>
      </c>
      <c r="C248" t="s">
        <v>20736</v>
      </c>
    </row>
    <row r="249" spans="1:3">
      <c r="A249">
        <v>2102861349</v>
      </c>
      <c r="B249" t="s">
        <v>24356</v>
      </c>
      <c r="C249" t="s">
        <v>24357</v>
      </c>
    </row>
    <row r="250" spans="1:3">
      <c r="A250">
        <v>2102861412</v>
      </c>
      <c r="B250" t="s">
        <v>25003</v>
      </c>
      <c r="C250" t="s">
        <v>25004</v>
      </c>
    </row>
    <row r="251" spans="1:3">
      <c r="A251">
        <v>2102861413</v>
      </c>
      <c r="B251" t="s">
        <v>25005</v>
      </c>
      <c r="C251" t="s">
        <v>25006</v>
      </c>
    </row>
    <row r="252" spans="1:3">
      <c r="A252">
        <v>2102867644</v>
      </c>
      <c r="B252" t="s">
        <v>20708</v>
      </c>
      <c r="C252" t="s">
        <v>20707</v>
      </c>
    </row>
    <row r="253" spans="1:3">
      <c r="A253">
        <v>2102868639</v>
      </c>
      <c r="B253" t="s">
        <v>21099</v>
      </c>
      <c r="C253" t="s">
        <v>21098</v>
      </c>
    </row>
    <row r="254" spans="1:3">
      <c r="A254">
        <v>2103012167</v>
      </c>
      <c r="B254" t="s">
        <v>21114</v>
      </c>
      <c r="C254" t="s">
        <v>21128</v>
      </c>
    </row>
    <row r="255" spans="1:3">
      <c r="A255">
        <v>2103031149</v>
      </c>
      <c r="B255" t="s">
        <v>23209</v>
      </c>
      <c r="C255" t="s">
        <v>23210</v>
      </c>
    </row>
    <row r="256" spans="1:3">
      <c r="A256">
        <v>2103061229</v>
      </c>
      <c r="B256" t="s">
        <v>23759</v>
      </c>
      <c r="C256" t="s">
        <v>23760</v>
      </c>
    </row>
    <row r="257" spans="1:3">
      <c r="A257">
        <v>2103061238</v>
      </c>
      <c r="B257" t="s">
        <v>23761</v>
      </c>
      <c r="C257" t="s">
        <v>23762</v>
      </c>
    </row>
    <row r="258" spans="1:3">
      <c r="A258">
        <v>2103062485</v>
      </c>
      <c r="B258" t="s">
        <v>20770</v>
      </c>
      <c r="C258" t="s">
        <v>20769</v>
      </c>
    </row>
    <row r="259" spans="1:3">
      <c r="A259">
        <v>2103062494</v>
      </c>
      <c r="B259" t="s">
        <v>21170</v>
      </c>
      <c r="C259" t="s">
        <v>21169</v>
      </c>
    </row>
    <row r="260" spans="1:3">
      <c r="A260">
        <v>2103065342</v>
      </c>
      <c r="B260" t="s">
        <v>20698</v>
      </c>
      <c r="C260" t="s">
        <v>20697</v>
      </c>
    </row>
    <row r="261" spans="1:3">
      <c r="A261">
        <v>2103067072</v>
      </c>
      <c r="B261" t="s">
        <v>21477</v>
      </c>
      <c r="C261" t="s">
        <v>21478</v>
      </c>
    </row>
    <row r="262" spans="1:3">
      <c r="A262">
        <v>2103067944</v>
      </c>
      <c r="B262" t="s">
        <v>21174</v>
      </c>
      <c r="C262" t="s">
        <v>21173</v>
      </c>
    </row>
    <row r="263" spans="1:3">
      <c r="A263">
        <v>2103177961</v>
      </c>
      <c r="B263" t="s">
        <v>20825</v>
      </c>
      <c r="C263" t="s">
        <v>20824</v>
      </c>
    </row>
    <row r="264" spans="1:3">
      <c r="A264">
        <v>2103850147</v>
      </c>
      <c r="B264" t="s">
        <v>20801</v>
      </c>
      <c r="C264" t="s">
        <v>20800</v>
      </c>
    </row>
    <row r="265" spans="1:3">
      <c r="A265">
        <v>2104020250</v>
      </c>
      <c r="B265" t="s">
        <v>21697</v>
      </c>
      <c r="C265" t="s">
        <v>21698</v>
      </c>
    </row>
    <row r="266" spans="1:3">
      <c r="A266">
        <v>2104030438</v>
      </c>
      <c r="B266" t="s">
        <v>23763</v>
      </c>
      <c r="C266" t="s">
        <v>20715</v>
      </c>
    </row>
    <row r="267" spans="1:3">
      <c r="A267">
        <v>2104034419</v>
      </c>
      <c r="B267" t="s">
        <v>25007</v>
      </c>
      <c r="C267" t="s">
        <v>21226</v>
      </c>
    </row>
    <row r="268" spans="1:3">
      <c r="A268">
        <v>2104035086</v>
      </c>
      <c r="B268" t="s">
        <v>20741</v>
      </c>
      <c r="C268" t="s">
        <v>20740</v>
      </c>
    </row>
    <row r="269" spans="1:3">
      <c r="A269">
        <v>2104035087</v>
      </c>
      <c r="B269" t="s">
        <v>20739</v>
      </c>
      <c r="C269" t="s">
        <v>20738</v>
      </c>
    </row>
    <row r="270" spans="1:3">
      <c r="A270">
        <v>2104041216</v>
      </c>
      <c r="B270" t="s">
        <v>23764</v>
      </c>
      <c r="C270" t="s">
        <v>23765</v>
      </c>
    </row>
    <row r="271" spans="1:3">
      <c r="A271">
        <v>2104041217</v>
      </c>
      <c r="B271" t="s">
        <v>23766</v>
      </c>
      <c r="C271" t="s">
        <v>23767</v>
      </c>
    </row>
    <row r="272" spans="1:3">
      <c r="A272">
        <v>2104041219</v>
      </c>
      <c r="B272" t="s">
        <v>23768</v>
      </c>
      <c r="C272" t="s">
        <v>23769</v>
      </c>
    </row>
    <row r="273" spans="1:3">
      <c r="A273">
        <v>2104050678</v>
      </c>
      <c r="B273" t="s">
        <v>23770</v>
      </c>
      <c r="C273" t="s">
        <v>21699</v>
      </c>
    </row>
    <row r="274" spans="1:3">
      <c r="A274">
        <v>2104060733</v>
      </c>
      <c r="B274" t="s">
        <v>24055</v>
      </c>
      <c r="C274" t="s">
        <v>24056</v>
      </c>
    </row>
    <row r="275" spans="1:3">
      <c r="A275">
        <v>2104107588</v>
      </c>
      <c r="B275" t="s">
        <v>20710</v>
      </c>
      <c r="C275" t="s">
        <v>20709</v>
      </c>
    </row>
    <row r="276" spans="1:3">
      <c r="A276">
        <v>2104108041</v>
      </c>
      <c r="B276" t="s">
        <v>25008</v>
      </c>
      <c r="C276" t="s">
        <v>25009</v>
      </c>
    </row>
    <row r="277" spans="1:3">
      <c r="A277">
        <v>2104122318</v>
      </c>
      <c r="B277" t="s">
        <v>6260</v>
      </c>
      <c r="C277" t="s">
        <v>21700</v>
      </c>
    </row>
    <row r="278" spans="1:3">
      <c r="A278">
        <v>2104122399</v>
      </c>
      <c r="B278" t="s">
        <v>23094</v>
      </c>
      <c r="C278" t="s">
        <v>21701</v>
      </c>
    </row>
    <row r="279" spans="1:3">
      <c r="A279">
        <v>2104124247</v>
      </c>
      <c r="B279" t="s">
        <v>21702</v>
      </c>
      <c r="C279" t="s">
        <v>21703</v>
      </c>
    </row>
    <row r="280" spans="1:3">
      <c r="A280">
        <v>2104124251</v>
      </c>
      <c r="B280" t="s">
        <v>21702</v>
      </c>
      <c r="C280" t="s">
        <v>21704</v>
      </c>
    </row>
    <row r="281" spans="1:3">
      <c r="A281">
        <v>2104124263</v>
      </c>
      <c r="B281" t="s">
        <v>21702</v>
      </c>
      <c r="C281" t="s">
        <v>21705</v>
      </c>
    </row>
    <row r="282" spans="1:3">
      <c r="A282">
        <v>2104124280</v>
      </c>
      <c r="B282" t="s">
        <v>21702</v>
      </c>
      <c r="C282" t="s">
        <v>21706</v>
      </c>
    </row>
    <row r="283" spans="1:3">
      <c r="A283">
        <v>2104124292</v>
      </c>
      <c r="B283" t="s">
        <v>21702</v>
      </c>
      <c r="C283" t="s">
        <v>20634</v>
      </c>
    </row>
    <row r="284" spans="1:3">
      <c r="A284">
        <v>2104124304</v>
      </c>
      <c r="B284" t="s">
        <v>21702</v>
      </c>
      <c r="C284" t="s">
        <v>21707</v>
      </c>
    </row>
    <row r="285" spans="1:3">
      <c r="A285">
        <v>2104124322</v>
      </c>
      <c r="B285" t="s">
        <v>21702</v>
      </c>
      <c r="C285" t="s">
        <v>21708</v>
      </c>
    </row>
    <row r="286" spans="1:3">
      <c r="A286">
        <v>2104125261</v>
      </c>
      <c r="B286" t="s">
        <v>6273</v>
      </c>
      <c r="C286" t="s">
        <v>21709</v>
      </c>
    </row>
    <row r="287" spans="1:3">
      <c r="A287">
        <v>2104129990</v>
      </c>
      <c r="B287" t="s">
        <v>23095</v>
      </c>
      <c r="C287" t="s">
        <v>22921</v>
      </c>
    </row>
    <row r="288" spans="1:3">
      <c r="A288">
        <v>2104142469</v>
      </c>
      <c r="B288" t="s">
        <v>21479</v>
      </c>
      <c r="C288" t="s">
        <v>21480</v>
      </c>
    </row>
    <row r="289" spans="1:3">
      <c r="A289">
        <v>2104213252</v>
      </c>
      <c r="B289" t="s">
        <v>21040</v>
      </c>
      <c r="C289" t="s">
        <v>21039</v>
      </c>
    </row>
    <row r="290" spans="1:3">
      <c r="A290">
        <v>2104221105</v>
      </c>
      <c r="B290" t="s">
        <v>23621</v>
      </c>
      <c r="C290" t="s">
        <v>23622</v>
      </c>
    </row>
    <row r="291" spans="1:3">
      <c r="A291">
        <v>2104261184</v>
      </c>
      <c r="B291" t="s">
        <v>23771</v>
      </c>
      <c r="C291" t="s">
        <v>23772</v>
      </c>
    </row>
    <row r="292" spans="1:3">
      <c r="A292">
        <v>2104476208</v>
      </c>
      <c r="B292" t="s">
        <v>21710</v>
      </c>
      <c r="C292" t="s">
        <v>21711</v>
      </c>
    </row>
    <row r="293" spans="1:3">
      <c r="A293">
        <v>2104850183</v>
      </c>
      <c r="B293" t="s">
        <v>25010</v>
      </c>
      <c r="C293" t="s">
        <v>21227</v>
      </c>
    </row>
    <row r="294" spans="1:3">
      <c r="A294">
        <v>2104869760</v>
      </c>
      <c r="B294" t="s">
        <v>22359</v>
      </c>
      <c r="C294" t="s">
        <v>22360</v>
      </c>
    </row>
    <row r="295" spans="1:3">
      <c r="A295">
        <v>2105028791</v>
      </c>
      <c r="B295" t="s">
        <v>24358</v>
      </c>
      <c r="C295" t="s">
        <v>21481</v>
      </c>
    </row>
    <row r="296" spans="1:3">
      <c r="A296">
        <v>2105029912</v>
      </c>
      <c r="B296" t="s">
        <v>22922</v>
      </c>
      <c r="C296" t="s">
        <v>22923</v>
      </c>
    </row>
    <row r="297" spans="1:3">
      <c r="A297">
        <v>2105030439</v>
      </c>
      <c r="B297" t="s">
        <v>21564</v>
      </c>
      <c r="C297" t="s">
        <v>21049</v>
      </c>
    </row>
    <row r="298" spans="1:3">
      <c r="A298">
        <v>2105050679</v>
      </c>
      <c r="B298" t="s">
        <v>23773</v>
      </c>
      <c r="C298" t="s">
        <v>23774</v>
      </c>
    </row>
    <row r="299" spans="1:3">
      <c r="A299">
        <v>2105058630</v>
      </c>
      <c r="B299" t="s">
        <v>21085</v>
      </c>
      <c r="C299" t="s">
        <v>21084</v>
      </c>
    </row>
    <row r="300" spans="1:3">
      <c r="A300">
        <v>2105060734</v>
      </c>
      <c r="B300" t="s">
        <v>20985</v>
      </c>
      <c r="C300" t="s">
        <v>20984</v>
      </c>
    </row>
    <row r="301" spans="1:3">
      <c r="A301">
        <v>2105101079</v>
      </c>
      <c r="B301" t="s">
        <v>21124</v>
      </c>
      <c r="C301" t="s">
        <v>21123</v>
      </c>
    </row>
    <row r="302" spans="1:3">
      <c r="A302">
        <v>2105146436</v>
      </c>
      <c r="B302" t="s">
        <v>21712</v>
      </c>
      <c r="C302" t="s">
        <v>21713</v>
      </c>
    </row>
    <row r="303" spans="1:3">
      <c r="A303">
        <v>2105161084</v>
      </c>
      <c r="B303" t="s">
        <v>23211</v>
      </c>
      <c r="C303" t="s">
        <v>23212</v>
      </c>
    </row>
    <row r="304" spans="1:3">
      <c r="A304">
        <v>2105161085</v>
      </c>
      <c r="B304" t="s">
        <v>23213</v>
      </c>
      <c r="C304" t="s">
        <v>23214</v>
      </c>
    </row>
    <row r="305" spans="1:3">
      <c r="A305">
        <v>2105161417</v>
      </c>
      <c r="B305" t="s">
        <v>25011</v>
      </c>
      <c r="C305" t="s">
        <v>25012</v>
      </c>
    </row>
    <row r="306" spans="1:3">
      <c r="A306">
        <v>2105168546</v>
      </c>
      <c r="B306" t="s">
        <v>20721</v>
      </c>
      <c r="C306" t="s">
        <v>20720</v>
      </c>
    </row>
    <row r="307" spans="1:3">
      <c r="A307">
        <v>2105178628</v>
      </c>
      <c r="B307" t="s">
        <v>21089</v>
      </c>
      <c r="C307" t="s">
        <v>21088</v>
      </c>
    </row>
    <row r="308" spans="1:3">
      <c r="A308">
        <v>2105231249</v>
      </c>
      <c r="B308" t="s">
        <v>24057</v>
      </c>
      <c r="C308" t="s">
        <v>24058</v>
      </c>
    </row>
    <row r="309" spans="1:3">
      <c r="A309">
        <v>2105231547</v>
      </c>
      <c r="B309" t="s">
        <v>25013</v>
      </c>
      <c r="C309" t="s">
        <v>25014</v>
      </c>
    </row>
    <row r="310" spans="1:3">
      <c r="A310">
        <v>2105231548</v>
      </c>
      <c r="B310" t="s">
        <v>25015</v>
      </c>
      <c r="C310" t="s">
        <v>25016</v>
      </c>
    </row>
    <row r="311" spans="1:3">
      <c r="A311">
        <v>2105341133</v>
      </c>
      <c r="B311" t="s">
        <v>20993</v>
      </c>
      <c r="C311" t="s">
        <v>20992</v>
      </c>
    </row>
    <row r="312" spans="1:3">
      <c r="A312">
        <v>2105768965</v>
      </c>
      <c r="B312" t="s">
        <v>20943</v>
      </c>
      <c r="C312" t="s">
        <v>20942</v>
      </c>
    </row>
    <row r="313" spans="1:3">
      <c r="A313">
        <v>2105871380</v>
      </c>
      <c r="B313" t="s">
        <v>24359</v>
      </c>
      <c r="C313" t="s">
        <v>24360</v>
      </c>
    </row>
    <row r="314" spans="1:3">
      <c r="A314">
        <v>2105871396</v>
      </c>
      <c r="B314" t="s">
        <v>24361</v>
      </c>
      <c r="C314" t="s">
        <v>24362</v>
      </c>
    </row>
    <row r="315" spans="1:3">
      <c r="A315">
        <v>2106221546</v>
      </c>
      <c r="B315" t="s">
        <v>25017</v>
      </c>
      <c r="C315" t="s">
        <v>25018</v>
      </c>
    </row>
    <row r="316" spans="1:3">
      <c r="A316">
        <v>2106229468</v>
      </c>
      <c r="B316" t="s">
        <v>21482</v>
      </c>
      <c r="C316" t="s">
        <v>21483</v>
      </c>
    </row>
    <row r="317" spans="1:3">
      <c r="A317">
        <v>2106229722</v>
      </c>
      <c r="B317" t="s">
        <v>21306</v>
      </c>
      <c r="C317" t="s">
        <v>21307</v>
      </c>
    </row>
    <row r="318" spans="1:3">
      <c r="A318">
        <v>2106859829</v>
      </c>
      <c r="B318" t="s">
        <v>22446</v>
      </c>
      <c r="C318" t="s">
        <v>22447</v>
      </c>
    </row>
    <row r="319" spans="1:3">
      <c r="A319">
        <v>2109065191</v>
      </c>
      <c r="B319" t="s">
        <v>24363</v>
      </c>
      <c r="C319" t="s">
        <v>24364</v>
      </c>
    </row>
    <row r="320" spans="1:3">
      <c r="A320">
        <v>2109300896</v>
      </c>
      <c r="B320" t="s">
        <v>21228</v>
      </c>
      <c r="C320" t="s">
        <v>21229</v>
      </c>
    </row>
    <row r="321" spans="1:3">
      <c r="A321">
        <v>2109341083</v>
      </c>
      <c r="B321" t="s">
        <v>21122</v>
      </c>
      <c r="C321" t="s">
        <v>21121</v>
      </c>
    </row>
    <row r="322" spans="1:3">
      <c r="A322">
        <v>2110018059</v>
      </c>
      <c r="B322" t="s">
        <v>20725</v>
      </c>
      <c r="C322" t="s">
        <v>20724</v>
      </c>
    </row>
    <row r="323" spans="1:3">
      <c r="A323">
        <v>2110266433</v>
      </c>
      <c r="B323" t="s">
        <v>21714</v>
      </c>
      <c r="C323" t="s">
        <v>21715</v>
      </c>
    </row>
    <row r="324" spans="1:3">
      <c r="A324">
        <v>2110300739</v>
      </c>
      <c r="B324" t="s">
        <v>23775</v>
      </c>
      <c r="C324" t="s">
        <v>23776</v>
      </c>
    </row>
    <row r="325" spans="1:3">
      <c r="A325">
        <v>2110301161</v>
      </c>
      <c r="B325" t="s">
        <v>23378</v>
      </c>
      <c r="C325" t="s">
        <v>23379</v>
      </c>
    </row>
    <row r="326" spans="1:3">
      <c r="A326">
        <v>2110341071</v>
      </c>
      <c r="B326" t="s">
        <v>24059</v>
      </c>
      <c r="C326" t="s">
        <v>24060</v>
      </c>
    </row>
    <row r="327" spans="1:3">
      <c r="A327">
        <v>2110341072</v>
      </c>
      <c r="B327" t="s">
        <v>24061</v>
      </c>
      <c r="C327" t="s">
        <v>24062</v>
      </c>
    </row>
    <row r="328" spans="1:3">
      <c r="A328">
        <v>2110341073</v>
      </c>
      <c r="B328" t="s">
        <v>24063</v>
      </c>
      <c r="C328" t="s">
        <v>24064</v>
      </c>
    </row>
    <row r="329" spans="1:3">
      <c r="A329">
        <v>2111010118</v>
      </c>
      <c r="B329" t="s">
        <v>25019</v>
      </c>
      <c r="C329" t="s">
        <v>25020</v>
      </c>
    </row>
    <row r="330" spans="1:3">
      <c r="A330">
        <v>2111018059</v>
      </c>
      <c r="B330" t="s">
        <v>20700</v>
      </c>
      <c r="C330" t="s">
        <v>20699</v>
      </c>
    </row>
    <row r="331" spans="1:3">
      <c r="A331">
        <v>2111019884</v>
      </c>
      <c r="B331" t="s">
        <v>22924</v>
      </c>
      <c r="C331" t="s">
        <v>22925</v>
      </c>
    </row>
    <row r="332" spans="1:3">
      <c r="A332">
        <v>2111019885</v>
      </c>
      <c r="B332" t="s">
        <v>22926</v>
      </c>
      <c r="C332" t="s">
        <v>22927</v>
      </c>
    </row>
    <row r="333" spans="1:3">
      <c r="A333">
        <v>2111019886</v>
      </c>
      <c r="B333" t="s">
        <v>22928</v>
      </c>
      <c r="C333" t="s">
        <v>22929</v>
      </c>
    </row>
    <row r="334" spans="1:3">
      <c r="A334">
        <v>2111019887</v>
      </c>
      <c r="B334" t="s">
        <v>22930</v>
      </c>
      <c r="C334" t="s">
        <v>22931</v>
      </c>
    </row>
    <row r="335" spans="1:3">
      <c r="A335">
        <v>2111021228</v>
      </c>
      <c r="B335" t="s">
        <v>24515</v>
      </c>
      <c r="C335" t="s">
        <v>25021</v>
      </c>
    </row>
    <row r="336" spans="1:3">
      <c r="A336">
        <v>2111031220</v>
      </c>
      <c r="B336" t="s">
        <v>23777</v>
      </c>
      <c r="C336" t="s">
        <v>23778</v>
      </c>
    </row>
    <row r="337" spans="1:3">
      <c r="A337">
        <v>2111031420</v>
      </c>
      <c r="B337" t="s">
        <v>25022</v>
      </c>
      <c r="C337" t="s">
        <v>25023</v>
      </c>
    </row>
    <row r="338" spans="1:3">
      <c r="A338">
        <v>2111061241</v>
      </c>
      <c r="B338" t="s">
        <v>23779</v>
      </c>
      <c r="C338" t="s">
        <v>23780</v>
      </c>
    </row>
    <row r="339" spans="1:3">
      <c r="A339">
        <v>2111068602</v>
      </c>
      <c r="B339" t="s">
        <v>21141</v>
      </c>
      <c r="C339" t="s">
        <v>21140</v>
      </c>
    </row>
    <row r="340" spans="1:3">
      <c r="A340">
        <v>2111231441</v>
      </c>
      <c r="B340" t="s">
        <v>24492</v>
      </c>
      <c r="C340" t="s">
        <v>25024</v>
      </c>
    </row>
    <row r="341" spans="1:3">
      <c r="A341">
        <v>2111238623</v>
      </c>
      <c r="B341" t="s">
        <v>25025</v>
      </c>
      <c r="C341" t="s">
        <v>25026</v>
      </c>
    </row>
    <row r="342" spans="1:3">
      <c r="A342">
        <v>2111238793</v>
      </c>
      <c r="B342" t="s">
        <v>22448</v>
      </c>
      <c r="C342" t="s">
        <v>22449</v>
      </c>
    </row>
    <row r="343" spans="1:3">
      <c r="A343">
        <v>2111239536</v>
      </c>
      <c r="B343" t="s">
        <v>21137</v>
      </c>
      <c r="C343" t="s">
        <v>21136</v>
      </c>
    </row>
    <row r="344" spans="1:3">
      <c r="A344">
        <v>2111239744</v>
      </c>
      <c r="B344" t="s">
        <v>21404</v>
      </c>
      <c r="C344" t="s">
        <v>21405</v>
      </c>
    </row>
    <row r="345" spans="1:3">
      <c r="A345">
        <v>2111239913</v>
      </c>
      <c r="B345" t="s">
        <v>22932</v>
      </c>
      <c r="C345" t="s">
        <v>22933</v>
      </c>
    </row>
    <row r="346" spans="1:3">
      <c r="A346">
        <v>2111261202</v>
      </c>
      <c r="B346" t="s">
        <v>23781</v>
      </c>
      <c r="C346" t="s">
        <v>23782</v>
      </c>
    </row>
    <row r="347" spans="1:3">
      <c r="A347">
        <v>2111268695</v>
      </c>
      <c r="B347" t="s">
        <v>20821</v>
      </c>
      <c r="C347" t="s">
        <v>20820</v>
      </c>
    </row>
    <row r="348" spans="1:3">
      <c r="A348">
        <v>2111269708</v>
      </c>
      <c r="B348" t="s">
        <v>20821</v>
      </c>
      <c r="C348" t="s">
        <v>22361</v>
      </c>
    </row>
    <row r="349" spans="1:3">
      <c r="A349">
        <v>2111269756</v>
      </c>
      <c r="B349" t="s">
        <v>22362</v>
      </c>
      <c r="C349" t="s">
        <v>22363</v>
      </c>
    </row>
    <row r="350" spans="1:3">
      <c r="A350">
        <v>2111309939</v>
      </c>
      <c r="B350" t="s">
        <v>22934</v>
      </c>
      <c r="C350" t="s">
        <v>22935</v>
      </c>
    </row>
    <row r="351" spans="1:3">
      <c r="A351">
        <v>2111781153</v>
      </c>
      <c r="B351" t="s">
        <v>23380</v>
      </c>
      <c r="C351" t="s">
        <v>23381</v>
      </c>
    </row>
    <row r="352" spans="1:3">
      <c r="A352">
        <v>2111781154</v>
      </c>
      <c r="B352" t="s">
        <v>23382</v>
      </c>
      <c r="C352" t="s">
        <v>23383</v>
      </c>
    </row>
    <row r="353" spans="1:3">
      <c r="A353">
        <v>2111851481</v>
      </c>
      <c r="B353" t="s">
        <v>25027</v>
      </c>
      <c r="C353" t="s">
        <v>25028</v>
      </c>
    </row>
    <row r="354" spans="1:3">
      <c r="A354">
        <v>2111858585</v>
      </c>
      <c r="B354" t="s">
        <v>20731</v>
      </c>
      <c r="C354" t="s">
        <v>20730</v>
      </c>
    </row>
    <row r="355" spans="1:3">
      <c r="A355">
        <v>2112018078</v>
      </c>
      <c r="B355" t="s">
        <v>25029</v>
      </c>
      <c r="C355" t="s">
        <v>25030</v>
      </c>
    </row>
    <row r="356" spans="1:3">
      <c r="A356">
        <v>2112061143</v>
      </c>
      <c r="B356" t="s">
        <v>23215</v>
      </c>
      <c r="C356" t="s">
        <v>23216</v>
      </c>
    </row>
    <row r="357" spans="1:3">
      <c r="A357">
        <v>2112061306</v>
      </c>
      <c r="B357" t="s">
        <v>23783</v>
      </c>
      <c r="C357" t="s">
        <v>23784</v>
      </c>
    </row>
    <row r="358" spans="1:3">
      <c r="A358">
        <v>2112585219</v>
      </c>
      <c r="B358" t="s">
        <v>20845</v>
      </c>
      <c r="C358" t="s">
        <v>20844</v>
      </c>
    </row>
    <row r="359" spans="1:3">
      <c r="A359">
        <v>2112589932</v>
      </c>
      <c r="B359" t="s">
        <v>22936</v>
      </c>
      <c r="C359" t="s">
        <v>22937</v>
      </c>
    </row>
    <row r="360" spans="1:3">
      <c r="A360">
        <v>2112868354</v>
      </c>
      <c r="B360" t="s">
        <v>20694</v>
      </c>
      <c r="C360" t="s">
        <v>20693</v>
      </c>
    </row>
    <row r="361" spans="1:3">
      <c r="A361">
        <v>2113017994</v>
      </c>
      <c r="B361" t="s">
        <v>21484</v>
      </c>
      <c r="C361" t="s">
        <v>21485</v>
      </c>
    </row>
    <row r="362" spans="1:3">
      <c r="A362">
        <v>2114070122</v>
      </c>
      <c r="B362" t="s">
        <v>20775</v>
      </c>
      <c r="C362" t="s">
        <v>20774</v>
      </c>
    </row>
    <row r="363" spans="1:3">
      <c r="A363">
        <v>2114070124</v>
      </c>
      <c r="B363" t="s">
        <v>25031</v>
      </c>
      <c r="C363" t="s">
        <v>25032</v>
      </c>
    </row>
    <row r="364" spans="1:3">
      <c r="A364">
        <v>2114071219</v>
      </c>
      <c r="B364" t="s">
        <v>23785</v>
      </c>
      <c r="C364" t="s">
        <v>23786</v>
      </c>
    </row>
    <row r="365" spans="1:3">
      <c r="A365">
        <v>2114071446</v>
      </c>
      <c r="B365" t="s">
        <v>25033</v>
      </c>
      <c r="C365" t="s">
        <v>25034</v>
      </c>
    </row>
    <row r="366" spans="1:3">
      <c r="A366">
        <v>2114072480</v>
      </c>
      <c r="B366" t="s">
        <v>25035</v>
      </c>
      <c r="C366" t="s">
        <v>20665</v>
      </c>
    </row>
    <row r="367" spans="1:3">
      <c r="A367">
        <v>2114072775</v>
      </c>
      <c r="B367" t="s">
        <v>21406</v>
      </c>
      <c r="C367" t="s">
        <v>21407</v>
      </c>
    </row>
    <row r="368" spans="1:3">
      <c r="A368">
        <v>2114074210</v>
      </c>
      <c r="B368" t="s">
        <v>23787</v>
      </c>
      <c r="C368" t="s">
        <v>23788</v>
      </c>
    </row>
    <row r="369" spans="1:3">
      <c r="A369">
        <v>2114074224</v>
      </c>
      <c r="B369" t="s">
        <v>23384</v>
      </c>
      <c r="C369" t="s">
        <v>23385</v>
      </c>
    </row>
    <row r="370" spans="1:3">
      <c r="A370">
        <v>2114075058</v>
      </c>
      <c r="B370" t="s">
        <v>23217</v>
      </c>
      <c r="C370" t="s">
        <v>23218</v>
      </c>
    </row>
    <row r="371" spans="1:3">
      <c r="A371">
        <v>2114077345</v>
      </c>
      <c r="B371" t="s">
        <v>20704</v>
      </c>
      <c r="C371" t="s">
        <v>20703</v>
      </c>
    </row>
    <row r="372" spans="1:3">
      <c r="A372">
        <v>2114078439</v>
      </c>
      <c r="B372" t="s">
        <v>23386</v>
      </c>
      <c r="C372" t="s">
        <v>23387</v>
      </c>
    </row>
    <row r="373" spans="1:3">
      <c r="A373">
        <v>2114078440</v>
      </c>
      <c r="B373" t="s">
        <v>23563</v>
      </c>
      <c r="C373" t="s">
        <v>23564</v>
      </c>
    </row>
    <row r="374" spans="1:3">
      <c r="A374">
        <v>2114078575</v>
      </c>
      <c r="B374" t="s">
        <v>20756</v>
      </c>
      <c r="C374" t="s">
        <v>20755</v>
      </c>
    </row>
    <row r="375" spans="1:3">
      <c r="A375">
        <v>2114078601</v>
      </c>
      <c r="B375" t="s">
        <v>21143</v>
      </c>
      <c r="C375" t="s">
        <v>21142</v>
      </c>
    </row>
    <row r="376" spans="1:3">
      <c r="A376">
        <v>2114079037</v>
      </c>
      <c r="B376" t="s">
        <v>20885</v>
      </c>
      <c r="C376" t="s">
        <v>20884</v>
      </c>
    </row>
    <row r="377" spans="1:3">
      <c r="A377">
        <v>2114079648</v>
      </c>
      <c r="B377" t="s">
        <v>21716</v>
      </c>
      <c r="C377" t="s">
        <v>21717</v>
      </c>
    </row>
    <row r="378" spans="1:3">
      <c r="A378">
        <v>2114079899</v>
      </c>
      <c r="B378" t="s">
        <v>22652</v>
      </c>
      <c r="C378" t="s">
        <v>22653</v>
      </c>
    </row>
    <row r="379" spans="1:3">
      <c r="A379">
        <v>2114085220</v>
      </c>
      <c r="B379" t="s">
        <v>22938</v>
      </c>
      <c r="C379" t="s">
        <v>22939</v>
      </c>
    </row>
    <row r="380" spans="1:3">
      <c r="A380">
        <v>2114085950</v>
      </c>
      <c r="B380" t="s">
        <v>23789</v>
      </c>
      <c r="C380" t="s">
        <v>23790</v>
      </c>
    </row>
    <row r="381" spans="1:3">
      <c r="A381">
        <v>2115011053</v>
      </c>
      <c r="B381" t="s">
        <v>23791</v>
      </c>
      <c r="C381" t="s">
        <v>23792</v>
      </c>
    </row>
    <row r="382" spans="1:3">
      <c r="A382">
        <v>2115011054</v>
      </c>
      <c r="B382" t="s">
        <v>24066</v>
      </c>
      <c r="C382" t="s">
        <v>24067</v>
      </c>
    </row>
    <row r="383" spans="1:3">
      <c r="A383">
        <v>2115011055</v>
      </c>
      <c r="B383" t="s">
        <v>24068</v>
      </c>
      <c r="C383" t="s">
        <v>24069</v>
      </c>
    </row>
    <row r="384" spans="1:3">
      <c r="A384">
        <v>2115011089</v>
      </c>
      <c r="B384" t="s">
        <v>24070</v>
      </c>
      <c r="C384" t="s">
        <v>24071</v>
      </c>
    </row>
    <row r="385" spans="1:3">
      <c r="A385">
        <v>2115011090</v>
      </c>
      <c r="B385" t="s">
        <v>24072</v>
      </c>
      <c r="C385" t="s">
        <v>24073</v>
      </c>
    </row>
    <row r="386" spans="1:3">
      <c r="A386">
        <v>2115011091</v>
      </c>
      <c r="B386" t="s">
        <v>24074</v>
      </c>
      <c r="C386" t="s">
        <v>24075</v>
      </c>
    </row>
    <row r="387" spans="1:3">
      <c r="A387">
        <v>2115011218</v>
      </c>
      <c r="B387" t="s">
        <v>23793</v>
      </c>
      <c r="C387" t="s">
        <v>23794</v>
      </c>
    </row>
    <row r="388" spans="1:3">
      <c r="A388">
        <v>2115012309</v>
      </c>
      <c r="B388" t="s">
        <v>21644</v>
      </c>
      <c r="C388" t="s">
        <v>21718</v>
      </c>
    </row>
    <row r="389" spans="1:3">
      <c r="A389">
        <v>2115012372</v>
      </c>
      <c r="B389" t="s">
        <v>21644</v>
      </c>
      <c r="C389" t="s">
        <v>21719</v>
      </c>
    </row>
    <row r="390" spans="1:3">
      <c r="A390">
        <v>2115012833</v>
      </c>
      <c r="B390" t="s">
        <v>23096</v>
      </c>
      <c r="C390" t="s">
        <v>21721</v>
      </c>
    </row>
    <row r="391" spans="1:3">
      <c r="A391">
        <v>2115012980</v>
      </c>
      <c r="B391" t="s">
        <v>23097</v>
      </c>
      <c r="C391" t="s">
        <v>21722</v>
      </c>
    </row>
    <row r="392" spans="1:3">
      <c r="A392">
        <v>2115015214</v>
      </c>
      <c r="B392" t="s">
        <v>21723</v>
      </c>
      <c r="C392" t="s">
        <v>21724</v>
      </c>
    </row>
    <row r="393" spans="1:3">
      <c r="A393">
        <v>2115015224</v>
      </c>
      <c r="B393" t="s">
        <v>21644</v>
      </c>
      <c r="C393" t="s">
        <v>21725</v>
      </c>
    </row>
    <row r="394" spans="1:3">
      <c r="A394">
        <v>2115015228</v>
      </c>
      <c r="B394" t="s">
        <v>21723</v>
      </c>
      <c r="C394" t="s">
        <v>21726</v>
      </c>
    </row>
    <row r="395" spans="1:3">
      <c r="A395">
        <v>2115015235</v>
      </c>
      <c r="B395" t="s">
        <v>21644</v>
      </c>
      <c r="C395" t="s">
        <v>21727</v>
      </c>
    </row>
    <row r="396" spans="1:3">
      <c r="A396">
        <v>2115015238</v>
      </c>
      <c r="B396" t="s">
        <v>21723</v>
      </c>
      <c r="C396" t="s">
        <v>21728</v>
      </c>
    </row>
    <row r="397" spans="1:3">
      <c r="A397">
        <v>2115015253</v>
      </c>
      <c r="B397" t="s">
        <v>21644</v>
      </c>
      <c r="C397" t="s">
        <v>21729</v>
      </c>
    </row>
    <row r="398" spans="1:3">
      <c r="A398">
        <v>2115015948</v>
      </c>
      <c r="B398" t="s">
        <v>21723</v>
      </c>
      <c r="C398" t="s">
        <v>21730</v>
      </c>
    </row>
    <row r="399" spans="1:3">
      <c r="A399">
        <v>2115019600</v>
      </c>
      <c r="B399" t="s">
        <v>20747</v>
      </c>
      <c r="C399" t="s">
        <v>20746</v>
      </c>
    </row>
    <row r="400" spans="1:3">
      <c r="A400">
        <v>2115019657</v>
      </c>
      <c r="B400" t="s">
        <v>21731</v>
      </c>
      <c r="C400" t="s">
        <v>21732</v>
      </c>
    </row>
    <row r="401" spans="1:3">
      <c r="A401">
        <v>2115021170</v>
      </c>
      <c r="B401" t="s">
        <v>23565</v>
      </c>
      <c r="C401" t="s">
        <v>23566</v>
      </c>
    </row>
    <row r="402" spans="1:3">
      <c r="A402">
        <v>2115021339</v>
      </c>
      <c r="B402" t="s">
        <v>24365</v>
      </c>
      <c r="C402" t="s">
        <v>24366</v>
      </c>
    </row>
    <row r="403" spans="1:3">
      <c r="A403">
        <v>2115021340</v>
      </c>
      <c r="B403" t="s">
        <v>24367</v>
      </c>
      <c r="C403" t="s">
        <v>24368</v>
      </c>
    </row>
    <row r="404" spans="1:3">
      <c r="A404">
        <v>2115023678</v>
      </c>
      <c r="B404" t="s">
        <v>23795</v>
      </c>
      <c r="C404" t="s">
        <v>23796</v>
      </c>
    </row>
    <row r="405" spans="1:3">
      <c r="A405">
        <v>2115026551</v>
      </c>
      <c r="B405" t="s">
        <v>21733</v>
      </c>
      <c r="C405" t="s">
        <v>21734</v>
      </c>
    </row>
    <row r="406" spans="1:3">
      <c r="A406">
        <v>2115026552</v>
      </c>
      <c r="B406" t="s">
        <v>21230</v>
      </c>
      <c r="C406" t="s">
        <v>21231</v>
      </c>
    </row>
    <row r="407" spans="1:3">
      <c r="A407">
        <v>2115028616</v>
      </c>
      <c r="B407" t="s">
        <v>21232</v>
      </c>
      <c r="C407" t="s">
        <v>21233</v>
      </c>
    </row>
    <row r="408" spans="1:3">
      <c r="A408">
        <v>2115029891</v>
      </c>
      <c r="B408" t="s">
        <v>22940</v>
      </c>
      <c r="C408" t="s">
        <v>22941</v>
      </c>
    </row>
    <row r="409" spans="1:3">
      <c r="A409">
        <v>2115029916</v>
      </c>
      <c r="B409" t="s">
        <v>22942</v>
      </c>
      <c r="C409" t="s">
        <v>22943</v>
      </c>
    </row>
    <row r="410" spans="1:3">
      <c r="A410">
        <v>2115030452</v>
      </c>
      <c r="B410" t="s">
        <v>24369</v>
      </c>
      <c r="C410" t="s">
        <v>24370</v>
      </c>
    </row>
    <row r="411" spans="1:3">
      <c r="A411">
        <v>2115031221</v>
      </c>
      <c r="B411" t="s">
        <v>23797</v>
      </c>
      <c r="C411" t="s">
        <v>23798</v>
      </c>
    </row>
    <row r="412" spans="1:3">
      <c r="A412">
        <v>2115031222</v>
      </c>
      <c r="B412" t="s">
        <v>23799</v>
      </c>
      <c r="C412" t="s">
        <v>23800</v>
      </c>
    </row>
    <row r="413" spans="1:3">
      <c r="A413">
        <v>2115031223</v>
      </c>
      <c r="B413" t="s">
        <v>23801</v>
      </c>
      <c r="C413" t="s">
        <v>23802</v>
      </c>
    </row>
    <row r="414" spans="1:3">
      <c r="A414">
        <v>2115031224</v>
      </c>
      <c r="B414" t="s">
        <v>23803</v>
      </c>
      <c r="C414" t="s">
        <v>23804</v>
      </c>
    </row>
    <row r="415" spans="1:3">
      <c r="A415">
        <v>2115031225</v>
      </c>
      <c r="B415" t="s">
        <v>23805</v>
      </c>
      <c r="C415" t="s">
        <v>23806</v>
      </c>
    </row>
    <row r="416" spans="1:3">
      <c r="A416">
        <v>2115031226</v>
      </c>
      <c r="B416" t="s">
        <v>23807</v>
      </c>
      <c r="C416" t="s">
        <v>23808</v>
      </c>
    </row>
    <row r="417" spans="1:3">
      <c r="A417">
        <v>2115031227</v>
      </c>
      <c r="B417" t="s">
        <v>23809</v>
      </c>
      <c r="C417" t="s">
        <v>23810</v>
      </c>
    </row>
    <row r="418" spans="1:3">
      <c r="A418">
        <v>2115031259</v>
      </c>
      <c r="B418" t="s">
        <v>24076</v>
      </c>
      <c r="C418" t="s">
        <v>24077</v>
      </c>
    </row>
    <row r="419" spans="1:3">
      <c r="A419">
        <v>2115032464</v>
      </c>
      <c r="B419" t="s">
        <v>24371</v>
      </c>
      <c r="C419" t="s">
        <v>20979</v>
      </c>
    </row>
    <row r="420" spans="1:3">
      <c r="A420">
        <v>2115035266</v>
      </c>
      <c r="B420" t="s">
        <v>23811</v>
      </c>
      <c r="C420" t="s">
        <v>23812</v>
      </c>
    </row>
    <row r="421" spans="1:3">
      <c r="A421">
        <v>2115036414</v>
      </c>
      <c r="B421" t="s">
        <v>20727</v>
      </c>
      <c r="C421" t="s">
        <v>20726</v>
      </c>
    </row>
    <row r="422" spans="1:3">
      <c r="A422">
        <v>2115036415</v>
      </c>
      <c r="B422" t="s">
        <v>20729</v>
      </c>
      <c r="C422" t="s">
        <v>20728</v>
      </c>
    </row>
    <row r="423" spans="1:3">
      <c r="A423">
        <v>2115038580</v>
      </c>
      <c r="B423" t="s">
        <v>20669</v>
      </c>
      <c r="C423" t="s">
        <v>20668</v>
      </c>
    </row>
    <row r="424" spans="1:3">
      <c r="A424">
        <v>2115041361</v>
      </c>
      <c r="B424" t="s">
        <v>24372</v>
      </c>
      <c r="C424" t="s">
        <v>24373</v>
      </c>
    </row>
    <row r="425" spans="1:3">
      <c r="A425">
        <v>2115052438</v>
      </c>
      <c r="B425" t="s">
        <v>23098</v>
      </c>
      <c r="C425" t="s">
        <v>21735</v>
      </c>
    </row>
    <row r="426" spans="1:3">
      <c r="A426">
        <v>2115059618</v>
      </c>
      <c r="B426" t="s">
        <v>21736</v>
      </c>
      <c r="C426" t="s">
        <v>21737</v>
      </c>
    </row>
    <row r="427" spans="1:3">
      <c r="A427">
        <v>2115061015</v>
      </c>
      <c r="B427" t="s">
        <v>22944</v>
      </c>
      <c r="C427" t="s">
        <v>22945</v>
      </c>
    </row>
    <row r="428" spans="1:3">
      <c r="A428">
        <v>2115066258</v>
      </c>
      <c r="B428" t="s">
        <v>21408</v>
      </c>
      <c r="C428" t="s">
        <v>21133</v>
      </c>
    </row>
    <row r="429" spans="1:3">
      <c r="A429">
        <v>2115066424</v>
      </c>
      <c r="B429" t="s">
        <v>22364</v>
      </c>
      <c r="C429" t="s">
        <v>22365</v>
      </c>
    </row>
    <row r="430" spans="1:3">
      <c r="A430">
        <v>2115067026</v>
      </c>
      <c r="B430" t="s">
        <v>24374</v>
      </c>
      <c r="C430" t="s">
        <v>24375</v>
      </c>
    </row>
    <row r="431" spans="1:3">
      <c r="A431">
        <v>2115068545</v>
      </c>
      <c r="B431" t="s">
        <v>20717</v>
      </c>
      <c r="C431" t="s">
        <v>20716</v>
      </c>
    </row>
    <row r="432" spans="1:3">
      <c r="A432">
        <v>2115068550</v>
      </c>
      <c r="B432" t="s">
        <v>20909</v>
      </c>
      <c r="C432" t="s">
        <v>20908</v>
      </c>
    </row>
    <row r="433" spans="1:3">
      <c r="A433">
        <v>2115068551</v>
      </c>
      <c r="B433" t="s">
        <v>20911</v>
      </c>
      <c r="C433" t="s">
        <v>20910</v>
      </c>
    </row>
    <row r="434" spans="1:3">
      <c r="A434">
        <v>2115068619</v>
      </c>
      <c r="B434" t="s">
        <v>21112</v>
      </c>
      <c r="C434" t="s">
        <v>21111</v>
      </c>
    </row>
    <row r="435" spans="1:3">
      <c r="A435">
        <v>2115068629</v>
      </c>
      <c r="B435" t="s">
        <v>21073</v>
      </c>
      <c r="C435" t="s">
        <v>21072</v>
      </c>
    </row>
    <row r="436" spans="1:3">
      <c r="A436">
        <v>2115069326</v>
      </c>
      <c r="B436" t="s">
        <v>22654</v>
      </c>
      <c r="C436" t="s">
        <v>22655</v>
      </c>
    </row>
    <row r="437" spans="1:3">
      <c r="A437">
        <v>2115108588</v>
      </c>
      <c r="B437" t="s">
        <v>25036</v>
      </c>
      <c r="C437" t="s">
        <v>21051</v>
      </c>
    </row>
    <row r="438" spans="1:3">
      <c r="A438">
        <v>2115155826</v>
      </c>
      <c r="B438" t="s">
        <v>23813</v>
      </c>
      <c r="C438" t="s">
        <v>23814</v>
      </c>
    </row>
    <row r="439" spans="1:3">
      <c r="A439">
        <v>2115188810</v>
      </c>
      <c r="B439" t="s">
        <v>21486</v>
      </c>
      <c r="C439" t="s">
        <v>21487</v>
      </c>
    </row>
    <row r="440" spans="1:3">
      <c r="A440">
        <v>2115289283</v>
      </c>
      <c r="B440" t="s">
        <v>21130</v>
      </c>
      <c r="C440" t="s">
        <v>21129</v>
      </c>
    </row>
    <row r="441" spans="1:3">
      <c r="A441">
        <v>2115471144</v>
      </c>
      <c r="B441" t="s">
        <v>23219</v>
      </c>
      <c r="C441" t="s">
        <v>23220</v>
      </c>
    </row>
    <row r="442" spans="1:3">
      <c r="A442">
        <v>2115471542</v>
      </c>
      <c r="B442" t="s">
        <v>25037</v>
      </c>
      <c r="C442" t="s">
        <v>25038</v>
      </c>
    </row>
    <row r="443" spans="1:3">
      <c r="A443">
        <v>2115479723</v>
      </c>
      <c r="B443" t="s">
        <v>21308</v>
      </c>
      <c r="C443" t="s">
        <v>21309</v>
      </c>
    </row>
    <row r="444" spans="1:3">
      <c r="A444">
        <v>2115501207</v>
      </c>
      <c r="B444" t="s">
        <v>23815</v>
      </c>
      <c r="C444" t="s">
        <v>23816</v>
      </c>
    </row>
    <row r="445" spans="1:3">
      <c r="A445">
        <v>2115709705</v>
      </c>
      <c r="B445" t="s">
        <v>21488</v>
      </c>
      <c r="C445" t="s">
        <v>21489</v>
      </c>
    </row>
    <row r="446" spans="1:3">
      <c r="A446">
        <v>2115709755</v>
      </c>
      <c r="B446" t="s">
        <v>21738</v>
      </c>
      <c r="C446" t="s">
        <v>21739</v>
      </c>
    </row>
    <row r="447" spans="1:3">
      <c r="A447">
        <v>2115762167</v>
      </c>
      <c r="B447" t="s">
        <v>21740</v>
      </c>
      <c r="C447" t="s">
        <v>21741</v>
      </c>
    </row>
    <row r="448" spans="1:3">
      <c r="A448">
        <v>2115851351</v>
      </c>
      <c r="B448" t="s">
        <v>24376</v>
      </c>
      <c r="C448" t="s">
        <v>24377</v>
      </c>
    </row>
    <row r="449" spans="1:3">
      <c r="A449">
        <v>2115851414</v>
      </c>
      <c r="B449" t="s">
        <v>25039</v>
      </c>
      <c r="C449" t="s">
        <v>25040</v>
      </c>
    </row>
    <row r="450" spans="1:3">
      <c r="A450">
        <v>2115851415</v>
      </c>
      <c r="B450" t="s">
        <v>25041</v>
      </c>
      <c r="C450" t="s">
        <v>25042</v>
      </c>
    </row>
    <row r="451" spans="1:3">
      <c r="A451">
        <v>2115851416</v>
      </c>
      <c r="B451" t="s">
        <v>25043</v>
      </c>
      <c r="C451" t="s">
        <v>25044</v>
      </c>
    </row>
    <row r="452" spans="1:3">
      <c r="A452">
        <v>2115861524</v>
      </c>
      <c r="B452" t="s">
        <v>24547</v>
      </c>
      <c r="C452" t="s">
        <v>25045</v>
      </c>
    </row>
    <row r="453" spans="1:3">
      <c r="A453">
        <v>2115861525</v>
      </c>
      <c r="B453" t="s">
        <v>25046</v>
      </c>
      <c r="C453" t="s">
        <v>25047</v>
      </c>
    </row>
    <row r="454" spans="1:3">
      <c r="A454">
        <v>2115868597</v>
      </c>
      <c r="B454" t="s">
        <v>21155</v>
      </c>
      <c r="C454" t="s">
        <v>21154</v>
      </c>
    </row>
    <row r="455" spans="1:3">
      <c r="A455">
        <v>2115868640</v>
      </c>
      <c r="B455" t="s">
        <v>21095</v>
      </c>
      <c r="C455" t="s">
        <v>21094</v>
      </c>
    </row>
    <row r="456" spans="1:3">
      <c r="A456">
        <v>2115868645</v>
      </c>
      <c r="B456" t="s">
        <v>21153</v>
      </c>
      <c r="C456" t="s">
        <v>21152</v>
      </c>
    </row>
    <row r="457" spans="1:3">
      <c r="A457">
        <v>2117011350</v>
      </c>
      <c r="B457" t="s">
        <v>25048</v>
      </c>
      <c r="C457" t="s">
        <v>25049</v>
      </c>
    </row>
    <row r="458" spans="1:3">
      <c r="A458">
        <v>2117022312</v>
      </c>
      <c r="B458" t="s">
        <v>21742</v>
      </c>
      <c r="C458" t="s">
        <v>21743</v>
      </c>
    </row>
    <row r="459" spans="1:3">
      <c r="A459">
        <v>2118041920</v>
      </c>
      <c r="B459" t="s">
        <v>21234</v>
      </c>
      <c r="C459" t="s">
        <v>21235</v>
      </c>
    </row>
    <row r="460" spans="1:3">
      <c r="A460">
        <v>2120011419</v>
      </c>
      <c r="B460" t="s">
        <v>25050</v>
      </c>
      <c r="C460" t="s">
        <v>25051</v>
      </c>
    </row>
    <row r="461" spans="1:3">
      <c r="A461">
        <v>2120029634</v>
      </c>
      <c r="B461" t="s">
        <v>21744</v>
      </c>
      <c r="C461" t="s">
        <v>21745</v>
      </c>
    </row>
    <row r="462" spans="1:3">
      <c r="A462">
        <v>2120029889</v>
      </c>
      <c r="B462" t="s">
        <v>22946</v>
      </c>
      <c r="C462" t="s">
        <v>22947</v>
      </c>
    </row>
    <row r="463" spans="1:3">
      <c r="A463">
        <v>2120038552</v>
      </c>
      <c r="B463" t="s">
        <v>20905</v>
      </c>
      <c r="C463" t="s">
        <v>20904</v>
      </c>
    </row>
    <row r="464" spans="1:3">
      <c r="A464">
        <v>2120038553</v>
      </c>
      <c r="B464" t="s">
        <v>20903</v>
      </c>
      <c r="C464" t="s">
        <v>20902</v>
      </c>
    </row>
    <row r="465" spans="1:3">
      <c r="A465">
        <v>2120038554</v>
      </c>
      <c r="B465" t="s">
        <v>20901</v>
      </c>
      <c r="C465" t="s">
        <v>20900</v>
      </c>
    </row>
    <row r="466" spans="1:3">
      <c r="A466">
        <v>2120051190</v>
      </c>
      <c r="B466" t="s">
        <v>23817</v>
      </c>
      <c r="C466" t="s">
        <v>23818</v>
      </c>
    </row>
    <row r="467" spans="1:3">
      <c r="A467">
        <v>2120051370</v>
      </c>
      <c r="B467" t="s">
        <v>25052</v>
      </c>
      <c r="C467" t="s">
        <v>25053</v>
      </c>
    </row>
    <row r="468" spans="1:3">
      <c r="A468">
        <v>2120052812</v>
      </c>
      <c r="B468" t="s">
        <v>25054</v>
      </c>
      <c r="C468" t="s">
        <v>21009</v>
      </c>
    </row>
    <row r="469" spans="1:3">
      <c r="A469">
        <v>2120059696</v>
      </c>
      <c r="B469" t="s">
        <v>20791</v>
      </c>
      <c r="C469" t="s">
        <v>20790</v>
      </c>
    </row>
    <row r="470" spans="1:3">
      <c r="A470">
        <v>2120059936</v>
      </c>
      <c r="B470" t="s">
        <v>22948</v>
      </c>
      <c r="C470" t="s">
        <v>22949</v>
      </c>
    </row>
    <row r="471" spans="1:3">
      <c r="A471">
        <v>2120121467</v>
      </c>
      <c r="B471" t="s">
        <v>25055</v>
      </c>
      <c r="C471" t="s">
        <v>25056</v>
      </c>
    </row>
    <row r="472" spans="1:3">
      <c r="A472">
        <v>2121011182</v>
      </c>
      <c r="B472" t="s">
        <v>23819</v>
      </c>
      <c r="C472" t="s">
        <v>23820</v>
      </c>
    </row>
    <row r="473" spans="1:3">
      <c r="A473">
        <v>2121011491</v>
      </c>
      <c r="B473" t="s">
        <v>25057</v>
      </c>
      <c r="C473" t="s">
        <v>25058</v>
      </c>
    </row>
    <row r="474" spans="1:3">
      <c r="A474">
        <v>2121011492</v>
      </c>
      <c r="B474" t="s">
        <v>25059</v>
      </c>
      <c r="C474" t="s">
        <v>25060</v>
      </c>
    </row>
    <row r="475" spans="1:3">
      <c r="A475">
        <v>2121011493</v>
      </c>
      <c r="B475" t="s">
        <v>25061</v>
      </c>
      <c r="C475" t="s">
        <v>25062</v>
      </c>
    </row>
    <row r="476" spans="1:3">
      <c r="A476">
        <v>2121011692</v>
      </c>
      <c r="B476" t="s">
        <v>22950</v>
      </c>
      <c r="C476" t="s">
        <v>22951</v>
      </c>
    </row>
    <row r="477" spans="1:3">
      <c r="A477">
        <v>2121011778</v>
      </c>
      <c r="B477" t="s">
        <v>20688</v>
      </c>
      <c r="C477" t="s">
        <v>20687</v>
      </c>
    </row>
    <row r="478" spans="1:3">
      <c r="A478">
        <v>2121017007</v>
      </c>
      <c r="B478" t="s">
        <v>20773</v>
      </c>
      <c r="C478" t="s">
        <v>20772</v>
      </c>
    </row>
    <row r="479" spans="1:3">
      <c r="A479">
        <v>2121019725</v>
      </c>
      <c r="B479" t="s">
        <v>21409</v>
      </c>
      <c r="C479" t="s">
        <v>21410</v>
      </c>
    </row>
    <row r="480" spans="1:3">
      <c r="A480">
        <v>2121019749</v>
      </c>
      <c r="B480" t="s">
        <v>22952</v>
      </c>
      <c r="C480" t="s">
        <v>22953</v>
      </c>
    </row>
    <row r="481" spans="1:3">
      <c r="A481">
        <v>2121021188</v>
      </c>
      <c r="B481" t="s">
        <v>23821</v>
      </c>
      <c r="C481" t="s">
        <v>23822</v>
      </c>
    </row>
    <row r="482" spans="1:3">
      <c r="A482">
        <v>2121021189</v>
      </c>
      <c r="B482" t="s">
        <v>23823</v>
      </c>
      <c r="C482" t="s">
        <v>23824</v>
      </c>
    </row>
    <row r="483" spans="1:3">
      <c r="A483">
        <v>2121021589</v>
      </c>
      <c r="B483" t="s">
        <v>25063</v>
      </c>
      <c r="C483" t="s">
        <v>25064</v>
      </c>
    </row>
    <row r="484" spans="1:3">
      <c r="A484">
        <v>2121028632</v>
      </c>
      <c r="B484" t="s">
        <v>20690</v>
      </c>
      <c r="C484" t="s">
        <v>20689</v>
      </c>
    </row>
    <row r="485" spans="1:3">
      <c r="A485">
        <v>2121029889</v>
      </c>
      <c r="B485" t="s">
        <v>22954</v>
      </c>
      <c r="C485" t="s">
        <v>22955</v>
      </c>
    </row>
    <row r="486" spans="1:3">
      <c r="A486">
        <v>2121048632</v>
      </c>
      <c r="B486" t="s">
        <v>21093</v>
      </c>
      <c r="C486" t="s">
        <v>21092</v>
      </c>
    </row>
    <row r="487" spans="1:3">
      <c r="A487">
        <v>2121048633</v>
      </c>
      <c r="B487" t="s">
        <v>21091</v>
      </c>
      <c r="C487" t="s">
        <v>21090</v>
      </c>
    </row>
    <row r="488" spans="1:3">
      <c r="A488">
        <v>2121049654</v>
      </c>
      <c r="B488" t="s">
        <v>21108</v>
      </c>
      <c r="C488" t="s">
        <v>21107</v>
      </c>
    </row>
    <row r="489" spans="1:3">
      <c r="A489">
        <v>2121049747</v>
      </c>
      <c r="B489" t="s">
        <v>21746</v>
      </c>
      <c r="C489" t="s">
        <v>21747</v>
      </c>
    </row>
    <row r="490" spans="1:3">
      <c r="A490">
        <v>2121049750</v>
      </c>
      <c r="B490" t="s">
        <v>21748</v>
      </c>
      <c r="C490" t="s">
        <v>21749</v>
      </c>
    </row>
    <row r="491" spans="1:3">
      <c r="A491">
        <v>2121061437</v>
      </c>
      <c r="B491" t="s">
        <v>25065</v>
      </c>
      <c r="C491" t="s">
        <v>25066</v>
      </c>
    </row>
    <row r="492" spans="1:3">
      <c r="A492">
        <v>2121061439</v>
      </c>
      <c r="B492" t="s">
        <v>25067</v>
      </c>
      <c r="C492" t="s">
        <v>25068</v>
      </c>
    </row>
    <row r="493" spans="1:3">
      <c r="A493">
        <v>2121061522</v>
      </c>
      <c r="B493" t="s">
        <v>25069</v>
      </c>
      <c r="C493" t="s">
        <v>25070</v>
      </c>
    </row>
    <row r="494" spans="1:3">
      <c r="A494">
        <v>2121061523</v>
      </c>
      <c r="B494" t="s">
        <v>25071</v>
      </c>
      <c r="C494" t="s">
        <v>25072</v>
      </c>
    </row>
    <row r="495" spans="1:3">
      <c r="A495">
        <v>2122048702</v>
      </c>
      <c r="B495" t="s">
        <v>23567</v>
      </c>
      <c r="C495" t="s">
        <v>23568</v>
      </c>
    </row>
    <row r="496" spans="1:3">
      <c r="A496">
        <v>2122101438</v>
      </c>
      <c r="B496" t="s">
        <v>25073</v>
      </c>
      <c r="C496" t="s">
        <v>25074</v>
      </c>
    </row>
    <row r="497" spans="1:3">
      <c r="A497">
        <v>2122101440</v>
      </c>
      <c r="B497" t="s">
        <v>25075</v>
      </c>
      <c r="C497" t="s">
        <v>25076</v>
      </c>
    </row>
    <row r="498" spans="1:3">
      <c r="A498">
        <v>2161221352</v>
      </c>
      <c r="B498" t="s">
        <v>24521</v>
      </c>
      <c r="C498" t="s">
        <v>24078</v>
      </c>
    </row>
    <row r="499" spans="1:3">
      <c r="A499">
        <v>2161221453</v>
      </c>
      <c r="B499" t="s">
        <v>24519</v>
      </c>
      <c r="C499" t="s">
        <v>25077</v>
      </c>
    </row>
    <row r="500" spans="1:3">
      <c r="A500">
        <v>2161221456</v>
      </c>
      <c r="B500" t="s">
        <v>25078</v>
      </c>
      <c r="C500" t="s">
        <v>25079</v>
      </c>
    </row>
    <row r="501" spans="1:3">
      <c r="A501">
        <v>2161221457</v>
      </c>
      <c r="B501" t="s">
        <v>25080</v>
      </c>
      <c r="C501" t="s">
        <v>25081</v>
      </c>
    </row>
    <row r="502" spans="1:3">
      <c r="A502">
        <v>2161221506</v>
      </c>
      <c r="B502" t="s">
        <v>24519</v>
      </c>
      <c r="C502" t="s">
        <v>25082</v>
      </c>
    </row>
    <row r="503" spans="1:3">
      <c r="A503">
        <v>2161221507</v>
      </c>
      <c r="B503" t="s">
        <v>24528</v>
      </c>
      <c r="C503" t="s">
        <v>25083</v>
      </c>
    </row>
    <row r="504" spans="1:3">
      <c r="A504">
        <v>2161225327</v>
      </c>
      <c r="B504" t="s">
        <v>23825</v>
      </c>
      <c r="C504" t="s">
        <v>20566</v>
      </c>
    </row>
    <row r="505" spans="1:3">
      <c r="A505">
        <v>2161225328</v>
      </c>
      <c r="B505" t="s">
        <v>20565</v>
      </c>
      <c r="C505" t="s">
        <v>20564</v>
      </c>
    </row>
    <row r="506" spans="1:3">
      <c r="A506">
        <v>2161225329</v>
      </c>
      <c r="B506" t="s">
        <v>23825</v>
      </c>
      <c r="C506" t="s">
        <v>20563</v>
      </c>
    </row>
    <row r="507" spans="1:3">
      <c r="A507">
        <v>2161225897</v>
      </c>
      <c r="B507" t="s">
        <v>20562</v>
      </c>
      <c r="C507" t="s">
        <v>20561</v>
      </c>
    </row>
    <row r="508" spans="1:3">
      <c r="A508">
        <v>2161225898</v>
      </c>
      <c r="B508" t="s">
        <v>20560</v>
      </c>
      <c r="C508" t="s">
        <v>20559</v>
      </c>
    </row>
    <row r="509" spans="1:3">
      <c r="A509">
        <v>2161225899</v>
      </c>
      <c r="B509" t="s">
        <v>20558</v>
      </c>
      <c r="C509" t="s">
        <v>20557</v>
      </c>
    </row>
    <row r="510" spans="1:3">
      <c r="A510">
        <v>2161225900</v>
      </c>
      <c r="B510" t="s">
        <v>23826</v>
      </c>
      <c r="C510" t="s">
        <v>20556</v>
      </c>
    </row>
    <row r="511" spans="1:3">
      <c r="A511">
        <v>2161225901</v>
      </c>
      <c r="B511" t="s">
        <v>23826</v>
      </c>
      <c r="C511" t="s">
        <v>20555</v>
      </c>
    </row>
    <row r="512" spans="1:3">
      <c r="A512">
        <v>2161225902</v>
      </c>
      <c r="B512" t="s">
        <v>20554</v>
      </c>
      <c r="C512" t="s">
        <v>20553</v>
      </c>
    </row>
    <row r="513" spans="1:3">
      <c r="A513">
        <v>2161229639</v>
      </c>
      <c r="B513" t="s">
        <v>21750</v>
      </c>
      <c r="C513" t="s">
        <v>21751</v>
      </c>
    </row>
    <row r="514" spans="1:3">
      <c r="A514">
        <v>2201021020</v>
      </c>
      <c r="B514" t="s">
        <v>22956</v>
      </c>
      <c r="C514" t="s">
        <v>22957</v>
      </c>
    </row>
    <row r="515" spans="1:3">
      <c r="A515">
        <v>2201021164</v>
      </c>
      <c r="B515" t="s">
        <v>23388</v>
      </c>
      <c r="C515" t="s">
        <v>23389</v>
      </c>
    </row>
    <row r="516" spans="1:3">
      <c r="A516">
        <v>2201021216</v>
      </c>
      <c r="B516" t="s">
        <v>23827</v>
      </c>
      <c r="C516" t="s">
        <v>23828</v>
      </c>
    </row>
    <row r="517" spans="1:3">
      <c r="A517">
        <v>2201021221</v>
      </c>
      <c r="B517" t="s">
        <v>23829</v>
      </c>
      <c r="C517" t="s">
        <v>23830</v>
      </c>
    </row>
    <row r="518" spans="1:3">
      <c r="A518">
        <v>2201021364</v>
      </c>
      <c r="B518" t="s">
        <v>24504</v>
      </c>
      <c r="C518" t="s">
        <v>25084</v>
      </c>
    </row>
    <row r="519" spans="1:3">
      <c r="A519">
        <v>2201021365</v>
      </c>
      <c r="B519" t="s">
        <v>24505</v>
      </c>
      <c r="C519" t="s">
        <v>25085</v>
      </c>
    </row>
    <row r="520" spans="1:3">
      <c r="A520">
        <v>2201021366</v>
      </c>
      <c r="B520" t="s">
        <v>24506</v>
      </c>
      <c r="C520" t="s">
        <v>24378</v>
      </c>
    </row>
    <row r="521" spans="1:3">
      <c r="A521">
        <v>2201021367</v>
      </c>
      <c r="B521" t="s">
        <v>24507</v>
      </c>
      <c r="C521" t="s">
        <v>24379</v>
      </c>
    </row>
    <row r="522" spans="1:3">
      <c r="A522">
        <v>2201021368</v>
      </c>
      <c r="B522" t="s">
        <v>24380</v>
      </c>
      <c r="C522" t="s">
        <v>24381</v>
      </c>
    </row>
    <row r="523" spans="1:3">
      <c r="A523">
        <v>2201021432</v>
      </c>
      <c r="B523" t="s">
        <v>25086</v>
      </c>
      <c r="C523" t="s">
        <v>25087</v>
      </c>
    </row>
    <row r="524" spans="1:3">
      <c r="A524">
        <v>2201021433</v>
      </c>
      <c r="B524" t="s">
        <v>25088</v>
      </c>
      <c r="C524" t="s">
        <v>25089</v>
      </c>
    </row>
    <row r="525" spans="1:3">
      <c r="A525">
        <v>2201021434</v>
      </c>
      <c r="B525" t="s">
        <v>25090</v>
      </c>
      <c r="C525" t="s">
        <v>25091</v>
      </c>
    </row>
    <row r="526" spans="1:3">
      <c r="A526">
        <v>2201021570</v>
      </c>
      <c r="B526" t="s">
        <v>25092</v>
      </c>
      <c r="C526" t="s">
        <v>25093</v>
      </c>
    </row>
    <row r="527" spans="1:3">
      <c r="A527">
        <v>2201028503</v>
      </c>
      <c r="B527" t="s">
        <v>20935</v>
      </c>
      <c r="C527" t="s">
        <v>20934</v>
      </c>
    </row>
    <row r="528" spans="1:3">
      <c r="A528">
        <v>2201028599</v>
      </c>
      <c r="B528" t="s">
        <v>21159</v>
      </c>
      <c r="C528" t="s">
        <v>21158</v>
      </c>
    </row>
    <row r="529" spans="1:3">
      <c r="A529">
        <v>2201028649</v>
      </c>
      <c r="B529" t="s">
        <v>23569</v>
      </c>
      <c r="C529" t="s">
        <v>21041</v>
      </c>
    </row>
    <row r="530" spans="1:3">
      <c r="A530">
        <v>2201029037</v>
      </c>
      <c r="B530" t="s">
        <v>21752</v>
      </c>
      <c r="C530" t="s">
        <v>21490</v>
      </c>
    </row>
    <row r="531" spans="1:3">
      <c r="A531">
        <v>2201029038</v>
      </c>
      <c r="B531" t="s">
        <v>21491</v>
      </c>
      <c r="C531" t="s">
        <v>21492</v>
      </c>
    </row>
    <row r="532" spans="1:3">
      <c r="A532">
        <v>2201029560</v>
      </c>
      <c r="B532" t="s">
        <v>21411</v>
      </c>
      <c r="C532" t="s">
        <v>21412</v>
      </c>
    </row>
    <row r="533" spans="1:3">
      <c r="A533">
        <v>2201029561</v>
      </c>
      <c r="B533" t="s">
        <v>21753</v>
      </c>
      <c r="C533" t="s">
        <v>21413</v>
      </c>
    </row>
    <row r="534" spans="1:3">
      <c r="A534">
        <v>2202011165</v>
      </c>
      <c r="B534" t="s">
        <v>23390</v>
      </c>
      <c r="C534" t="s">
        <v>23391</v>
      </c>
    </row>
    <row r="535" spans="1:3">
      <c r="A535">
        <v>2202011579</v>
      </c>
      <c r="B535" t="s">
        <v>25094</v>
      </c>
      <c r="C535" t="s">
        <v>25095</v>
      </c>
    </row>
    <row r="536" spans="1:3">
      <c r="A536">
        <v>2202011580</v>
      </c>
      <c r="B536" t="s">
        <v>25096</v>
      </c>
      <c r="C536" t="s">
        <v>25097</v>
      </c>
    </row>
    <row r="537" spans="1:3">
      <c r="A537">
        <v>2202017958</v>
      </c>
      <c r="B537" t="s">
        <v>20766</v>
      </c>
      <c r="C537" t="s">
        <v>20765</v>
      </c>
    </row>
    <row r="538" spans="1:3">
      <c r="A538">
        <v>2202017959</v>
      </c>
      <c r="B538" t="s">
        <v>20768</v>
      </c>
      <c r="C538" t="s">
        <v>20767</v>
      </c>
    </row>
    <row r="539" spans="1:3">
      <c r="A539">
        <v>2202018309</v>
      </c>
      <c r="B539" t="s">
        <v>20760</v>
      </c>
      <c r="C539" t="s">
        <v>20759</v>
      </c>
    </row>
    <row r="540" spans="1:3">
      <c r="A540">
        <v>2202018310</v>
      </c>
      <c r="B540" t="s">
        <v>20762</v>
      </c>
      <c r="C540" t="s">
        <v>20761</v>
      </c>
    </row>
    <row r="541" spans="1:3">
      <c r="A541">
        <v>2202018311</v>
      </c>
      <c r="B541" t="s">
        <v>20764</v>
      </c>
      <c r="C541" t="s">
        <v>20763</v>
      </c>
    </row>
    <row r="542" spans="1:3">
      <c r="A542">
        <v>2202021521</v>
      </c>
      <c r="B542" t="s">
        <v>25098</v>
      </c>
      <c r="C542" t="s">
        <v>25099</v>
      </c>
    </row>
    <row r="543" spans="1:3">
      <c r="A543">
        <v>2202029519</v>
      </c>
      <c r="B543" t="s">
        <v>23570</v>
      </c>
      <c r="C543" t="s">
        <v>23571</v>
      </c>
    </row>
    <row r="544" spans="1:3">
      <c r="A544">
        <v>2202029651</v>
      </c>
      <c r="B544" t="s">
        <v>23572</v>
      </c>
      <c r="C544" t="s">
        <v>23573</v>
      </c>
    </row>
    <row r="545" spans="1:3">
      <c r="A545">
        <v>2202029680</v>
      </c>
      <c r="B545" t="s">
        <v>23574</v>
      </c>
      <c r="C545" t="s">
        <v>23575</v>
      </c>
    </row>
    <row r="546" spans="1:3">
      <c r="A546">
        <v>2203015182</v>
      </c>
      <c r="B546" t="s">
        <v>23576</v>
      </c>
      <c r="C546" t="s">
        <v>21042</v>
      </c>
    </row>
    <row r="547" spans="1:3">
      <c r="A547">
        <v>2203015183</v>
      </c>
      <c r="B547" t="s">
        <v>23577</v>
      </c>
      <c r="C547" t="s">
        <v>23578</v>
      </c>
    </row>
    <row r="548" spans="1:3">
      <c r="A548">
        <v>2203028919</v>
      </c>
      <c r="B548" t="s">
        <v>20743</v>
      </c>
      <c r="C548" t="s">
        <v>20742</v>
      </c>
    </row>
    <row r="549" spans="1:3">
      <c r="A549">
        <v>2302522574</v>
      </c>
      <c r="B549" t="s">
        <v>23831</v>
      </c>
      <c r="C549" t="s">
        <v>21754</v>
      </c>
    </row>
    <row r="550" spans="1:3">
      <c r="A550">
        <v>2302529866</v>
      </c>
      <c r="B550" t="s">
        <v>22656</v>
      </c>
      <c r="C550" t="s">
        <v>22657</v>
      </c>
    </row>
    <row r="551" spans="1:3">
      <c r="A551">
        <v>2302529867</v>
      </c>
      <c r="B551" t="s">
        <v>22658</v>
      </c>
      <c r="C551" t="s">
        <v>22659</v>
      </c>
    </row>
    <row r="552" spans="1:3">
      <c r="A552">
        <v>2401017254</v>
      </c>
      <c r="B552" t="s">
        <v>23832</v>
      </c>
      <c r="C552" t="s">
        <v>23833</v>
      </c>
    </row>
    <row r="553" spans="1:3">
      <c r="A553">
        <v>2630011489</v>
      </c>
      <c r="B553" t="s">
        <v>25100</v>
      </c>
      <c r="C553" t="s">
        <v>25101</v>
      </c>
    </row>
    <row r="554" spans="1:3">
      <c r="A554">
        <v>3101011203</v>
      </c>
      <c r="B554" t="s">
        <v>23834</v>
      </c>
      <c r="C554" t="s">
        <v>23835</v>
      </c>
    </row>
    <row r="555" spans="1:3">
      <c r="A555">
        <v>3101011204</v>
      </c>
      <c r="B555" t="s">
        <v>23836</v>
      </c>
      <c r="C555" t="s">
        <v>23837</v>
      </c>
    </row>
    <row r="556" spans="1:3">
      <c r="A556">
        <v>3101018694</v>
      </c>
      <c r="B556" t="s">
        <v>20817</v>
      </c>
      <c r="C556" t="s">
        <v>20816</v>
      </c>
    </row>
    <row r="557" spans="1:3">
      <c r="A557">
        <v>3101019302</v>
      </c>
      <c r="B557" t="s">
        <v>20819</v>
      </c>
      <c r="C557" t="s">
        <v>20818</v>
      </c>
    </row>
    <row r="558" spans="1:3">
      <c r="A558">
        <v>3101019828</v>
      </c>
      <c r="B558" t="s">
        <v>22366</v>
      </c>
      <c r="C558" t="s">
        <v>22367</v>
      </c>
    </row>
    <row r="559" spans="1:3">
      <c r="A559">
        <v>3101052439</v>
      </c>
      <c r="B559" t="s">
        <v>21755</v>
      </c>
      <c r="C559" t="s">
        <v>21756</v>
      </c>
    </row>
    <row r="560" spans="1:3">
      <c r="A560">
        <v>3101052440</v>
      </c>
      <c r="B560" t="s">
        <v>21757</v>
      </c>
      <c r="C560" t="s">
        <v>21758</v>
      </c>
    </row>
    <row r="561" spans="1:3">
      <c r="A561">
        <v>3101052441</v>
      </c>
      <c r="B561" t="s">
        <v>21759</v>
      </c>
      <c r="C561" t="s">
        <v>21760</v>
      </c>
    </row>
    <row r="562" spans="1:3">
      <c r="A562">
        <v>3101052442</v>
      </c>
      <c r="B562" t="s">
        <v>21761</v>
      </c>
      <c r="C562" t="s">
        <v>21762</v>
      </c>
    </row>
    <row r="563" spans="1:3">
      <c r="A563">
        <v>3101052449</v>
      </c>
      <c r="B563" t="s">
        <v>21763</v>
      </c>
      <c r="C563" t="s">
        <v>21764</v>
      </c>
    </row>
    <row r="564" spans="1:3">
      <c r="A564">
        <v>3101052983</v>
      </c>
      <c r="B564" t="s">
        <v>21765</v>
      </c>
      <c r="C564" t="s">
        <v>21766</v>
      </c>
    </row>
    <row r="565" spans="1:3">
      <c r="A565">
        <v>3101090120</v>
      </c>
      <c r="B565" t="s">
        <v>22958</v>
      </c>
      <c r="C565" t="s">
        <v>22959</v>
      </c>
    </row>
    <row r="566" spans="1:3">
      <c r="A566">
        <v>3101090121</v>
      </c>
      <c r="B566" t="s">
        <v>22958</v>
      </c>
      <c r="C566" t="s">
        <v>22960</v>
      </c>
    </row>
    <row r="567" spans="1:3">
      <c r="A567">
        <v>3101090122</v>
      </c>
      <c r="B567" t="s">
        <v>22958</v>
      </c>
      <c r="C567" t="s">
        <v>22961</v>
      </c>
    </row>
    <row r="568" spans="1:3">
      <c r="A568">
        <v>3101090123</v>
      </c>
      <c r="B568" t="s">
        <v>22958</v>
      </c>
      <c r="C568" t="s">
        <v>22962</v>
      </c>
    </row>
    <row r="569" spans="1:3">
      <c r="A569">
        <v>3103071080</v>
      </c>
      <c r="B569" t="s">
        <v>23221</v>
      </c>
      <c r="C569" t="s">
        <v>23222</v>
      </c>
    </row>
    <row r="570" spans="1:3">
      <c r="A570">
        <v>3103071081</v>
      </c>
      <c r="B570" t="s">
        <v>23223</v>
      </c>
      <c r="C570" t="s">
        <v>23224</v>
      </c>
    </row>
    <row r="571" spans="1:3">
      <c r="A571">
        <v>3103071215</v>
      </c>
      <c r="B571" t="s">
        <v>23838</v>
      </c>
      <c r="C571" t="s">
        <v>23839</v>
      </c>
    </row>
    <row r="572" spans="1:3">
      <c r="A572">
        <v>3103071629</v>
      </c>
      <c r="B572" t="s">
        <v>22660</v>
      </c>
      <c r="C572" t="s">
        <v>22661</v>
      </c>
    </row>
    <row r="573" spans="1:3">
      <c r="A573">
        <v>3105011581</v>
      </c>
      <c r="B573" t="s">
        <v>25102</v>
      </c>
      <c r="C573" t="s">
        <v>25103</v>
      </c>
    </row>
    <row r="574" spans="1:3">
      <c r="A574">
        <v>3105011992</v>
      </c>
      <c r="B574" t="s">
        <v>23840</v>
      </c>
      <c r="C574" t="s">
        <v>23841</v>
      </c>
    </row>
    <row r="575" spans="1:3">
      <c r="A575">
        <v>3105012362</v>
      </c>
      <c r="B575" t="s">
        <v>23842</v>
      </c>
      <c r="C575" t="s">
        <v>21768</v>
      </c>
    </row>
    <row r="576" spans="1:3">
      <c r="A576">
        <v>3105012363</v>
      </c>
      <c r="B576" t="s">
        <v>21767</v>
      </c>
      <c r="C576" t="s">
        <v>21769</v>
      </c>
    </row>
    <row r="577" spans="1:3">
      <c r="A577">
        <v>3105012364</v>
      </c>
      <c r="B577" t="s">
        <v>23225</v>
      </c>
      <c r="C577" t="s">
        <v>21770</v>
      </c>
    </row>
    <row r="578" spans="1:3">
      <c r="A578">
        <v>3105012366</v>
      </c>
      <c r="B578" t="s">
        <v>20604</v>
      </c>
      <c r="C578" t="s">
        <v>20603</v>
      </c>
    </row>
    <row r="579" spans="1:3">
      <c r="A579">
        <v>3105012380</v>
      </c>
      <c r="B579" t="s">
        <v>21771</v>
      </c>
      <c r="C579" t="s">
        <v>20640</v>
      </c>
    </row>
    <row r="580" spans="1:3">
      <c r="A580">
        <v>3105012381</v>
      </c>
      <c r="B580" t="s">
        <v>21772</v>
      </c>
      <c r="C580" t="s">
        <v>21773</v>
      </c>
    </row>
    <row r="581" spans="1:3">
      <c r="A581">
        <v>3105012385</v>
      </c>
      <c r="B581" t="s">
        <v>21774</v>
      </c>
      <c r="C581" t="s">
        <v>21775</v>
      </c>
    </row>
    <row r="582" spans="1:3">
      <c r="A582">
        <v>3105012391</v>
      </c>
      <c r="B582" t="s">
        <v>23226</v>
      </c>
      <c r="C582" t="s">
        <v>23227</v>
      </c>
    </row>
    <row r="583" spans="1:3">
      <c r="A583">
        <v>3105012392</v>
      </c>
      <c r="B583" t="s">
        <v>23228</v>
      </c>
      <c r="C583" t="s">
        <v>23229</v>
      </c>
    </row>
    <row r="584" spans="1:3">
      <c r="A584">
        <v>3105012393</v>
      </c>
      <c r="B584" t="s">
        <v>23230</v>
      </c>
      <c r="C584" t="s">
        <v>23231</v>
      </c>
    </row>
    <row r="585" spans="1:3">
      <c r="A585">
        <v>3105012394</v>
      </c>
      <c r="B585" t="s">
        <v>23232</v>
      </c>
      <c r="C585" t="s">
        <v>23233</v>
      </c>
    </row>
    <row r="586" spans="1:3">
      <c r="A586">
        <v>3105012408</v>
      </c>
      <c r="B586" t="s">
        <v>21776</v>
      </c>
      <c r="C586" t="s">
        <v>21777</v>
      </c>
    </row>
    <row r="587" spans="1:3">
      <c r="A587">
        <v>3105012423</v>
      </c>
      <c r="B587" t="s">
        <v>21778</v>
      </c>
      <c r="C587" t="s">
        <v>21779</v>
      </c>
    </row>
    <row r="588" spans="1:3">
      <c r="A588">
        <v>3105012478</v>
      </c>
      <c r="B588" t="s">
        <v>20987</v>
      </c>
      <c r="C588" t="s">
        <v>20986</v>
      </c>
    </row>
    <row r="589" spans="1:3">
      <c r="A589">
        <v>3105012862</v>
      </c>
      <c r="B589" t="s">
        <v>21780</v>
      </c>
      <c r="C589" t="s">
        <v>21781</v>
      </c>
    </row>
    <row r="590" spans="1:3">
      <c r="A590">
        <v>3105012978</v>
      </c>
      <c r="B590" t="s">
        <v>21782</v>
      </c>
      <c r="C590" t="s">
        <v>21783</v>
      </c>
    </row>
    <row r="591" spans="1:3">
      <c r="A591">
        <v>3105015106</v>
      </c>
      <c r="B591" t="s">
        <v>23099</v>
      </c>
      <c r="C591" t="s">
        <v>21784</v>
      </c>
    </row>
    <row r="592" spans="1:3">
      <c r="A592">
        <v>3105015108</v>
      </c>
      <c r="B592" t="s">
        <v>21785</v>
      </c>
      <c r="C592" t="s">
        <v>21786</v>
      </c>
    </row>
    <row r="593" spans="1:3">
      <c r="A593">
        <v>3105015113</v>
      </c>
      <c r="B593" t="s">
        <v>21787</v>
      </c>
      <c r="C593" t="s">
        <v>21788</v>
      </c>
    </row>
    <row r="594" spans="1:3">
      <c r="A594">
        <v>3105015220</v>
      </c>
      <c r="B594" t="s">
        <v>21720</v>
      </c>
      <c r="C594" t="s">
        <v>21789</v>
      </c>
    </row>
    <row r="595" spans="1:3">
      <c r="A595">
        <v>3105015250</v>
      </c>
      <c r="B595" t="s">
        <v>21790</v>
      </c>
      <c r="C595" t="s">
        <v>21791</v>
      </c>
    </row>
    <row r="596" spans="1:3">
      <c r="A596">
        <v>3105015251</v>
      </c>
      <c r="B596" t="s">
        <v>21792</v>
      </c>
      <c r="C596" t="s">
        <v>21793</v>
      </c>
    </row>
    <row r="597" spans="1:3">
      <c r="A597">
        <v>3105015252</v>
      </c>
      <c r="B597" t="s">
        <v>21794</v>
      </c>
      <c r="C597" t="s">
        <v>21795</v>
      </c>
    </row>
    <row r="598" spans="1:3">
      <c r="A598">
        <v>3105015332</v>
      </c>
      <c r="B598" t="s">
        <v>21796</v>
      </c>
      <c r="C598" t="s">
        <v>20651</v>
      </c>
    </row>
    <row r="599" spans="1:3">
      <c r="A599">
        <v>3105015333</v>
      </c>
      <c r="B599" t="s">
        <v>20650</v>
      </c>
      <c r="C599" t="s">
        <v>20649</v>
      </c>
    </row>
    <row r="600" spans="1:3">
      <c r="A600">
        <v>3105015829</v>
      </c>
      <c r="B600" t="s">
        <v>23843</v>
      </c>
      <c r="C600" t="s">
        <v>21797</v>
      </c>
    </row>
    <row r="601" spans="1:3">
      <c r="A601">
        <v>3105015962</v>
      </c>
      <c r="B601" t="s">
        <v>21798</v>
      </c>
      <c r="C601" t="s">
        <v>21799</v>
      </c>
    </row>
    <row r="602" spans="1:3">
      <c r="A602">
        <v>3105018388</v>
      </c>
      <c r="B602" t="s">
        <v>22963</v>
      </c>
      <c r="C602" t="s">
        <v>22964</v>
      </c>
    </row>
    <row r="603" spans="1:3">
      <c r="A603">
        <v>3105019629</v>
      </c>
      <c r="B603" t="s">
        <v>21800</v>
      </c>
      <c r="C603" t="s">
        <v>21801</v>
      </c>
    </row>
    <row r="604" spans="1:3">
      <c r="A604">
        <v>3105019641</v>
      </c>
      <c r="B604" t="s">
        <v>21802</v>
      </c>
      <c r="C604" t="s">
        <v>21803</v>
      </c>
    </row>
    <row r="605" spans="1:3">
      <c r="A605">
        <v>3105019642</v>
      </c>
      <c r="B605" t="s">
        <v>21804</v>
      </c>
      <c r="C605" t="s">
        <v>21805</v>
      </c>
    </row>
    <row r="606" spans="1:3">
      <c r="A606">
        <v>3105019764</v>
      </c>
      <c r="B606" t="s">
        <v>22368</v>
      </c>
      <c r="C606" t="s">
        <v>22369</v>
      </c>
    </row>
    <row r="607" spans="1:3">
      <c r="A607">
        <v>3105019931</v>
      </c>
      <c r="B607" t="s">
        <v>22965</v>
      </c>
      <c r="C607" t="s">
        <v>22966</v>
      </c>
    </row>
    <row r="608" spans="1:3">
      <c r="A608">
        <v>3105024243</v>
      </c>
      <c r="B608" t="s">
        <v>23100</v>
      </c>
      <c r="C608" t="s">
        <v>21807</v>
      </c>
    </row>
    <row r="609" spans="1:3">
      <c r="A609">
        <v>3105025162</v>
      </c>
      <c r="B609" t="s">
        <v>23101</v>
      </c>
      <c r="C609" t="s">
        <v>21808</v>
      </c>
    </row>
    <row r="610" spans="1:3">
      <c r="A610">
        <v>3105025187</v>
      </c>
      <c r="B610" t="s">
        <v>21806</v>
      </c>
      <c r="C610" t="s">
        <v>20648</v>
      </c>
    </row>
    <row r="611" spans="1:3">
      <c r="A611">
        <v>3105029446</v>
      </c>
      <c r="B611" t="s">
        <v>20671</v>
      </c>
      <c r="C611" t="s">
        <v>20670</v>
      </c>
    </row>
    <row r="612" spans="1:3">
      <c r="A612">
        <v>3105112411</v>
      </c>
      <c r="B612" t="s">
        <v>21809</v>
      </c>
      <c r="C612" t="s">
        <v>21810</v>
      </c>
    </row>
    <row r="613" spans="1:3">
      <c r="A613">
        <v>3105112415</v>
      </c>
      <c r="B613" t="s">
        <v>21811</v>
      </c>
      <c r="C613" t="s">
        <v>21812</v>
      </c>
    </row>
    <row r="614" spans="1:3">
      <c r="A614">
        <v>3105112416</v>
      </c>
      <c r="B614" t="s">
        <v>21813</v>
      </c>
      <c r="C614" t="s">
        <v>21814</v>
      </c>
    </row>
    <row r="615" spans="1:3">
      <c r="A615">
        <v>3105112434</v>
      </c>
      <c r="B615" t="s">
        <v>21787</v>
      </c>
      <c r="C615" t="s">
        <v>21815</v>
      </c>
    </row>
    <row r="616" spans="1:3">
      <c r="A616">
        <v>3105112435</v>
      </c>
      <c r="B616" t="s">
        <v>23844</v>
      </c>
      <c r="C616" t="s">
        <v>21817</v>
      </c>
    </row>
    <row r="617" spans="1:3">
      <c r="A617">
        <v>3105112437</v>
      </c>
      <c r="B617" t="s">
        <v>21818</v>
      </c>
      <c r="C617" t="s">
        <v>21819</v>
      </c>
    </row>
    <row r="618" spans="1:3">
      <c r="A618">
        <v>3105112438</v>
      </c>
      <c r="B618" t="s">
        <v>21820</v>
      </c>
      <c r="C618" t="s">
        <v>21821</v>
      </c>
    </row>
    <row r="619" spans="1:3">
      <c r="A619">
        <v>3105112441</v>
      </c>
      <c r="B619" t="s">
        <v>20606</v>
      </c>
      <c r="C619" t="s">
        <v>20605</v>
      </c>
    </row>
    <row r="620" spans="1:3">
      <c r="A620">
        <v>3105112442</v>
      </c>
      <c r="B620" t="s">
        <v>23234</v>
      </c>
      <c r="C620" t="s">
        <v>20567</v>
      </c>
    </row>
    <row r="621" spans="1:3">
      <c r="A621">
        <v>3105112801</v>
      </c>
      <c r="B621" t="s">
        <v>20608</v>
      </c>
      <c r="C621" t="s">
        <v>20607</v>
      </c>
    </row>
    <row r="622" spans="1:3">
      <c r="A622">
        <v>3105112802</v>
      </c>
      <c r="B622" t="s">
        <v>23845</v>
      </c>
      <c r="C622" t="s">
        <v>21823</v>
      </c>
    </row>
    <row r="623" spans="1:3">
      <c r="A623">
        <v>3105112835</v>
      </c>
      <c r="B623" t="s">
        <v>21824</v>
      </c>
      <c r="C623" t="s">
        <v>21825</v>
      </c>
    </row>
    <row r="624" spans="1:3">
      <c r="A624">
        <v>3105112837</v>
      </c>
      <c r="B624" t="s">
        <v>21826</v>
      </c>
      <c r="C624" t="s">
        <v>21827</v>
      </c>
    </row>
    <row r="625" spans="1:3">
      <c r="A625">
        <v>3105112839</v>
      </c>
      <c r="B625" t="s">
        <v>21828</v>
      </c>
      <c r="C625" t="s">
        <v>21829</v>
      </c>
    </row>
    <row r="626" spans="1:3">
      <c r="A626">
        <v>3105112866</v>
      </c>
      <c r="B626" t="s">
        <v>21830</v>
      </c>
      <c r="C626" t="s">
        <v>21831</v>
      </c>
    </row>
    <row r="627" spans="1:3">
      <c r="A627">
        <v>3105112868</v>
      </c>
      <c r="B627" t="s">
        <v>21832</v>
      </c>
      <c r="C627" t="s">
        <v>21833</v>
      </c>
    </row>
    <row r="628" spans="1:3">
      <c r="A628">
        <v>3105112870</v>
      </c>
      <c r="B628" t="s">
        <v>21834</v>
      </c>
      <c r="C628" t="s">
        <v>21835</v>
      </c>
    </row>
    <row r="629" spans="1:3">
      <c r="A629">
        <v>3105114351</v>
      </c>
      <c r="B629" t="s">
        <v>23846</v>
      </c>
      <c r="C629" t="s">
        <v>21836</v>
      </c>
    </row>
    <row r="630" spans="1:3">
      <c r="A630">
        <v>3105115960</v>
      </c>
      <c r="B630" t="s">
        <v>23847</v>
      </c>
      <c r="C630" t="s">
        <v>21837</v>
      </c>
    </row>
    <row r="631" spans="1:3">
      <c r="A631">
        <v>3105115961</v>
      </c>
      <c r="B631" t="s">
        <v>23848</v>
      </c>
      <c r="C631" t="s">
        <v>21838</v>
      </c>
    </row>
    <row r="632" spans="1:3">
      <c r="A632">
        <v>3105118200</v>
      </c>
      <c r="B632" t="s">
        <v>23235</v>
      </c>
      <c r="C632" t="s">
        <v>20633</v>
      </c>
    </row>
    <row r="633" spans="1:3">
      <c r="A633">
        <v>3105119852</v>
      </c>
      <c r="B633" t="s">
        <v>22662</v>
      </c>
      <c r="C633" t="s">
        <v>22663</v>
      </c>
    </row>
    <row r="634" spans="1:3">
      <c r="A634">
        <v>3105119853</v>
      </c>
      <c r="B634" t="s">
        <v>22664</v>
      </c>
      <c r="C634" t="s">
        <v>22665</v>
      </c>
    </row>
    <row r="635" spans="1:3">
      <c r="A635">
        <v>3106018000</v>
      </c>
      <c r="B635" t="s">
        <v>22666</v>
      </c>
      <c r="C635" t="s">
        <v>22667</v>
      </c>
    </row>
    <row r="636" spans="1:3">
      <c r="A636">
        <v>3109062569</v>
      </c>
      <c r="B636" t="s">
        <v>22967</v>
      </c>
      <c r="C636" t="s">
        <v>22968</v>
      </c>
    </row>
    <row r="637" spans="1:3">
      <c r="A637">
        <v>3109062776</v>
      </c>
      <c r="B637" t="s">
        <v>21414</v>
      </c>
      <c r="C637" t="s">
        <v>21415</v>
      </c>
    </row>
    <row r="638" spans="1:3">
      <c r="A638">
        <v>3109075195</v>
      </c>
      <c r="B638" t="s">
        <v>22543</v>
      </c>
      <c r="C638" t="s">
        <v>22544</v>
      </c>
    </row>
    <row r="639" spans="1:3">
      <c r="A639">
        <v>3161091095</v>
      </c>
      <c r="B639" t="s">
        <v>23236</v>
      </c>
      <c r="C639" t="s">
        <v>23237</v>
      </c>
    </row>
    <row r="640" spans="1:3">
      <c r="A640">
        <v>3161091096</v>
      </c>
      <c r="B640" t="s">
        <v>23238</v>
      </c>
      <c r="C640" t="s">
        <v>23239</v>
      </c>
    </row>
    <row r="641" spans="1:3">
      <c r="A641">
        <v>3161091314</v>
      </c>
      <c r="B641" t="s">
        <v>24382</v>
      </c>
      <c r="C641" t="s">
        <v>24383</v>
      </c>
    </row>
    <row r="642" spans="1:3">
      <c r="A642">
        <v>3161091315</v>
      </c>
      <c r="B642" t="s">
        <v>24384</v>
      </c>
      <c r="C642" t="s">
        <v>24385</v>
      </c>
    </row>
    <row r="643" spans="1:3">
      <c r="A643">
        <v>3161091320</v>
      </c>
      <c r="B643" t="s">
        <v>24386</v>
      </c>
      <c r="C643" t="s">
        <v>24387</v>
      </c>
    </row>
    <row r="644" spans="1:3">
      <c r="A644">
        <v>3161091321</v>
      </c>
      <c r="B644" t="s">
        <v>24388</v>
      </c>
      <c r="C644" t="s">
        <v>24389</v>
      </c>
    </row>
    <row r="645" spans="1:3">
      <c r="A645">
        <v>3161091333</v>
      </c>
      <c r="B645" t="s">
        <v>24079</v>
      </c>
      <c r="C645" t="s">
        <v>24080</v>
      </c>
    </row>
    <row r="646" spans="1:3">
      <c r="A646">
        <v>3161091334</v>
      </c>
      <c r="B646" t="s">
        <v>24081</v>
      </c>
      <c r="C646" t="s">
        <v>24082</v>
      </c>
    </row>
    <row r="647" spans="1:3">
      <c r="A647">
        <v>3161091335</v>
      </c>
      <c r="B647" t="s">
        <v>24083</v>
      </c>
      <c r="C647" t="s">
        <v>24084</v>
      </c>
    </row>
    <row r="648" spans="1:3">
      <c r="A648">
        <v>3161091336</v>
      </c>
      <c r="B648" t="s">
        <v>24085</v>
      </c>
      <c r="C648" t="s">
        <v>24086</v>
      </c>
    </row>
    <row r="649" spans="1:3">
      <c r="A649">
        <v>3161091337</v>
      </c>
      <c r="B649" t="s">
        <v>24087</v>
      </c>
      <c r="C649" t="s">
        <v>24088</v>
      </c>
    </row>
    <row r="650" spans="1:3">
      <c r="A650">
        <v>3161091338</v>
      </c>
      <c r="B650" t="s">
        <v>24089</v>
      </c>
      <c r="C650" t="s">
        <v>24090</v>
      </c>
    </row>
    <row r="651" spans="1:3">
      <c r="A651">
        <v>3161091423</v>
      </c>
      <c r="B651" t="s">
        <v>25104</v>
      </c>
      <c r="C651" t="s">
        <v>25105</v>
      </c>
    </row>
    <row r="652" spans="1:3">
      <c r="A652">
        <v>3161091424</v>
      </c>
      <c r="B652" t="s">
        <v>25106</v>
      </c>
      <c r="C652" t="s">
        <v>25107</v>
      </c>
    </row>
    <row r="653" spans="1:3">
      <c r="A653">
        <v>3161091425</v>
      </c>
      <c r="B653" t="s">
        <v>25108</v>
      </c>
      <c r="C653" t="s">
        <v>25109</v>
      </c>
    </row>
    <row r="654" spans="1:3">
      <c r="A654">
        <v>3161091426</v>
      </c>
      <c r="B654" t="s">
        <v>25110</v>
      </c>
      <c r="C654" t="s">
        <v>25111</v>
      </c>
    </row>
    <row r="655" spans="1:3">
      <c r="A655">
        <v>3161091427</v>
      </c>
      <c r="B655" t="s">
        <v>24510</v>
      </c>
      <c r="C655" t="s">
        <v>25112</v>
      </c>
    </row>
    <row r="656" spans="1:3">
      <c r="A656">
        <v>3161091449</v>
      </c>
      <c r="B656" t="s">
        <v>25113</v>
      </c>
      <c r="C656" t="s">
        <v>25114</v>
      </c>
    </row>
    <row r="657" spans="1:3">
      <c r="A657">
        <v>3161091450</v>
      </c>
      <c r="B657" t="s">
        <v>25115</v>
      </c>
      <c r="C657" t="s">
        <v>25116</v>
      </c>
    </row>
    <row r="658" spans="1:3">
      <c r="A658">
        <v>3161091451</v>
      </c>
      <c r="B658" t="s">
        <v>25117</v>
      </c>
      <c r="C658" t="s">
        <v>25118</v>
      </c>
    </row>
    <row r="659" spans="1:3">
      <c r="A659">
        <v>3161091452</v>
      </c>
      <c r="B659" t="s">
        <v>24522</v>
      </c>
      <c r="C659" t="s">
        <v>25119</v>
      </c>
    </row>
    <row r="660" spans="1:3">
      <c r="A660">
        <v>3161091469</v>
      </c>
      <c r="B660" t="s">
        <v>25120</v>
      </c>
      <c r="C660" t="s">
        <v>25121</v>
      </c>
    </row>
    <row r="661" spans="1:3">
      <c r="A661">
        <v>3161091484</v>
      </c>
      <c r="B661" t="s">
        <v>25122</v>
      </c>
      <c r="C661" t="s">
        <v>25123</v>
      </c>
    </row>
    <row r="662" spans="1:3">
      <c r="A662">
        <v>3161091485</v>
      </c>
      <c r="B662" t="s">
        <v>24522</v>
      </c>
      <c r="C662" t="s">
        <v>25124</v>
      </c>
    </row>
    <row r="663" spans="1:3">
      <c r="A663">
        <v>3161091519</v>
      </c>
      <c r="B663" t="s">
        <v>24530</v>
      </c>
      <c r="C663" t="s">
        <v>25125</v>
      </c>
    </row>
    <row r="664" spans="1:3">
      <c r="A664">
        <v>3161091701</v>
      </c>
      <c r="B664" t="s">
        <v>23849</v>
      </c>
      <c r="C664" t="s">
        <v>20629</v>
      </c>
    </row>
    <row r="665" spans="1:3">
      <c r="A665">
        <v>3161091702</v>
      </c>
      <c r="B665" t="s">
        <v>21840</v>
      </c>
      <c r="C665" t="s">
        <v>21841</v>
      </c>
    </row>
    <row r="666" spans="1:3">
      <c r="A666">
        <v>3161091713</v>
      </c>
      <c r="B666" t="s">
        <v>21842</v>
      </c>
      <c r="C666" t="s">
        <v>21843</v>
      </c>
    </row>
    <row r="667" spans="1:3">
      <c r="A667">
        <v>3161091714</v>
      </c>
      <c r="B667" t="s">
        <v>21842</v>
      </c>
      <c r="C667" t="s">
        <v>21844</v>
      </c>
    </row>
    <row r="668" spans="1:3">
      <c r="A668">
        <v>3161091715</v>
      </c>
      <c r="B668" t="s">
        <v>21842</v>
      </c>
      <c r="C668" t="s">
        <v>21845</v>
      </c>
    </row>
    <row r="669" spans="1:3">
      <c r="A669">
        <v>3161091716</v>
      </c>
      <c r="B669" t="s">
        <v>21839</v>
      </c>
      <c r="C669" t="s">
        <v>21846</v>
      </c>
    </row>
    <row r="670" spans="1:3">
      <c r="A670">
        <v>3161091717</v>
      </c>
      <c r="B670" t="s">
        <v>21839</v>
      </c>
      <c r="C670" t="s">
        <v>21847</v>
      </c>
    </row>
    <row r="671" spans="1:3">
      <c r="A671">
        <v>3161091718</v>
      </c>
      <c r="B671" t="s">
        <v>21839</v>
      </c>
      <c r="C671" t="s">
        <v>21848</v>
      </c>
    </row>
    <row r="672" spans="1:3">
      <c r="A672">
        <v>3161091719</v>
      </c>
      <c r="B672" t="s">
        <v>21849</v>
      </c>
      <c r="C672" t="s">
        <v>21850</v>
      </c>
    </row>
    <row r="673" spans="1:3">
      <c r="A673">
        <v>3161091720</v>
      </c>
      <c r="B673" t="s">
        <v>21840</v>
      </c>
      <c r="C673" t="s">
        <v>21851</v>
      </c>
    </row>
    <row r="674" spans="1:3">
      <c r="A674">
        <v>3161091721</v>
      </c>
      <c r="B674" t="s">
        <v>23240</v>
      </c>
      <c r="C674" t="s">
        <v>20635</v>
      </c>
    </row>
    <row r="675" spans="1:3">
      <c r="A675">
        <v>3161091729</v>
      </c>
      <c r="B675" t="s">
        <v>23102</v>
      </c>
      <c r="C675" t="s">
        <v>20639</v>
      </c>
    </row>
    <row r="676" spans="1:3">
      <c r="A676">
        <v>3161091730</v>
      </c>
      <c r="B676" t="s">
        <v>21852</v>
      </c>
      <c r="C676" t="s">
        <v>21853</v>
      </c>
    </row>
    <row r="677" spans="1:3">
      <c r="A677">
        <v>3161091731</v>
      </c>
      <c r="B677" t="s">
        <v>6260</v>
      </c>
      <c r="C677" t="s">
        <v>21854</v>
      </c>
    </row>
    <row r="678" spans="1:3">
      <c r="A678">
        <v>3161091732</v>
      </c>
      <c r="B678" t="s">
        <v>6260</v>
      </c>
      <c r="C678" t="s">
        <v>21855</v>
      </c>
    </row>
    <row r="679" spans="1:3">
      <c r="A679">
        <v>3161091740</v>
      </c>
      <c r="B679" t="s">
        <v>23241</v>
      </c>
      <c r="C679" t="s">
        <v>21856</v>
      </c>
    </row>
    <row r="680" spans="1:3">
      <c r="A680">
        <v>3161091741</v>
      </c>
      <c r="B680" t="s">
        <v>23850</v>
      </c>
      <c r="C680" t="s">
        <v>21857</v>
      </c>
    </row>
    <row r="681" spans="1:3">
      <c r="A681">
        <v>3161091742</v>
      </c>
      <c r="B681" t="s">
        <v>21816</v>
      </c>
      <c r="C681" t="s">
        <v>21858</v>
      </c>
    </row>
    <row r="682" spans="1:3">
      <c r="A682">
        <v>3161091743</v>
      </c>
      <c r="B682" t="s">
        <v>21842</v>
      </c>
      <c r="C682" t="s">
        <v>21859</v>
      </c>
    </row>
    <row r="683" spans="1:3">
      <c r="A683">
        <v>3161091744</v>
      </c>
      <c r="B683" t="s">
        <v>21842</v>
      </c>
      <c r="C683" t="s">
        <v>21860</v>
      </c>
    </row>
    <row r="684" spans="1:3">
      <c r="A684">
        <v>3161091745</v>
      </c>
      <c r="B684" t="s">
        <v>21839</v>
      </c>
      <c r="C684" t="s">
        <v>21861</v>
      </c>
    </row>
    <row r="685" spans="1:3">
      <c r="A685">
        <v>3161091746</v>
      </c>
      <c r="B685" t="s">
        <v>23851</v>
      </c>
      <c r="C685" t="s">
        <v>21862</v>
      </c>
    </row>
    <row r="686" spans="1:3">
      <c r="A686">
        <v>3161091747</v>
      </c>
      <c r="B686" t="s">
        <v>21840</v>
      </c>
      <c r="C686" t="s">
        <v>21863</v>
      </c>
    </row>
    <row r="687" spans="1:3">
      <c r="A687">
        <v>3161091748</v>
      </c>
      <c r="B687" t="s">
        <v>21840</v>
      </c>
      <c r="C687" t="s">
        <v>21864</v>
      </c>
    </row>
    <row r="688" spans="1:3">
      <c r="A688">
        <v>3161091755</v>
      </c>
      <c r="B688" t="s">
        <v>21852</v>
      </c>
      <c r="C688" t="s">
        <v>21865</v>
      </c>
    </row>
    <row r="689" spans="1:3">
      <c r="A689">
        <v>3161091756</v>
      </c>
      <c r="B689" t="s">
        <v>21852</v>
      </c>
      <c r="C689" t="s">
        <v>21866</v>
      </c>
    </row>
    <row r="690" spans="1:3">
      <c r="A690">
        <v>3161091757</v>
      </c>
      <c r="B690" t="s">
        <v>6260</v>
      </c>
      <c r="C690" t="s">
        <v>21867</v>
      </c>
    </row>
    <row r="691" spans="1:3">
      <c r="A691">
        <v>3161091763</v>
      </c>
      <c r="B691" t="s">
        <v>21787</v>
      </c>
      <c r="C691" t="s">
        <v>21868</v>
      </c>
    </row>
    <row r="692" spans="1:3">
      <c r="A692">
        <v>3161091764</v>
      </c>
      <c r="B692" t="s">
        <v>23852</v>
      </c>
      <c r="C692" t="s">
        <v>21869</v>
      </c>
    </row>
    <row r="693" spans="1:3">
      <c r="A693">
        <v>3161091774</v>
      </c>
      <c r="B693" t="s">
        <v>21852</v>
      </c>
      <c r="C693" t="s">
        <v>21870</v>
      </c>
    </row>
    <row r="694" spans="1:3">
      <c r="A694">
        <v>3161091777</v>
      </c>
      <c r="B694" t="s">
        <v>21852</v>
      </c>
      <c r="C694" t="s">
        <v>21871</v>
      </c>
    </row>
    <row r="695" spans="1:3">
      <c r="A695">
        <v>3161091778</v>
      </c>
      <c r="B695" t="s">
        <v>21852</v>
      </c>
      <c r="C695" t="s">
        <v>20998</v>
      </c>
    </row>
    <row r="696" spans="1:3">
      <c r="A696">
        <v>3161092128</v>
      </c>
      <c r="B696" t="s">
        <v>20664</v>
      </c>
      <c r="C696" t="s">
        <v>20663</v>
      </c>
    </row>
    <row r="697" spans="1:3">
      <c r="A697">
        <v>3161092153</v>
      </c>
      <c r="B697" t="s">
        <v>21872</v>
      </c>
      <c r="C697" t="s">
        <v>21873</v>
      </c>
    </row>
    <row r="698" spans="1:3">
      <c r="A698">
        <v>3161092302</v>
      </c>
      <c r="B698" t="s">
        <v>21874</v>
      </c>
      <c r="C698" t="s">
        <v>21875</v>
      </c>
    </row>
    <row r="699" spans="1:3">
      <c r="A699">
        <v>3161092303</v>
      </c>
      <c r="B699" t="s">
        <v>23853</v>
      </c>
      <c r="C699" t="s">
        <v>21876</v>
      </c>
    </row>
    <row r="700" spans="1:3">
      <c r="A700">
        <v>3161092305</v>
      </c>
      <c r="B700" t="s">
        <v>21877</v>
      </c>
      <c r="C700" t="s">
        <v>21878</v>
      </c>
    </row>
    <row r="701" spans="1:3">
      <c r="A701">
        <v>3161092313</v>
      </c>
      <c r="B701" t="s">
        <v>21631</v>
      </c>
      <c r="C701" t="s">
        <v>21879</v>
      </c>
    </row>
    <row r="702" spans="1:3">
      <c r="A702">
        <v>3161092314</v>
      </c>
      <c r="B702" t="s">
        <v>21631</v>
      </c>
      <c r="C702" t="s">
        <v>21880</v>
      </c>
    </row>
    <row r="703" spans="1:3">
      <c r="A703">
        <v>3161092320</v>
      </c>
      <c r="B703" t="s">
        <v>21840</v>
      </c>
      <c r="C703" t="s">
        <v>21881</v>
      </c>
    </row>
    <row r="704" spans="1:3">
      <c r="A704">
        <v>3161092321</v>
      </c>
      <c r="B704" t="s">
        <v>21842</v>
      </c>
      <c r="C704" t="s">
        <v>21882</v>
      </c>
    </row>
    <row r="705" spans="1:3">
      <c r="A705">
        <v>3161092322</v>
      </c>
      <c r="B705" t="s">
        <v>21842</v>
      </c>
      <c r="C705" t="s">
        <v>21883</v>
      </c>
    </row>
    <row r="706" spans="1:3">
      <c r="A706">
        <v>3161092324</v>
      </c>
      <c r="B706" t="s">
        <v>21839</v>
      </c>
      <c r="C706" t="s">
        <v>21884</v>
      </c>
    </row>
    <row r="707" spans="1:3">
      <c r="A707">
        <v>3161092326</v>
      </c>
      <c r="B707" t="s">
        <v>23843</v>
      </c>
      <c r="C707" t="s">
        <v>21885</v>
      </c>
    </row>
    <row r="708" spans="1:3">
      <c r="A708">
        <v>3161092328</v>
      </c>
      <c r="B708" t="s">
        <v>23242</v>
      </c>
      <c r="C708" t="s">
        <v>21063</v>
      </c>
    </row>
    <row r="709" spans="1:3">
      <c r="A709">
        <v>3161092329</v>
      </c>
      <c r="B709" t="s">
        <v>21787</v>
      </c>
      <c r="C709" t="s">
        <v>21886</v>
      </c>
    </row>
    <row r="710" spans="1:3">
      <c r="A710">
        <v>3161092330</v>
      </c>
      <c r="B710" t="s">
        <v>23243</v>
      </c>
      <c r="C710" t="s">
        <v>20636</v>
      </c>
    </row>
    <row r="711" spans="1:3">
      <c r="A711">
        <v>3161092332</v>
      </c>
      <c r="B711" t="s">
        <v>23852</v>
      </c>
      <c r="C711" t="s">
        <v>21887</v>
      </c>
    </row>
    <row r="712" spans="1:3">
      <c r="A712">
        <v>3161092333</v>
      </c>
      <c r="B712" t="s">
        <v>23854</v>
      </c>
      <c r="C712" t="s">
        <v>21888</v>
      </c>
    </row>
    <row r="713" spans="1:3">
      <c r="A713">
        <v>3161092334</v>
      </c>
      <c r="B713" t="s">
        <v>23855</v>
      </c>
      <c r="C713" t="s">
        <v>21889</v>
      </c>
    </row>
    <row r="714" spans="1:3">
      <c r="A714">
        <v>3161092335</v>
      </c>
      <c r="B714" t="s">
        <v>21787</v>
      </c>
      <c r="C714" t="s">
        <v>21890</v>
      </c>
    </row>
    <row r="715" spans="1:3">
      <c r="A715">
        <v>3161092361</v>
      </c>
      <c r="B715" t="s">
        <v>21891</v>
      </c>
      <c r="C715" t="s">
        <v>21892</v>
      </c>
    </row>
    <row r="716" spans="1:3">
      <c r="A716">
        <v>3161092374</v>
      </c>
      <c r="B716" t="s">
        <v>21893</v>
      </c>
      <c r="C716" t="s">
        <v>21894</v>
      </c>
    </row>
    <row r="717" spans="1:3">
      <c r="A717">
        <v>3161092379</v>
      </c>
      <c r="B717" t="s">
        <v>20525</v>
      </c>
      <c r="C717" t="s">
        <v>20524</v>
      </c>
    </row>
    <row r="718" spans="1:3">
      <c r="A718">
        <v>3161092387</v>
      </c>
      <c r="B718" t="s">
        <v>23244</v>
      </c>
      <c r="C718" t="s">
        <v>21895</v>
      </c>
    </row>
    <row r="719" spans="1:3">
      <c r="A719">
        <v>3161092440</v>
      </c>
      <c r="B719" t="s">
        <v>20533</v>
      </c>
      <c r="C719" t="s">
        <v>20532</v>
      </c>
    </row>
    <row r="720" spans="1:3">
      <c r="A720">
        <v>3161092549</v>
      </c>
      <c r="B720" t="s">
        <v>21891</v>
      </c>
      <c r="C720" t="s">
        <v>21896</v>
      </c>
    </row>
    <row r="721" spans="1:3">
      <c r="A721">
        <v>3161092552</v>
      </c>
      <c r="B721" t="s">
        <v>6260</v>
      </c>
      <c r="C721" t="s">
        <v>21897</v>
      </c>
    </row>
    <row r="722" spans="1:3">
      <c r="A722">
        <v>3161092559</v>
      </c>
      <c r="B722" t="s">
        <v>6260</v>
      </c>
      <c r="C722" t="s">
        <v>21898</v>
      </c>
    </row>
    <row r="723" spans="1:3">
      <c r="A723">
        <v>3161092565</v>
      </c>
      <c r="B723" t="s">
        <v>23098</v>
      </c>
      <c r="C723" t="s">
        <v>21899</v>
      </c>
    </row>
    <row r="724" spans="1:3">
      <c r="A724">
        <v>3161092566</v>
      </c>
      <c r="B724" t="s">
        <v>21842</v>
      </c>
      <c r="C724" t="s">
        <v>21900</v>
      </c>
    </row>
    <row r="725" spans="1:3">
      <c r="A725">
        <v>3161092567</v>
      </c>
      <c r="B725" t="s">
        <v>21839</v>
      </c>
      <c r="C725" t="s">
        <v>21901</v>
      </c>
    </row>
    <row r="726" spans="1:3">
      <c r="A726">
        <v>3161092568</v>
      </c>
      <c r="B726" t="s">
        <v>23103</v>
      </c>
      <c r="C726" t="s">
        <v>21902</v>
      </c>
    </row>
    <row r="727" spans="1:3">
      <c r="A727">
        <v>3161092569</v>
      </c>
      <c r="B727" t="s">
        <v>21628</v>
      </c>
      <c r="C727" t="s">
        <v>21903</v>
      </c>
    </row>
    <row r="728" spans="1:3">
      <c r="A728">
        <v>3161092571</v>
      </c>
      <c r="B728" t="s">
        <v>6260</v>
      </c>
      <c r="C728" t="s">
        <v>21904</v>
      </c>
    </row>
    <row r="729" spans="1:3">
      <c r="A729">
        <v>3161092572</v>
      </c>
      <c r="B729" t="s">
        <v>6260</v>
      </c>
      <c r="C729" t="s">
        <v>21905</v>
      </c>
    </row>
    <row r="730" spans="1:3">
      <c r="A730">
        <v>3161092573</v>
      </c>
      <c r="B730" t="s">
        <v>21906</v>
      </c>
      <c r="C730" t="s">
        <v>21907</v>
      </c>
    </row>
    <row r="731" spans="1:3">
      <c r="A731">
        <v>3161092574</v>
      </c>
      <c r="B731" t="s">
        <v>21906</v>
      </c>
      <c r="C731" t="s">
        <v>21908</v>
      </c>
    </row>
    <row r="732" spans="1:3">
      <c r="A732">
        <v>3161092576</v>
      </c>
      <c r="B732" t="s">
        <v>6260</v>
      </c>
      <c r="C732" t="s">
        <v>21909</v>
      </c>
    </row>
    <row r="733" spans="1:3">
      <c r="A733">
        <v>3161092579</v>
      </c>
      <c r="B733" t="s">
        <v>21631</v>
      </c>
      <c r="C733" t="s">
        <v>20630</v>
      </c>
    </row>
    <row r="734" spans="1:3">
      <c r="A734">
        <v>3161092580</v>
      </c>
      <c r="B734" t="s">
        <v>23104</v>
      </c>
      <c r="C734" t="s">
        <v>21910</v>
      </c>
    </row>
    <row r="735" spans="1:3">
      <c r="A735">
        <v>3161092582</v>
      </c>
      <c r="B735" t="s">
        <v>23105</v>
      </c>
      <c r="C735" t="s">
        <v>21911</v>
      </c>
    </row>
    <row r="736" spans="1:3">
      <c r="A736">
        <v>3161092583</v>
      </c>
      <c r="B736" t="s">
        <v>21891</v>
      </c>
      <c r="C736" t="s">
        <v>21912</v>
      </c>
    </row>
    <row r="737" spans="1:3">
      <c r="A737">
        <v>3161092584</v>
      </c>
      <c r="B737" t="s">
        <v>23106</v>
      </c>
      <c r="C737" t="s">
        <v>21913</v>
      </c>
    </row>
    <row r="738" spans="1:3">
      <c r="A738">
        <v>3161092585</v>
      </c>
      <c r="B738" t="s">
        <v>21872</v>
      </c>
      <c r="C738" t="s">
        <v>21914</v>
      </c>
    </row>
    <row r="739" spans="1:3">
      <c r="A739">
        <v>3161092586</v>
      </c>
      <c r="B739" t="s">
        <v>23107</v>
      </c>
      <c r="C739" t="s">
        <v>20652</v>
      </c>
    </row>
    <row r="740" spans="1:3">
      <c r="A740">
        <v>3161092591</v>
      </c>
      <c r="B740" t="s">
        <v>6260</v>
      </c>
      <c r="C740" t="s">
        <v>21915</v>
      </c>
    </row>
    <row r="741" spans="1:3">
      <c r="A741">
        <v>3161092600</v>
      </c>
      <c r="B741" t="s">
        <v>21906</v>
      </c>
      <c r="C741" t="s">
        <v>21916</v>
      </c>
    </row>
    <row r="742" spans="1:3">
      <c r="A742">
        <v>3161092603</v>
      </c>
      <c r="B742" t="s">
        <v>21631</v>
      </c>
      <c r="C742" t="s">
        <v>21917</v>
      </c>
    </row>
    <row r="743" spans="1:3">
      <c r="A743">
        <v>3161092611</v>
      </c>
      <c r="B743" t="s">
        <v>21906</v>
      </c>
      <c r="C743" t="s">
        <v>21175</v>
      </c>
    </row>
    <row r="744" spans="1:3">
      <c r="A744">
        <v>3161092612</v>
      </c>
      <c r="B744" t="s">
        <v>21906</v>
      </c>
      <c r="C744" t="s">
        <v>21918</v>
      </c>
    </row>
    <row r="745" spans="1:3">
      <c r="A745">
        <v>3161092613</v>
      </c>
      <c r="B745" t="s">
        <v>21906</v>
      </c>
      <c r="C745" t="s">
        <v>21919</v>
      </c>
    </row>
    <row r="746" spans="1:3">
      <c r="A746">
        <v>3161092623</v>
      </c>
      <c r="B746" t="s">
        <v>23856</v>
      </c>
      <c r="C746" t="s">
        <v>21921</v>
      </c>
    </row>
    <row r="747" spans="1:3">
      <c r="A747">
        <v>3161092624</v>
      </c>
      <c r="B747" t="s">
        <v>21920</v>
      </c>
      <c r="C747" t="s">
        <v>21922</v>
      </c>
    </row>
    <row r="748" spans="1:3">
      <c r="A748">
        <v>3161092625</v>
      </c>
      <c r="B748" t="s">
        <v>21920</v>
      </c>
      <c r="C748" t="s">
        <v>21923</v>
      </c>
    </row>
    <row r="749" spans="1:3">
      <c r="A749">
        <v>3161092704</v>
      </c>
      <c r="B749" t="s">
        <v>20569</v>
      </c>
      <c r="C749" t="s">
        <v>20568</v>
      </c>
    </row>
    <row r="750" spans="1:3">
      <c r="A750">
        <v>3161092716</v>
      </c>
      <c r="B750" t="s">
        <v>21842</v>
      </c>
      <c r="C750" t="s">
        <v>21924</v>
      </c>
    </row>
    <row r="751" spans="1:3">
      <c r="A751">
        <v>3161092717</v>
      </c>
      <c r="B751" t="s">
        <v>23245</v>
      </c>
      <c r="C751" t="s">
        <v>21925</v>
      </c>
    </row>
    <row r="752" spans="1:3">
      <c r="A752">
        <v>3161092793</v>
      </c>
      <c r="B752" t="s">
        <v>23857</v>
      </c>
      <c r="C752" t="s">
        <v>21926</v>
      </c>
    </row>
    <row r="753" spans="1:3">
      <c r="A753">
        <v>3161092795</v>
      </c>
      <c r="B753" t="s">
        <v>21891</v>
      </c>
      <c r="C753" t="s">
        <v>21927</v>
      </c>
    </row>
    <row r="754" spans="1:3">
      <c r="A754">
        <v>3161092796</v>
      </c>
      <c r="B754" t="s">
        <v>23108</v>
      </c>
      <c r="C754" t="s">
        <v>21928</v>
      </c>
    </row>
    <row r="755" spans="1:3">
      <c r="A755">
        <v>3161092797</v>
      </c>
      <c r="B755" t="s">
        <v>20525</v>
      </c>
      <c r="C755" t="s">
        <v>20526</v>
      </c>
    </row>
    <row r="756" spans="1:3">
      <c r="A756">
        <v>3161092798</v>
      </c>
      <c r="B756" t="s">
        <v>20529</v>
      </c>
      <c r="C756" t="s">
        <v>20528</v>
      </c>
    </row>
    <row r="757" spans="1:3">
      <c r="A757">
        <v>3161092799</v>
      </c>
      <c r="B757" t="s">
        <v>23246</v>
      </c>
      <c r="C757" t="s">
        <v>20527</v>
      </c>
    </row>
    <row r="758" spans="1:3">
      <c r="A758">
        <v>3161092969</v>
      </c>
      <c r="B758" t="s">
        <v>6264</v>
      </c>
      <c r="C758" t="s">
        <v>21929</v>
      </c>
    </row>
    <row r="759" spans="1:3">
      <c r="A759">
        <v>3161092994</v>
      </c>
      <c r="B759" t="s">
        <v>6264</v>
      </c>
      <c r="C759" t="s">
        <v>21930</v>
      </c>
    </row>
    <row r="760" spans="1:3">
      <c r="A760">
        <v>3161092995</v>
      </c>
      <c r="B760" t="s">
        <v>6260</v>
      </c>
      <c r="C760" t="s">
        <v>21931</v>
      </c>
    </row>
    <row r="761" spans="1:3">
      <c r="A761">
        <v>3161093559</v>
      </c>
      <c r="B761" t="s">
        <v>21877</v>
      </c>
      <c r="C761" t="s">
        <v>21932</v>
      </c>
    </row>
    <row r="762" spans="1:3">
      <c r="A762">
        <v>3161093649</v>
      </c>
      <c r="B762" t="s">
        <v>20540</v>
      </c>
      <c r="C762" t="s">
        <v>20539</v>
      </c>
    </row>
    <row r="763" spans="1:3">
      <c r="A763">
        <v>3161093650</v>
      </c>
      <c r="B763" t="s">
        <v>20538</v>
      </c>
      <c r="C763" t="s">
        <v>20537</v>
      </c>
    </row>
    <row r="764" spans="1:3">
      <c r="A764">
        <v>3161093651</v>
      </c>
      <c r="B764" t="s">
        <v>23858</v>
      </c>
      <c r="C764" t="s">
        <v>21933</v>
      </c>
    </row>
    <row r="765" spans="1:3">
      <c r="A765">
        <v>3161093745</v>
      </c>
      <c r="B765" t="s">
        <v>23859</v>
      </c>
      <c r="C765" t="s">
        <v>20536</v>
      </c>
    </row>
    <row r="766" spans="1:3">
      <c r="A766">
        <v>3161093759</v>
      </c>
      <c r="B766" t="s">
        <v>21934</v>
      </c>
      <c r="C766" t="s">
        <v>21935</v>
      </c>
    </row>
    <row r="767" spans="1:3">
      <c r="A767">
        <v>3161093790</v>
      </c>
      <c r="B767" t="s">
        <v>21839</v>
      </c>
      <c r="C767" t="s">
        <v>20647</v>
      </c>
    </row>
    <row r="768" spans="1:3">
      <c r="A768">
        <v>3161093791</v>
      </c>
      <c r="B768" t="s">
        <v>23860</v>
      </c>
      <c r="C768" t="s">
        <v>21936</v>
      </c>
    </row>
    <row r="769" spans="1:3">
      <c r="A769">
        <v>3161093829</v>
      </c>
      <c r="B769" t="s">
        <v>21877</v>
      </c>
      <c r="C769" t="s">
        <v>21937</v>
      </c>
    </row>
    <row r="770" spans="1:3">
      <c r="A770">
        <v>3161093830</v>
      </c>
      <c r="B770" t="s">
        <v>23861</v>
      </c>
      <c r="C770" t="s">
        <v>21938</v>
      </c>
    </row>
    <row r="771" spans="1:3">
      <c r="A771">
        <v>3161093831</v>
      </c>
      <c r="B771" t="s">
        <v>23862</v>
      </c>
      <c r="C771" t="s">
        <v>21939</v>
      </c>
    </row>
    <row r="772" spans="1:3">
      <c r="A772">
        <v>3161093832</v>
      </c>
      <c r="B772" t="s">
        <v>20535</v>
      </c>
      <c r="C772" t="s">
        <v>20534</v>
      </c>
    </row>
    <row r="773" spans="1:3">
      <c r="A773">
        <v>3161094210</v>
      </c>
      <c r="B773" t="s">
        <v>21940</v>
      </c>
      <c r="C773" t="s">
        <v>21941</v>
      </c>
    </row>
    <row r="774" spans="1:3">
      <c r="A774">
        <v>3161094211</v>
      </c>
      <c r="B774" t="s">
        <v>23863</v>
      </c>
      <c r="C774" t="s">
        <v>21942</v>
      </c>
    </row>
    <row r="775" spans="1:3">
      <c r="A775">
        <v>3161094239</v>
      </c>
      <c r="B775" t="s">
        <v>20546</v>
      </c>
      <c r="C775" t="s">
        <v>20545</v>
      </c>
    </row>
    <row r="776" spans="1:3">
      <c r="A776">
        <v>3161094240</v>
      </c>
      <c r="B776" t="s">
        <v>20552</v>
      </c>
      <c r="C776" t="s">
        <v>20551</v>
      </c>
    </row>
    <row r="777" spans="1:3">
      <c r="A777">
        <v>3161094242</v>
      </c>
      <c r="B777" t="s">
        <v>23109</v>
      </c>
      <c r="C777" t="s">
        <v>21943</v>
      </c>
    </row>
    <row r="778" spans="1:3">
      <c r="A778">
        <v>3161094249</v>
      </c>
      <c r="B778" t="s">
        <v>23864</v>
      </c>
      <c r="C778" t="s">
        <v>20594</v>
      </c>
    </row>
    <row r="779" spans="1:3">
      <c r="A779">
        <v>3161094256</v>
      </c>
      <c r="B779" t="s">
        <v>21944</v>
      </c>
      <c r="C779" t="s">
        <v>20611</v>
      </c>
    </row>
    <row r="780" spans="1:3">
      <c r="A780">
        <v>3161094259</v>
      </c>
      <c r="B780" t="s">
        <v>21702</v>
      </c>
      <c r="C780" t="s">
        <v>20641</v>
      </c>
    </row>
    <row r="781" spans="1:3">
      <c r="A781">
        <v>3161094260</v>
      </c>
      <c r="B781" t="s">
        <v>21806</v>
      </c>
      <c r="C781" t="s">
        <v>21945</v>
      </c>
    </row>
    <row r="782" spans="1:3">
      <c r="A782">
        <v>3161094269</v>
      </c>
      <c r="B782" t="s">
        <v>23865</v>
      </c>
      <c r="C782" t="s">
        <v>20616</v>
      </c>
    </row>
    <row r="783" spans="1:3">
      <c r="A783">
        <v>3161094273</v>
      </c>
      <c r="B783" t="s">
        <v>23866</v>
      </c>
      <c r="C783" t="s">
        <v>20612</v>
      </c>
    </row>
    <row r="784" spans="1:3">
      <c r="A784">
        <v>3161094276</v>
      </c>
      <c r="B784" t="s">
        <v>21702</v>
      </c>
      <c r="C784" t="s">
        <v>21946</v>
      </c>
    </row>
    <row r="785" spans="1:3">
      <c r="A785">
        <v>3161094277</v>
      </c>
      <c r="B785" t="s">
        <v>23110</v>
      </c>
      <c r="C785" t="s">
        <v>21416</v>
      </c>
    </row>
    <row r="786" spans="1:3">
      <c r="A786">
        <v>3161094282</v>
      </c>
      <c r="B786" t="s">
        <v>20593</v>
      </c>
      <c r="C786" t="s">
        <v>20592</v>
      </c>
    </row>
    <row r="787" spans="1:3">
      <c r="A787">
        <v>3161094287</v>
      </c>
      <c r="B787" t="s">
        <v>6295</v>
      </c>
      <c r="C787" t="s">
        <v>21947</v>
      </c>
    </row>
    <row r="788" spans="1:3">
      <c r="A788">
        <v>3161094288</v>
      </c>
      <c r="B788" t="s">
        <v>21702</v>
      </c>
      <c r="C788" t="s">
        <v>21948</v>
      </c>
    </row>
    <row r="789" spans="1:3">
      <c r="A789">
        <v>3161094289</v>
      </c>
      <c r="B789" t="s">
        <v>23111</v>
      </c>
      <c r="C789" t="s">
        <v>20638</v>
      </c>
    </row>
    <row r="790" spans="1:3">
      <c r="A790">
        <v>3161094293</v>
      </c>
      <c r="B790" t="s">
        <v>20596</v>
      </c>
      <c r="C790" t="s">
        <v>20595</v>
      </c>
    </row>
    <row r="791" spans="1:3">
      <c r="A791">
        <v>3161094297</v>
      </c>
      <c r="B791" t="s">
        <v>23867</v>
      </c>
      <c r="C791" t="s">
        <v>21949</v>
      </c>
    </row>
    <row r="792" spans="1:3">
      <c r="A792">
        <v>3161094300</v>
      </c>
      <c r="B792" t="s">
        <v>21702</v>
      </c>
      <c r="C792" t="s">
        <v>21950</v>
      </c>
    </row>
    <row r="793" spans="1:3">
      <c r="A793">
        <v>3161094301</v>
      </c>
      <c r="B793" t="s">
        <v>23112</v>
      </c>
      <c r="C793" t="s">
        <v>21951</v>
      </c>
    </row>
    <row r="794" spans="1:3">
      <c r="A794">
        <v>3161094305</v>
      </c>
      <c r="B794" t="s">
        <v>20598</v>
      </c>
      <c r="C794" t="s">
        <v>20597</v>
      </c>
    </row>
    <row r="795" spans="1:3">
      <c r="A795">
        <v>3161094315</v>
      </c>
      <c r="B795" t="s">
        <v>20544</v>
      </c>
      <c r="C795" t="s">
        <v>20543</v>
      </c>
    </row>
    <row r="796" spans="1:3">
      <c r="A796">
        <v>3161094318</v>
      </c>
      <c r="B796" t="s">
        <v>21702</v>
      </c>
      <c r="C796" t="s">
        <v>21952</v>
      </c>
    </row>
    <row r="797" spans="1:3">
      <c r="A797">
        <v>3161094319</v>
      </c>
      <c r="B797" t="s">
        <v>23113</v>
      </c>
      <c r="C797" t="s">
        <v>21953</v>
      </c>
    </row>
    <row r="798" spans="1:3">
      <c r="A798">
        <v>3161094324</v>
      </c>
      <c r="B798" t="s">
        <v>20600</v>
      </c>
      <c r="C798" t="s">
        <v>20599</v>
      </c>
    </row>
    <row r="799" spans="1:3">
      <c r="A799">
        <v>3161094326</v>
      </c>
      <c r="B799" t="s">
        <v>21644</v>
      </c>
      <c r="C799" t="s">
        <v>21954</v>
      </c>
    </row>
    <row r="800" spans="1:3">
      <c r="A800">
        <v>3161094467</v>
      </c>
      <c r="B800" t="s">
        <v>21787</v>
      </c>
      <c r="C800" t="s">
        <v>21955</v>
      </c>
    </row>
    <row r="801" spans="1:3">
      <c r="A801">
        <v>3161094468</v>
      </c>
      <c r="B801" t="s">
        <v>21839</v>
      </c>
      <c r="C801" t="s">
        <v>21956</v>
      </c>
    </row>
    <row r="802" spans="1:3">
      <c r="A802">
        <v>3161094469</v>
      </c>
      <c r="B802" t="s">
        <v>21842</v>
      </c>
      <c r="C802" t="s">
        <v>21957</v>
      </c>
    </row>
    <row r="803" spans="1:3">
      <c r="A803">
        <v>3161094470</v>
      </c>
      <c r="B803" t="s">
        <v>21840</v>
      </c>
      <c r="C803" t="s">
        <v>21958</v>
      </c>
    </row>
    <row r="804" spans="1:3">
      <c r="A804">
        <v>3161094471</v>
      </c>
      <c r="B804" t="s">
        <v>21767</v>
      </c>
      <c r="C804" t="s">
        <v>21959</v>
      </c>
    </row>
    <row r="805" spans="1:3">
      <c r="A805">
        <v>3161094472</v>
      </c>
      <c r="B805" t="s">
        <v>21822</v>
      </c>
      <c r="C805" t="s">
        <v>21960</v>
      </c>
    </row>
    <row r="806" spans="1:3">
      <c r="A806">
        <v>3161094473</v>
      </c>
      <c r="B806" t="s">
        <v>20548</v>
      </c>
      <c r="C806" t="s">
        <v>20547</v>
      </c>
    </row>
    <row r="807" spans="1:3">
      <c r="A807">
        <v>3161094474</v>
      </c>
      <c r="B807" t="s">
        <v>20531</v>
      </c>
      <c r="C807" t="s">
        <v>20530</v>
      </c>
    </row>
    <row r="808" spans="1:3">
      <c r="A808">
        <v>3161094492</v>
      </c>
      <c r="B808" t="s">
        <v>21961</v>
      </c>
      <c r="C808" t="s">
        <v>21962</v>
      </c>
    </row>
    <row r="809" spans="1:3">
      <c r="A809">
        <v>3161094494</v>
      </c>
      <c r="B809" t="s">
        <v>21963</v>
      </c>
      <c r="C809" t="s">
        <v>21964</v>
      </c>
    </row>
    <row r="810" spans="1:3">
      <c r="A810">
        <v>3161094495</v>
      </c>
      <c r="B810" t="s">
        <v>21944</v>
      </c>
      <c r="C810" t="s">
        <v>21965</v>
      </c>
    </row>
    <row r="811" spans="1:3">
      <c r="A811">
        <v>3161094496</v>
      </c>
      <c r="B811" t="s">
        <v>23868</v>
      </c>
      <c r="C811" t="s">
        <v>21966</v>
      </c>
    </row>
    <row r="812" spans="1:3">
      <c r="A812">
        <v>3161094497</v>
      </c>
      <c r="B812" t="s">
        <v>21967</v>
      </c>
      <c r="C812" t="s">
        <v>21968</v>
      </c>
    </row>
    <row r="813" spans="1:3">
      <c r="A813">
        <v>3161094498</v>
      </c>
      <c r="B813" t="s">
        <v>21969</v>
      </c>
      <c r="C813" t="s">
        <v>21970</v>
      </c>
    </row>
    <row r="814" spans="1:3">
      <c r="A814">
        <v>3161094499</v>
      </c>
      <c r="B814" t="s">
        <v>23869</v>
      </c>
      <c r="C814" t="s">
        <v>21971</v>
      </c>
    </row>
    <row r="815" spans="1:3">
      <c r="A815">
        <v>3161094500</v>
      </c>
      <c r="B815" t="s">
        <v>21972</v>
      </c>
      <c r="C815" t="s">
        <v>21973</v>
      </c>
    </row>
    <row r="816" spans="1:3">
      <c r="A816">
        <v>3161094501</v>
      </c>
      <c r="B816" t="s">
        <v>21974</v>
      </c>
      <c r="C816" t="s">
        <v>20661</v>
      </c>
    </row>
    <row r="817" spans="1:3">
      <c r="A817">
        <v>3161094502</v>
      </c>
      <c r="B817" t="s">
        <v>23870</v>
      </c>
      <c r="C817" t="s">
        <v>20662</v>
      </c>
    </row>
    <row r="818" spans="1:3">
      <c r="A818">
        <v>3161095105</v>
      </c>
      <c r="B818" t="s">
        <v>21976</v>
      </c>
      <c r="C818" t="s">
        <v>21977</v>
      </c>
    </row>
    <row r="819" spans="1:3">
      <c r="A819">
        <v>3161095109</v>
      </c>
      <c r="B819" t="s">
        <v>21978</v>
      </c>
      <c r="C819" t="s">
        <v>21979</v>
      </c>
    </row>
    <row r="820" spans="1:3">
      <c r="A820">
        <v>3161095110</v>
      </c>
      <c r="B820" t="s">
        <v>23871</v>
      </c>
      <c r="C820" t="s">
        <v>20609</v>
      </c>
    </row>
    <row r="821" spans="1:3">
      <c r="A821">
        <v>3161095111</v>
      </c>
      <c r="B821" t="s">
        <v>23872</v>
      </c>
      <c r="C821" t="s">
        <v>20610</v>
      </c>
    </row>
    <row r="822" spans="1:3">
      <c r="A822">
        <v>3161095114</v>
      </c>
      <c r="B822" t="s">
        <v>21980</v>
      </c>
      <c r="C822" t="s">
        <v>21981</v>
      </c>
    </row>
    <row r="823" spans="1:3">
      <c r="A823">
        <v>3161095115</v>
      </c>
      <c r="B823" t="s">
        <v>21982</v>
      </c>
      <c r="C823" t="s">
        <v>20997</v>
      </c>
    </row>
    <row r="824" spans="1:3">
      <c r="A824">
        <v>3161095116</v>
      </c>
      <c r="B824" t="s">
        <v>21983</v>
      </c>
      <c r="C824" t="s">
        <v>21984</v>
      </c>
    </row>
    <row r="825" spans="1:3">
      <c r="A825">
        <v>3161095117</v>
      </c>
      <c r="B825" t="s">
        <v>21985</v>
      </c>
      <c r="C825" t="s">
        <v>21986</v>
      </c>
    </row>
    <row r="826" spans="1:3">
      <c r="A826">
        <v>3161095120</v>
      </c>
      <c r="B826" t="s">
        <v>20542</v>
      </c>
      <c r="C826" t="s">
        <v>20541</v>
      </c>
    </row>
    <row r="827" spans="1:3">
      <c r="A827">
        <v>3161095160</v>
      </c>
      <c r="B827" t="s">
        <v>21852</v>
      </c>
      <c r="C827" t="s">
        <v>21987</v>
      </c>
    </row>
    <row r="828" spans="1:3">
      <c r="A828">
        <v>3161095161</v>
      </c>
      <c r="B828" t="s">
        <v>21702</v>
      </c>
      <c r="C828" t="s">
        <v>21988</v>
      </c>
    </row>
    <row r="829" spans="1:3">
      <c r="A829">
        <v>3161095163</v>
      </c>
      <c r="B829" t="s">
        <v>21840</v>
      </c>
      <c r="C829" t="s">
        <v>21989</v>
      </c>
    </row>
    <row r="830" spans="1:3">
      <c r="A830">
        <v>3161095164</v>
      </c>
      <c r="B830" t="s">
        <v>21842</v>
      </c>
      <c r="C830" t="s">
        <v>21990</v>
      </c>
    </row>
    <row r="831" spans="1:3">
      <c r="A831">
        <v>3161095170</v>
      </c>
      <c r="B831" t="s">
        <v>20591</v>
      </c>
      <c r="C831" t="s">
        <v>20590</v>
      </c>
    </row>
    <row r="832" spans="1:3">
      <c r="A832">
        <v>3161095172</v>
      </c>
      <c r="B832" t="s">
        <v>21852</v>
      </c>
      <c r="C832" t="s">
        <v>20646</v>
      </c>
    </row>
    <row r="833" spans="1:3">
      <c r="A833">
        <v>3161095188</v>
      </c>
      <c r="B833" t="s">
        <v>21840</v>
      </c>
      <c r="C833" t="s">
        <v>21991</v>
      </c>
    </row>
    <row r="834" spans="1:3">
      <c r="A834">
        <v>3161095195</v>
      </c>
      <c r="B834" t="s">
        <v>23873</v>
      </c>
      <c r="C834" t="s">
        <v>20615</v>
      </c>
    </row>
    <row r="835" spans="1:3">
      <c r="A835">
        <v>3161095208</v>
      </c>
      <c r="B835" t="s">
        <v>21787</v>
      </c>
      <c r="C835" t="s">
        <v>21992</v>
      </c>
    </row>
    <row r="836" spans="1:3">
      <c r="A836">
        <v>3161095211</v>
      </c>
      <c r="B836" t="s">
        <v>21874</v>
      </c>
      <c r="C836" t="s">
        <v>21993</v>
      </c>
    </row>
    <row r="837" spans="1:3">
      <c r="A837">
        <v>3161095212</v>
      </c>
      <c r="B837" t="s">
        <v>23247</v>
      </c>
      <c r="C837" t="s">
        <v>21994</v>
      </c>
    </row>
    <row r="838" spans="1:3">
      <c r="A838">
        <v>3161095215</v>
      </c>
      <c r="B838" t="s">
        <v>21840</v>
      </c>
      <c r="C838" t="s">
        <v>21995</v>
      </c>
    </row>
    <row r="839" spans="1:3">
      <c r="A839">
        <v>3161095216</v>
      </c>
      <c r="B839" t="s">
        <v>21842</v>
      </c>
      <c r="C839" t="s">
        <v>21996</v>
      </c>
    </row>
    <row r="840" spans="1:3">
      <c r="A840">
        <v>3161095217</v>
      </c>
      <c r="B840" t="s">
        <v>21839</v>
      </c>
      <c r="C840" t="s">
        <v>21997</v>
      </c>
    </row>
    <row r="841" spans="1:3">
      <c r="A841">
        <v>3161095223</v>
      </c>
      <c r="B841" t="s">
        <v>21631</v>
      </c>
      <c r="C841" t="s">
        <v>21998</v>
      </c>
    </row>
    <row r="842" spans="1:3">
      <c r="A842">
        <v>3161095225</v>
      </c>
      <c r="B842" t="s">
        <v>21874</v>
      </c>
      <c r="C842" t="s">
        <v>21999</v>
      </c>
    </row>
    <row r="843" spans="1:3">
      <c r="A843">
        <v>3161095226</v>
      </c>
      <c r="B843" t="s">
        <v>21631</v>
      </c>
      <c r="C843" t="s">
        <v>22000</v>
      </c>
    </row>
    <row r="844" spans="1:3">
      <c r="A844">
        <v>3161095227</v>
      </c>
      <c r="B844" t="s">
        <v>21631</v>
      </c>
      <c r="C844" t="s">
        <v>22001</v>
      </c>
    </row>
    <row r="845" spans="1:3">
      <c r="A845">
        <v>3161095234</v>
      </c>
      <c r="B845" t="s">
        <v>21877</v>
      </c>
      <c r="C845" t="s">
        <v>22002</v>
      </c>
    </row>
    <row r="846" spans="1:3">
      <c r="A846">
        <v>3161095236</v>
      </c>
      <c r="B846" t="s">
        <v>21874</v>
      </c>
      <c r="C846" t="s">
        <v>22003</v>
      </c>
    </row>
    <row r="847" spans="1:3">
      <c r="A847">
        <v>3161095237</v>
      </c>
      <c r="B847" t="s">
        <v>21631</v>
      </c>
      <c r="C847" t="s">
        <v>22004</v>
      </c>
    </row>
    <row r="848" spans="1:3">
      <c r="A848">
        <v>3161095239</v>
      </c>
      <c r="B848" t="s">
        <v>21840</v>
      </c>
      <c r="C848" t="s">
        <v>22005</v>
      </c>
    </row>
    <row r="849" spans="1:3">
      <c r="A849">
        <v>3161095240</v>
      </c>
      <c r="B849" t="s">
        <v>21842</v>
      </c>
      <c r="C849" t="s">
        <v>22006</v>
      </c>
    </row>
    <row r="850" spans="1:3">
      <c r="A850">
        <v>3161095241</v>
      </c>
      <c r="B850" t="s">
        <v>21839</v>
      </c>
      <c r="C850" t="s">
        <v>22007</v>
      </c>
    </row>
    <row r="851" spans="1:3">
      <c r="A851">
        <v>3161095242</v>
      </c>
      <c r="B851" t="s">
        <v>23874</v>
      </c>
      <c r="C851" t="s">
        <v>22008</v>
      </c>
    </row>
    <row r="852" spans="1:3">
      <c r="A852">
        <v>3161095248</v>
      </c>
      <c r="B852" t="s">
        <v>21631</v>
      </c>
      <c r="C852" t="s">
        <v>22009</v>
      </c>
    </row>
    <row r="853" spans="1:3">
      <c r="A853">
        <v>3161095249</v>
      </c>
      <c r="B853" t="s">
        <v>23875</v>
      </c>
      <c r="C853" t="s">
        <v>22010</v>
      </c>
    </row>
    <row r="854" spans="1:3">
      <c r="A854">
        <v>3161095272</v>
      </c>
      <c r="B854" t="s">
        <v>22011</v>
      </c>
      <c r="C854" t="s">
        <v>22012</v>
      </c>
    </row>
    <row r="855" spans="1:3">
      <c r="A855">
        <v>3161095273</v>
      </c>
      <c r="B855" t="s">
        <v>22011</v>
      </c>
      <c r="C855" t="s">
        <v>22013</v>
      </c>
    </row>
    <row r="856" spans="1:3">
      <c r="A856">
        <v>3161095274</v>
      </c>
      <c r="B856" t="s">
        <v>22011</v>
      </c>
      <c r="C856" t="s">
        <v>22014</v>
      </c>
    </row>
    <row r="857" spans="1:3">
      <c r="A857">
        <v>3161095330</v>
      </c>
      <c r="B857" t="s">
        <v>20645</v>
      </c>
      <c r="C857" t="s">
        <v>20644</v>
      </c>
    </row>
    <row r="858" spans="1:3">
      <c r="A858">
        <v>3161095331</v>
      </c>
      <c r="B858" t="s">
        <v>20643</v>
      </c>
      <c r="C858" t="s">
        <v>20642</v>
      </c>
    </row>
    <row r="859" spans="1:3">
      <c r="A859">
        <v>3161095337</v>
      </c>
      <c r="B859" t="s">
        <v>21236</v>
      </c>
      <c r="C859" t="s">
        <v>21237</v>
      </c>
    </row>
    <row r="860" spans="1:3">
      <c r="A860">
        <v>3161095372</v>
      </c>
      <c r="B860" t="s">
        <v>23876</v>
      </c>
      <c r="C860" t="s">
        <v>22015</v>
      </c>
    </row>
    <row r="861" spans="1:3">
      <c r="A861">
        <v>3161095839</v>
      </c>
      <c r="B861" t="s">
        <v>22016</v>
      </c>
      <c r="C861" t="s">
        <v>22017</v>
      </c>
    </row>
    <row r="862" spans="1:3">
      <c r="A862">
        <v>3161095947</v>
      </c>
      <c r="B862" t="s">
        <v>21842</v>
      </c>
      <c r="C862" t="s">
        <v>22018</v>
      </c>
    </row>
    <row r="863" spans="1:3">
      <c r="A863">
        <v>3161095968</v>
      </c>
      <c r="B863" t="s">
        <v>23114</v>
      </c>
      <c r="C863" t="s">
        <v>22019</v>
      </c>
    </row>
    <row r="864" spans="1:3">
      <c r="A864">
        <v>3161097859</v>
      </c>
      <c r="B864" t="s">
        <v>20614</v>
      </c>
      <c r="C864" t="s">
        <v>20613</v>
      </c>
    </row>
    <row r="865" spans="1:3">
      <c r="A865">
        <v>3161097863</v>
      </c>
      <c r="B865" t="s">
        <v>20618</v>
      </c>
      <c r="C865" t="s">
        <v>20617</v>
      </c>
    </row>
    <row r="866" spans="1:3">
      <c r="A866">
        <v>3161098516</v>
      </c>
      <c r="B866" t="s">
        <v>20941</v>
      </c>
      <c r="C866" t="s">
        <v>20940</v>
      </c>
    </row>
    <row r="867" spans="1:3">
      <c r="A867">
        <v>3161098599</v>
      </c>
      <c r="B867" t="s">
        <v>20521</v>
      </c>
      <c r="C867" t="s">
        <v>20520</v>
      </c>
    </row>
    <row r="868" spans="1:3">
      <c r="A868">
        <v>3161098600</v>
      </c>
      <c r="B868" t="s">
        <v>20523</v>
      </c>
      <c r="C868" t="s">
        <v>20522</v>
      </c>
    </row>
    <row r="869" spans="1:3">
      <c r="A869">
        <v>3161098601</v>
      </c>
      <c r="B869" t="s">
        <v>20519</v>
      </c>
      <c r="C869" t="s">
        <v>20518</v>
      </c>
    </row>
    <row r="870" spans="1:3">
      <c r="A870">
        <v>3161099032</v>
      </c>
      <c r="B870" t="s">
        <v>20667</v>
      </c>
      <c r="C870" t="s">
        <v>20666</v>
      </c>
    </row>
    <row r="871" spans="1:3">
      <c r="A871">
        <v>3161099622</v>
      </c>
      <c r="B871" t="s">
        <v>22020</v>
      </c>
      <c r="C871" t="s">
        <v>22021</v>
      </c>
    </row>
    <row r="872" spans="1:3">
      <c r="A872">
        <v>3161099636</v>
      </c>
      <c r="B872" t="s">
        <v>22022</v>
      </c>
      <c r="C872" t="s">
        <v>22023</v>
      </c>
    </row>
    <row r="873" spans="1:3">
      <c r="A873">
        <v>3161099637</v>
      </c>
      <c r="B873" t="s">
        <v>21576</v>
      </c>
      <c r="C873" t="s">
        <v>22024</v>
      </c>
    </row>
    <row r="874" spans="1:3">
      <c r="A874">
        <v>3161099655</v>
      </c>
      <c r="B874" t="s">
        <v>22025</v>
      </c>
      <c r="C874" t="s">
        <v>22026</v>
      </c>
    </row>
    <row r="875" spans="1:3">
      <c r="A875">
        <v>3161099659</v>
      </c>
      <c r="B875" t="s">
        <v>22027</v>
      </c>
      <c r="C875" t="s">
        <v>22028</v>
      </c>
    </row>
    <row r="876" spans="1:3">
      <c r="A876">
        <v>3161099669</v>
      </c>
      <c r="B876" t="s">
        <v>20632</v>
      </c>
      <c r="C876" t="s">
        <v>20631</v>
      </c>
    </row>
    <row r="877" spans="1:3">
      <c r="A877">
        <v>3161099734</v>
      </c>
      <c r="B877" t="s">
        <v>21310</v>
      </c>
      <c r="C877" t="s">
        <v>21311</v>
      </c>
    </row>
    <row r="878" spans="1:3">
      <c r="A878">
        <v>3161099735</v>
      </c>
      <c r="B878" t="s">
        <v>21312</v>
      </c>
      <c r="C878" t="s">
        <v>21313</v>
      </c>
    </row>
    <row r="879" spans="1:3">
      <c r="A879">
        <v>3161099736</v>
      </c>
      <c r="B879" t="s">
        <v>21314</v>
      </c>
      <c r="C879" t="s">
        <v>21315</v>
      </c>
    </row>
    <row r="880" spans="1:3">
      <c r="A880">
        <v>3161099737</v>
      </c>
      <c r="B880" t="s">
        <v>21493</v>
      </c>
      <c r="C880" t="s">
        <v>21316</v>
      </c>
    </row>
    <row r="881" spans="1:3">
      <c r="A881">
        <v>3161099738</v>
      </c>
      <c r="B881" t="s">
        <v>21317</v>
      </c>
      <c r="C881" t="s">
        <v>21318</v>
      </c>
    </row>
    <row r="882" spans="1:3">
      <c r="A882">
        <v>3161099849</v>
      </c>
      <c r="B882" t="s">
        <v>22668</v>
      </c>
      <c r="C882" t="s">
        <v>22669</v>
      </c>
    </row>
    <row r="883" spans="1:3">
      <c r="A883">
        <v>3161099850</v>
      </c>
      <c r="B883" t="s">
        <v>22670</v>
      </c>
      <c r="C883" t="s">
        <v>22671</v>
      </c>
    </row>
    <row r="884" spans="1:3">
      <c r="A884">
        <v>3161099851</v>
      </c>
      <c r="B884" t="s">
        <v>24091</v>
      </c>
      <c r="C884" t="s">
        <v>22672</v>
      </c>
    </row>
    <row r="885" spans="1:3">
      <c r="A885">
        <v>3161099904</v>
      </c>
      <c r="B885" t="s">
        <v>22969</v>
      </c>
      <c r="C885" t="s">
        <v>22673</v>
      </c>
    </row>
    <row r="886" spans="1:3">
      <c r="A886">
        <v>3161099905</v>
      </c>
      <c r="B886" t="s">
        <v>22674</v>
      </c>
      <c r="C886" t="s">
        <v>22675</v>
      </c>
    </row>
    <row r="887" spans="1:3">
      <c r="A887">
        <v>3161099974</v>
      </c>
      <c r="B887" t="s">
        <v>6260</v>
      </c>
      <c r="C887" t="s">
        <v>22029</v>
      </c>
    </row>
    <row r="888" spans="1:3">
      <c r="A888">
        <v>3201019615</v>
      </c>
      <c r="B888" t="s">
        <v>22030</v>
      </c>
      <c r="C888" t="s">
        <v>22031</v>
      </c>
    </row>
    <row r="889" spans="1:3">
      <c r="A889">
        <v>3301023945</v>
      </c>
      <c r="B889" t="s">
        <v>23877</v>
      </c>
      <c r="C889" t="s">
        <v>23878</v>
      </c>
    </row>
    <row r="890" spans="1:3">
      <c r="A890">
        <v>3301069930</v>
      </c>
      <c r="B890" t="s">
        <v>22970</v>
      </c>
      <c r="C890" t="s">
        <v>22971</v>
      </c>
    </row>
    <row r="891" spans="1:3">
      <c r="A891">
        <v>3301071152</v>
      </c>
      <c r="B891" t="s">
        <v>23248</v>
      </c>
      <c r="C891" t="s">
        <v>23249</v>
      </c>
    </row>
    <row r="892" spans="1:3">
      <c r="A892">
        <v>3301071313</v>
      </c>
      <c r="B892" t="s">
        <v>24092</v>
      </c>
      <c r="C892" t="s">
        <v>24093</v>
      </c>
    </row>
    <row r="893" spans="1:3">
      <c r="A893">
        <v>3301071384</v>
      </c>
      <c r="B893" t="s">
        <v>24390</v>
      </c>
      <c r="C893" t="s">
        <v>24391</v>
      </c>
    </row>
    <row r="894" spans="1:3">
      <c r="A894">
        <v>3301071385</v>
      </c>
      <c r="B894" t="s">
        <v>25126</v>
      </c>
      <c r="C894" t="s">
        <v>25127</v>
      </c>
    </row>
    <row r="895" spans="1:3">
      <c r="A895">
        <v>3301071387</v>
      </c>
      <c r="B895" t="s">
        <v>25128</v>
      </c>
      <c r="C895" t="s">
        <v>25129</v>
      </c>
    </row>
    <row r="896" spans="1:3">
      <c r="A896">
        <v>3301071388</v>
      </c>
      <c r="B896" t="s">
        <v>25130</v>
      </c>
      <c r="C896" t="s">
        <v>25131</v>
      </c>
    </row>
    <row r="897" spans="1:3">
      <c r="A897">
        <v>3301071389</v>
      </c>
      <c r="B897" t="s">
        <v>25132</v>
      </c>
      <c r="C897" t="s">
        <v>25133</v>
      </c>
    </row>
    <row r="898" spans="1:3">
      <c r="A898">
        <v>3301071392</v>
      </c>
      <c r="B898" t="s">
        <v>25134</v>
      </c>
      <c r="C898" t="s">
        <v>25135</v>
      </c>
    </row>
    <row r="899" spans="1:3">
      <c r="A899">
        <v>3301071393</v>
      </c>
      <c r="B899" t="s">
        <v>25136</v>
      </c>
      <c r="C899" t="s">
        <v>25137</v>
      </c>
    </row>
    <row r="900" spans="1:3">
      <c r="A900">
        <v>3301071395</v>
      </c>
      <c r="B900" t="s">
        <v>25138</v>
      </c>
      <c r="C900" t="s">
        <v>25139</v>
      </c>
    </row>
    <row r="901" spans="1:3">
      <c r="A901">
        <v>3301071397</v>
      </c>
      <c r="B901" t="s">
        <v>25140</v>
      </c>
      <c r="C901" t="s">
        <v>25141</v>
      </c>
    </row>
    <row r="902" spans="1:3">
      <c r="A902">
        <v>3301071399</v>
      </c>
      <c r="B902" t="s">
        <v>25142</v>
      </c>
      <c r="C902" t="s">
        <v>25143</v>
      </c>
    </row>
    <row r="903" spans="1:3">
      <c r="A903">
        <v>3301071400</v>
      </c>
      <c r="B903" t="s">
        <v>25144</v>
      </c>
      <c r="C903" t="s">
        <v>25145</v>
      </c>
    </row>
    <row r="904" spans="1:3">
      <c r="A904">
        <v>3301071401</v>
      </c>
      <c r="B904" t="s">
        <v>25146</v>
      </c>
      <c r="C904" t="s">
        <v>25147</v>
      </c>
    </row>
    <row r="905" spans="1:3">
      <c r="A905">
        <v>3301071402</v>
      </c>
      <c r="B905" t="s">
        <v>25148</v>
      </c>
      <c r="C905" t="s">
        <v>25149</v>
      </c>
    </row>
    <row r="906" spans="1:3">
      <c r="A906">
        <v>3301071404</v>
      </c>
      <c r="B906" t="s">
        <v>25150</v>
      </c>
      <c r="C906" t="s">
        <v>25151</v>
      </c>
    </row>
    <row r="907" spans="1:3">
      <c r="A907">
        <v>3301071405</v>
      </c>
      <c r="B907" t="s">
        <v>25152</v>
      </c>
      <c r="C907" t="s">
        <v>25153</v>
      </c>
    </row>
    <row r="908" spans="1:3">
      <c r="A908">
        <v>3301072154</v>
      </c>
      <c r="B908" t="s">
        <v>22032</v>
      </c>
      <c r="C908" t="s">
        <v>22033</v>
      </c>
    </row>
    <row r="909" spans="1:3">
      <c r="A909">
        <v>3301072173</v>
      </c>
      <c r="B909" t="s">
        <v>22034</v>
      </c>
      <c r="C909" t="s">
        <v>22035</v>
      </c>
    </row>
    <row r="910" spans="1:3">
      <c r="A910">
        <v>3301072174</v>
      </c>
      <c r="B910" t="s">
        <v>22036</v>
      </c>
      <c r="C910" t="s">
        <v>22037</v>
      </c>
    </row>
    <row r="911" spans="1:3">
      <c r="A911">
        <v>3301072175</v>
      </c>
      <c r="B911" t="s">
        <v>22038</v>
      </c>
      <c r="C911" t="s">
        <v>22039</v>
      </c>
    </row>
    <row r="912" spans="1:3">
      <c r="A912">
        <v>3301072176</v>
      </c>
      <c r="B912" t="s">
        <v>22040</v>
      </c>
      <c r="C912" t="s">
        <v>22041</v>
      </c>
    </row>
    <row r="913" spans="1:3">
      <c r="A913">
        <v>3301072177</v>
      </c>
      <c r="B913" t="s">
        <v>22042</v>
      </c>
      <c r="C913" t="s">
        <v>22043</v>
      </c>
    </row>
    <row r="914" spans="1:3">
      <c r="A914">
        <v>3301072178</v>
      </c>
      <c r="B914" t="s">
        <v>22044</v>
      </c>
      <c r="C914" t="s">
        <v>22045</v>
      </c>
    </row>
    <row r="915" spans="1:3">
      <c r="A915">
        <v>3301072179</v>
      </c>
      <c r="B915" t="s">
        <v>22046</v>
      </c>
      <c r="C915" t="s">
        <v>22047</v>
      </c>
    </row>
    <row r="916" spans="1:3">
      <c r="A916">
        <v>3301072181</v>
      </c>
      <c r="B916" t="s">
        <v>22048</v>
      </c>
      <c r="C916" t="s">
        <v>22049</v>
      </c>
    </row>
    <row r="917" spans="1:3">
      <c r="A917">
        <v>3301072182</v>
      </c>
      <c r="B917" t="s">
        <v>22050</v>
      </c>
      <c r="C917" t="s">
        <v>22051</v>
      </c>
    </row>
    <row r="918" spans="1:3">
      <c r="A918">
        <v>3301072183</v>
      </c>
      <c r="B918" t="s">
        <v>22052</v>
      </c>
      <c r="C918" t="s">
        <v>22053</v>
      </c>
    </row>
    <row r="919" spans="1:3">
      <c r="A919">
        <v>3301072184</v>
      </c>
      <c r="B919" t="s">
        <v>22054</v>
      </c>
      <c r="C919" t="s">
        <v>22055</v>
      </c>
    </row>
    <row r="920" spans="1:3">
      <c r="A920">
        <v>3301072185</v>
      </c>
      <c r="B920" t="s">
        <v>22056</v>
      </c>
      <c r="C920" t="s">
        <v>22057</v>
      </c>
    </row>
    <row r="921" spans="1:3">
      <c r="A921">
        <v>3301072186</v>
      </c>
      <c r="B921" t="s">
        <v>22058</v>
      </c>
      <c r="C921" t="s">
        <v>22059</v>
      </c>
    </row>
    <row r="922" spans="1:3">
      <c r="A922">
        <v>3301072187</v>
      </c>
      <c r="B922" t="s">
        <v>22060</v>
      </c>
      <c r="C922" t="s">
        <v>22061</v>
      </c>
    </row>
    <row r="923" spans="1:3">
      <c r="A923">
        <v>3301072188</v>
      </c>
      <c r="B923" t="s">
        <v>22062</v>
      </c>
      <c r="C923" t="s">
        <v>22063</v>
      </c>
    </row>
    <row r="924" spans="1:3">
      <c r="A924">
        <v>3301072189</v>
      </c>
      <c r="B924" t="s">
        <v>22064</v>
      </c>
      <c r="C924" t="s">
        <v>22065</v>
      </c>
    </row>
    <row r="925" spans="1:3">
      <c r="A925">
        <v>3301072190</v>
      </c>
      <c r="B925" t="s">
        <v>22066</v>
      </c>
      <c r="C925" t="s">
        <v>22067</v>
      </c>
    </row>
    <row r="926" spans="1:3">
      <c r="A926">
        <v>3301072191</v>
      </c>
      <c r="B926" t="s">
        <v>22068</v>
      </c>
      <c r="C926" t="s">
        <v>22069</v>
      </c>
    </row>
    <row r="927" spans="1:3">
      <c r="A927">
        <v>3301072192</v>
      </c>
      <c r="B927" t="s">
        <v>22070</v>
      </c>
      <c r="C927" t="s">
        <v>22071</v>
      </c>
    </row>
    <row r="928" spans="1:3">
      <c r="A928">
        <v>3301072193</v>
      </c>
      <c r="B928" t="s">
        <v>22072</v>
      </c>
      <c r="C928" t="s">
        <v>22073</v>
      </c>
    </row>
    <row r="929" spans="1:3">
      <c r="A929">
        <v>3301072194</v>
      </c>
      <c r="B929" t="s">
        <v>22074</v>
      </c>
      <c r="C929" t="s">
        <v>22075</v>
      </c>
    </row>
    <row r="930" spans="1:3">
      <c r="A930">
        <v>3301072195</v>
      </c>
      <c r="B930" t="s">
        <v>22076</v>
      </c>
      <c r="C930" t="s">
        <v>22077</v>
      </c>
    </row>
    <row r="931" spans="1:3">
      <c r="A931">
        <v>3301072196</v>
      </c>
      <c r="B931" t="s">
        <v>22078</v>
      </c>
      <c r="C931" t="s">
        <v>22079</v>
      </c>
    </row>
    <row r="932" spans="1:3">
      <c r="A932">
        <v>3301072210</v>
      </c>
      <c r="B932" t="s">
        <v>6264</v>
      </c>
      <c r="C932" t="s">
        <v>22080</v>
      </c>
    </row>
    <row r="933" spans="1:3">
      <c r="A933">
        <v>3301072218</v>
      </c>
      <c r="B933" t="s">
        <v>22081</v>
      </c>
      <c r="C933" t="s">
        <v>21048</v>
      </c>
    </row>
    <row r="934" spans="1:3">
      <c r="A934">
        <v>3301072338</v>
      </c>
      <c r="B934" t="s">
        <v>20571</v>
      </c>
      <c r="C934" t="s">
        <v>20573</v>
      </c>
    </row>
    <row r="935" spans="1:3">
      <c r="A935">
        <v>3301072339</v>
      </c>
      <c r="B935" t="s">
        <v>20571</v>
      </c>
      <c r="C935" t="s">
        <v>20572</v>
      </c>
    </row>
    <row r="936" spans="1:3">
      <c r="A936">
        <v>3301072340</v>
      </c>
      <c r="B936" t="s">
        <v>20571</v>
      </c>
      <c r="C936" t="s">
        <v>20570</v>
      </c>
    </row>
    <row r="937" spans="1:3">
      <c r="A937">
        <v>3301072341</v>
      </c>
      <c r="B937" t="s">
        <v>20587</v>
      </c>
      <c r="C937" t="s">
        <v>20589</v>
      </c>
    </row>
    <row r="938" spans="1:3">
      <c r="A938">
        <v>3301072342</v>
      </c>
      <c r="B938" t="s">
        <v>20587</v>
      </c>
      <c r="C938" t="s">
        <v>20588</v>
      </c>
    </row>
    <row r="939" spans="1:3">
      <c r="A939">
        <v>3301072343</v>
      </c>
      <c r="B939" t="s">
        <v>20587</v>
      </c>
      <c r="C939" t="s">
        <v>20586</v>
      </c>
    </row>
    <row r="940" spans="1:3">
      <c r="A940">
        <v>3301072344</v>
      </c>
      <c r="B940" t="s">
        <v>20583</v>
      </c>
      <c r="C940" t="s">
        <v>20585</v>
      </c>
    </row>
    <row r="941" spans="1:3">
      <c r="A941">
        <v>3301072345</v>
      </c>
      <c r="B941" t="s">
        <v>20583</v>
      </c>
      <c r="C941" t="s">
        <v>20584</v>
      </c>
    </row>
    <row r="942" spans="1:3">
      <c r="A942">
        <v>3301072346</v>
      </c>
      <c r="B942" t="s">
        <v>20583</v>
      </c>
      <c r="C942" t="s">
        <v>20582</v>
      </c>
    </row>
    <row r="943" spans="1:3">
      <c r="A943">
        <v>3301072347</v>
      </c>
      <c r="B943" t="s">
        <v>22082</v>
      </c>
      <c r="C943" t="s">
        <v>22083</v>
      </c>
    </row>
    <row r="944" spans="1:3">
      <c r="A944">
        <v>3301072348</v>
      </c>
      <c r="B944" t="s">
        <v>22082</v>
      </c>
      <c r="C944" t="s">
        <v>22084</v>
      </c>
    </row>
    <row r="945" spans="1:3">
      <c r="A945">
        <v>3301072349</v>
      </c>
      <c r="B945" t="s">
        <v>22082</v>
      </c>
      <c r="C945" t="s">
        <v>22085</v>
      </c>
    </row>
    <row r="946" spans="1:3">
      <c r="A946">
        <v>3301072350</v>
      </c>
      <c r="B946" t="s">
        <v>22082</v>
      </c>
      <c r="C946" t="s">
        <v>22086</v>
      </c>
    </row>
    <row r="947" spans="1:3">
      <c r="A947">
        <v>3301072351</v>
      </c>
      <c r="B947" t="s">
        <v>22082</v>
      </c>
      <c r="C947" t="s">
        <v>22087</v>
      </c>
    </row>
    <row r="948" spans="1:3">
      <c r="A948">
        <v>3301072352</v>
      </c>
      <c r="B948" t="s">
        <v>22082</v>
      </c>
      <c r="C948" t="s">
        <v>22088</v>
      </c>
    </row>
    <row r="949" spans="1:3">
      <c r="A949">
        <v>3301072353</v>
      </c>
      <c r="B949" t="s">
        <v>22082</v>
      </c>
      <c r="C949" t="s">
        <v>22089</v>
      </c>
    </row>
    <row r="950" spans="1:3">
      <c r="A950">
        <v>3301072354</v>
      </c>
      <c r="B950" t="s">
        <v>22082</v>
      </c>
      <c r="C950" t="s">
        <v>22090</v>
      </c>
    </row>
    <row r="951" spans="1:3">
      <c r="A951">
        <v>3301072355</v>
      </c>
      <c r="B951" t="s">
        <v>22082</v>
      </c>
      <c r="C951" t="s">
        <v>22091</v>
      </c>
    </row>
    <row r="952" spans="1:3">
      <c r="A952">
        <v>3301072356</v>
      </c>
      <c r="B952" t="s">
        <v>22092</v>
      </c>
      <c r="C952" t="s">
        <v>22093</v>
      </c>
    </row>
    <row r="953" spans="1:3">
      <c r="A953">
        <v>3301072357</v>
      </c>
      <c r="B953" t="s">
        <v>22092</v>
      </c>
      <c r="C953" t="s">
        <v>22094</v>
      </c>
    </row>
    <row r="954" spans="1:3">
      <c r="A954">
        <v>3301072358</v>
      </c>
      <c r="B954" t="s">
        <v>22092</v>
      </c>
      <c r="C954" t="s">
        <v>22095</v>
      </c>
    </row>
    <row r="955" spans="1:3">
      <c r="A955">
        <v>3301072426</v>
      </c>
      <c r="B955" t="s">
        <v>22096</v>
      </c>
      <c r="C955" t="s">
        <v>22097</v>
      </c>
    </row>
    <row r="956" spans="1:3">
      <c r="A956">
        <v>3301072443</v>
      </c>
      <c r="B956" t="s">
        <v>22098</v>
      </c>
      <c r="C956" t="s">
        <v>22099</v>
      </c>
    </row>
    <row r="957" spans="1:3">
      <c r="A957">
        <v>3301072444</v>
      </c>
      <c r="B957" t="s">
        <v>22098</v>
      </c>
      <c r="C957" t="s">
        <v>22100</v>
      </c>
    </row>
    <row r="958" spans="1:3">
      <c r="A958">
        <v>3301072445</v>
      </c>
      <c r="B958" t="s">
        <v>22098</v>
      </c>
      <c r="C958" t="s">
        <v>22101</v>
      </c>
    </row>
    <row r="959" spans="1:3">
      <c r="A959">
        <v>3301072701</v>
      </c>
      <c r="B959" t="s">
        <v>20907</v>
      </c>
      <c r="C959" t="s">
        <v>20906</v>
      </c>
    </row>
    <row r="960" spans="1:3">
      <c r="A960">
        <v>3301072780</v>
      </c>
      <c r="B960" t="s">
        <v>22102</v>
      </c>
      <c r="C960" t="s">
        <v>22103</v>
      </c>
    </row>
    <row r="961" spans="1:3">
      <c r="A961">
        <v>3301072781</v>
      </c>
      <c r="B961" t="s">
        <v>22104</v>
      </c>
      <c r="C961" t="s">
        <v>22105</v>
      </c>
    </row>
    <row r="962" spans="1:3">
      <c r="A962">
        <v>3301072803</v>
      </c>
      <c r="B962" t="s">
        <v>22098</v>
      </c>
      <c r="C962" t="s">
        <v>22106</v>
      </c>
    </row>
    <row r="963" spans="1:3">
      <c r="A963">
        <v>3301072804</v>
      </c>
      <c r="B963" t="s">
        <v>22098</v>
      </c>
      <c r="C963" t="s">
        <v>22107</v>
      </c>
    </row>
    <row r="964" spans="1:3">
      <c r="A964">
        <v>3301072805</v>
      </c>
      <c r="B964" t="s">
        <v>22098</v>
      </c>
      <c r="C964" t="s">
        <v>22108</v>
      </c>
    </row>
    <row r="965" spans="1:3">
      <c r="A965">
        <v>3301072957</v>
      </c>
      <c r="B965" t="s">
        <v>22109</v>
      </c>
      <c r="C965" t="s">
        <v>22110</v>
      </c>
    </row>
    <row r="966" spans="1:3">
      <c r="A966">
        <v>3301072985</v>
      </c>
      <c r="B966" t="s">
        <v>22111</v>
      </c>
      <c r="C966" t="s">
        <v>22112</v>
      </c>
    </row>
    <row r="967" spans="1:3">
      <c r="A967">
        <v>3301072986</v>
      </c>
      <c r="B967" t="s">
        <v>22113</v>
      </c>
      <c r="C967" t="s">
        <v>22114</v>
      </c>
    </row>
    <row r="968" spans="1:3">
      <c r="A968">
        <v>3301073139</v>
      </c>
      <c r="B968" t="s">
        <v>25154</v>
      </c>
      <c r="C968" t="s">
        <v>25155</v>
      </c>
    </row>
    <row r="969" spans="1:3">
      <c r="A969">
        <v>3301074372</v>
      </c>
      <c r="B969" t="s">
        <v>24526</v>
      </c>
      <c r="C969" t="s">
        <v>25156</v>
      </c>
    </row>
    <row r="970" spans="1:3">
      <c r="A970">
        <v>3301074373</v>
      </c>
      <c r="B970" t="s">
        <v>24524</v>
      </c>
      <c r="C970" t="s">
        <v>25157</v>
      </c>
    </row>
    <row r="971" spans="1:3">
      <c r="A971">
        <v>3301075164</v>
      </c>
      <c r="B971" t="s">
        <v>20575</v>
      </c>
      <c r="C971" t="s">
        <v>20577</v>
      </c>
    </row>
    <row r="972" spans="1:3">
      <c r="A972">
        <v>3301075165</v>
      </c>
      <c r="B972" t="s">
        <v>20575</v>
      </c>
      <c r="C972" t="s">
        <v>20576</v>
      </c>
    </row>
    <row r="973" spans="1:3">
      <c r="A973">
        <v>3301075166</v>
      </c>
      <c r="B973" t="s">
        <v>20575</v>
      </c>
      <c r="C973" t="s">
        <v>20574</v>
      </c>
    </row>
    <row r="974" spans="1:3">
      <c r="A974">
        <v>3301075190</v>
      </c>
      <c r="B974" t="s">
        <v>20579</v>
      </c>
      <c r="C974" t="s">
        <v>20581</v>
      </c>
    </row>
    <row r="975" spans="1:3">
      <c r="A975">
        <v>3301075191</v>
      </c>
      <c r="B975" t="s">
        <v>20579</v>
      </c>
      <c r="C975" t="s">
        <v>20580</v>
      </c>
    </row>
    <row r="976" spans="1:3">
      <c r="A976">
        <v>3301075192</v>
      </c>
      <c r="B976" t="s">
        <v>20579</v>
      </c>
      <c r="C976" t="s">
        <v>20578</v>
      </c>
    </row>
    <row r="977" spans="1:3">
      <c r="A977">
        <v>3301075218</v>
      </c>
      <c r="B977" t="s">
        <v>22092</v>
      </c>
      <c r="C977" t="s">
        <v>22115</v>
      </c>
    </row>
    <row r="978" spans="1:3">
      <c r="A978">
        <v>3301075219</v>
      </c>
      <c r="B978" t="s">
        <v>22092</v>
      </c>
      <c r="C978" t="s">
        <v>22116</v>
      </c>
    </row>
    <row r="979" spans="1:3">
      <c r="A979">
        <v>3301075220</v>
      </c>
      <c r="B979" t="s">
        <v>22092</v>
      </c>
      <c r="C979" t="s">
        <v>22117</v>
      </c>
    </row>
    <row r="980" spans="1:3">
      <c r="A980">
        <v>3301075229</v>
      </c>
      <c r="B980" t="s">
        <v>22092</v>
      </c>
      <c r="C980" t="s">
        <v>22118</v>
      </c>
    </row>
    <row r="981" spans="1:3">
      <c r="A981">
        <v>3301075230</v>
      </c>
      <c r="B981" t="s">
        <v>22092</v>
      </c>
      <c r="C981" t="s">
        <v>22119</v>
      </c>
    </row>
    <row r="982" spans="1:3">
      <c r="A982">
        <v>3301075231</v>
      </c>
      <c r="B982" t="s">
        <v>22092</v>
      </c>
      <c r="C982" t="s">
        <v>22120</v>
      </c>
    </row>
    <row r="983" spans="1:3">
      <c r="A983">
        <v>3301075243</v>
      </c>
      <c r="B983" t="s">
        <v>22092</v>
      </c>
      <c r="C983" t="s">
        <v>22121</v>
      </c>
    </row>
    <row r="984" spans="1:3">
      <c r="A984">
        <v>3301075244</v>
      </c>
      <c r="B984" t="s">
        <v>22092</v>
      </c>
      <c r="C984" t="s">
        <v>22122</v>
      </c>
    </row>
    <row r="985" spans="1:3">
      <c r="A985">
        <v>3301075245</v>
      </c>
      <c r="B985" t="s">
        <v>22092</v>
      </c>
      <c r="C985" t="s">
        <v>22123</v>
      </c>
    </row>
    <row r="986" spans="1:3">
      <c r="A986">
        <v>3301075269</v>
      </c>
      <c r="B986" t="s">
        <v>22124</v>
      </c>
      <c r="C986" t="s">
        <v>22125</v>
      </c>
    </row>
    <row r="987" spans="1:3">
      <c r="A987">
        <v>3301075270</v>
      </c>
      <c r="B987" t="s">
        <v>22126</v>
      </c>
      <c r="C987" t="s">
        <v>22127</v>
      </c>
    </row>
    <row r="988" spans="1:3">
      <c r="A988">
        <v>3301075741</v>
      </c>
      <c r="B988" t="s">
        <v>23879</v>
      </c>
      <c r="C988" t="s">
        <v>23880</v>
      </c>
    </row>
    <row r="989" spans="1:3">
      <c r="A989">
        <v>3301075765</v>
      </c>
      <c r="B989" t="s">
        <v>23115</v>
      </c>
      <c r="C989" t="s">
        <v>22128</v>
      </c>
    </row>
    <row r="990" spans="1:3">
      <c r="A990">
        <v>3301075767</v>
      </c>
      <c r="B990" t="s">
        <v>20602</v>
      </c>
      <c r="C990" t="s">
        <v>20601</v>
      </c>
    </row>
    <row r="991" spans="1:3">
      <c r="A991">
        <v>3301076156</v>
      </c>
      <c r="B991" t="s">
        <v>25158</v>
      </c>
      <c r="C991" t="s">
        <v>25159</v>
      </c>
    </row>
    <row r="992" spans="1:3">
      <c r="A992">
        <v>3301076329</v>
      </c>
      <c r="B992" t="s">
        <v>20919</v>
      </c>
      <c r="C992" t="s">
        <v>20918</v>
      </c>
    </row>
    <row r="993" spans="1:3">
      <c r="A993">
        <v>3301076808</v>
      </c>
      <c r="B993" t="s">
        <v>20931</v>
      </c>
      <c r="C993" t="s">
        <v>20930</v>
      </c>
    </row>
    <row r="994" spans="1:3">
      <c r="A994">
        <v>3301078559</v>
      </c>
      <c r="B994" t="s">
        <v>20929</v>
      </c>
      <c r="C994" t="s">
        <v>20928</v>
      </c>
    </row>
    <row r="995" spans="1:3">
      <c r="A995">
        <v>3301078603</v>
      </c>
      <c r="B995" t="s">
        <v>21147</v>
      </c>
      <c r="C995" t="s">
        <v>21146</v>
      </c>
    </row>
    <row r="996" spans="1:3">
      <c r="A996">
        <v>3301078604</v>
      </c>
      <c r="B996" t="s">
        <v>21145</v>
      </c>
      <c r="C996" t="s">
        <v>21144</v>
      </c>
    </row>
    <row r="997" spans="1:3">
      <c r="A997">
        <v>3301078605</v>
      </c>
      <c r="B997" t="s">
        <v>21151</v>
      </c>
      <c r="C997" t="s">
        <v>21150</v>
      </c>
    </row>
    <row r="998" spans="1:3">
      <c r="A998">
        <v>3301078606</v>
      </c>
      <c r="B998" t="s">
        <v>21149</v>
      </c>
      <c r="C998" t="s">
        <v>21148</v>
      </c>
    </row>
    <row r="999" spans="1:3">
      <c r="A999">
        <v>3301078613</v>
      </c>
      <c r="B999" t="s">
        <v>21110</v>
      </c>
      <c r="C999" t="s">
        <v>21109</v>
      </c>
    </row>
    <row r="1000" spans="1:3">
      <c r="A1000">
        <v>3301079291</v>
      </c>
      <c r="B1000" t="s">
        <v>21132</v>
      </c>
      <c r="C1000" t="s">
        <v>21131</v>
      </c>
    </row>
    <row r="1001" spans="1:3">
      <c r="A1001">
        <v>3301079606</v>
      </c>
      <c r="B1001" t="s">
        <v>22129</v>
      </c>
      <c r="C1001" t="s">
        <v>22130</v>
      </c>
    </row>
    <row r="1002" spans="1:3">
      <c r="A1002">
        <v>3301079772</v>
      </c>
      <c r="B1002" t="s">
        <v>21494</v>
      </c>
      <c r="C1002" t="s">
        <v>21495</v>
      </c>
    </row>
    <row r="1003" spans="1:3">
      <c r="A1003">
        <v>3301081093</v>
      </c>
      <c r="B1003" t="s">
        <v>23250</v>
      </c>
      <c r="C1003" t="s">
        <v>23251</v>
      </c>
    </row>
    <row r="1004" spans="1:3">
      <c r="A1004">
        <v>3301081094</v>
      </c>
      <c r="B1004" t="s">
        <v>23252</v>
      </c>
      <c r="C1004" t="s">
        <v>23253</v>
      </c>
    </row>
    <row r="1005" spans="1:3">
      <c r="A1005">
        <v>3301082206</v>
      </c>
      <c r="B1005" t="s">
        <v>23579</v>
      </c>
      <c r="C1005" t="s">
        <v>23580</v>
      </c>
    </row>
    <row r="1006" spans="1:3">
      <c r="A1006">
        <v>3301083953</v>
      </c>
      <c r="B1006" t="s">
        <v>23254</v>
      </c>
      <c r="C1006" t="s">
        <v>23255</v>
      </c>
    </row>
    <row r="1007" spans="1:3">
      <c r="A1007">
        <v>3301083988</v>
      </c>
      <c r="B1007" t="s">
        <v>25160</v>
      </c>
      <c r="C1007" t="s">
        <v>21047</v>
      </c>
    </row>
    <row r="1008" spans="1:3">
      <c r="A1008">
        <v>3301084127</v>
      </c>
      <c r="B1008" t="s">
        <v>21238</v>
      </c>
      <c r="C1008" t="s">
        <v>21165</v>
      </c>
    </row>
    <row r="1009" spans="1:3">
      <c r="A1009">
        <v>3301084128</v>
      </c>
      <c r="B1009" t="s">
        <v>21239</v>
      </c>
      <c r="C1009" t="s">
        <v>21164</v>
      </c>
    </row>
    <row r="1010" spans="1:3">
      <c r="A1010">
        <v>3301084129</v>
      </c>
      <c r="B1010" t="s">
        <v>21238</v>
      </c>
      <c r="C1010" t="s">
        <v>20781</v>
      </c>
    </row>
    <row r="1011" spans="1:3">
      <c r="A1011">
        <v>3301084132</v>
      </c>
      <c r="B1011" t="s">
        <v>23256</v>
      </c>
      <c r="C1011" t="s">
        <v>23257</v>
      </c>
    </row>
    <row r="1012" spans="1:3">
      <c r="A1012">
        <v>3301084164</v>
      </c>
      <c r="B1012" t="s">
        <v>23583</v>
      </c>
      <c r="C1012" t="s">
        <v>21166</v>
      </c>
    </row>
    <row r="1013" spans="1:3">
      <c r="A1013">
        <v>3301085795</v>
      </c>
      <c r="B1013" t="s">
        <v>21239</v>
      </c>
      <c r="C1013" t="s">
        <v>20780</v>
      </c>
    </row>
    <row r="1014" spans="1:3">
      <c r="A1014">
        <v>3301091211</v>
      </c>
      <c r="B1014" t="s">
        <v>24448</v>
      </c>
      <c r="C1014" t="s">
        <v>23881</v>
      </c>
    </row>
    <row r="1015" spans="1:3">
      <c r="A1015">
        <v>3301091213</v>
      </c>
      <c r="B1015" t="s">
        <v>24431</v>
      </c>
      <c r="C1015" t="s">
        <v>23882</v>
      </c>
    </row>
    <row r="1016" spans="1:3">
      <c r="A1016">
        <v>3301091220</v>
      </c>
      <c r="B1016" t="s">
        <v>23883</v>
      </c>
      <c r="C1016" t="s">
        <v>23884</v>
      </c>
    </row>
    <row r="1017" spans="1:3">
      <c r="A1017">
        <v>3301091242</v>
      </c>
      <c r="B1017" t="s">
        <v>23885</v>
      </c>
      <c r="C1017" t="s">
        <v>23886</v>
      </c>
    </row>
    <row r="1018" spans="1:3">
      <c r="A1018">
        <v>3301091442</v>
      </c>
      <c r="B1018" t="s">
        <v>24544</v>
      </c>
      <c r="C1018" t="s">
        <v>25161</v>
      </c>
    </row>
    <row r="1019" spans="1:3">
      <c r="A1019">
        <v>3301091544</v>
      </c>
      <c r="B1019" t="s">
        <v>23435</v>
      </c>
      <c r="C1019" t="s">
        <v>25162</v>
      </c>
    </row>
    <row r="1020" spans="1:3">
      <c r="A1020">
        <v>3301091670</v>
      </c>
      <c r="B1020" t="s">
        <v>23887</v>
      </c>
      <c r="C1020" t="s">
        <v>20973</v>
      </c>
    </row>
    <row r="1021" spans="1:3">
      <c r="A1021">
        <v>3301091765</v>
      </c>
      <c r="B1021" t="s">
        <v>23258</v>
      </c>
      <c r="C1021" t="s">
        <v>23259</v>
      </c>
    </row>
    <row r="1022" spans="1:3">
      <c r="A1022">
        <v>3301092598</v>
      </c>
      <c r="B1022" t="s">
        <v>20829</v>
      </c>
      <c r="C1022" t="s">
        <v>20828</v>
      </c>
    </row>
    <row r="1023" spans="1:3">
      <c r="A1023">
        <v>3301092628</v>
      </c>
      <c r="B1023" t="s">
        <v>20827</v>
      </c>
      <c r="C1023" t="s">
        <v>20826</v>
      </c>
    </row>
    <row r="1024" spans="1:3">
      <c r="A1024">
        <v>3301092760</v>
      </c>
      <c r="B1024" t="s">
        <v>22972</v>
      </c>
      <c r="C1024" t="s">
        <v>22973</v>
      </c>
    </row>
    <row r="1025" spans="1:3">
      <c r="A1025">
        <v>3301092761</v>
      </c>
      <c r="B1025" t="s">
        <v>24545</v>
      </c>
      <c r="C1025" t="s">
        <v>25163</v>
      </c>
    </row>
    <row r="1026" spans="1:3">
      <c r="A1026">
        <v>3301093025</v>
      </c>
      <c r="B1026" t="s">
        <v>20827</v>
      </c>
      <c r="C1026" t="s">
        <v>20832</v>
      </c>
    </row>
    <row r="1027" spans="1:3">
      <c r="A1027">
        <v>3301093026</v>
      </c>
      <c r="B1027" t="s">
        <v>20835</v>
      </c>
      <c r="C1027" t="s">
        <v>20834</v>
      </c>
    </row>
    <row r="1028" spans="1:3">
      <c r="A1028">
        <v>3301093860</v>
      </c>
      <c r="B1028" t="s">
        <v>23699</v>
      </c>
      <c r="C1028" t="s">
        <v>23888</v>
      </c>
    </row>
    <row r="1029" spans="1:3">
      <c r="A1029">
        <v>3301093955</v>
      </c>
      <c r="B1029" t="s">
        <v>24392</v>
      </c>
      <c r="C1029" t="s">
        <v>21126</v>
      </c>
    </row>
    <row r="1030" spans="1:3">
      <c r="A1030">
        <v>3301093990</v>
      </c>
      <c r="B1030" t="s">
        <v>21046</v>
      </c>
      <c r="C1030" t="s">
        <v>21045</v>
      </c>
    </row>
    <row r="1031" spans="1:3">
      <c r="A1031">
        <v>3301093991</v>
      </c>
      <c r="B1031" t="s">
        <v>21496</v>
      </c>
      <c r="C1031" t="s">
        <v>21497</v>
      </c>
    </row>
    <row r="1032" spans="1:3">
      <c r="A1032">
        <v>3301094403</v>
      </c>
      <c r="B1032" t="s">
        <v>25164</v>
      </c>
      <c r="C1032" t="s">
        <v>25165</v>
      </c>
    </row>
    <row r="1033" spans="1:3">
      <c r="A1033">
        <v>3301095750</v>
      </c>
      <c r="B1033" t="s">
        <v>20939</v>
      </c>
      <c r="C1033" t="s">
        <v>20938</v>
      </c>
    </row>
    <row r="1034" spans="1:3">
      <c r="A1034">
        <v>3301095929</v>
      </c>
      <c r="B1034" t="s">
        <v>20837</v>
      </c>
      <c r="C1034" t="s">
        <v>20836</v>
      </c>
    </row>
    <row r="1035" spans="1:3">
      <c r="A1035">
        <v>3301095930</v>
      </c>
      <c r="B1035" t="s">
        <v>20831</v>
      </c>
      <c r="C1035" t="s">
        <v>20830</v>
      </c>
    </row>
    <row r="1036" spans="1:3">
      <c r="A1036">
        <v>3301096390</v>
      </c>
      <c r="B1036" t="s">
        <v>23451</v>
      </c>
      <c r="C1036" t="s">
        <v>23889</v>
      </c>
    </row>
    <row r="1037" spans="1:3">
      <c r="A1037">
        <v>3301096391</v>
      </c>
      <c r="B1037" t="s">
        <v>23450</v>
      </c>
      <c r="C1037" t="s">
        <v>23890</v>
      </c>
    </row>
    <row r="1038" spans="1:3">
      <c r="A1038">
        <v>3301096392</v>
      </c>
      <c r="B1038" t="s">
        <v>23615</v>
      </c>
      <c r="C1038" t="s">
        <v>23891</v>
      </c>
    </row>
    <row r="1039" spans="1:3">
      <c r="A1039">
        <v>3301096804</v>
      </c>
      <c r="B1039" t="s">
        <v>23892</v>
      </c>
      <c r="C1039" t="s">
        <v>23893</v>
      </c>
    </row>
    <row r="1040" spans="1:3">
      <c r="A1040">
        <v>3301098571</v>
      </c>
      <c r="B1040" t="s">
        <v>22131</v>
      </c>
      <c r="C1040" t="s">
        <v>20758</v>
      </c>
    </row>
    <row r="1041" spans="1:3">
      <c r="A1041">
        <v>3301098572</v>
      </c>
      <c r="B1041" t="s">
        <v>22132</v>
      </c>
      <c r="C1041" t="s">
        <v>20757</v>
      </c>
    </row>
    <row r="1042" spans="1:3">
      <c r="A1042">
        <v>3301098625</v>
      </c>
      <c r="B1042" t="s">
        <v>20976</v>
      </c>
      <c r="C1042" t="s">
        <v>20975</v>
      </c>
    </row>
    <row r="1043" spans="1:3">
      <c r="A1043">
        <v>3301098696</v>
      </c>
      <c r="B1043" t="s">
        <v>20972</v>
      </c>
      <c r="C1043" t="s">
        <v>20971</v>
      </c>
    </row>
    <row r="1044" spans="1:3">
      <c r="A1044">
        <v>3301098939</v>
      </c>
      <c r="B1044" t="s">
        <v>20978</v>
      </c>
      <c r="C1044" t="s">
        <v>20977</v>
      </c>
    </row>
    <row r="1045" spans="1:3">
      <c r="A1045">
        <v>3301098940</v>
      </c>
      <c r="B1045" t="s">
        <v>21044</v>
      </c>
      <c r="C1045" t="s">
        <v>21043</v>
      </c>
    </row>
    <row r="1046" spans="1:3">
      <c r="A1046">
        <v>3301098941</v>
      </c>
      <c r="B1046" t="s">
        <v>23894</v>
      </c>
      <c r="C1046" t="s">
        <v>23895</v>
      </c>
    </row>
    <row r="1047" spans="1:3">
      <c r="A1047">
        <v>3301099636</v>
      </c>
      <c r="B1047" t="s">
        <v>23896</v>
      </c>
      <c r="C1047" t="s">
        <v>23897</v>
      </c>
    </row>
    <row r="1048" spans="1:3">
      <c r="A1048">
        <v>3301099651</v>
      </c>
      <c r="B1048" t="s">
        <v>20974</v>
      </c>
      <c r="C1048" t="s">
        <v>22133</v>
      </c>
    </row>
    <row r="1049" spans="1:3">
      <c r="A1049">
        <v>3301099653</v>
      </c>
      <c r="B1049" t="s">
        <v>20972</v>
      </c>
      <c r="C1049" t="s">
        <v>23260</v>
      </c>
    </row>
    <row r="1050" spans="1:3">
      <c r="A1050">
        <v>3301144102</v>
      </c>
      <c r="B1050" t="s">
        <v>23898</v>
      </c>
      <c r="C1050" t="s">
        <v>20888</v>
      </c>
    </row>
    <row r="1051" spans="1:3">
      <c r="A1051">
        <v>3301144103</v>
      </c>
      <c r="B1051" t="s">
        <v>25166</v>
      </c>
      <c r="C1051" t="s">
        <v>20889</v>
      </c>
    </row>
    <row r="1052" spans="1:3">
      <c r="A1052">
        <v>3301146517</v>
      </c>
      <c r="B1052" t="s">
        <v>20684</v>
      </c>
      <c r="C1052" t="s">
        <v>20683</v>
      </c>
    </row>
    <row r="1053" spans="1:3">
      <c r="A1053">
        <v>3301146819</v>
      </c>
      <c r="B1053" t="s">
        <v>23702</v>
      </c>
      <c r="C1053" t="s">
        <v>23899</v>
      </c>
    </row>
    <row r="1054" spans="1:3">
      <c r="A1054">
        <v>3301146958</v>
      </c>
      <c r="B1054" t="s">
        <v>20891</v>
      </c>
      <c r="C1054" t="s">
        <v>20890</v>
      </c>
    </row>
    <row r="1055" spans="1:3">
      <c r="A1055">
        <v>3302011217</v>
      </c>
      <c r="B1055" t="s">
        <v>23900</v>
      </c>
      <c r="C1055" t="s">
        <v>23901</v>
      </c>
    </row>
    <row r="1056" spans="1:3">
      <c r="A1056">
        <v>3302012426</v>
      </c>
      <c r="B1056" t="s">
        <v>21417</v>
      </c>
      <c r="C1056" t="s">
        <v>21418</v>
      </c>
    </row>
    <row r="1057" spans="1:3">
      <c r="A1057">
        <v>3302016028</v>
      </c>
      <c r="B1057" t="s">
        <v>25167</v>
      </c>
      <c r="C1057" t="s">
        <v>21061</v>
      </c>
    </row>
    <row r="1058" spans="1:3">
      <c r="A1058">
        <v>3302018560</v>
      </c>
      <c r="B1058" t="s">
        <v>20933</v>
      </c>
      <c r="C1058" t="s">
        <v>20932</v>
      </c>
    </row>
    <row r="1059" spans="1:3">
      <c r="A1059">
        <v>3302028290</v>
      </c>
      <c r="B1059" t="s">
        <v>20897</v>
      </c>
      <c r="C1059" t="s">
        <v>20896</v>
      </c>
    </row>
    <row r="1060" spans="1:3">
      <c r="A1060">
        <v>3302028621</v>
      </c>
      <c r="B1060" t="s">
        <v>20893</v>
      </c>
      <c r="C1060" t="s">
        <v>20892</v>
      </c>
    </row>
    <row r="1061" spans="1:3">
      <c r="A1061">
        <v>3302032038</v>
      </c>
      <c r="B1061" t="s">
        <v>25168</v>
      </c>
      <c r="C1061" t="s">
        <v>25169</v>
      </c>
    </row>
    <row r="1062" spans="1:3">
      <c r="A1062">
        <v>3302032156</v>
      </c>
      <c r="B1062" t="s">
        <v>20673</v>
      </c>
      <c r="C1062" t="s">
        <v>20672</v>
      </c>
    </row>
    <row r="1063" spans="1:3">
      <c r="A1063">
        <v>3302038405</v>
      </c>
      <c r="B1063" t="s">
        <v>23902</v>
      </c>
      <c r="C1063" t="s">
        <v>23903</v>
      </c>
    </row>
    <row r="1064" spans="1:3">
      <c r="A1064">
        <v>3302045823</v>
      </c>
      <c r="B1064" t="s">
        <v>25170</v>
      </c>
      <c r="C1064" t="s">
        <v>25171</v>
      </c>
    </row>
    <row r="1065" spans="1:3">
      <c r="A1065">
        <v>3302047896</v>
      </c>
      <c r="B1065" t="s">
        <v>24393</v>
      </c>
      <c r="C1065" t="s">
        <v>24394</v>
      </c>
    </row>
    <row r="1066" spans="1:3">
      <c r="A1066">
        <v>3302047964</v>
      </c>
      <c r="B1066" t="s">
        <v>22776</v>
      </c>
      <c r="C1066" t="s">
        <v>22777</v>
      </c>
    </row>
    <row r="1067" spans="1:3">
      <c r="A1067">
        <v>3302048547</v>
      </c>
      <c r="B1067" t="s">
        <v>23904</v>
      </c>
      <c r="C1067" t="s">
        <v>23905</v>
      </c>
    </row>
    <row r="1068" spans="1:3">
      <c r="A1068">
        <v>3302051583</v>
      </c>
      <c r="B1068" t="s">
        <v>25172</v>
      </c>
      <c r="C1068" t="s">
        <v>25173</v>
      </c>
    </row>
    <row r="1069" spans="1:3">
      <c r="A1069">
        <v>3302064065</v>
      </c>
      <c r="B1069" t="s">
        <v>23584</v>
      </c>
      <c r="C1069" t="s">
        <v>23585</v>
      </c>
    </row>
    <row r="1070" spans="1:3">
      <c r="A1070">
        <v>3302068622</v>
      </c>
      <c r="B1070" t="s">
        <v>20895</v>
      </c>
      <c r="C1070" t="s">
        <v>20894</v>
      </c>
    </row>
    <row r="1071" spans="1:3">
      <c r="A1071">
        <v>3302068885</v>
      </c>
      <c r="B1071" t="s">
        <v>21071</v>
      </c>
      <c r="C1071" t="s">
        <v>21070</v>
      </c>
    </row>
    <row r="1072" spans="1:3">
      <c r="A1072">
        <v>3302068889</v>
      </c>
      <c r="B1072" t="s">
        <v>20899</v>
      </c>
      <c r="C1072" t="s">
        <v>20898</v>
      </c>
    </row>
    <row r="1073" spans="1:3">
      <c r="A1073">
        <v>3302111098</v>
      </c>
      <c r="B1073" t="s">
        <v>23261</v>
      </c>
      <c r="C1073" t="s">
        <v>23262</v>
      </c>
    </row>
    <row r="1074" spans="1:3">
      <c r="A1074">
        <v>3302111244</v>
      </c>
      <c r="B1074" t="s">
        <v>23906</v>
      </c>
      <c r="C1074" t="s">
        <v>23907</v>
      </c>
    </row>
    <row r="1075" spans="1:3">
      <c r="A1075">
        <v>3302111488</v>
      </c>
      <c r="B1075" t="s">
        <v>23908</v>
      </c>
      <c r="C1075" t="s">
        <v>23909</v>
      </c>
    </row>
    <row r="1076" spans="1:3">
      <c r="A1076">
        <v>3302111551</v>
      </c>
      <c r="B1076" t="s">
        <v>25174</v>
      </c>
      <c r="C1076" t="s">
        <v>25175</v>
      </c>
    </row>
    <row r="1077" spans="1:3">
      <c r="A1077">
        <v>3302111552</v>
      </c>
      <c r="B1077" t="s">
        <v>25176</v>
      </c>
      <c r="C1077" t="s">
        <v>25177</v>
      </c>
    </row>
    <row r="1078" spans="1:3">
      <c r="A1078">
        <v>3302112336</v>
      </c>
      <c r="B1078" t="s">
        <v>20680</v>
      </c>
      <c r="C1078" t="s">
        <v>20679</v>
      </c>
    </row>
    <row r="1079" spans="1:3">
      <c r="A1079">
        <v>3302119211</v>
      </c>
      <c r="B1079" t="s">
        <v>24449</v>
      </c>
      <c r="C1079" t="s">
        <v>25178</v>
      </c>
    </row>
    <row r="1080" spans="1:3">
      <c r="A1080">
        <v>3302122157</v>
      </c>
      <c r="B1080" t="s">
        <v>25179</v>
      </c>
      <c r="C1080" t="s">
        <v>25180</v>
      </c>
    </row>
    <row r="1081" spans="1:3">
      <c r="A1081">
        <v>3302122337</v>
      </c>
      <c r="B1081" t="s">
        <v>23910</v>
      </c>
      <c r="C1081" t="s">
        <v>23911</v>
      </c>
    </row>
    <row r="1082" spans="1:3">
      <c r="A1082">
        <v>3302122847</v>
      </c>
      <c r="B1082" t="s">
        <v>22974</v>
      </c>
      <c r="C1082" t="s">
        <v>22975</v>
      </c>
    </row>
    <row r="1083" spans="1:3">
      <c r="A1083">
        <v>3302126138</v>
      </c>
      <c r="B1083" t="s">
        <v>20622</v>
      </c>
      <c r="C1083" t="s">
        <v>20621</v>
      </c>
    </row>
    <row r="1084" spans="1:3">
      <c r="A1084">
        <v>3302128022</v>
      </c>
      <c r="B1084" t="s">
        <v>23263</v>
      </c>
      <c r="C1084" t="s">
        <v>23264</v>
      </c>
    </row>
    <row r="1085" spans="1:3">
      <c r="A1085">
        <v>3302128462</v>
      </c>
      <c r="B1085" t="s">
        <v>20682</v>
      </c>
      <c r="C1085" t="s">
        <v>20681</v>
      </c>
    </row>
    <row r="1086" spans="1:3">
      <c r="A1086">
        <v>3302128548</v>
      </c>
      <c r="B1086" t="s">
        <v>24450</v>
      </c>
      <c r="C1086" t="s">
        <v>25181</v>
      </c>
    </row>
    <row r="1087" spans="1:3">
      <c r="A1087">
        <v>3302128598</v>
      </c>
      <c r="B1087" t="s">
        <v>20626</v>
      </c>
      <c r="C1087" t="s">
        <v>20625</v>
      </c>
    </row>
    <row r="1088" spans="1:3">
      <c r="A1088">
        <v>3302129856</v>
      </c>
      <c r="B1088" t="s">
        <v>22676</v>
      </c>
      <c r="C1088" t="s">
        <v>22677</v>
      </c>
    </row>
    <row r="1089" spans="1:3">
      <c r="A1089">
        <v>3302129857</v>
      </c>
      <c r="B1089" t="s">
        <v>22678</v>
      </c>
      <c r="C1089" t="s">
        <v>22679</v>
      </c>
    </row>
    <row r="1090" spans="1:3">
      <c r="A1090">
        <v>3302129858</v>
      </c>
      <c r="B1090" t="s">
        <v>22680</v>
      </c>
      <c r="C1090" t="s">
        <v>22681</v>
      </c>
    </row>
    <row r="1091" spans="1:3">
      <c r="A1091">
        <v>3302135943</v>
      </c>
      <c r="B1091" t="s">
        <v>23912</v>
      </c>
      <c r="C1091" t="s">
        <v>23913</v>
      </c>
    </row>
    <row r="1092" spans="1:3">
      <c r="A1092">
        <v>3302136951</v>
      </c>
      <c r="B1092" t="s">
        <v>20995</v>
      </c>
      <c r="C1092" t="s">
        <v>20994</v>
      </c>
    </row>
    <row r="1093" spans="1:3">
      <c r="A1093">
        <v>3302138611</v>
      </c>
      <c r="B1093" t="s">
        <v>23914</v>
      </c>
      <c r="C1093" t="s">
        <v>23915</v>
      </c>
    </row>
    <row r="1094" spans="1:3">
      <c r="A1094">
        <v>3302142009</v>
      </c>
      <c r="B1094" t="s">
        <v>24094</v>
      </c>
      <c r="C1094" t="s">
        <v>24095</v>
      </c>
    </row>
    <row r="1095" spans="1:3">
      <c r="A1095">
        <v>3302302215</v>
      </c>
      <c r="B1095" t="s">
        <v>22682</v>
      </c>
      <c r="C1095" t="s">
        <v>22683</v>
      </c>
    </row>
    <row r="1096" spans="1:3">
      <c r="A1096">
        <v>3302303364</v>
      </c>
      <c r="B1096" t="s">
        <v>23916</v>
      </c>
      <c r="C1096" t="s">
        <v>23917</v>
      </c>
    </row>
    <row r="1097" spans="1:3">
      <c r="A1097">
        <v>3302303365</v>
      </c>
      <c r="B1097" t="s">
        <v>23918</v>
      </c>
      <c r="C1097" t="s">
        <v>23265</v>
      </c>
    </row>
    <row r="1098" spans="1:3">
      <c r="A1098">
        <v>3302331408</v>
      </c>
      <c r="B1098" t="s">
        <v>25182</v>
      </c>
      <c r="C1098" t="s">
        <v>25183</v>
      </c>
    </row>
    <row r="1099" spans="1:3">
      <c r="A1099">
        <v>3302335875</v>
      </c>
      <c r="B1099" t="s">
        <v>23919</v>
      </c>
      <c r="C1099" t="s">
        <v>23920</v>
      </c>
    </row>
    <row r="1100" spans="1:3">
      <c r="A1100">
        <v>3302386139</v>
      </c>
      <c r="B1100" t="s">
        <v>20620</v>
      </c>
      <c r="C1100" t="s">
        <v>20619</v>
      </c>
    </row>
    <row r="1101" spans="1:3">
      <c r="A1101">
        <v>3302388597</v>
      </c>
      <c r="B1101" t="s">
        <v>20624</v>
      </c>
      <c r="C1101" t="s">
        <v>20623</v>
      </c>
    </row>
    <row r="1102" spans="1:3">
      <c r="A1102">
        <v>3302389854</v>
      </c>
      <c r="B1102" t="s">
        <v>22684</v>
      </c>
      <c r="C1102" t="s">
        <v>22685</v>
      </c>
    </row>
    <row r="1103" spans="1:3">
      <c r="A1103">
        <v>3302389855</v>
      </c>
      <c r="B1103" t="s">
        <v>22686</v>
      </c>
      <c r="C1103" t="s">
        <v>22687</v>
      </c>
    </row>
    <row r="1104" spans="1:3">
      <c r="A1104">
        <v>3302389856</v>
      </c>
      <c r="B1104" t="s">
        <v>22688</v>
      </c>
      <c r="C1104" t="s">
        <v>22689</v>
      </c>
    </row>
    <row r="1105" spans="1:3">
      <c r="A1105">
        <v>3302502359</v>
      </c>
      <c r="B1105" t="s">
        <v>6260</v>
      </c>
      <c r="C1105" t="s">
        <v>22134</v>
      </c>
    </row>
    <row r="1106" spans="1:3">
      <c r="A1106">
        <v>3401021557</v>
      </c>
      <c r="B1106" t="s">
        <v>25184</v>
      </c>
      <c r="C1106" t="s">
        <v>25185</v>
      </c>
    </row>
    <row r="1107" spans="1:3">
      <c r="A1107">
        <v>3401026167</v>
      </c>
      <c r="B1107" t="s">
        <v>22976</v>
      </c>
      <c r="C1107" t="s">
        <v>22977</v>
      </c>
    </row>
    <row r="1108" spans="1:3">
      <c r="A1108">
        <v>3401036168</v>
      </c>
      <c r="B1108" t="s">
        <v>23921</v>
      </c>
      <c r="C1108" t="s">
        <v>22979</v>
      </c>
    </row>
    <row r="1109" spans="1:3">
      <c r="A1109">
        <v>3401041645</v>
      </c>
      <c r="B1109" t="s">
        <v>22135</v>
      </c>
      <c r="C1109" t="s">
        <v>22136</v>
      </c>
    </row>
    <row r="1110" spans="1:3">
      <c r="A1110">
        <v>3401041976</v>
      </c>
      <c r="B1110" t="s">
        <v>23922</v>
      </c>
      <c r="C1110" t="s">
        <v>21015</v>
      </c>
    </row>
    <row r="1111" spans="1:3">
      <c r="A1111">
        <v>3401043960</v>
      </c>
      <c r="B1111" t="s">
        <v>23266</v>
      </c>
      <c r="C1111" t="s">
        <v>23267</v>
      </c>
    </row>
    <row r="1112" spans="1:3">
      <c r="A1112">
        <v>3401046170</v>
      </c>
      <c r="B1112" t="s">
        <v>20823</v>
      </c>
      <c r="C1112" t="s">
        <v>20822</v>
      </c>
    </row>
    <row r="1113" spans="1:3">
      <c r="A1113">
        <v>3401049971</v>
      </c>
      <c r="B1113" t="s">
        <v>22980</v>
      </c>
      <c r="C1113" t="s">
        <v>22981</v>
      </c>
    </row>
    <row r="1114" spans="1:3">
      <c r="A1114">
        <v>3402061208</v>
      </c>
      <c r="B1114" t="s">
        <v>22982</v>
      </c>
      <c r="C1114" t="s">
        <v>22983</v>
      </c>
    </row>
    <row r="1115" spans="1:3">
      <c r="A1115">
        <v>3402067443</v>
      </c>
      <c r="B1115" t="s">
        <v>23268</v>
      </c>
      <c r="C1115" t="s">
        <v>23269</v>
      </c>
    </row>
    <row r="1116" spans="1:3">
      <c r="A1116">
        <v>3402068077</v>
      </c>
      <c r="B1116" t="s">
        <v>20887</v>
      </c>
      <c r="C1116" t="s">
        <v>20886</v>
      </c>
    </row>
    <row r="1117" spans="1:3">
      <c r="A1117">
        <v>3404112112</v>
      </c>
      <c r="B1117" t="s">
        <v>23923</v>
      </c>
      <c r="C1117" t="s">
        <v>23924</v>
      </c>
    </row>
    <row r="1118" spans="1:3">
      <c r="A1118">
        <v>3404116158</v>
      </c>
      <c r="B1118" t="s">
        <v>20847</v>
      </c>
      <c r="C1118" t="s">
        <v>20846</v>
      </c>
    </row>
    <row r="1119" spans="1:3">
      <c r="A1119">
        <v>3404119933</v>
      </c>
      <c r="B1119" t="s">
        <v>22984</v>
      </c>
      <c r="C1119" t="s">
        <v>22985</v>
      </c>
    </row>
    <row r="1120" spans="1:3">
      <c r="A1120">
        <v>3606031560</v>
      </c>
      <c r="B1120" t="s">
        <v>25186</v>
      </c>
      <c r="C1120" t="s">
        <v>25187</v>
      </c>
    </row>
    <row r="1121" spans="1:3">
      <c r="A1121">
        <v>3759311037</v>
      </c>
      <c r="B1121" t="s">
        <v>23270</v>
      </c>
      <c r="C1121" t="s">
        <v>23271</v>
      </c>
    </row>
    <row r="1122" spans="1:3">
      <c r="A1122">
        <v>3759313469</v>
      </c>
      <c r="B1122" t="s">
        <v>23925</v>
      </c>
      <c r="C1122" t="s">
        <v>22779</v>
      </c>
    </row>
    <row r="1123" spans="1:3">
      <c r="A1123">
        <v>3901019739</v>
      </c>
      <c r="B1123" t="s">
        <v>21319</v>
      </c>
      <c r="C1123" t="s">
        <v>21320</v>
      </c>
    </row>
    <row r="1124" spans="1:3">
      <c r="A1124">
        <v>3901019740</v>
      </c>
      <c r="B1124" t="s">
        <v>21321</v>
      </c>
      <c r="C1124" t="s">
        <v>21322</v>
      </c>
    </row>
    <row r="1125" spans="1:3">
      <c r="A1125">
        <v>3901019741</v>
      </c>
      <c r="B1125" t="s">
        <v>21323</v>
      </c>
      <c r="C1125" t="s">
        <v>21324</v>
      </c>
    </row>
    <row r="1126" spans="1:3">
      <c r="A1126">
        <v>3913019989</v>
      </c>
      <c r="B1126" t="s">
        <v>22986</v>
      </c>
      <c r="C1126" t="s">
        <v>22987</v>
      </c>
    </row>
    <row r="1127" spans="1:3">
      <c r="A1127">
        <v>4407129611</v>
      </c>
      <c r="B1127" t="s">
        <v>21498</v>
      </c>
      <c r="C1127" t="s">
        <v>21499</v>
      </c>
    </row>
    <row r="1128" spans="1:3">
      <c r="A1128">
        <v>4407129612</v>
      </c>
      <c r="B1128" t="s">
        <v>21500</v>
      </c>
      <c r="C1128" t="s">
        <v>21501</v>
      </c>
    </row>
    <row r="1129" spans="1:3">
      <c r="A1129">
        <v>7301093991</v>
      </c>
      <c r="B1129" t="s">
        <v>21496</v>
      </c>
      <c r="C1129" t="s">
        <v>21125</v>
      </c>
    </row>
    <row r="1130" spans="1:3">
      <c r="A1130">
        <v>9210106966</v>
      </c>
      <c r="B1130" t="s">
        <v>21544</v>
      </c>
      <c r="C1130" t="s">
        <v>22137</v>
      </c>
    </row>
    <row r="1131" spans="1:3">
      <c r="A1131">
        <v>21115031228</v>
      </c>
      <c r="B1131" t="s">
        <v>23926</v>
      </c>
      <c r="C1131" t="s">
        <v>23927</v>
      </c>
    </row>
    <row r="1132" spans="1:3">
      <c r="A1132">
        <v>33011146819</v>
      </c>
      <c r="B1132" t="s">
        <v>20686</v>
      </c>
      <c r="C1132" t="s">
        <v>20685</v>
      </c>
    </row>
    <row r="1133" spans="1:3">
      <c r="A1133">
        <v>90103012167</v>
      </c>
      <c r="B1133" t="s">
        <v>24096</v>
      </c>
      <c r="C1133" t="s">
        <v>24097</v>
      </c>
    </row>
    <row r="1134" spans="1:3">
      <c r="A1134">
        <v>90104011405</v>
      </c>
      <c r="B1134" t="s">
        <v>20692</v>
      </c>
      <c r="C1134" t="s">
        <v>20691</v>
      </c>
    </row>
    <row r="1135" spans="1:3">
      <c r="A1135">
        <v>92101011194</v>
      </c>
      <c r="B1135" t="s">
        <v>23928</v>
      </c>
      <c r="C1135" t="s">
        <v>23929</v>
      </c>
    </row>
    <row r="1136" spans="1:3">
      <c r="A1136">
        <v>92101011195</v>
      </c>
      <c r="B1136" t="s">
        <v>23930</v>
      </c>
      <c r="C1136" t="s">
        <v>23931</v>
      </c>
    </row>
    <row r="1137" spans="1:3">
      <c r="A1137">
        <v>92101012057</v>
      </c>
      <c r="B1137" t="s">
        <v>25188</v>
      </c>
      <c r="C1137" t="s">
        <v>25189</v>
      </c>
    </row>
    <row r="1138" spans="1:3">
      <c r="A1138">
        <v>92101021443</v>
      </c>
      <c r="B1138" t="s">
        <v>24484</v>
      </c>
      <c r="C1138" t="s">
        <v>25190</v>
      </c>
    </row>
    <row r="1139" spans="1:3">
      <c r="A1139">
        <v>92101021444</v>
      </c>
      <c r="B1139" t="s">
        <v>24483</v>
      </c>
      <c r="C1139" t="s">
        <v>25191</v>
      </c>
    </row>
    <row r="1140" spans="1:3">
      <c r="A1140">
        <v>92101021520</v>
      </c>
      <c r="B1140" t="s">
        <v>25192</v>
      </c>
      <c r="C1140" t="s">
        <v>25193</v>
      </c>
    </row>
    <row r="1141" spans="1:3">
      <c r="A1141">
        <v>92101023339</v>
      </c>
      <c r="B1141" t="s">
        <v>25194</v>
      </c>
      <c r="C1141" t="s">
        <v>25195</v>
      </c>
    </row>
    <row r="1142" spans="1:3">
      <c r="A1142">
        <v>92101024090</v>
      </c>
      <c r="B1142" t="s">
        <v>25196</v>
      </c>
      <c r="C1142" t="s">
        <v>25197</v>
      </c>
    </row>
    <row r="1143" spans="1:3">
      <c r="A1143">
        <v>92101024091</v>
      </c>
      <c r="B1143" t="s">
        <v>25198</v>
      </c>
      <c r="C1143" t="s">
        <v>25199</v>
      </c>
    </row>
    <row r="1144" spans="1:3">
      <c r="A1144">
        <v>92101024095</v>
      </c>
      <c r="B1144" t="s">
        <v>25200</v>
      </c>
      <c r="C1144" t="s">
        <v>25201</v>
      </c>
    </row>
    <row r="1145" spans="1:3">
      <c r="A1145">
        <v>92101024471</v>
      </c>
      <c r="B1145" t="s">
        <v>20815</v>
      </c>
      <c r="C1145" t="s">
        <v>20814</v>
      </c>
    </row>
    <row r="1146" spans="1:3">
      <c r="A1146">
        <v>92101024472</v>
      </c>
      <c r="B1146" t="s">
        <v>25202</v>
      </c>
      <c r="C1146" t="s">
        <v>25203</v>
      </c>
    </row>
    <row r="1147" spans="1:3">
      <c r="A1147">
        <v>92101025515</v>
      </c>
      <c r="B1147" t="s">
        <v>22450</v>
      </c>
      <c r="C1147" t="s">
        <v>22451</v>
      </c>
    </row>
    <row r="1148" spans="1:3">
      <c r="A1148">
        <v>92101025896</v>
      </c>
      <c r="B1148" t="s">
        <v>25204</v>
      </c>
      <c r="C1148" t="s">
        <v>25205</v>
      </c>
    </row>
    <row r="1149" spans="1:3">
      <c r="A1149">
        <v>92101029021</v>
      </c>
      <c r="B1149" t="s">
        <v>20863</v>
      </c>
      <c r="C1149" t="s">
        <v>20862</v>
      </c>
    </row>
    <row r="1150" spans="1:3">
      <c r="A1150">
        <v>92101029029</v>
      </c>
      <c r="B1150" t="s">
        <v>20855</v>
      </c>
      <c r="C1150" t="s">
        <v>20854</v>
      </c>
    </row>
    <row r="1151" spans="1:3">
      <c r="A1151">
        <v>92101029034</v>
      </c>
      <c r="B1151" t="s">
        <v>20867</v>
      </c>
      <c r="C1151" t="s">
        <v>20866</v>
      </c>
    </row>
    <row r="1152" spans="1:3">
      <c r="A1152">
        <v>92101029863</v>
      </c>
      <c r="B1152" t="s">
        <v>22545</v>
      </c>
      <c r="C1152" t="s">
        <v>22546</v>
      </c>
    </row>
    <row r="1153" spans="1:3">
      <c r="A1153">
        <v>92101029865</v>
      </c>
      <c r="B1153" t="s">
        <v>22547</v>
      </c>
      <c r="C1153" t="s">
        <v>22548</v>
      </c>
    </row>
    <row r="1154" spans="1:3">
      <c r="A1154">
        <v>92101030429</v>
      </c>
      <c r="B1154" t="s">
        <v>20811</v>
      </c>
      <c r="C1154" t="s">
        <v>20810</v>
      </c>
    </row>
    <row r="1155" spans="1:3">
      <c r="A1155">
        <v>92101032357</v>
      </c>
      <c r="B1155" t="s">
        <v>25206</v>
      </c>
      <c r="C1155" t="s">
        <v>25207</v>
      </c>
    </row>
    <row r="1156" spans="1:3">
      <c r="A1156">
        <v>92101035362</v>
      </c>
      <c r="B1156" t="s">
        <v>20813</v>
      </c>
      <c r="C1156" t="s">
        <v>20812</v>
      </c>
    </row>
    <row r="1157" spans="1:3">
      <c r="A1157">
        <v>92101040169</v>
      </c>
      <c r="B1157" t="s">
        <v>21021</v>
      </c>
      <c r="C1157" t="s">
        <v>21020</v>
      </c>
    </row>
    <row r="1158" spans="1:3">
      <c r="A1158">
        <v>92101041103</v>
      </c>
      <c r="B1158" t="s">
        <v>20803</v>
      </c>
      <c r="C1158" t="s">
        <v>20802</v>
      </c>
    </row>
    <row r="1159" spans="1:3">
      <c r="A1159">
        <v>92101041677</v>
      </c>
      <c r="B1159" t="s">
        <v>22138</v>
      </c>
      <c r="C1159" t="s">
        <v>22139</v>
      </c>
    </row>
    <row r="1160" spans="1:3">
      <c r="A1160">
        <v>92101042056</v>
      </c>
      <c r="B1160" t="s">
        <v>25208</v>
      </c>
      <c r="C1160" t="s">
        <v>21003</v>
      </c>
    </row>
    <row r="1161" spans="1:3">
      <c r="A1161">
        <v>92101042462</v>
      </c>
      <c r="B1161" t="s">
        <v>20509</v>
      </c>
      <c r="C1161" t="s">
        <v>20508</v>
      </c>
    </row>
    <row r="1162" spans="1:3">
      <c r="A1162">
        <v>92101042469</v>
      </c>
      <c r="B1162" t="s">
        <v>22452</v>
      </c>
      <c r="C1162" t="s">
        <v>22453</v>
      </c>
    </row>
    <row r="1163" spans="1:3">
      <c r="A1163">
        <v>92101042483</v>
      </c>
      <c r="B1163" t="s">
        <v>25209</v>
      </c>
      <c r="C1163" t="s">
        <v>25210</v>
      </c>
    </row>
    <row r="1164" spans="1:3">
      <c r="A1164">
        <v>92101042492</v>
      </c>
      <c r="B1164" t="s">
        <v>20839</v>
      </c>
      <c r="C1164" t="s">
        <v>20838</v>
      </c>
    </row>
    <row r="1165" spans="1:3">
      <c r="A1165">
        <v>92101044086</v>
      </c>
      <c r="B1165" t="s">
        <v>20749</v>
      </c>
      <c r="C1165" t="s">
        <v>21419</v>
      </c>
    </row>
    <row r="1166" spans="1:3">
      <c r="A1166">
        <v>92101046444</v>
      </c>
      <c r="B1166" t="s">
        <v>22988</v>
      </c>
      <c r="C1166" t="s">
        <v>22989</v>
      </c>
    </row>
    <row r="1167" spans="1:3">
      <c r="A1167">
        <v>92101048603</v>
      </c>
      <c r="B1167" t="s">
        <v>22454</v>
      </c>
      <c r="C1167" t="s">
        <v>22455</v>
      </c>
    </row>
    <row r="1168" spans="1:3">
      <c r="A1168">
        <v>92101048606</v>
      </c>
      <c r="B1168" t="s">
        <v>22456</v>
      </c>
      <c r="C1168" t="s">
        <v>22457</v>
      </c>
    </row>
    <row r="1169" spans="1:3">
      <c r="A1169">
        <v>92101048650</v>
      </c>
      <c r="B1169" t="s">
        <v>20881</v>
      </c>
      <c r="C1169" t="s">
        <v>20880</v>
      </c>
    </row>
    <row r="1170" spans="1:3">
      <c r="A1170">
        <v>92101048652</v>
      </c>
      <c r="B1170" t="s">
        <v>20883</v>
      </c>
      <c r="C1170" t="s">
        <v>20882</v>
      </c>
    </row>
    <row r="1171" spans="1:3">
      <c r="A1171">
        <v>92101049640</v>
      </c>
      <c r="B1171" t="s">
        <v>22140</v>
      </c>
      <c r="C1171" t="s">
        <v>22141</v>
      </c>
    </row>
    <row r="1172" spans="1:3">
      <c r="A1172">
        <v>92101051870</v>
      </c>
      <c r="B1172" t="s">
        <v>22142</v>
      </c>
      <c r="C1172" t="s">
        <v>22143</v>
      </c>
    </row>
    <row r="1173" spans="1:3">
      <c r="A1173">
        <v>92101058046</v>
      </c>
      <c r="B1173" t="s">
        <v>22144</v>
      </c>
      <c r="C1173" t="s">
        <v>22145</v>
      </c>
    </row>
    <row r="1174" spans="1:3">
      <c r="A1174">
        <v>92101061044</v>
      </c>
      <c r="B1174" t="s">
        <v>24003</v>
      </c>
      <c r="C1174" t="s">
        <v>24098</v>
      </c>
    </row>
    <row r="1175" spans="1:3">
      <c r="A1175">
        <v>92101061045</v>
      </c>
      <c r="B1175" t="s">
        <v>24099</v>
      </c>
      <c r="C1175" t="s">
        <v>24100</v>
      </c>
    </row>
    <row r="1176" spans="1:3">
      <c r="A1176">
        <v>92101061046</v>
      </c>
      <c r="B1176" t="s">
        <v>24005</v>
      </c>
      <c r="C1176" t="s">
        <v>24101</v>
      </c>
    </row>
    <row r="1177" spans="1:3">
      <c r="A1177">
        <v>92101061047</v>
      </c>
      <c r="B1177" t="s">
        <v>24007</v>
      </c>
      <c r="C1177" t="s">
        <v>24102</v>
      </c>
    </row>
    <row r="1178" spans="1:3">
      <c r="A1178">
        <v>92101061048</v>
      </c>
      <c r="B1178" t="s">
        <v>24103</v>
      </c>
      <c r="C1178" t="s">
        <v>24104</v>
      </c>
    </row>
    <row r="1179" spans="1:3">
      <c r="A1179">
        <v>92101061049</v>
      </c>
      <c r="B1179" t="s">
        <v>24009</v>
      </c>
      <c r="C1179" t="s">
        <v>24105</v>
      </c>
    </row>
    <row r="1180" spans="1:3">
      <c r="A1180">
        <v>92101061050</v>
      </c>
      <c r="B1180" t="s">
        <v>24011</v>
      </c>
      <c r="C1180" t="s">
        <v>24106</v>
      </c>
    </row>
    <row r="1181" spans="1:3">
      <c r="A1181">
        <v>92101061051</v>
      </c>
      <c r="B1181" t="s">
        <v>24107</v>
      </c>
      <c r="C1181" t="s">
        <v>24108</v>
      </c>
    </row>
    <row r="1182" spans="1:3">
      <c r="A1182">
        <v>92101061052</v>
      </c>
      <c r="B1182" t="s">
        <v>24013</v>
      </c>
      <c r="C1182" t="s">
        <v>24109</v>
      </c>
    </row>
    <row r="1183" spans="1:3">
      <c r="A1183">
        <v>92101061573</v>
      </c>
      <c r="B1183" t="s">
        <v>25211</v>
      </c>
      <c r="C1183" t="s">
        <v>25212</v>
      </c>
    </row>
    <row r="1184" spans="1:3">
      <c r="A1184">
        <v>92101062494</v>
      </c>
      <c r="B1184" t="s">
        <v>22990</v>
      </c>
      <c r="C1184" t="s">
        <v>22991</v>
      </c>
    </row>
    <row r="1185" spans="1:3">
      <c r="A1185">
        <v>92101062495</v>
      </c>
      <c r="B1185" t="s">
        <v>22992</v>
      </c>
      <c r="C1185" t="s">
        <v>22993</v>
      </c>
    </row>
    <row r="1186" spans="1:3">
      <c r="A1186">
        <v>92101062691</v>
      </c>
      <c r="B1186" t="s">
        <v>23623</v>
      </c>
      <c r="C1186" t="s">
        <v>23624</v>
      </c>
    </row>
    <row r="1187" spans="1:3">
      <c r="A1187">
        <v>92101063344</v>
      </c>
      <c r="B1187" t="s">
        <v>25213</v>
      </c>
      <c r="C1187" t="s">
        <v>25214</v>
      </c>
    </row>
    <row r="1188" spans="1:3">
      <c r="A1188">
        <v>92101064032</v>
      </c>
      <c r="B1188" t="s">
        <v>20785</v>
      </c>
      <c r="C1188" t="s">
        <v>20784</v>
      </c>
    </row>
    <row r="1189" spans="1:3">
      <c r="A1189">
        <v>92101065362</v>
      </c>
      <c r="B1189" t="s">
        <v>24482</v>
      </c>
      <c r="C1189" t="s">
        <v>25215</v>
      </c>
    </row>
    <row r="1190" spans="1:3">
      <c r="A1190">
        <v>92101066000</v>
      </c>
      <c r="B1190" t="s">
        <v>21420</v>
      </c>
      <c r="C1190" t="s">
        <v>21421</v>
      </c>
    </row>
    <row r="1191" spans="1:3">
      <c r="A1191">
        <v>92101068053</v>
      </c>
      <c r="B1191" t="s">
        <v>25216</v>
      </c>
      <c r="C1191" t="s">
        <v>25217</v>
      </c>
    </row>
    <row r="1192" spans="1:3">
      <c r="A1192">
        <v>92101068151</v>
      </c>
      <c r="B1192" t="s">
        <v>22994</v>
      </c>
      <c r="C1192" t="s">
        <v>22995</v>
      </c>
    </row>
    <row r="1193" spans="1:3">
      <c r="A1193">
        <v>92101068570</v>
      </c>
      <c r="B1193" t="s">
        <v>22146</v>
      </c>
      <c r="C1193" t="s">
        <v>22147</v>
      </c>
    </row>
    <row r="1194" spans="1:3">
      <c r="A1194">
        <v>92101068610</v>
      </c>
      <c r="B1194" t="s">
        <v>22458</v>
      </c>
      <c r="C1194" t="s">
        <v>22459</v>
      </c>
    </row>
    <row r="1195" spans="1:3">
      <c r="A1195">
        <v>92101069533</v>
      </c>
      <c r="B1195" t="s">
        <v>21502</v>
      </c>
      <c r="C1195" t="s">
        <v>21503</v>
      </c>
    </row>
    <row r="1196" spans="1:3">
      <c r="A1196">
        <v>92101069534</v>
      </c>
      <c r="B1196" t="s">
        <v>21504</v>
      </c>
      <c r="C1196" t="s">
        <v>21505</v>
      </c>
    </row>
    <row r="1197" spans="1:3">
      <c r="A1197">
        <v>92101069535</v>
      </c>
      <c r="B1197" t="s">
        <v>21506</v>
      </c>
      <c r="C1197" t="s">
        <v>21507</v>
      </c>
    </row>
    <row r="1198" spans="1:3">
      <c r="A1198">
        <v>92101069537</v>
      </c>
      <c r="B1198" t="s">
        <v>21508</v>
      </c>
      <c r="C1198" t="s">
        <v>21509</v>
      </c>
    </row>
    <row r="1199" spans="1:3">
      <c r="A1199">
        <v>92101069580</v>
      </c>
      <c r="B1199" t="s">
        <v>21510</v>
      </c>
      <c r="C1199" t="s">
        <v>21511</v>
      </c>
    </row>
    <row r="1200" spans="1:3">
      <c r="A1200">
        <v>92101069581</v>
      </c>
      <c r="B1200" t="s">
        <v>21512</v>
      </c>
      <c r="C1200" t="s">
        <v>21513</v>
      </c>
    </row>
    <row r="1201" spans="1:3">
      <c r="A1201">
        <v>92101069582</v>
      </c>
      <c r="B1201" t="s">
        <v>21514</v>
      </c>
      <c r="C1201" t="s">
        <v>21515</v>
      </c>
    </row>
    <row r="1202" spans="1:3">
      <c r="A1202">
        <v>92101069583</v>
      </c>
      <c r="B1202" t="s">
        <v>21516</v>
      </c>
      <c r="C1202" t="s">
        <v>21517</v>
      </c>
    </row>
    <row r="1203" spans="1:3">
      <c r="A1203">
        <v>92101069584</v>
      </c>
      <c r="B1203" t="s">
        <v>22996</v>
      </c>
      <c r="C1203" t="s">
        <v>21518</v>
      </c>
    </row>
    <row r="1204" spans="1:3">
      <c r="A1204">
        <v>92101069585</v>
      </c>
      <c r="B1204" t="s">
        <v>22148</v>
      </c>
      <c r="C1204" t="s">
        <v>21519</v>
      </c>
    </row>
    <row r="1205" spans="1:3">
      <c r="A1205">
        <v>92101069586</v>
      </c>
      <c r="B1205" t="s">
        <v>21520</v>
      </c>
      <c r="C1205" t="s">
        <v>21521</v>
      </c>
    </row>
    <row r="1206" spans="1:3">
      <c r="A1206">
        <v>92101069590</v>
      </c>
      <c r="B1206" t="s">
        <v>21522</v>
      </c>
      <c r="C1206" t="s">
        <v>21523</v>
      </c>
    </row>
    <row r="1207" spans="1:3">
      <c r="A1207">
        <v>92101069591</v>
      </c>
      <c r="B1207" t="s">
        <v>21524</v>
      </c>
      <c r="C1207" t="s">
        <v>21525</v>
      </c>
    </row>
    <row r="1208" spans="1:3">
      <c r="A1208">
        <v>92101069592</v>
      </c>
      <c r="B1208" t="s">
        <v>21526</v>
      </c>
      <c r="C1208" t="s">
        <v>21527</v>
      </c>
    </row>
    <row r="1209" spans="1:3">
      <c r="A1209">
        <v>92101069593</v>
      </c>
      <c r="B1209" t="s">
        <v>21528</v>
      </c>
      <c r="C1209" t="s">
        <v>21529</v>
      </c>
    </row>
    <row r="1210" spans="1:3">
      <c r="A1210">
        <v>92101069594</v>
      </c>
      <c r="B1210" t="s">
        <v>21530</v>
      </c>
      <c r="C1210" t="s">
        <v>21531</v>
      </c>
    </row>
    <row r="1211" spans="1:3">
      <c r="A1211">
        <v>92101069595</v>
      </c>
      <c r="B1211" t="s">
        <v>21532</v>
      </c>
      <c r="C1211" t="s">
        <v>21533</v>
      </c>
    </row>
    <row r="1212" spans="1:3">
      <c r="A1212">
        <v>92101069596</v>
      </c>
      <c r="B1212" t="s">
        <v>22149</v>
      </c>
      <c r="C1212" t="s">
        <v>22150</v>
      </c>
    </row>
    <row r="1213" spans="1:3">
      <c r="A1213">
        <v>92101069597</v>
      </c>
      <c r="B1213" t="s">
        <v>22151</v>
      </c>
      <c r="C1213" t="s">
        <v>22152</v>
      </c>
    </row>
    <row r="1214" spans="1:3">
      <c r="A1214">
        <v>92101069598</v>
      </c>
      <c r="B1214" t="s">
        <v>22153</v>
      </c>
      <c r="C1214" t="s">
        <v>22154</v>
      </c>
    </row>
    <row r="1215" spans="1:3">
      <c r="A1215">
        <v>92101069599</v>
      </c>
      <c r="B1215" t="s">
        <v>22155</v>
      </c>
      <c r="C1215" t="s">
        <v>22156</v>
      </c>
    </row>
    <row r="1216" spans="1:3">
      <c r="A1216">
        <v>92101069600</v>
      </c>
      <c r="B1216" t="s">
        <v>22157</v>
      </c>
      <c r="C1216" t="s">
        <v>22158</v>
      </c>
    </row>
    <row r="1217" spans="1:3">
      <c r="A1217">
        <v>92101069601</v>
      </c>
      <c r="B1217" t="s">
        <v>22159</v>
      </c>
      <c r="C1217" t="s">
        <v>22160</v>
      </c>
    </row>
    <row r="1218" spans="1:3">
      <c r="A1218">
        <v>92101069655</v>
      </c>
      <c r="B1218" t="s">
        <v>21534</v>
      </c>
      <c r="C1218" t="s">
        <v>21535</v>
      </c>
    </row>
    <row r="1219" spans="1:3">
      <c r="A1219">
        <v>92101069656</v>
      </c>
      <c r="B1219" t="s">
        <v>21536</v>
      </c>
      <c r="C1219" t="s">
        <v>21537</v>
      </c>
    </row>
    <row r="1220" spans="1:3">
      <c r="A1220">
        <v>92101069657</v>
      </c>
      <c r="B1220" t="s">
        <v>21538</v>
      </c>
      <c r="C1220" t="s">
        <v>21539</v>
      </c>
    </row>
    <row r="1221" spans="1:3">
      <c r="A1221">
        <v>92101069659</v>
      </c>
      <c r="B1221" t="s">
        <v>21540</v>
      </c>
      <c r="C1221" t="s">
        <v>21541</v>
      </c>
    </row>
    <row r="1222" spans="1:3">
      <c r="A1222">
        <v>92101069661</v>
      </c>
      <c r="B1222" t="s">
        <v>21542</v>
      </c>
      <c r="C1222" t="s">
        <v>21543</v>
      </c>
    </row>
    <row r="1223" spans="1:3">
      <c r="A1223">
        <v>92101069665</v>
      </c>
      <c r="B1223" t="s">
        <v>21544</v>
      </c>
      <c r="C1223" t="s">
        <v>21545</v>
      </c>
    </row>
    <row r="1224" spans="1:3">
      <c r="A1224">
        <v>92101069667</v>
      </c>
      <c r="B1224" t="s">
        <v>21546</v>
      </c>
      <c r="C1224" t="s">
        <v>21547</v>
      </c>
    </row>
    <row r="1225" spans="1:3">
      <c r="A1225">
        <v>92101069668</v>
      </c>
      <c r="B1225" t="s">
        <v>21548</v>
      </c>
      <c r="C1225" t="s">
        <v>21549</v>
      </c>
    </row>
    <row r="1226" spans="1:3">
      <c r="A1226">
        <v>92101069672</v>
      </c>
      <c r="B1226" t="s">
        <v>21550</v>
      </c>
      <c r="C1226" t="s">
        <v>21551</v>
      </c>
    </row>
    <row r="1227" spans="1:3">
      <c r="A1227">
        <v>92101069674</v>
      </c>
      <c r="B1227" t="s">
        <v>21552</v>
      </c>
      <c r="C1227" t="s">
        <v>21553</v>
      </c>
    </row>
    <row r="1228" spans="1:3">
      <c r="A1228">
        <v>92101069862</v>
      </c>
      <c r="B1228" t="s">
        <v>22549</v>
      </c>
      <c r="C1228" t="s">
        <v>22550</v>
      </c>
    </row>
    <row r="1229" spans="1:3">
      <c r="A1229">
        <v>92101069934</v>
      </c>
      <c r="B1229" t="s">
        <v>22997</v>
      </c>
      <c r="C1229" t="s">
        <v>22998</v>
      </c>
    </row>
    <row r="1230" spans="1:3">
      <c r="A1230">
        <v>92101086445</v>
      </c>
      <c r="B1230" t="s">
        <v>22999</v>
      </c>
      <c r="C1230" t="s">
        <v>23000</v>
      </c>
    </row>
    <row r="1231" spans="1:3">
      <c r="A1231">
        <v>92101103020</v>
      </c>
      <c r="B1231" t="s">
        <v>23932</v>
      </c>
      <c r="C1231" t="s">
        <v>21025</v>
      </c>
    </row>
    <row r="1232" spans="1:3">
      <c r="A1232">
        <v>92101105008</v>
      </c>
      <c r="B1232" t="s">
        <v>23932</v>
      </c>
      <c r="C1232" t="s">
        <v>23625</v>
      </c>
    </row>
    <row r="1233" spans="1:3">
      <c r="A1233">
        <v>92101106136</v>
      </c>
      <c r="B1233" t="s">
        <v>23933</v>
      </c>
      <c r="C1233" t="s">
        <v>23934</v>
      </c>
    </row>
    <row r="1234" spans="1:3">
      <c r="A1234">
        <v>92101106140</v>
      </c>
      <c r="B1234" t="s">
        <v>23935</v>
      </c>
      <c r="C1234" t="s">
        <v>20946</v>
      </c>
    </row>
    <row r="1235" spans="1:3">
      <c r="A1235">
        <v>92101106303</v>
      </c>
      <c r="B1235" t="s">
        <v>22460</v>
      </c>
      <c r="C1235" t="s">
        <v>22461</v>
      </c>
    </row>
    <row r="1236" spans="1:3">
      <c r="A1236">
        <v>92101107950</v>
      </c>
      <c r="B1236" t="s">
        <v>23936</v>
      </c>
      <c r="C1236" t="s">
        <v>23937</v>
      </c>
    </row>
    <row r="1237" spans="1:3">
      <c r="A1237">
        <v>92101108564</v>
      </c>
      <c r="B1237" t="s">
        <v>21028</v>
      </c>
      <c r="C1237" t="s">
        <v>21027</v>
      </c>
    </row>
    <row r="1238" spans="1:3">
      <c r="A1238">
        <v>92101109025</v>
      </c>
      <c r="B1238" t="s">
        <v>20859</v>
      </c>
      <c r="C1238" t="s">
        <v>20858</v>
      </c>
    </row>
    <row r="1239" spans="1:3">
      <c r="A1239">
        <v>92101109688</v>
      </c>
      <c r="B1239" t="s">
        <v>21067</v>
      </c>
      <c r="C1239" t="s">
        <v>21066</v>
      </c>
    </row>
    <row r="1240" spans="1:3">
      <c r="A1240">
        <v>92101115802</v>
      </c>
      <c r="B1240" t="s">
        <v>22161</v>
      </c>
      <c r="C1240" t="s">
        <v>22162</v>
      </c>
    </row>
    <row r="1241" spans="1:3">
      <c r="A1241">
        <v>92101119171</v>
      </c>
      <c r="B1241" t="s">
        <v>20513</v>
      </c>
      <c r="C1241" t="s">
        <v>20512</v>
      </c>
    </row>
    <row r="1242" spans="1:3">
      <c r="A1242">
        <v>92101472178</v>
      </c>
      <c r="B1242" t="s">
        <v>20507</v>
      </c>
      <c r="C1242" t="s">
        <v>20506</v>
      </c>
    </row>
    <row r="1243" spans="1:3">
      <c r="A1243">
        <v>92101853643</v>
      </c>
      <c r="B1243" t="s">
        <v>20923</v>
      </c>
      <c r="C1243" t="s">
        <v>20922</v>
      </c>
    </row>
    <row r="1244" spans="1:3">
      <c r="A1244">
        <v>92101854217</v>
      </c>
      <c r="B1244" t="s">
        <v>22690</v>
      </c>
      <c r="C1244" t="s">
        <v>22691</v>
      </c>
    </row>
    <row r="1245" spans="1:3">
      <c r="A1245">
        <v>92101854218</v>
      </c>
      <c r="B1245" t="s">
        <v>20809</v>
      </c>
      <c r="C1245" t="s">
        <v>20808</v>
      </c>
    </row>
    <row r="1246" spans="1:3">
      <c r="A1246">
        <v>92101862252</v>
      </c>
      <c r="B1246" t="s">
        <v>22355</v>
      </c>
      <c r="C1246" t="s">
        <v>20999</v>
      </c>
    </row>
    <row r="1247" spans="1:3">
      <c r="A1247">
        <v>92102021373</v>
      </c>
      <c r="B1247" t="s">
        <v>25218</v>
      </c>
      <c r="C1247" t="s">
        <v>25219</v>
      </c>
    </row>
    <row r="1248" spans="1:3">
      <c r="A1248">
        <v>92102028607</v>
      </c>
      <c r="B1248" t="s">
        <v>22462</v>
      </c>
      <c r="C1248" t="s">
        <v>22463</v>
      </c>
    </row>
    <row r="1249" spans="1:3">
      <c r="A1249">
        <v>92102029035</v>
      </c>
      <c r="B1249" t="s">
        <v>20869</v>
      </c>
      <c r="C1249" t="s">
        <v>20868</v>
      </c>
    </row>
    <row r="1250" spans="1:3">
      <c r="A1250">
        <v>92102030432</v>
      </c>
      <c r="B1250" t="s">
        <v>24495</v>
      </c>
      <c r="C1250" t="s">
        <v>25220</v>
      </c>
    </row>
    <row r="1251" spans="1:3">
      <c r="A1251">
        <v>92102035363</v>
      </c>
      <c r="B1251" t="s">
        <v>20962</v>
      </c>
      <c r="C1251" t="s">
        <v>20961</v>
      </c>
    </row>
    <row r="1252" spans="1:3">
      <c r="A1252">
        <v>92102038512</v>
      </c>
      <c r="B1252" t="s">
        <v>20960</v>
      </c>
      <c r="C1252" t="s">
        <v>20959</v>
      </c>
    </row>
    <row r="1253" spans="1:3">
      <c r="A1253">
        <v>92102061200</v>
      </c>
      <c r="B1253" t="s">
        <v>23938</v>
      </c>
      <c r="C1253" t="s">
        <v>23939</v>
      </c>
    </row>
    <row r="1254" spans="1:3">
      <c r="A1254">
        <v>92102061201</v>
      </c>
      <c r="B1254" t="s">
        <v>23940</v>
      </c>
      <c r="C1254" t="s">
        <v>23941</v>
      </c>
    </row>
    <row r="1255" spans="1:3">
      <c r="A1255">
        <v>92102065087</v>
      </c>
      <c r="B1255" t="s">
        <v>22163</v>
      </c>
      <c r="C1255" t="s">
        <v>22164</v>
      </c>
    </row>
    <row r="1256" spans="1:3">
      <c r="A1256">
        <v>92102068609</v>
      </c>
      <c r="B1256" t="s">
        <v>22464</v>
      </c>
      <c r="C1256" t="s">
        <v>22465</v>
      </c>
    </row>
    <row r="1257" spans="1:3">
      <c r="A1257">
        <v>92102088509</v>
      </c>
      <c r="B1257" t="s">
        <v>20964</v>
      </c>
      <c r="C1257" t="s">
        <v>20963</v>
      </c>
    </row>
    <row r="1258" spans="1:3">
      <c r="A1258">
        <v>92102106137</v>
      </c>
      <c r="B1258" t="s">
        <v>23942</v>
      </c>
      <c r="C1258" t="s">
        <v>23943</v>
      </c>
    </row>
    <row r="1259" spans="1:3">
      <c r="A1259">
        <v>92102106141</v>
      </c>
      <c r="B1259" t="s">
        <v>23944</v>
      </c>
      <c r="C1259" t="s">
        <v>20948</v>
      </c>
    </row>
    <row r="1260" spans="1:3">
      <c r="A1260">
        <v>92102109022</v>
      </c>
      <c r="B1260" t="s">
        <v>20865</v>
      </c>
      <c r="C1260" t="s">
        <v>20864</v>
      </c>
    </row>
    <row r="1261" spans="1:3">
      <c r="A1261">
        <v>92102109026</v>
      </c>
      <c r="B1261" t="s">
        <v>20861</v>
      </c>
      <c r="C1261" t="s">
        <v>20860</v>
      </c>
    </row>
    <row r="1262" spans="1:3">
      <c r="A1262">
        <v>92102111810</v>
      </c>
      <c r="B1262" t="s">
        <v>24494</v>
      </c>
      <c r="C1262" t="s">
        <v>25221</v>
      </c>
    </row>
    <row r="1263" spans="1:3">
      <c r="A1263">
        <v>92102156030</v>
      </c>
      <c r="B1263" t="s">
        <v>21017</v>
      </c>
      <c r="C1263" t="s">
        <v>21016</v>
      </c>
    </row>
    <row r="1264" spans="1:3">
      <c r="A1264">
        <v>92102156032</v>
      </c>
      <c r="B1264" t="s">
        <v>20511</v>
      </c>
      <c r="C1264" t="s">
        <v>20510</v>
      </c>
    </row>
    <row r="1265" spans="1:3">
      <c r="A1265">
        <v>92102161511</v>
      </c>
      <c r="B1265" t="s">
        <v>25222</v>
      </c>
      <c r="C1265" t="s">
        <v>25223</v>
      </c>
    </row>
    <row r="1266" spans="1:3">
      <c r="A1266">
        <v>92102161512</v>
      </c>
      <c r="B1266" t="s">
        <v>25224</v>
      </c>
      <c r="C1266" t="s">
        <v>25225</v>
      </c>
    </row>
    <row r="1267" spans="1:3">
      <c r="A1267">
        <v>92102161513</v>
      </c>
      <c r="B1267" t="s">
        <v>25226</v>
      </c>
      <c r="C1267" t="s">
        <v>25227</v>
      </c>
    </row>
    <row r="1268" spans="1:3">
      <c r="A1268">
        <v>92102162423</v>
      </c>
      <c r="B1268" t="s">
        <v>25228</v>
      </c>
      <c r="C1268" t="s">
        <v>25229</v>
      </c>
    </row>
    <row r="1269" spans="1:3">
      <c r="A1269">
        <v>92102162494</v>
      </c>
      <c r="B1269" t="s">
        <v>20841</v>
      </c>
      <c r="C1269" t="s">
        <v>20840</v>
      </c>
    </row>
    <row r="1270" spans="1:3">
      <c r="A1270">
        <v>92102169628</v>
      </c>
      <c r="B1270" t="s">
        <v>22165</v>
      </c>
      <c r="C1270" t="s">
        <v>22166</v>
      </c>
    </row>
    <row r="1271" spans="1:3">
      <c r="A1271">
        <v>92102169641</v>
      </c>
      <c r="B1271" t="s">
        <v>22167</v>
      </c>
      <c r="C1271" t="s">
        <v>22168</v>
      </c>
    </row>
    <row r="1272" spans="1:3">
      <c r="A1272">
        <v>92102183931</v>
      </c>
      <c r="B1272" t="s">
        <v>25230</v>
      </c>
      <c r="C1272" t="s">
        <v>21001</v>
      </c>
    </row>
    <row r="1273" spans="1:3">
      <c r="A1273">
        <v>92102185287</v>
      </c>
      <c r="B1273" t="s">
        <v>25231</v>
      </c>
      <c r="C1273" t="s">
        <v>21005</v>
      </c>
    </row>
    <row r="1274" spans="1:3">
      <c r="A1274">
        <v>92102189030</v>
      </c>
      <c r="B1274" t="s">
        <v>20857</v>
      </c>
      <c r="C1274" t="s">
        <v>20856</v>
      </c>
    </row>
    <row r="1275" spans="1:3">
      <c r="A1275">
        <v>92102189901</v>
      </c>
      <c r="B1275" t="s">
        <v>22692</v>
      </c>
      <c r="C1275" t="s">
        <v>22693</v>
      </c>
    </row>
    <row r="1276" spans="1:3">
      <c r="A1276">
        <v>92102221241</v>
      </c>
      <c r="B1276" t="s">
        <v>23626</v>
      </c>
      <c r="C1276" t="s">
        <v>23627</v>
      </c>
    </row>
    <row r="1277" spans="1:3">
      <c r="A1277">
        <v>92102221243</v>
      </c>
      <c r="B1277" t="s">
        <v>23945</v>
      </c>
      <c r="C1277" t="s">
        <v>23946</v>
      </c>
    </row>
    <row r="1278" spans="1:3">
      <c r="A1278">
        <v>92102221562</v>
      </c>
      <c r="B1278" t="s">
        <v>25232</v>
      </c>
      <c r="C1278" t="s">
        <v>25233</v>
      </c>
    </row>
    <row r="1279" spans="1:3">
      <c r="A1279">
        <v>92102221564</v>
      </c>
      <c r="B1279" t="s">
        <v>25234</v>
      </c>
      <c r="C1279" t="s">
        <v>25235</v>
      </c>
    </row>
    <row r="1280" spans="1:3">
      <c r="A1280">
        <v>92102221571</v>
      </c>
      <c r="B1280" t="s">
        <v>25236</v>
      </c>
      <c r="C1280" t="s">
        <v>25237</v>
      </c>
    </row>
    <row r="1281" spans="1:3">
      <c r="A1281">
        <v>92102222748</v>
      </c>
      <c r="B1281" t="s">
        <v>25238</v>
      </c>
      <c r="C1281" t="s">
        <v>25239</v>
      </c>
    </row>
    <row r="1282" spans="1:3">
      <c r="A1282">
        <v>92102222749</v>
      </c>
      <c r="B1282" t="s">
        <v>23628</v>
      </c>
      <c r="C1282" t="s">
        <v>23629</v>
      </c>
    </row>
    <row r="1283" spans="1:3">
      <c r="A1283">
        <v>92102223273</v>
      </c>
      <c r="B1283" t="s">
        <v>23630</v>
      </c>
      <c r="C1283" t="s">
        <v>23631</v>
      </c>
    </row>
    <row r="1284" spans="1:3">
      <c r="A1284">
        <v>92102224401</v>
      </c>
      <c r="B1284" t="s">
        <v>20925</v>
      </c>
      <c r="C1284" t="s">
        <v>20924</v>
      </c>
    </row>
    <row r="1285" spans="1:3">
      <c r="A1285">
        <v>92102225856</v>
      </c>
      <c r="B1285" t="s">
        <v>23947</v>
      </c>
      <c r="C1285" t="s">
        <v>23948</v>
      </c>
    </row>
    <row r="1286" spans="1:3">
      <c r="A1286">
        <v>92102388538</v>
      </c>
      <c r="B1286" t="s">
        <v>20787</v>
      </c>
      <c r="C1286" t="s">
        <v>20786</v>
      </c>
    </row>
    <row r="1287" spans="1:3">
      <c r="A1287">
        <v>92102408617</v>
      </c>
      <c r="B1287" t="s">
        <v>25240</v>
      </c>
      <c r="C1287" t="s">
        <v>25241</v>
      </c>
    </row>
    <row r="1288" spans="1:3">
      <c r="A1288">
        <v>92102461479</v>
      </c>
      <c r="B1288" t="s">
        <v>25242</v>
      </c>
      <c r="C1288" t="s">
        <v>25243</v>
      </c>
    </row>
    <row r="1289" spans="1:3">
      <c r="A1289">
        <v>92102626395</v>
      </c>
      <c r="B1289" t="s">
        <v>21069</v>
      </c>
      <c r="C1289" t="s">
        <v>21068</v>
      </c>
    </row>
    <row r="1290" spans="1:3">
      <c r="A1290">
        <v>92102628604</v>
      </c>
      <c r="B1290" t="s">
        <v>22466</v>
      </c>
      <c r="C1290" t="s">
        <v>22467</v>
      </c>
    </row>
    <row r="1291" spans="1:3">
      <c r="A1291">
        <v>92102769859</v>
      </c>
      <c r="B1291" t="s">
        <v>22551</v>
      </c>
      <c r="C1291" t="s">
        <v>22552</v>
      </c>
    </row>
    <row r="1292" spans="1:3">
      <c r="A1292">
        <v>92102868562</v>
      </c>
      <c r="B1292" t="s">
        <v>25244</v>
      </c>
      <c r="C1292" t="s">
        <v>21029</v>
      </c>
    </row>
    <row r="1293" spans="1:3">
      <c r="A1293">
        <v>92102868565</v>
      </c>
      <c r="B1293" t="s">
        <v>25245</v>
      </c>
      <c r="C1293" t="s">
        <v>21031</v>
      </c>
    </row>
    <row r="1294" spans="1:3">
      <c r="A1294">
        <v>92103030437</v>
      </c>
      <c r="B1294" t="s">
        <v>22780</v>
      </c>
      <c r="C1294" t="s">
        <v>22781</v>
      </c>
    </row>
    <row r="1295" spans="1:3">
      <c r="A1295">
        <v>92103069294</v>
      </c>
      <c r="B1295" t="s">
        <v>20879</v>
      </c>
      <c r="C1295" t="s">
        <v>20878</v>
      </c>
    </row>
    <row r="1296" spans="1:3">
      <c r="A1296">
        <v>92103177961</v>
      </c>
      <c r="B1296" t="s">
        <v>23272</v>
      </c>
      <c r="C1296" t="s">
        <v>23273</v>
      </c>
    </row>
    <row r="1297" spans="1:3">
      <c r="A1297">
        <v>92104030438</v>
      </c>
      <c r="B1297" t="s">
        <v>25246</v>
      </c>
      <c r="C1297" t="s">
        <v>21102</v>
      </c>
    </row>
    <row r="1298" spans="1:3">
      <c r="A1298">
        <v>92104032519</v>
      </c>
      <c r="B1298" t="s">
        <v>20843</v>
      </c>
      <c r="C1298" t="s">
        <v>20842</v>
      </c>
    </row>
    <row r="1299" spans="1:3">
      <c r="A1299">
        <v>92104051541</v>
      </c>
      <c r="B1299" t="s">
        <v>25247</v>
      </c>
      <c r="C1299" t="s">
        <v>25248</v>
      </c>
    </row>
    <row r="1300" spans="1:3">
      <c r="A1300">
        <v>92104060733</v>
      </c>
      <c r="B1300" t="s">
        <v>25249</v>
      </c>
      <c r="C1300" t="s">
        <v>25250</v>
      </c>
    </row>
    <row r="1301" spans="1:3">
      <c r="A1301">
        <v>92104065539</v>
      </c>
      <c r="B1301" t="s">
        <v>22468</v>
      </c>
      <c r="C1301" t="s">
        <v>22469</v>
      </c>
    </row>
    <row r="1302" spans="1:3">
      <c r="A1302">
        <v>92104104000</v>
      </c>
      <c r="B1302" t="s">
        <v>20807</v>
      </c>
      <c r="C1302" t="s">
        <v>20806</v>
      </c>
    </row>
    <row r="1303" spans="1:3">
      <c r="A1303">
        <v>92104105945</v>
      </c>
      <c r="B1303" t="s">
        <v>22169</v>
      </c>
      <c r="C1303" t="s">
        <v>22170</v>
      </c>
    </row>
    <row r="1304" spans="1:3">
      <c r="A1304">
        <v>92104107588</v>
      </c>
      <c r="B1304" t="s">
        <v>25251</v>
      </c>
      <c r="C1304" t="s">
        <v>23001</v>
      </c>
    </row>
    <row r="1305" spans="1:3">
      <c r="A1305">
        <v>92104142469</v>
      </c>
      <c r="B1305" t="s">
        <v>25252</v>
      </c>
      <c r="C1305" t="s">
        <v>25253</v>
      </c>
    </row>
    <row r="1306" spans="1:3">
      <c r="A1306">
        <v>92104156036</v>
      </c>
      <c r="B1306" t="s">
        <v>20517</v>
      </c>
      <c r="C1306" t="s">
        <v>20516</v>
      </c>
    </row>
    <row r="1307" spans="1:3">
      <c r="A1307">
        <v>92104211563</v>
      </c>
      <c r="B1307" t="s">
        <v>25254</v>
      </c>
      <c r="C1307" t="s">
        <v>25255</v>
      </c>
    </row>
    <row r="1308" spans="1:3">
      <c r="A1308">
        <v>92104476208</v>
      </c>
      <c r="B1308" t="s">
        <v>21710</v>
      </c>
      <c r="C1308" t="s">
        <v>22171</v>
      </c>
    </row>
    <row r="1309" spans="1:3">
      <c r="A1309">
        <v>92104741028</v>
      </c>
      <c r="B1309" t="s">
        <v>23274</v>
      </c>
      <c r="C1309" t="s">
        <v>23275</v>
      </c>
    </row>
    <row r="1310" spans="1:3">
      <c r="A1310">
        <v>92104861371</v>
      </c>
      <c r="B1310" t="s">
        <v>25256</v>
      </c>
      <c r="C1310" t="s">
        <v>25257</v>
      </c>
    </row>
    <row r="1311" spans="1:3">
      <c r="A1311">
        <v>92104868377</v>
      </c>
      <c r="B1311" t="s">
        <v>22172</v>
      </c>
      <c r="C1311" t="s">
        <v>22173</v>
      </c>
    </row>
    <row r="1312" spans="1:3">
      <c r="A1312">
        <v>92105021460</v>
      </c>
      <c r="B1312" t="s">
        <v>25258</v>
      </c>
      <c r="C1312" t="s">
        <v>25259</v>
      </c>
    </row>
    <row r="1313" spans="1:3">
      <c r="A1313">
        <v>92105021461</v>
      </c>
      <c r="B1313" t="s">
        <v>25260</v>
      </c>
      <c r="C1313" t="s">
        <v>25261</v>
      </c>
    </row>
    <row r="1314" spans="1:3">
      <c r="A1314">
        <v>92105029730</v>
      </c>
      <c r="B1314" t="s">
        <v>21422</v>
      </c>
      <c r="C1314" t="s">
        <v>21423</v>
      </c>
    </row>
    <row r="1315" spans="1:3">
      <c r="A1315">
        <v>92105030439</v>
      </c>
      <c r="B1315" t="s">
        <v>20966</v>
      </c>
      <c r="C1315" t="s">
        <v>20965</v>
      </c>
    </row>
    <row r="1316" spans="1:3">
      <c r="A1316">
        <v>92105103272</v>
      </c>
      <c r="B1316" t="s">
        <v>20789</v>
      </c>
      <c r="C1316" t="s">
        <v>20788</v>
      </c>
    </row>
    <row r="1317" spans="1:3">
      <c r="A1317">
        <v>92105153932</v>
      </c>
      <c r="B1317" t="s">
        <v>25262</v>
      </c>
      <c r="C1317" t="s">
        <v>21007</v>
      </c>
    </row>
    <row r="1318" spans="1:3">
      <c r="A1318">
        <v>92105225860</v>
      </c>
      <c r="B1318" t="s">
        <v>20927</v>
      </c>
      <c r="C1318" t="s">
        <v>20926</v>
      </c>
    </row>
    <row r="1319" spans="1:3">
      <c r="A1319">
        <v>92105232467</v>
      </c>
      <c r="B1319" t="s">
        <v>23949</v>
      </c>
      <c r="C1319" t="s">
        <v>21033</v>
      </c>
    </row>
    <row r="1320" spans="1:3">
      <c r="A1320">
        <v>92105268542</v>
      </c>
      <c r="B1320" t="s">
        <v>20968</v>
      </c>
      <c r="C1320" t="s">
        <v>20967</v>
      </c>
    </row>
    <row r="1321" spans="1:3">
      <c r="A1321">
        <v>92105268543</v>
      </c>
      <c r="B1321" t="s">
        <v>20970</v>
      </c>
      <c r="C1321" t="s">
        <v>20969</v>
      </c>
    </row>
    <row r="1322" spans="1:3">
      <c r="A1322">
        <v>92107349031</v>
      </c>
      <c r="B1322" t="s">
        <v>20877</v>
      </c>
      <c r="C1322" t="s">
        <v>20876</v>
      </c>
    </row>
    <row r="1323" spans="1:3">
      <c r="A1323">
        <v>92108274001</v>
      </c>
      <c r="B1323" t="s">
        <v>20805</v>
      </c>
      <c r="C1323" t="s">
        <v>20804</v>
      </c>
    </row>
    <row r="1324" spans="1:3">
      <c r="A1324">
        <v>92108276037</v>
      </c>
      <c r="B1324" t="s">
        <v>20515</v>
      </c>
      <c r="C1324" t="s">
        <v>20514</v>
      </c>
    </row>
    <row r="1325" spans="1:3">
      <c r="A1325">
        <v>92108303842</v>
      </c>
      <c r="B1325" t="s">
        <v>20723</v>
      </c>
      <c r="C1325" t="s">
        <v>20722</v>
      </c>
    </row>
    <row r="1326" spans="1:3">
      <c r="A1326">
        <v>92108305292</v>
      </c>
      <c r="B1326" t="s">
        <v>22174</v>
      </c>
      <c r="C1326" t="s">
        <v>22175</v>
      </c>
    </row>
    <row r="1327" spans="1:3">
      <c r="A1327">
        <v>92108305867</v>
      </c>
      <c r="B1327" t="s">
        <v>22176</v>
      </c>
      <c r="C1327" t="s">
        <v>22177</v>
      </c>
    </row>
    <row r="1328" spans="1:3">
      <c r="A1328">
        <v>92108341082</v>
      </c>
      <c r="B1328" t="s">
        <v>23002</v>
      </c>
      <c r="C1328" t="s">
        <v>23003</v>
      </c>
    </row>
    <row r="1329" spans="1:3">
      <c r="A1329">
        <v>92108861372</v>
      </c>
      <c r="B1329" t="s">
        <v>25263</v>
      </c>
      <c r="C1329" t="s">
        <v>25264</v>
      </c>
    </row>
    <row r="1330" spans="1:3">
      <c r="A1330">
        <v>92109289836</v>
      </c>
      <c r="B1330" t="s">
        <v>22845</v>
      </c>
      <c r="C1330" t="s">
        <v>22370</v>
      </c>
    </row>
    <row r="1331" spans="1:3">
      <c r="A1331">
        <v>92109349023</v>
      </c>
      <c r="B1331" t="s">
        <v>20875</v>
      </c>
      <c r="C1331" t="s">
        <v>20874</v>
      </c>
    </row>
    <row r="1332" spans="1:3">
      <c r="A1332">
        <v>92110300739</v>
      </c>
      <c r="B1332" t="s">
        <v>21424</v>
      </c>
      <c r="C1332" t="s">
        <v>21425</v>
      </c>
    </row>
    <row r="1333" spans="1:3">
      <c r="A1333">
        <v>92110309903</v>
      </c>
      <c r="B1333" t="s">
        <v>22694</v>
      </c>
      <c r="C1333" t="s">
        <v>22695</v>
      </c>
    </row>
    <row r="1334" spans="1:3">
      <c r="A1334">
        <v>92110341323</v>
      </c>
      <c r="B1334" t="s">
        <v>24059</v>
      </c>
      <c r="C1334" t="s">
        <v>24110</v>
      </c>
    </row>
    <row r="1335" spans="1:3">
      <c r="A1335">
        <v>92110341324</v>
      </c>
      <c r="B1335" t="s">
        <v>24061</v>
      </c>
      <c r="C1335" t="s">
        <v>24111</v>
      </c>
    </row>
    <row r="1336" spans="1:3">
      <c r="A1336">
        <v>92110341325</v>
      </c>
      <c r="B1336" t="s">
        <v>24063</v>
      </c>
      <c r="C1336" t="s">
        <v>24112</v>
      </c>
    </row>
    <row r="1337" spans="1:3">
      <c r="A1337">
        <v>92110349027</v>
      </c>
      <c r="B1337" t="s">
        <v>20873</v>
      </c>
      <c r="C1337" t="s">
        <v>20872</v>
      </c>
    </row>
    <row r="1338" spans="1:3">
      <c r="A1338">
        <v>92110349032</v>
      </c>
      <c r="B1338" t="s">
        <v>20871</v>
      </c>
      <c r="C1338" t="s">
        <v>20870</v>
      </c>
    </row>
    <row r="1339" spans="1:3">
      <c r="A1339">
        <v>92111016797</v>
      </c>
      <c r="B1339" t="s">
        <v>24512</v>
      </c>
      <c r="C1339" t="s">
        <v>25265</v>
      </c>
    </row>
    <row r="1340" spans="1:3">
      <c r="A1340">
        <v>92111051310</v>
      </c>
      <c r="B1340" t="s">
        <v>24065</v>
      </c>
      <c r="C1340" t="s">
        <v>25266</v>
      </c>
    </row>
    <row r="1341" spans="1:3">
      <c r="A1341">
        <v>92111239728</v>
      </c>
      <c r="B1341" t="s">
        <v>21426</v>
      </c>
      <c r="C1341" t="s">
        <v>21427</v>
      </c>
    </row>
    <row r="1342" spans="1:3">
      <c r="A1342">
        <v>92112029729</v>
      </c>
      <c r="B1342" t="s">
        <v>22553</v>
      </c>
      <c r="C1342" t="s">
        <v>21428</v>
      </c>
    </row>
    <row r="1343" spans="1:3">
      <c r="A1343">
        <v>92115011196</v>
      </c>
      <c r="B1343" t="s">
        <v>23950</v>
      </c>
      <c r="C1343" t="s">
        <v>23951</v>
      </c>
    </row>
    <row r="1344" spans="1:3">
      <c r="A1344">
        <v>92115011197</v>
      </c>
      <c r="B1344" t="s">
        <v>23952</v>
      </c>
      <c r="C1344" t="s">
        <v>23953</v>
      </c>
    </row>
    <row r="1345" spans="1:3">
      <c r="A1345">
        <v>92115012380</v>
      </c>
      <c r="B1345" t="s">
        <v>25267</v>
      </c>
      <c r="C1345" t="s">
        <v>25268</v>
      </c>
    </row>
    <row r="1346" spans="1:3">
      <c r="A1346">
        <v>92115017839</v>
      </c>
      <c r="B1346" t="s">
        <v>20954</v>
      </c>
      <c r="C1346" t="s">
        <v>20953</v>
      </c>
    </row>
    <row r="1347" spans="1:3">
      <c r="A1347">
        <v>92115019755</v>
      </c>
      <c r="B1347" t="s">
        <v>22371</v>
      </c>
      <c r="C1347" t="s">
        <v>22372</v>
      </c>
    </row>
    <row r="1348" spans="1:3">
      <c r="A1348">
        <v>92115021017</v>
      </c>
      <c r="B1348" t="s">
        <v>25269</v>
      </c>
      <c r="C1348" t="s">
        <v>25270</v>
      </c>
    </row>
    <row r="1349" spans="1:3">
      <c r="A1349">
        <v>92115022043</v>
      </c>
      <c r="B1349" t="s">
        <v>22178</v>
      </c>
      <c r="C1349" t="s">
        <v>22179</v>
      </c>
    </row>
    <row r="1350" spans="1:3">
      <c r="A1350">
        <v>92115026552</v>
      </c>
      <c r="B1350" t="s">
        <v>25271</v>
      </c>
      <c r="C1350" t="s">
        <v>25272</v>
      </c>
    </row>
    <row r="1351" spans="1:3">
      <c r="A1351">
        <v>92115027838</v>
      </c>
      <c r="B1351" t="s">
        <v>20956</v>
      </c>
      <c r="C1351" t="s">
        <v>20955</v>
      </c>
    </row>
    <row r="1352" spans="1:3">
      <c r="A1352">
        <v>92115029024</v>
      </c>
      <c r="B1352" t="s">
        <v>20853</v>
      </c>
      <c r="C1352" t="s">
        <v>20852</v>
      </c>
    </row>
    <row r="1353" spans="1:3">
      <c r="A1353">
        <v>92115029937</v>
      </c>
      <c r="B1353" t="s">
        <v>22782</v>
      </c>
      <c r="C1353" t="s">
        <v>22783</v>
      </c>
    </row>
    <row r="1354" spans="1:3">
      <c r="A1354">
        <v>92115031230</v>
      </c>
      <c r="B1354" t="s">
        <v>23954</v>
      </c>
      <c r="C1354" t="s">
        <v>23955</v>
      </c>
    </row>
    <row r="1355" spans="1:3">
      <c r="A1355">
        <v>92115033023</v>
      </c>
      <c r="B1355" t="s">
        <v>23956</v>
      </c>
      <c r="C1355" t="s">
        <v>23957</v>
      </c>
    </row>
    <row r="1356" spans="1:3">
      <c r="A1356">
        <v>92115039919</v>
      </c>
      <c r="B1356" t="s">
        <v>23004</v>
      </c>
      <c r="C1356" t="s">
        <v>23005</v>
      </c>
    </row>
    <row r="1357" spans="1:3">
      <c r="A1357">
        <v>92115039920</v>
      </c>
      <c r="B1357" t="s">
        <v>23006</v>
      </c>
      <c r="C1357" t="s">
        <v>23007</v>
      </c>
    </row>
    <row r="1358" spans="1:3">
      <c r="A1358">
        <v>92115049028</v>
      </c>
      <c r="B1358" t="s">
        <v>20851</v>
      </c>
      <c r="C1358" t="s">
        <v>20850</v>
      </c>
    </row>
    <row r="1359" spans="1:3">
      <c r="A1359">
        <v>92115061459</v>
      </c>
      <c r="B1359" t="s">
        <v>25273</v>
      </c>
      <c r="C1359" t="s">
        <v>25274</v>
      </c>
    </row>
    <row r="1360" spans="1:3">
      <c r="A1360">
        <v>92115068916</v>
      </c>
      <c r="B1360" t="s">
        <v>22470</v>
      </c>
      <c r="C1360" t="s">
        <v>22471</v>
      </c>
    </row>
    <row r="1361" spans="1:3">
      <c r="A1361">
        <v>92115069902</v>
      </c>
      <c r="B1361" t="s">
        <v>22696</v>
      </c>
      <c r="C1361" t="s">
        <v>22697</v>
      </c>
    </row>
    <row r="1362" spans="1:3">
      <c r="A1362">
        <v>92115069906</v>
      </c>
      <c r="B1362" t="s">
        <v>22698</v>
      </c>
      <c r="C1362" t="s">
        <v>22699</v>
      </c>
    </row>
    <row r="1363" spans="1:3">
      <c r="A1363">
        <v>92115101374</v>
      </c>
      <c r="B1363" t="s">
        <v>25275</v>
      </c>
      <c r="C1363" t="s">
        <v>25276</v>
      </c>
    </row>
    <row r="1364" spans="1:3">
      <c r="A1364">
        <v>92115101375</v>
      </c>
      <c r="B1364" t="s">
        <v>25277</v>
      </c>
      <c r="C1364" t="s">
        <v>25278</v>
      </c>
    </row>
    <row r="1365" spans="1:3">
      <c r="A1365">
        <v>92115101376</v>
      </c>
      <c r="B1365" t="s">
        <v>25279</v>
      </c>
      <c r="C1365" t="s">
        <v>25280</v>
      </c>
    </row>
    <row r="1366" spans="1:3">
      <c r="A1366">
        <v>92115105214</v>
      </c>
      <c r="B1366" t="s">
        <v>24113</v>
      </c>
      <c r="C1366" t="s">
        <v>24114</v>
      </c>
    </row>
    <row r="1367" spans="1:3">
      <c r="A1367">
        <v>92115105215</v>
      </c>
      <c r="B1367" t="s">
        <v>24115</v>
      </c>
      <c r="C1367" t="s">
        <v>24116</v>
      </c>
    </row>
    <row r="1368" spans="1:3">
      <c r="A1368">
        <v>92115108563</v>
      </c>
      <c r="B1368" t="s">
        <v>21023</v>
      </c>
      <c r="C1368" t="s">
        <v>21022</v>
      </c>
    </row>
    <row r="1369" spans="1:3">
      <c r="A1369">
        <v>92115108584</v>
      </c>
      <c r="B1369" t="s">
        <v>21065</v>
      </c>
      <c r="C1369" t="s">
        <v>21064</v>
      </c>
    </row>
    <row r="1370" spans="1:3">
      <c r="A1370">
        <v>92115111609</v>
      </c>
      <c r="B1370" t="s">
        <v>20783</v>
      </c>
      <c r="C1370" t="s">
        <v>20782</v>
      </c>
    </row>
    <row r="1371" spans="1:3">
      <c r="A1371">
        <v>92115158605</v>
      </c>
      <c r="B1371" t="s">
        <v>22472</v>
      </c>
      <c r="C1371" t="s">
        <v>22473</v>
      </c>
    </row>
    <row r="1372" spans="1:3">
      <c r="A1372">
        <v>92115170167</v>
      </c>
      <c r="B1372" t="s">
        <v>24459</v>
      </c>
      <c r="C1372" t="s">
        <v>25281</v>
      </c>
    </row>
    <row r="1373" spans="1:3">
      <c r="A1373">
        <v>92115188608</v>
      </c>
      <c r="B1373" t="s">
        <v>22474</v>
      </c>
      <c r="C1373" t="s">
        <v>22475</v>
      </c>
    </row>
    <row r="1374" spans="1:3">
      <c r="A1374">
        <v>92115472176</v>
      </c>
      <c r="B1374" t="s">
        <v>20503</v>
      </c>
      <c r="C1374" t="s">
        <v>20502</v>
      </c>
    </row>
    <row r="1375" spans="1:3">
      <c r="A1375">
        <v>92115476413</v>
      </c>
      <c r="B1375" t="s">
        <v>20505</v>
      </c>
      <c r="C1375" t="s">
        <v>20504</v>
      </c>
    </row>
    <row r="1376" spans="1:3">
      <c r="A1376">
        <v>92115476972</v>
      </c>
      <c r="B1376" t="s">
        <v>22180</v>
      </c>
      <c r="C1376" t="s">
        <v>22181</v>
      </c>
    </row>
    <row r="1377" spans="1:3">
      <c r="A1377">
        <v>92115706142</v>
      </c>
      <c r="B1377" t="s">
        <v>20945</v>
      </c>
      <c r="C1377" t="s">
        <v>20944</v>
      </c>
    </row>
    <row r="1378" spans="1:3">
      <c r="A1378">
        <v>92115859033</v>
      </c>
      <c r="B1378" t="s">
        <v>20849</v>
      </c>
      <c r="C1378" t="s">
        <v>20848</v>
      </c>
    </row>
    <row r="1379" spans="1:3">
      <c r="A1379">
        <v>92115864092</v>
      </c>
      <c r="B1379" t="s">
        <v>24493</v>
      </c>
      <c r="C1379" t="s">
        <v>25282</v>
      </c>
    </row>
    <row r="1380" spans="1:3">
      <c r="A1380">
        <v>92115864093</v>
      </c>
      <c r="B1380" t="s">
        <v>25283</v>
      </c>
      <c r="C1380" t="s">
        <v>25284</v>
      </c>
    </row>
    <row r="1381" spans="1:3">
      <c r="A1381">
        <v>92115864094</v>
      </c>
      <c r="B1381" t="s">
        <v>25285</v>
      </c>
      <c r="C1381" t="s">
        <v>25286</v>
      </c>
    </row>
    <row r="1382" spans="1:3">
      <c r="A1382">
        <v>93101029897</v>
      </c>
      <c r="B1382" t="s">
        <v>22700</v>
      </c>
      <c r="C1382" t="s">
        <v>22701</v>
      </c>
    </row>
    <row r="1383" spans="1:3">
      <c r="A1383">
        <v>93103071198</v>
      </c>
      <c r="B1383" t="s">
        <v>23958</v>
      </c>
      <c r="C1383" t="s">
        <v>23959</v>
      </c>
    </row>
    <row r="1384" spans="1:3">
      <c r="A1384">
        <v>93103071199</v>
      </c>
      <c r="B1384" t="s">
        <v>23960</v>
      </c>
      <c r="C1384" t="s">
        <v>23961</v>
      </c>
    </row>
    <row r="1385" spans="1:3">
      <c r="A1385">
        <v>93103079861</v>
      </c>
      <c r="B1385" t="s">
        <v>22554</v>
      </c>
      <c r="C1385" t="s">
        <v>22555</v>
      </c>
    </row>
    <row r="1386" spans="1:3">
      <c r="A1386">
        <v>93105012478</v>
      </c>
      <c r="B1386" t="s">
        <v>23632</v>
      </c>
      <c r="C1386" t="s">
        <v>23633</v>
      </c>
    </row>
    <row r="1387" spans="1:3">
      <c r="A1387">
        <v>93110019727</v>
      </c>
      <c r="B1387" t="s">
        <v>21429</v>
      </c>
      <c r="C1387" t="s">
        <v>22182</v>
      </c>
    </row>
    <row r="1388" spans="1:3">
      <c r="A1388">
        <v>93111019860</v>
      </c>
      <c r="B1388" t="s">
        <v>22556</v>
      </c>
      <c r="C1388" t="s">
        <v>22557</v>
      </c>
    </row>
    <row r="1389" spans="1:3">
      <c r="A1389">
        <v>93111019868</v>
      </c>
      <c r="B1389" t="s">
        <v>22558</v>
      </c>
      <c r="C1389" t="s">
        <v>22559</v>
      </c>
    </row>
    <row r="1390" spans="1:3">
      <c r="A1390">
        <v>93161095337</v>
      </c>
      <c r="B1390" t="s">
        <v>21554</v>
      </c>
      <c r="C1390" t="s">
        <v>21555</v>
      </c>
    </row>
    <row r="1391" spans="1:3">
      <c r="A1391">
        <v>93161099734</v>
      </c>
      <c r="B1391" t="s">
        <v>21556</v>
      </c>
      <c r="C1391" t="s">
        <v>21557</v>
      </c>
    </row>
    <row r="1392" spans="1:3">
      <c r="A1392">
        <v>93161099735</v>
      </c>
      <c r="B1392" t="s">
        <v>21558</v>
      </c>
      <c r="C1392" t="s">
        <v>21559</v>
      </c>
    </row>
    <row r="1393" spans="1:3">
      <c r="A1393">
        <v>93161099736</v>
      </c>
      <c r="B1393" t="s">
        <v>21560</v>
      </c>
      <c r="C1393" t="s">
        <v>21561</v>
      </c>
    </row>
    <row r="1394" spans="1:3">
      <c r="A1394">
        <v>93161099737</v>
      </c>
      <c r="B1394" t="s">
        <v>21493</v>
      </c>
      <c r="C1394" t="s">
        <v>22183</v>
      </c>
    </row>
    <row r="1395" spans="1:3">
      <c r="A1395">
        <v>93161099738</v>
      </c>
      <c r="B1395" t="s">
        <v>21562</v>
      </c>
      <c r="C1395" t="s">
        <v>21563</v>
      </c>
    </row>
    <row r="1396" spans="1:3">
      <c r="A1396">
        <v>93402028510</v>
      </c>
      <c r="B1396" t="s">
        <v>20958</v>
      </c>
      <c r="C1396" t="s">
        <v>20957</v>
      </c>
    </row>
    <row r="1397" spans="1:3">
      <c r="A1397">
        <v>93402028511</v>
      </c>
      <c r="B1397" t="s">
        <v>20952</v>
      </c>
      <c r="C1397" t="s">
        <v>20951</v>
      </c>
    </row>
    <row r="1398" spans="1:3">
      <c r="A1398">
        <v>98111208582</v>
      </c>
      <c r="B1398" t="s">
        <v>23008</v>
      </c>
      <c r="C1398" t="s">
        <v>20950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AA1042682"/>
  <sheetViews>
    <sheetView tabSelected="1" topLeftCell="A14" zoomScaleNormal="100" zoomScaleSheetLayoutView="40" workbookViewId="0">
      <selection activeCell="C20" sqref="C20:Z1226"/>
    </sheetView>
  </sheetViews>
  <sheetFormatPr defaultColWidth="9.125" defaultRowHeight="14.25"/>
  <cols>
    <col min="1" max="1" width="2" bestFit="1" customWidth="1"/>
    <col min="2" max="2" width="39.625" bestFit="1" customWidth="1"/>
    <col min="3" max="3" width="13.125" style="28" bestFit="1" customWidth="1"/>
    <col min="4" max="4" width="8.875" style="5" customWidth="1"/>
    <col min="5" max="5" width="9.25" style="5" customWidth="1"/>
    <col min="6" max="6" width="55.75" style="28" bestFit="1" customWidth="1"/>
    <col min="7" max="7" width="24.625" style="2" customWidth="1"/>
    <col min="8" max="8" width="17.875" style="5" customWidth="1"/>
    <col min="9" max="9" width="136" style="28" customWidth="1"/>
    <col min="10" max="10" width="9.375" style="10" customWidth="1"/>
    <col min="11" max="11" width="10.75" style="6" customWidth="1"/>
    <col min="12" max="12" width="11.25" style="9" customWidth="1"/>
    <col min="13" max="13" width="15.125" style="6" customWidth="1"/>
    <col min="14" max="14" width="13.125" style="6" customWidth="1"/>
    <col min="15" max="15" width="11.875" style="18" customWidth="1"/>
    <col min="16" max="16" width="18.75" bestFit="1" customWidth="1"/>
    <col min="17" max="17" width="19.625" style="20" customWidth="1"/>
    <col min="18" max="18" width="12.25" style="8" customWidth="1"/>
    <col min="19" max="19" width="10.875" style="5" customWidth="1"/>
    <col min="20" max="20" width="14" style="5" customWidth="1"/>
    <col min="21" max="21" width="12" style="2" customWidth="1"/>
    <col min="22" max="22" width="13.25" style="11" customWidth="1"/>
    <col min="23" max="23" width="16.75" style="22" customWidth="1"/>
    <col min="24" max="24" width="11" style="17" customWidth="1"/>
    <col min="25" max="25" width="17.25" style="5" customWidth="1"/>
    <col min="26" max="26" width="22" style="27" customWidth="1"/>
    <col min="27" max="27" width="23.375" bestFit="1" customWidth="1"/>
  </cols>
  <sheetData>
    <row r="4" spans="2:27" ht="45">
      <c r="B4" s="14" t="s">
        <v>22328</v>
      </c>
      <c r="C4" s="72" t="s">
        <v>20424</v>
      </c>
      <c r="D4" s="13" t="s">
        <v>6229</v>
      </c>
      <c r="E4" s="13" t="s">
        <v>6230</v>
      </c>
      <c r="F4" s="72" t="s">
        <v>6231</v>
      </c>
      <c r="G4" s="13" t="s">
        <v>6232</v>
      </c>
      <c r="H4" s="13" t="s">
        <v>6258</v>
      </c>
      <c r="I4" s="72" t="s">
        <v>6233</v>
      </c>
      <c r="J4" s="15" t="s">
        <v>6234</v>
      </c>
      <c r="K4" s="85" t="s">
        <v>6235</v>
      </c>
      <c r="L4" s="15" t="s">
        <v>6236</v>
      </c>
      <c r="M4" s="85" t="s">
        <v>6257</v>
      </c>
      <c r="N4" s="81" t="s">
        <v>6237</v>
      </c>
      <c r="O4" s="15" t="s">
        <v>6259</v>
      </c>
      <c r="P4" s="13" t="s">
        <v>6248</v>
      </c>
      <c r="Q4" s="15" t="s">
        <v>6238</v>
      </c>
      <c r="R4" s="15" t="s">
        <v>6239</v>
      </c>
      <c r="S4" s="13" t="s">
        <v>6240</v>
      </c>
      <c r="T4" s="13" t="s">
        <v>6241</v>
      </c>
      <c r="U4" s="13" t="s">
        <v>6242</v>
      </c>
      <c r="V4" s="13" t="s">
        <v>6243</v>
      </c>
      <c r="W4" s="21" t="s">
        <v>6244</v>
      </c>
      <c r="X4" s="16" t="s">
        <v>6245</v>
      </c>
      <c r="Y4" s="13" t="s">
        <v>6246</v>
      </c>
      <c r="Z4" s="13" t="s">
        <v>6247</v>
      </c>
      <c r="AA4" s="13" t="s">
        <v>6249</v>
      </c>
    </row>
    <row r="5" spans="2:27" ht="15">
      <c r="B5" s="12"/>
      <c r="C5" s="28" t="str" cm="1">
        <f t="array" aca="1" ref="C5" ca="1">IFERROR(_xlfn._xlws.FILTER(TAB_OFICINAS[],TAB_OFICINAS[NF OFICINA]=B5)," ")</f>
        <v xml:space="preserve"> </v>
      </c>
    </row>
    <row r="6" spans="2:27">
      <c r="C6" s="2"/>
      <c r="I6" s="2"/>
    </row>
    <row r="7" spans="2:27">
      <c r="C7" s="2"/>
      <c r="I7" s="2"/>
    </row>
    <row r="15" spans="2:27">
      <c r="D15" s="5" t="s">
        <v>21395</v>
      </c>
    </row>
    <row r="20" spans="2:26" ht="28.5">
      <c r="B20" t="s">
        <v>21395</v>
      </c>
      <c r="C20" s="89" t="s">
        <v>24264</v>
      </c>
      <c r="D20" s="89" t="s">
        <v>6229</v>
      </c>
      <c r="E20" s="89" t="s">
        <v>6230</v>
      </c>
      <c r="F20" s="89" t="s">
        <v>6231</v>
      </c>
      <c r="G20" s="89" t="s">
        <v>6232</v>
      </c>
      <c r="H20" s="89" t="s">
        <v>6258</v>
      </c>
      <c r="I20" s="89" t="s">
        <v>6233</v>
      </c>
      <c r="J20" s="71" t="s">
        <v>6234</v>
      </c>
      <c r="K20" s="127" t="s">
        <v>6235</v>
      </c>
      <c r="L20" s="71" t="s">
        <v>6236</v>
      </c>
      <c r="M20" s="128" t="s">
        <v>6257</v>
      </c>
      <c r="N20" s="128" t="s">
        <v>6237</v>
      </c>
      <c r="O20" s="71" t="s">
        <v>6259</v>
      </c>
      <c r="P20" s="89" t="s">
        <v>6248</v>
      </c>
      <c r="Q20" s="71" t="s">
        <v>6238</v>
      </c>
      <c r="R20" s="71" t="s">
        <v>6239</v>
      </c>
      <c r="S20" s="89" t="s">
        <v>6240</v>
      </c>
      <c r="T20" s="89" t="s">
        <v>6241</v>
      </c>
      <c r="U20" s="129" t="s">
        <v>6243</v>
      </c>
      <c r="V20" s="129" t="s">
        <v>6244</v>
      </c>
      <c r="W20" s="128" t="s">
        <v>6245</v>
      </c>
      <c r="X20" s="89" t="s">
        <v>6246</v>
      </c>
      <c r="Y20" s="89" t="s">
        <v>6247</v>
      </c>
      <c r="Z20" s="89" t="s">
        <v>6249</v>
      </c>
    </row>
    <row r="21" spans="2:26" hidden="1">
      <c r="C21" s="28" t="s">
        <v>15</v>
      </c>
      <c r="D21" s="5">
        <v>1942</v>
      </c>
      <c r="E21" s="5">
        <v>22842</v>
      </c>
      <c r="F21" s="28" t="str">
        <f>IFERROR(VLOOKUP(TAB_OFICINAS[[#This Row],[Cliente]],LISTA_DE_CLIENTES[[Código]:[Nome Fantasia]],2,FALSE),"")</f>
        <v>ONCO STAR SP ONCOLOGIA LTDA (REDE D´OR)</v>
      </c>
      <c r="G21" s="5" t="str">
        <f>IFERROR(VLOOKUP(TAB_OFICINAS[[#This Row],[Cliente]],LISTA_DE_CLIENTES[[Código]:[Nome Fantasia]],3,FALSE),"")</f>
        <v>R DOR VILA NOVA STAR</v>
      </c>
      <c r="H21" s="63">
        <v>2103062485</v>
      </c>
      <c r="I21" s="28" t="s">
        <v>20770</v>
      </c>
      <c r="J21" s="91">
        <v>1474</v>
      </c>
      <c r="K21" s="86">
        <v>46078</v>
      </c>
      <c r="L21" s="10">
        <v>1474</v>
      </c>
      <c r="M21" s="6">
        <v>46090</v>
      </c>
      <c r="N21" s="6">
        <v>46090</v>
      </c>
      <c r="O21" s="19">
        <f>TAB_OFICINAS[[#This Row],[Data Retorno Produção]]-TAB_OFICINAS[[#This Row],[Data Prometida  Entrega]]</f>
        <v>0</v>
      </c>
      <c r="P21" s="40" t="str">
        <f>IF(TAB_OFICINAS[[#This Row],[Dias Para Entrega]]&lt;=0,"Em dia","Dia de Atrasado")</f>
        <v>Em dia</v>
      </c>
      <c r="Q21" s="10">
        <f>IFERROR(TAB_OFICINAS[[#This Row],[Qtd pçs Enviadas]]-TAB_OFICINAS[[#This Row],[Qtd pçs Retornadas ]]," ")</f>
        <v>0</v>
      </c>
      <c r="R21" s="10">
        <v>0</v>
      </c>
      <c r="S21" s="5">
        <v>638</v>
      </c>
      <c r="T21" s="5">
        <v>16982</v>
      </c>
      <c r="U21" s="52">
        <v>3.85</v>
      </c>
      <c r="V21" s="44">
        <f>IFERROR(TAB_OFICINAS[[#This Row],[Valor Unit]]*TAB_OFICINAS[[#This Row],[Qtd pçs Enviadas]]," ")</f>
        <v>5674.9000000000005</v>
      </c>
      <c r="W21" s="17">
        <v>46097</v>
      </c>
      <c r="X21" s="5" t="s">
        <v>6251</v>
      </c>
      <c r="Y21" s="27" t="s">
        <v>21378</v>
      </c>
      <c r="Z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" spans="2:26" hidden="1">
      <c r="C22" s="28" t="s">
        <v>15</v>
      </c>
      <c r="D22" s="5">
        <v>1942</v>
      </c>
      <c r="E22" s="5">
        <v>22995</v>
      </c>
      <c r="F22" s="28" t="str">
        <f>IFERROR(VLOOKUP(TAB_OFICINAS[[#This Row],[Cliente]],LISTA_DE_CLIENTES[[Código]:[Nome Fantasia]],2,FALSE),"")</f>
        <v>ONCO STAR SP ONCOLOGIA LTDA (REDE D´OR)</v>
      </c>
      <c r="G22" s="5" t="str">
        <f>IFERROR(VLOOKUP(TAB_OFICINAS[[#This Row],[Cliente]],LISTA_DE_CLIENTES[[Código]:[Nome Fantasia]],3,FALSE),"")</f>
        <v>R DOR VILA NOVA STAR</v>
      </c>
      <c r="H22" s="63">
        <v>2103062485</v>
      </c>
      <c r="I22" s="75" t="s">
        <v>22768</v>
      </c>
      <c r="J22" s="91">
        <v>1470</v>
      </c>
      <c r="K22" s="86">
        <v>46153</v>
      </c>
      <c r="L22" s="10">
        <v>1470</v>
      </c>
      <c r="M22" s="6">
        <v>46164</v>
      </c>
      <c r="N22" s="6">
        <v>46164</v>
      </c>
      <c r="O22" s="19">
        <f>TAB_OFICINAS[[#This Row],[Data Retorno Produção]]-TAB_OFICINAS[[#This Row],[Data Prometida  Entrega]]</f>
        <v>0</v>
      </c>
      <c r="P22" s="40" t="str">
        <f>IF(TAB_OFICINAS[[#This Row],[Dias Para Entrega]]&lt;=0,"Em dia","Dia de Atrasado")</f>
        <v>Em dia</v>
      </c>
      <c r="Q22" s="10">
        <f>IFERROR(TAB_OFICINAS[[#This Row],[Qtd pçs Enviadas]]-TAB_OFICINAS[[#This Row],[Qtd pçs Retornadas ]]," ")</f>
        <v>0</v>
      </c>
      <c r="R22" s="10"/>
      <c r="S22" s="5">
        <v>833</v>
      </c>
      <c r="T22" s="5">
        <v>17256</v>
      </c>
      <c r="U22" s="52">
        <v>3.85</v>
      </c>
      <c r="V22" s="44">
        <f>IFERROR(TAB_OFICINAS[[#This Row],[Valor Unit]]*TAB_OFICINAS[[#This Row],[Qtd pçs Enviadas]]," ")</f>
        <v>5659.5</v>
      </c>
      <c r="W22" s="17">
        <v>46169</v>
      </c>
      <c r="X22" s="5" t="s">
        <v>6251</v>
      </c>
      <c r="Y22" s="27" t="s">
        <v>21378</v>
      </c>
      <c r="Z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" spans="2:26" ht="28.5" hidden="1">
      <c r="C23" s="28" t="s">
        <v>21197</v>
      </c>
      <c r="D23" s="5">
        <v>526</v>
      </c>
      <c r="E23" s="5">
        <v>22919</v>
      </c>
      <c r="F23" s="28" t="str">
        <f>IFERROR(VLOOKUP(TAB_OFICINAS[[#This Row],[Cliente]],LISTA_DE_CLIENTES[[Código]:[Nome Fantasia]],2,FALSE),"")</f>
        <v>ATMOSFERA GESTAO E HIGIENIZACAO DE TEXTEIS S.A.</v>
      </c>
      <c r="G23" s="5" t="str">
        <f>IFERROR(VLOOKUP(TAB_OFICINAS[[#This Row],[Cliente]],LISTA_DE_CLIENTES[[Código]:[Nome Fantasia]],3,FALSE),"")</f>
        <v>ATMOSFERA ST BARBARA</v>
      </c>
      <c r="H23" s="63">
        <v>92102769767</v>
      </c>
      <c r="I23" s="28" t="s">
        <v>21018</v>
      </c>
      <c r="J23" s="91">
        <v>150</v>
      </c>
      <c r="K23" s="86">
        <v>46091</v>
      </c>
      <c r="L23" s="10">
        <v>150</v>
      </c>
      <c r="M23" s="6">
        <v>46101</v>
      </c>
      <c r="N23" s="6">
        <v>46101</v>
      </c>
      <c r="O23" s="19">
        <f>TAB_OFICINAS[[#This Row],[Data Retorno Produção]]-TAB_OFICINAS[[#This Row],[Data Prometida  Entrega]]</f>
        <v>0</v>
      </c>
      <c r="P23" s="40" t="str">
        <f>IF(TAB_OFICINAS[[#This Row],[Dias Para Entrega]]&lt;=0,"Em dia","Dia de Atrasado")</f>
        <v>Em dia</v>
      </c>
      <c r="Q23" s="10">
        <v>0</v>
      </c>
      <c r="R23" s="10"/>
      <c r="S23" s="5">
        <v>674</v>
      </c>
      <c r="T23" s="5">
        <v>39</v>
      </c>
      <c r="U23" s="52">
        <v>10</v>
      </c>
      <c r="V23" s="44">
        <f>IFERROR(TAB_OFICINAS[[#This Row],[Valor Unit]]*TAB_OFICINAS[[#This Row],[Qtd pçs Enviadas]]," ")</f>
        <v>1500</v>
      </c>
      <c r="W23" s="17">
        <v>46111</v>
      </c>
      <c r="X23" s="5" t="s">
        <v>6251</v>
      </c>
      <c r="Y23" s="27" t="s">
        <v>21396</v>
      </c>
      <c r="Z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" spans="2:26" ht="42.75" hidden="1">
      <c r="C24" s="28" t="s">
        <v>15</v>
      </c>
      <c r="D24" s="5">
        <v>1941</v>
      </c>
      <c r="E24" s="5">
        <v>22802</v>
      </c>
      <c r="F24" s="28" t="str">
        <f>IFERROR(VLOOKUP(TAB_OFICINAS[[#This Row],[Cliente]],LISTA_DE_CLIENTES[[Código]:[Nome Fantasia]],2,FALSE),"")</f>
        <v>HOSPITAIS INTEGRADOS DA GAVEA S/A</v>
      </c>
      <c r="G24" s="5" t="str">
        <f>IFERROR(VLOOKUP(TAB_OFICINAS[[#This Row],[Cliente]],LISTA_DE_CLIENTES[[Código]:[Nome Fantasia]],3,FALSE),"")</f>
        <v>REDE D´OR - DF STAR</v>
      </c>
      <c r="H24" s="63">
        <v>2103062485</v>
      </c>
      <c r="I24" s="28" t="s">
        <v>20770</v>
      </c>
      <c r="J24" s="91">
        <v>1369</v>
      </c>
      <c r="K24" s="86">
        <v>46066</v>
      </c>
      <c r="L24" s="10">
        <v>1369</v>
      </c>
      <c r="M24" s="6">
        <v>46078</v>
      </c>
      <c r="N24" s="6">
        <v>46078</v>
      </c>
      <c r="O24" s="19">
        <f>TAB_OFICINAS[[#This Row],[Data Retorno Produção]]-TAB_OFICINAS[[#This Row],[Data Prometida  Entrega]]</f>
        <v>0</v>
      </c>
      <c r="P24" s="40" t="str">
        <f>IF(TAB_OFICINAS[[#This Row],[Dias Para Entrega]]&lt;=0,"Em dia","Dia de Atrasado")</f>
        <v>Em dia</v>
      </c>
      <c r="Q24" s="10">
        <f>IFERROR(TAB_OFICINAS[[#This Row],[Qtd pçs Enviadas]]-TAB_OFICINAS[[#This Row],[Qtd pçs Retornadas ]]," ")</f>
        <v>0</v>
      </c>
      <c r="R24" s="10">
        <v>1</v>
      </c>
      <c r="S24" s="5">
        <v>596</v>
      </c>
      <c r="T24" s="5">
        <v>16966</v>
      </c>
      <c r="U24" s="52">
        <v>3.85</v>
      </c>
      <c r="V24" s="44">
        <f>IFERROR(TAB_OFICINAS[[#This Row],[Valor Unit]]*TAB_OFICINAS[[#This Row],[Qtd pçs Enviadas]]," ")</f>
        <v>5270.6500000000005</v>
      </c>
      <c r="W24" s="17">
        <v>46085</v>
      </c>
      <c r="X24" s="5" t="s">
        <v>6251</v>
      </c>
      <c r="Y24" s="27" t="s">
        <v>21330</v>
      </c>
      <c r="Z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" spans="2:26" ht="28.5" hidden="1">
      <c r="C25" s="28" t="s">
        <v>3</v>
      </c>
      <c r="D25" s="5">
        <v>1146</v>
      </c>
      <c r="E25" s="5">
        <v>23630</v>
      </c>
      <c r="F25" s="28" t="str">
        <f>IFERROR(VLOOKUP(TAB_OFICINAS[[#This Row],[Cliente]],LISTA_DE_CLIENTES[[Código]:[Nome Fantasia]],2,FALSE),"")</f>
        <v>EMILIANO RJ EMPREENDIMENTOS E PARTICIPACOES HOTELE</v>
      </c>
      <c r="G25" s="2" t="str">
        <f>IFERROR(VLOOKUP(TAB_OFICINAS[[#This Row],[Cliente]],LISTA_DE_CLIENTES[[Código]:[Nome Fantasia]],3,FALSE),"")</f>
        <v>EMILIANO RIO JANEIRO</v>
      </c>
      <c r="H25" s="63">
        <v>2201021020</v>
      </c>
      <c r="I25" s="28" t="str">
        <f>IFERROR(VLOOKUP(TAB_OFICINAS[[#This Row],[Codigo Produto ]],_000___PEDIDOS_DE_CLIENTES[[Data.Column2]:[Descrição Produto]],2,FALSE)," ")</f>
        <v>GUARDANAPO CLASSIC BARRA 2cm - 80% ALGODÃO E 20% LINHO COR CRU 396 - 0,35 X 0,40</v>
      </c>
      <c r="J25" s="91">
        <v>1007</v>
      </c>
      <c r="K25" s="86">
        <v>46189</v>
      </c>
      <c r="L25" s="34">
        <v>1005</v>
      </c>
      <c r="M25" s="6">
        <v>46209</v>
      </c>
      <c r="N25" s="6">
        <v>46206</v>
      </c>
      <c r="O25" s="19">
        <f>TAB_OFICINAS[[#This Row],[Data Retorno Produção]]-TAB_OFICINAS[[#This Row],[Data Prometida  Entrega]]</f>
        <v>-3</v>
      </c>
      <c r="P25" s="40" t="str">
        <f>IF(TAB_OFICINAS[[#This Row],[Dias Para Entrega]]&lt;=0,"Em dia","Dia de Atrasado")</f>
        <v>Em dia</v>
      </c>
      <c r="Q25" s="10">
        <f>IFERROR(TAB_OFICINAS[[#This Row],[Qtd pçs Enviadas]]-TAB_OFICINAS[[#This Row],[Qtd pçs Retornadas ]]," ")</f>
        <v>2</v>
      </c>
      <c r="R25" s="10"/>
      <c r="S25" s="5">
        <v>3273</v>
      </c>
      <c r="T25" s="5">
        <v>115</v>
      </c>
      <c r="U25" s="1">
        <v>6</v>
      </c>
      <c r="V25" s="3">
        <f>IFERROR(TAB_OFICINAS[[#This Row],[Valor Unit]]*TAB_OFICINAS[[#This Row],[Qtd pçs Enviadas]]," ")</f>
        <v>6042</v>
      </c>
      <c r="W25" s="17">
        <v>46216</v>
      </c>
      <c r="X25" s="5" t="s">
        <v>6251</v>
      </c>
      <c r="Y25" s="97" t="s">
        <v>23458</v>
      </c>
      <c r="Z25" s="40" t="str">
        <f>IF(TAB_OFICINAS[[#This Row],[Qtd pçs Enviadas]]=TAB_OFICINAS[[#This Row],[Qtd pçs Retornadas ]],"Produção Finalizada",TAB_OFICINAS[[#This Row],[Qtd pçs Pendetente ]] &amp; " " &amp; "Pçs Pendente")</f>
        <v>2 Pçs Pendente</v>
      </c>
    </row>
    <row r="26" spans="2:26" hidden="1">
      <c r="C26" s="28" t="s">
        <v>15</v>
      </c>
      <c r="D26" s="5">
        <v>5391</v>
      </c>
      <c r="E26" s="5">
        <v>22892</v>
      </c>
      <c r="F26" s="28" t="str">
        <f>IFERROR(VLOOKUP(TAB_OFICINAS[[#This Row],[Cliente]],LISTA_DE_CLIENTES[[Código]:[Nome Fantasia]],2,FALSE),"")</f>
        <v>PACIFICO OPERACOES HOSPITALARES S.A</v>
      </c>
      <c r="G26" s="5" t="str">
        <f>IFERROR(VLOOKUP(TAB_OFICINAS[[#This Row],[Cliente]],LISTA_DE_CLIENTES[[Código]:[Nome Fantasia]],3,FALSE),"")</f>
        <v>MATERNIDADE SAO LUIZ</v>
      </c>
      <c r="H26" s="63">
        <v>2103062485</v>
      </c>
      <c r="I26" s="28" t="s">
        <v>20770</v>
      </c>
      <c r="J26" s="91">
        <v>1000</v>
      </c>
      <c r="K26" s="86">
        <v>46113</v>
      </c>
      <c r="L26" s="10">
        <v>1000</v>
      </c>
      <c r="M26" s="6">
        <v>46129</v>
      </c>
      <c r="N26" s="6">
        <f ca="1">TODAY()</f>
        <v>46315</v>
      </c>
      <c r="O26" s="19">
        <f ca="1">TAB_OFICINAS[[#This Row],[Data Retorno Produção]]-TAB_OFICINAS[[#This Row],[Data Prometida  Entrega]]</f>
        <v>186</v>
      </c>
      <c r="P26" s="40" t="str">
        <f ca="1">IF(TAB_OFICINAS[[#This Row],[Dias Para Entrega]]&lt;=0,"Em dia","Dia de Atrasado")</f>
        <v>Dia de Atrasado</v>
      </c>
      <c r="Q26" s="10">
        <f>IFERROR(TAB_OFICINAS[[#This Row],[Qtd pçs Enviadas]]-TAB_OFICINAS[[#This Row],[Qtd pçs Retornadas ]]," ")</f>
        <v>0</v>
      </c>
      <c r="R26" s="10">
        <v>0</v>
      </c>
      <c r="S26" s="5">
        <v>726</v>
      </c>
      <c r="T26" s="5">
        <v>17104</v>
      </c>
      <c r="U26" s="52">
        <v>3.85</v>
      </c>
      <c r="V26" s="44">
        <v>3850</v>
      </c>
      <c r="W26" s="17">
        <v>46134</v>
      </c>
      <c r="X26" s="5" t="s">
        <v>6251</v>
      </c>
      <c r="Y26" s="27" t="s">
        <v>21378</v>
      </c>
      <c r="Z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" spans="2:26" hidden="1">
      <c r="C27" s="28" t="s">
        <v>15</v>
      </c>
      <c r="D27" s="5">
        <v>943</v>
      </c>
      <c r="E27" s="5">
        <v>23090</v>
      </c>
      <c r="F27" s="28" t="str">
        <f>IFERROR(VLOOKUP(TAB_OFICINAS[[#This Row],[Cliente]],LISTA_DE_CLIENTES[[Código]:[Nome Fantasia]],2,FALSE),"")</f>
        <v>REDE DOR SAO LUIZ S.A.</v>
      </c>
      <c r="G27" s="5" t="str">
        <f>IFERROR(VLOOKUP(TAB_OFICINAS[[#This Row],[Cliente]],LISTA_DE_CLIENTES[[Código]:[Nome Fantasia]],3,FALSE),"")</f>
        <v>HOSPITAL COPA STAR</v>
      </c>
      <c r="H27" s="63">
        <v>2103067072</v>
      </c>
      <c r="I27" s="75" t="s">
        <v>21477</v>
      </c>
      <c r="J27" s="91">
        <v>737</v>
      </c>
      <c r="K27" s="86">
        <v>46157</v>
      </c>
      <c r="L27" s="10">
        <v>737</v>
      </c>
      <c r="M27" s="6">
        <v>46170</v>
      </c>
      <c r="N27" s="6">
        <v>46168</v>
      </c>
      <c r="O27" s="19">
        <f>TAB_OFICINAS[[#This Row],[Data Retorno Produção]]-TAB_OFICINAS[[#This Row],[Data Prometida  Entrega]]</f>
        <v>-2</v>
      </c>
      <c r="P27" s="40" t="str">
        <f>IF(TAB_OFICINAS[[#This Row],[Dias Para Entrega]]&lt;=0,"Em dia","Dia de Atrasado")</f>
        <v>Em dia</v>
      </c>
      <c r="Q27" s="10">
        <f>IFERROR(TAB_OFICINAS[[#This Row],[Qtd pçs Enviadas]]-TAB_OFICINAS[[#This Row],[Qtd pçs Retornadas ]]," ")</f>
        <v>0</v>
      </c>
      <c r="R27" s="10"/>
      <c r="S27" s="5">
        <v>845</v>
      </c>
      <c r="T27" s="5">
        <v>17257</v>
      </c>
      <c r="U27" s="52">
        <v>3.85</v>
      </c>
      <c r="V27" s="44">
        <f>IFERROR(TAB_OFICINAS[[#This Row],[Valor Unit]]*TAB_OFICINAS[[#This Row],[Qtd pçs Enviadas]]," ")</f>
        <v>2837.4500000000003</v>
      </c>
      <c r="W27" s="17">
        <v>46171</v>
      </c>
      <c r="X27" s="5" t="s">
        <v>6251</v>
      </c>
      <c r="Y27" s="27" t="s">
        <v>21378</v>
      </c>
      <c r="Z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" spans="2:26" hidden="1">
      <c r="C28" s="28" t="s">
        <v>3</v>
      </c>
      <c r="D28" s="5">
        <v>1942</v>
      </c>
      <c r="E28" s="5">
        <v>22842</v>
      </c>
      <c r="F28" s="28" t="str">
        <f>IFERROR(VLOOKUP(TAB_OFICINAS[[#This Row],[Cliente]],LISTA_DE_CLIENTES[[Código]:[Nome Fantasia]],2,FALSE),"")</f>
        <v>ONCO STAR SP ONCOLOGIA LTDA (REDE D´OR)</v>
      </c>
      <c r="G28" s="5" t="str">
        <f>IFERROR(VLOOKUP(TAB_OFICINAS[[#This Row],[Cliente]],LISTA_DE_CLIENTES[[Código]:[Nome Fantasia]],3,FALSE),"")</f>
        <v>R DOR VILA NOVA STAR</v>
      </c>
      <c r="H28" s="63">
        <v>2103062485</v>
      </c>
      <c r="I28" s="28" t="s">
        <v>20770</v>
      </c>
      <c r="J28" s="91">
        <v>734</v>
      </c>
      <c r="K28" s="86">
        <v>46097</v>
      </c>
      <c r="L28" s="10">
        <v>734</v>
      </c>
      <c r="M28" s="6">
        <v>46105</v>
      </c>
      <c r="N28" s="6">
        <v>46108</v>
      </c>
      <c r="O28" s="19">
        <f>TAB_OFICINAS[[#This Row],[Data Retorno Produção]]-TAB_OFICINAS[[#This Row],[Data Prometida  Entrega]]</f>
        <v>3</v>
      </c>
      <c r="P28" s="40" t="str">
        <f>IF(TAB_OFICINAS[[#This Row],[Dias Para Entrega]]&lt;=0,"Em dia","Dia de Atrasado")</f>
        <v>Dia de Atrasado</v>
      </c>
      <c r="Q28" s="10">
        <f>IFERROR(TAB_OFICINAS[[#This Row],[Qtd pçs Enviadas]]-TAB_OFICINAS[[#This Row],[Qtd pçs Retornadas ]]," ")</f>
        <v>0</v>
      </c>
      <c r="R28" s="10"/>
      <c r="S28" s="5">
        <v>686</v>
      </c>
      <c r="T28" s="5">
        <v>100</v>
      </c>
      <c r="U28" s="52">
        <v>5.15</v>
      </c>
      <c r="V28" s="44">
        <f>IFERROR(TAB_OFICINAS[[#This Row],[Valor Unit]]*TAB_OFICINAS[[#This Row],[Qtd pçs Enviadas]]," ")</f>
        <v>3780.1000000000004</v>
      </c>
      <c r="W28" s="17">
        <f>TAB_OFICINAS[[#This Row],[Data Retorno Produção]]+10</f>
        <v>46118</v>
      </c>
      <c r="X28" s="5" t="s">
        <v>6251</v>
      </c>
      <c r="Y28" s="27"/>
      <c r="Z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" spans="2:26" hidden="1">
      <c r="C29" s="28" t="s">
        <v>21197</v>
      </c>
      <c r="D29" s="5">
        <v>1942</v>
      </c>
      <c r="E29" s="5">
        <v>22842</v>
      </c>
      <c r="F29" s="28" t="str">
        <f>IFERROR(VLOOKUP(TAB_OFICINAS[[#This Row],[Cliente]],LISTA_DE_CLIENTES[[Código]:[Nome Fantasia]],2,FALSE),"")</f>
        <v>ONCO STAR SP ONCOLOGIA LTDA (REDE D´OR)</v>
      </c>
      <c r="G29" s="5" t="str">
        <f>IFERROR(VLOOKUP(TAB_OFICINAS[[#This Row],[Cliente]],LISTA_DE_CLIENTES[[Código]:[Nome Fantasia]],3,FALSE),"")</f>
        <v>R DOR VILA NOVA STAR</v>
      </c>
      <c r="H29" s="63">
        <v>2103062485</v>
      </c>
      <c r="I29" s="28" t="s">
        <v>20770</v>
      </c>
      <c r="J29" s="91">
        <v>733</v>
      </c>
      <c r="K29" s="86">
        <v>46093</v>
      </c>
      <c r="L29" s="10">
        <v>733</v>
      </c>
      <c r="M29" s="6">
        <v>46105</v>
      </c>
      <c r="N29" s="6">
        <v>46101</v>
      </c>
      <c r="O29" s="19">
        <f>TAB_OFICINAS[[#This Row],[Data Retorno Produção]]-TAB_OFICINAS[[#This Row],[Data Prometida  Entrega]]</f>
        <v>-4</v>
      </c>
      <c r="P29" s="40" t="str">
        <f>IF(TAB_OFICINAS[[#This Row],[Dias Para Entrega]]&lt;=0,"Em dia","Dia de Atrasado")</f>
        <v>Em dia</v>
      </c>
      <c r="Q29" s="10">
        <f>IFERROR(TAB_OFICINAS[[#This Row],[Qtd pçs Enviadas]]-TAB_OFICINAS[[#This Row],[Qtd pçs Retornadas ]]," ")</f>
        <v>0</v>
      </c>
      <c r="R29" s="10">
        <v>0</v>
      </c>
      <c r="S29" s="5">
        <v>682</v>
      </c>
      <c r="T29" s="5">
        <v>41</v>
      </c>
      <c r="U29" s="52">
        <v>5.15</v>
      </c>
      <c r="V29" s="44">
        <f>IFERROR(TAB_OFICINAS[[#This Row],[Valor Unit]]*TAB_OFICINAS[[#This Row],[Qtd pçs Enviadas]]," ")</f>
        <v>3774.9500000000003</v>
      </c>
      <c r="W29" s="17">
        <f>TAB_OFICINAS[[#This Row],[Data Retorno Produção]]+10</f>
        <v>46111</v>
      </c>
      <c r="X29" s="5" t="s">
        <v>6251</v>
      </c>
      <c r="Y29" s="27"/>
      <c r="Z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" spans="2:26" hidden="1">
      <c r="C30" s="28" t="s">
        <v>5</v>
      </c>
      <c r="D30" s="5">
        <v>164</v>
      </c>
      <c r="E30" s="5">
        <v>23219</v>
      </c>
      <c r="F30" s="28" t="str">
        <f>IFERROR(VLOOKUP(TAB_OFICINAS[[#This Row],[Cliente]],LISTA_DE_CLIENTES[[Código]:[Nome Fantasia]],2,FALSE),"")</f>
        <v>HOTEL CURITIBA CAPITAL S/A</v>
      </c>
      <c r="G30" s="5" t="str">
        <f>IFERROR(VLOOKUP(TAB_OFICINAS[[#This Row],[Cliente]],LISTA_DE_CLIENTES[[Código]:[Nome Fantasia]],3,FALSE),"")</f>
        <v>RADISSON CURITIBA</v>
      </c>
      <c r="H30" s="63">
        <v>92101115802</v>
      </c>
      <c r="I30" s="28" t="s">
        <v>22161</v>
      </c>
      <c r="J30" s="91">
        <v>729</v>
      </c>
      <c r="K30" s="86">
        <v>46157</v>
      </c>
      <c r="L30" s="10">
        <v>729</v>
      </c>
      <c r="M30" s="6">
        <v>46168</v>
      </c>
      <c r="N30" s="6">
        <v>46169</v>
      </c>
      <c r="O30" s="19">
        <f>TAB_OFICINAS[[#This Row],[Data Retorno Produção]]-TAB_OFICINAS[[#This Row],[Data Prometida  Entrega]]</f>
        <v>1</v>
      </c>
      <c r="P30" s="40" t="str">
        <f>IF(TAB_OFICINAS[[#This Row],[Dias Para Entrega]]&lt;=0,"Em dia","Dia de Atrasado")</f>
        <v>Dia de Atrasado</v>
      </c>
      <c r="Q30" s="10">
        <f>IFERROR(TAB_OFICINAS[[#This Row],[Qtd pçs Enviadas]]-TAB_OFICINAS[[#This Row],[Qtd pçs Retornadas ]]," ")</f>
        <v>0</v>
      </c>
      <c r="R30" s="10"/>
      <c r="S30" s="5">
        <v>3214</v>
      </c>
      <c r="T30" s="5">
        <v>2644</v>
      </c>
      <c r="U30" s="52">
        <v>6</v>
      </c>
      <c r="V30" s="44">
        <f>IFERROR(TAB_OFICINAS[[#This Row],[Valor Unit]]*TAB_OFICINAS[[#This Row],[Qtd pçs Enviadas]]," ")</f>
        <v>4374</v>
      </c>
      <c r="W30" s="17">
        <v>46179</v>
      </c>
      <c r="X30" s="5" t="s">
        <v>6251</v>
      </c>
      <c r="Y30" s="27"/>
      <c r="Z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" spans="2:26" hidden="1">
      <c r="C31" s="28" t="s">
        <v>21197</v>
      </c>
      <c r="D31" s="5">
        <v>943</v>
      </c>
      <c r="E31" s="5">
        <v>22882</v>
      </c>
      <c r="F31" s="28" t="str">
        <f>IFERROR(VLOOKUP(TAB_OFICINAS[[#This Row],[Cliente]],LISTA_DE_CLIENTES[[Código]:[Nome Fantasia]],2,FALSE),"")</f>
        <v>REDE DOR SAO LUIZ S.A.</v>
      </c>
      <c r="G31" s="5" t="str">
        <f>IFERROR(VLOOKUP(TAB_OFICINAS[[#This Row],[Cliente]],LISTA_DE_CLIENTES[[Código]:[Nome Fantasia]],3,FALSE),"")</f>
        <v>HOSPITAL COPA STAR</v>
      </c>
      <c r="H31" s="63">
        <v>2101015261</v>
      </c>
      <c r="I31" s="28" t="s">
        <v>21172</v>
      </c>
      <c r="J31" s="91">
        <v>500</v>
      </c>
      <c r="K31" s="86">
        <v>46101</v>
      </c>
      <c r="L31" s="10">
        <v>500</v>
      </c>
      <c r="M31" s="6">
        <v>46111</v>
      </c>
      <c r="N31" s="6">
        <v>46111</v>
      </c>
      <c r="O31" s="19">
        <f>TAB_OFICINAS[[#This Row],[Data Retorno Produção]]-TAB_OFICINAS[[#This Row],[Data Prometida  Entrega]]</f>
        <v>0</v>
      </c>
      <c r="P31" s="40" t="str">
        <f>IF(TAB_OFICINAS[[#This Row],[Dias Para Entrega]]&lt;=0,"Em dia","Dia de Atrasado")</f>
        <v>Em dia</v>
      </c>
      <c r="Q31" s="10">
        <v>0</v>
      </c>
      <c r="R31" s="10"/>
      <c r="S31" s="5">
        <v>698</v>
      </c>
      <c r="T31" s="5">
        <v>43</v>
      </c>
      <c r="U31" s="52">
        <v>4.5</v>
      </c>
      <c r="V31" s="44">
        <f>IFERROR(TAB_OFICINAS[[#This Row],[Valor Unit]]*TAB_OFICINAS[[#This Row],[Qtd pçs Enviadas]]," ")</f>
        <v>2250</v>
      </c>
      <c r="W31" s="17">
        <v>46117</v>
      </c>
      <c r="X31" s="5" t="s">
        <v>6251</v>
      </c>
      <c r="Y31" s="27"/>
      <c r="Z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" spans="2:26" ht="28.5" hidden="1">
      <c r="C32" s="28" t="s">
        <v>16</v>
      </c>
      <c r="D32" s="5">
        <v>1941</v>
      </c>
      <c r="E32" s="5">
        <v>22802</v>
      </c>
      <c r="F32" s="28" t="str">
        <f>IFERROR(VLOOKUP(TAB_OFICINAS[[#This Row],[Cliente]],LISTA_DE_CLIENTES[[Código]:[Nome Fantasia]],2,FALSE),"")</f>
        <v>HOSPITAIS INTEGRADOS DA GAVEA S/A</v>
      </c>
      <c r="G32" s="5" t="str">
        <f>IFERROR(VLOOKUP(TAB_OFICINAS[[#This Row],[Cliente]],LISTA_DE_CLIENTES[[Código]:[Nome Fantasia]],3,FALSE),"")</f>
        <v>REDE D´OR - DF STAR</v>
      </c>
      <c r="H32" s="51">
        <v>2103062485</v>
      </c>
      <c r="I32" s="28" t="s">
        <v>20340</v>
      </c>
      <c r="J32" s="91">
        <v>685</v>
      </c>
      <c r="K32" s="86">
        <v>46077</v>
      </c>
      <c r="L32" s="10">
        <v>685</v>
      </c>
      <c r="M32" s="6">
        <v>46094</v>
      </c>
      <c r="N32" s="6">
        <v>46097</v>
      </c>
      <c r="O32" s="19">
        <f>TAB_OFICINAS[[#This Row],[Data Retorno Produção]]-TAB_OFICINAS[[#This Row],[Data Prometida  Entrega]]</f>
        <v>3</v>
      </c>
      <c r="P32" s="40" t="str">
        <f>IF(TAB_OFICINAS[[#This Row],[Dias Para Entrega]]&lt;=0,"Em dia","Dia de Atrasado")</f>
        <v>Dia de Atrasado</v>
      </c>
      <c r="Q32" s="10">
        <f>IFERROR(TAB_OFICINAS[[#This Row],[Qtd pçs Enviadas]]-TAB_OFICINAS[[#This Row],[Qtd pçs Retornadas ]]," ")</f>
        <v>0</v>
      </c>
      <c r="R32" s="10">
        <v>0</v>
      </c>
      <c r="S32" s="5">
        <v>623</v>
      </c>
      <c r="T32" s="5">
        <v>41</v>
      </c>
      <c r="U32" s="52">
        <v>5.15</v>
      </c>
      <c r="V32" s="44">
        <f>IFERROR(TAB_OFICINAS[[#This Row],[Valor Unit]]*TAB_OFICINAS[[#This Row],[Qtd pçs Enviadas]]," ")</f>
        <v>3527.7500000000005</v>
      </c>
      <c r="W32" s="17">
        <v>46107</v>
      </c>
      <c r="X32" s="5" t="s">
        <v>6251</v>
      </c>
      <c r="Y32" s="27" t="s">
        <v>20326</v>
      </c>
      <c r="Z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" spans="3:26" ht="128.25" hidden="1">
      <c r="C33" s="28" t="s">
        <v>15</v>
      </c>
      <c r="D33" s="5">
        <v>2685</v>
      </c>
      <c r="E33" s="5">
        <v>22138</v>
      </c>
      <c r="F33" s="28" t="str">
        <f>IFERROR(VLOOKUP(TAB_OFICINAS[[#This Row],[Cliente]],LISTA_DE_CLIENTES[[Código]:[Nome Fantasia]],2,FALSE),"")</f>
        <v>REDE DOR SAO LUIZ S.A.</v>
      </c>
      <c r="G33" s="5" t="str">
        <f>IFERROR(VLOOKUP(TAB_OFICINAS[[#This Row],[Cliente]],LISTA_DE_CLIENTES[[Código]:[Nome Fantasia]],3,FALSE),"")</f>
        <v>MATERNIDADE SAO LUIZ</v>
      </c>
      <c r="H33" s="51">
        <v>2103062485</v>
      </c>
      <c r="I33" s="28" t="s">
        <v>20404</v>
      </c>
      <c r="J33" s="91">
        <v>680</v>
      </c>
      <c r="K33" s="86">
        <v>46048</v>
      </c>
      <c r="L33" s="10">
        <v>680</v>
      </c>
      <c r="M33" s="6">
        <v>46057</v>
      </c>
      <c r="N33" s="6">
        <v>46057</v>
      </c>
      <c r="O33" s="19">
        <f>TAB_OFICINAS[[#This Row],[Data Retorno Produção]]-TAB_OFICINAS[[#This Row],[Data Prometida  Entrega]]</f>
        <v>0</v>
      </c>
      <c r="P33" s="40" t="str">
        <f>IF(TAB_OFICINAS[[#This Row],[Dias Para Entrega]]&lt;=0,"Em dia","Dia de Atrasado")</f>
        <v>Em dia</v>
      </c>
      <c r="Q33" s="10">
        <f>IFERROR(TAB_OFICINAS[[#This Row],[Qtd pçs Enviadas]]-TAB_OFICINAS[[#This Row],[Qtd pçs Retornadas ]]," ")</f>
        <v>0</v>
      </c>
      <c r="R33" s="10">
        <v>4</v>
      </c>
      <c r="S33" s="5">
        <v>555</v>
      </c>
      <c r="T33" s="5">
        <v>16893</v>
      </c>
      <c r="U33" s="52">
        <v>3.85</v>
      </c>
      <c r="V33" s="44">
        <f>IFERROR(TAB_OFICINAS[[#This Row],[Valor Unit]]*TAB_OFICINAS[[#This Row],[Qtd pçs Enviadas]]," ")</f>
        <v>2618</v>
      </c>
      <c r="W33" s="17">
        <v>46064</v>
      </c>
      <c r="X33" s="5" t="s">
        <v>6251</v>
      </c>
      <c r="Y33" s="27" t="s">
        <v>20405</v>
      </c>
      <c r="Z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" spans="3:26" ht="128.25" hidden="1">
      <c r="C34" s="28" t="s">
        <v>15</v>
      </c>
      <c r="D34" s="5">
        <v>2685</v>
      </c>
      <c r="E34" s="5">
        <v>22138</v>
      </c>
      <c r="F34" s="28" t="str">
        <f>IFERROR(VLOOKUP(TAB_OFICINAS[[#This Row],[Cliente]],LISTA_DE_CLIENTES[[Código]:[Nome Fantasia]],2,FALSE),"")</f>
        <v>REDE DOR SAO LUIZ S.A.</v>
      </c>
      <c r="G34" s="5" t="str">
        <f>IFERROR(VLOOKUP(TAB_OFICINAS[[#This Row],[Cliente]],LISTA_DE_CLIENTES[[Código]:[Nome Fantasia]],3,FALSE),"")</f>
        <v>MATERNIDADE SAO LUIZ</v>
      </c>
      <c r="H34" s="63">
        <v>2103062485</v>
      </c>
      <c r="I34" s="28" t="s">
        <v>20770</v>
      </c>
      <c r="J34" s="91">
        <v>680</v>
      </c>
      <c r="K34" s="86">
        <v>46048</v>
      </c>
      <c r="L34" s="10">
        <v>680</v>
      </c>
      <c r="M34" s="6">
        <v>46057</v>
      </c>
      <c r="N34" s="6">
        <v>46057</v>
      </c>
      <c r="O34" s="19">
        <f>TAB_OFICINAS[[#This Row],[Data Retorno Produção]]-TAB_OFICINAS[[#This Row],[Data Prometida  Entrega]]</f>
        <v>0</v>
      </c>
      <c r="P34" s="40" t="str">
        <f>IF(TAB_OFICINAS[[#This Row],[Dias Para Entrega]]&lt;=0,"Em dia","Dia de Atrasado")</f>
        <v>Em dia</v>
      </c>
      <c r="Q34" s="10">
        <f>IFERROR(TAB_OFICINAS[[#This Row],[Qtd pçs Enviadas]]-TAB_OFICINAS[[#This Row],[Qtd pçs Retornadas ]]," ")</f>
        <v>0</v>
      </c>
      <c r="R34" s="10">
        <v>4</v>
      </c>
      <c r="S34" s="5">
        <v>555</v>
      </c>
      <c r="T34" s="5">
        <v>16900</v>
      </c>
      <c r="U34" s="52">
        <v>3.85</v>
      </c>
      <c r="V34" s="44">
        <f>IFERROR(TAB_OFICINAS[[#This Row],[Valor Unit]]*TAB_OFICINAS[[#This Row],[Qtd pçs Enviadas]]," ")</f>
        <v>2618</v>
      </c>
      <c r="W34" s="17">
        <v>46066</v>
      </c>
      <c r="X34" s="5" t="s">
        <v>6251</v>
      </c>
      <c r="Y34" s="27" t="s">
        <v>21340</v>
      </c>
      <c r="Z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" spans="3:26" hidden="1">
      <c r="C35" s="28" t="s">
        <v>1</v>
      </c>
      <c r="D35" s="5">
        <v>526</v>
      </c>
      <c r="E35" s="5">
        <v>22125</v>
      </c>
      <c r="F35" s="28" t="str">
        <f>IFERROR(VLOOKUP(TAB_OFICINAS[[#This Row],[Cliente]],LISTA_DE_CLIENTES[[Código]:[Nome Fantasia]],2,FALSE),"")</f>
        <v>ATMOSFERA GESTAO E HIGIENIZACAO DE TEXTEIS S.A.</v>
      </c>
      <c r="G35" s="5" t="str">
        <f>IFERROR(VLOOKUP(TAB_OFICINAS[[#This Row],[Cliente]],LISTA_DE_CLIENTES[[Código]:[Nome Fantasia]],3,FALSE),"")</f>
        <v>ATMOSFERA ST BARBARA</v>
      </c>
      <c r="H35" s="51">
        <v>92102156032</v>
      </c>
      <c r="I35" s="28" t="s">
        <v>20511</v>
      </c>
      <c r="J35" s="91">
        <v>50</v>
      </c>
      <c r="K35" s="86">
        <v>46028</v>
      </c>
      <c r="L35" s="10">
        <v>50</v>
      </c>
      <c r="M35" s="6">
        <v>46036</v>
      </c>
      <c r="N35" s="6">
        <v>46033</v>
      </c>
      <c r="O35" s="19">
        <f>TAB_OFICINAS[[#This Row],[Data Retorno Produção]]-TAB_OFICINAS[[#This Row],[Data Prometida  Entrega]]</f>
        <v>-3</v>
      </c>
      <c r="P35" s="40" t="str">
        <f>IF(TAB_OFICINAS[[#This Row],[Dias Para Entrega]]&lt;=0,"Em dia","Dia de Atrasado")</f>
        <v>Em dia</v>
      </c>
      <c r="Q35" s="10">
        <f>IFERROR(TAB_OFICINAS[[#This Row],[Qtd pçs Enviadas]]-TAB_OFICINAS[[#This Row],[Qtd pçs Retornadas ]],"N/D ")</f>
        <v>0</v>
      </c>
      <c r="R35" s="10">
        <v>0</v>
      </c>
      <c r="S35" s="5">
        <v>677</v>
      </c>
      <c r="T35" s="5">
        <v>31</v>
      </c>
      <c r="U35" s="52">
        <v>8</v>
      </c>
      <c r="V35" s="44">
        <f>IFERROR(TAB_OFICINAS[[#This Row],[Valor Unit]]*TAB_OFICINAS[[#This Row],[Qtd pçs Enviadas]]," ")</f>
        <v>400</v>
      </c>
      <c r="W35" s="17">
        <v>46044</v>
      </c>
      <c r="X35" s="5" t="s">
        <v>6251</v>
      </c>
      <c r="Y35" s="27"/>
      <c r="Z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" spans="3:26" hidden="1">
      <c r="C36" s="28" t="s">
        <v>15</v>
      </c>
      <c r="D36" s="5">
        <v>1941</v>
      </c>
      <c r="E36" s="5">
        <v>22893</v>
      </c>
      <c r="F36" s="28" t="str">
        <f>IFERROR(VLOOKUP(TAB_OFICINAS[[#This Row],[Cliente]],LISTA_DE_CLIENTES[[Código]:[Nome Fantasia]],2,FALSE),"")</f>
        <v>HOSPITAIS INTEGRADOS DA GAVEA S/A</v>
      </c>
      <c r="G36" s="5" t="str">
        <f>IFERROR(VLOOKUP(TAB_OFICINAS[[#This Row],[Cliente]],LISTA_DE_CLIENTES[[Código]:[Nome Fantasia]],3,FALSE),"")</f>
        <v>REDE D´OR - DF STAR</v>
      </c>
      <c r="H36" s="63">
        <v>2101107948</v>
      </c>
      <c r="I36" s="28" t="s">
        <v>21372</v>
      </c>
      <c r="J36" s="91">
        <v>650</v>
      </c>
      <c r="K36" s="86">
        <v>46161</v>
      </c>
      <c r="L36" s="10">
        <v>650</v>
      </c>
      <c r="M36" s="6">
        <v>46169</v>
      </c>
      <c r="N36" s="6">
        <v>46169</v>
      </c>
      <c r="O36" s="19">
        <f>TAB_OFICINAS[[#This Row],[Data Retorno Produção]]-TAB_OFICINAS[[#This Row],[Data Prometida  Entrega]]</f>
        <v>0</v>
      </c>
      <c r="P36" s="40" t="str">
        <f>IF(TAB_OFICINAS[[#This Row],[Dias Para Entrega]]&lt;=0,"Em dia","Dia de Atrasado")</f>
        <v>Em dia</v>
      </c>
      <c r="Q36" s="10">
        <f>IFERROR(TAB_OFICINAS[[#This Row],[Qtd pçs Enviadas]]-TAB_OFICINAS[[#This Row],[Qtd pçs Retornadas ]]," ")</f>
        <v>0</v>
      </c>
      <c r="R36" s="10">
        <v>0</v>
      </c>
      <c r="S36" s="5">
        <v>3218</v>
      </c>
      <c r="T36" s="5" t="s">
        <v>22847</v>
      </c>
      <c r="U36" s="52">
        <v>3.85</v>
      </c>
      <c r="V36" s="44" t="s">
        <v>22846</v>
      </c>
      <c r="W36" s="17" t="s">
        <v>22848</v>
      </c>
      <c r="X36" s="5" t="s">
        <v>6251</v>
      </c>
      <c r="Y36" s="27" t="s">
        <v>21341</v>
      </c>
      <c r="Z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" spans="3:26" hidden="1">
      <c r="C37" s="28" t="s">
        <v>3</v>
      </c>
      <c r="D37" s="5">
        <v>155</v>
      </c>
      <c r="E37" s="5">
        <v>22442</v>
      </c>
      <c r="F37" s="28" t="str">
        <f>IFERROR(VLOOKUP(TAB_OFICINAS[[#This Row],[Cliente]],LISTA_DE_CLIENTES[[Código]:[Nome Fantasia]],2,FALSE),"")</f>
        <v>HOTEIS OTHON S A</v>
      </c>
      <c r="G37" s="5" t="str">
        <f>IFERROR(VLOOKUP(TAB_OFICINAS[[#This Row],[Cliente]],LISTA_DE_CLIENTES[[Código]:[Nome Fantasia]],3,FALSE),"")</f>
        <v>RIO OTHON PALACE HOT</v>
      </c>
      <c r="H37" s="51">
        <v>2111858585</v>
      </c>
      <c r="I37" s="28" t="s">
        <v>20731</v>
      </c>
      <c r="J37" s="91">
        <v>600</v>
      </c>
      <c r="K37" s="86">
        <v>46034</v>
      </c>
      <c r="L37" s="10">
        <v>600</v>
      </c>
      <c r="M37" s="6">
        <v>46068</v>
      </c>
      <c r="N37" s="6">
        <v>46052</v>
      </c>
      <c r="O37" s="19">
        <f>TAB_OFICINAS[[#This Row],[Data Retorno Produção]]-TAB_OFICINAS[[#This Row],[Data Prometida  Entrega]]</f>
        <v>-16</v>
      </c>
      <c r="P37" s="40" t="str">
        <f>IF(TAB_OFICINAS[[#This Row],[Dias Para Entrega]]&lt;=0,"Em dia","Dia de Atrasado")</f>
        <v>Em dia</v>
      </c>
      <c r="Q37" s="10">
        <f>IFERROR(TAB_OFICINAS[[#This Row],[Qtd pçs Enviadas]]-TAB_OFICINAS[[#This Row],[Qtd pçs Retornadas ]]," ")</f>
        <v>0</v>
      </c>
      <c r="R37" s="10">
        <v>0</v>
      </c>
      <c r="S37" s="5">
        <v>3074</v>
      </c>
      <c r="T37" s="5">
        <v>89</v>
      </c>
      <c r="U37" s="52">
        <v>5.95</v>
      </c>
      <c r="V37" s="44">
        <f>IFERROR(TAB_OFICINAS[[#This Row],[Valor Unit]]*TAB_OFICINAS[[#This Row],[Qtd pçs Enviadas]]," ")</f>
        <v>3570</v>
      </c>
      <c r="W37" s="17">
        <v>46062</v>
      </c>
      <c r="X37" s="5" t="s">
        <v>6251</v>
      </c>
      <c r="Y37" s="27"/>
      <c r="Z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" spans="3:26" hidden="1">
      <c r="C38" s="28" t="s">
        <v>1</v>
      </c>
      <c r="D38" s="5">
        <v>5258</v>
      </c>
      <c r="E38" s="5">
        <v>22469</v>
      </c>
      <c r="F38" s="28" t="str">
        <f>IFERROR(VLOOKUP(TAB_OFICINAS[[#This Row],[Cliente]],LISTA_DE_CLIENTES[[Código]:[Nome Fantasia]],2,FALSE),"")</f>
        <v>SPA CHANDRA GARUDA LTDA</v>
      </c>
      <c r="G38" s="5" t="str">
        <f>IFERROR(VLOOKUP(TAB_OFICINAS[[#This Row],[Cliente]],LISTA_DE_CLIENTES[[Código]:[Nome Fantasia]],3,FALSE),"")</f>
        <v>SPA CHANDRA GARUDA L</v>
      </c>
      <c r="H38" s="51">
        <v>3301078508</v>
      </c>
      <c r="I38" s="28" t="s">
        <v>21014</v>
      </c>
      <c r="J38" s="91">
        <v>15</v>
      </c>
      <c r="K38" s="86">
        <v>46034</v>
      </c>
      <c r="L38" s="10">
        <v>15</v>
      </c>
      <c r="M38" s="6">
        <v>46042</v>
      </c>
      <c r="N38" s="6">
        <v>46037</v>
      </c>
      <c r="O38" s="19">
        <f>TAB_OFICINAS[[#This Row],[Data Retorno Produção]]-TAB_OFICINAS[[#This Row],[Data Prometida  Entrega]]</f>
        <v>-5</v>
      </c>
      <c r="P38" s="40" t="str">
        <f>IF(TAB_OFICINAS[[#This Row],[Dias Para Entrega]]&lt;=0,"Em dia","Dia de Atrasado")</f>
        <v>Em dia</v>
      </c>
      <c r="Q38" s="10">
        <f>IFERROR(TAB_OFICINAS[[#This Row],[Qtd pçs Enviadas]]-TAB_OFICINAS[[#This Row],[Qtd pçs Retornadas ]],"N/D ")</f>
        <v>0</v>
      </c>
      <c r="R38" s="10">
        <v>0</v>
      </c>
      <c r="S38" s="5">
        <v>3076</v>
      </c>
      <c r="T38" s="5">
        <v>32</v>
      </c>
      <c r="U38" s="52">
        <v>16</v>
      </c>
      <c r="V38" s="44">
        <f>IFERROR(TAB_OFICINAS[[#This Row],[Valor Unit]]*TAB_OFICINAS[[#This Row],[Qtd pçs Enviadas]]," ")</f>
        <v>240</v>
      </c>
      <c r="W38" s="17">
        <v>46048</v>
      </c>
      <c r="X38" s="5" t="s">
        <v>6251</v>
      </c>
      <c r="Y38" s="27"/>
      <c r="Z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" spans="3:26" hidden="1">
      <c r="C39" s="28" t="s">
        <v>21197</v>
      </c>
      <c r="D39" s="5">
        <v>943</v>
      </c>
      <c r="E39" s="5">
        <v>22882</v>
      </c>
      <c r="F39" s="28" t="str">
        <f>IFERROR(VLOOKUP(TAB_OFICINAS[[#This Row],[Cliente]],LISTA_DE_CLIENTES[[Código]:[Nome Fantasia]],2,FALSE),"")</f>
        <v>REDE DOR SAO LUIZ S.A.</v>
      </c>
      <c r="G39" s="5" t="str">
        <f>IFERROR(VLOOKUP(TAB_OFICINAS[[#This Row],[Cliente]],LISTA_DE_CLIENTES[[Código]:[Nome Fantasia]],3,FALSE),"")</f>
        <v>HOSPITAL COPA STAR</v>
      </c>
      <c r="H39" s="63">
        <v>2101109332</v>
      </c>
      <c r="I39" s="28" t="s">
        <v>21397</v>
      </c>
      <c r="J39" s="91">
        <v>450</v>
      </c>
      <c r="K39" s="86">
        <v>46101</v>
      </c>
      <c r="L39" s="10">
        <v>450</v>
      </c>
      <c r="M39" s="6">
        <v>46111</v>
      </c>
      <c r="N39" s="6">
        <v>46111</v>
      </c>
      <c r="O39" s="19">
        <f>TAB_OFICINAS[[#This Row],[Data Retorno Produção]]-TAB_OFICINAS[[#This Row],[Data Prometida  Entrega]]</f>
        <v>0</v>
      </c>
      <c r="P39" s="40" t="str">
        <f>IF(TAB_OFICINAS[[#This Row],[Dias Para Entrega]]&lt;=0,"Em dia","Dia de Atrasado")</f>
        <v>Em dia</v>
      </c>
      <c r="Q39" s="10">
        <v>0</v>
      </c>
      <c r="R39" s="10"/>
      <c r="S39" s="5">
        <v>698</v>
      </c>
      <c r="T39" s="5">
        <v>43</v>
      </c>
      <c r="U39" s="52">
        <v>6</v>
      </c>
      <c r="V39" s="44">
        <f>IFERROR(TAB_OFICINAS[[#This Row],[Valor Unit]]*TAB_OFICINAS[[#This Row],[Qtd pçs Enviadas]]," ")</f>
        <v>2700</v>
      </c>
      <c r="W39" s="17">
        <f>N40+10</f>
        <v>46118</v>
      </c>
      <c r="X39" s="5" t="s">
        <v>6251</v>
      </c>
      <c r="Y39" s="27"/>
      <c r="Z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" spans="3:26" ht="85.5" hidden="1">
      <c r="C40" s="28" t="s">
        <v>15</v>
      </c>
      <c r="D40" s="5">
        <v>943</v>
      </c>
      <c r="E40" s="5">
        <v>22882</v>
      </c>
      <c r="F40" s="28" t="str">
        <f>IFERROR(VLOOKUP(TAB_OFICINAS[[#This Row],[Cliente]],LISTA_DE_CLIENTES[[Código]:[Nome Fantasia]],2,FALSE),"")</f>
        <v>REDE DOR SAO LUIZ S.A.</v>
      </c>
      <c r="G40" s="5" t="str">
        <f>IFERROR(VLOOKUP(TAB_OFICINAS[[#This Row],[Cliente]],LISTA_DE_CLIENTES[[Código]:[Nome Fantasia]],3,FALSE),"")</f>
        <v>HOSPITAL COPA STAR</v>
      </c>
      <c r="H40" s="63">
        <v>2103067944</v>
      </c>
      <c r="I40" s="28" t="s">
        <v>21174</v>
      </c>
      <c r="J40" s="91">
        <v>599</v>
      </c>
      <c r="K40" s="86">
        <v>46104</v>
      </c>
      <c r="L40" s="10">
        <v>599</v>
      </c>
      <c r="M40" s="6">
        <v>46111</v>
      </c>
      <c r="N40" s="6">
        <v>46108</v>
      </c>
      <c r="O40" s="19">
        <f>TAB_OFICINAS[[#This Row],[Data Retorno Produção]]-TAB_OFICINAS[[#This Row],[Data Prometida  Entrega]]</f>
        <v>-3</v>
      </c>
      <c r="P40" s="40" t="str">
        <f>IF(TAB_OFICINAS[[#This Row],[Dias Para Entrega]]&lt;=0,"Em dia","Dia de Atrasado")</f>
        <v>Em dia</v>
      </c>
      <c r="Q40" s="10">
        <f>IFERROR(TAB_OFICINAS[[#This Row],[Qtd pçs Enviadas]]-TAB_OFICINAS[[#This Row],[Qtd pçs Retornadas ]]," ")</f>
        <v>0</v>
      </c>
      <c r="R40" s="10">
        <v>1</v>
      </c>
      <c r="S40" s="5">
        <v>704</v>
      </c>
      <c r="T40" s="5">
        <v>17057</v>
      </c>
      <c r="U40" s="52">
        <v>3.85</v>
      </c>
      <c r="V40" s="44">
        <v>2306.15</v>
      </c>
      <c r="W40" s="17">
        <v>46114</v>
      </c>
      <c r="X40" s="5" t="s">
        <v>6251</v>
      </c>
      <c r="Y40" s="27" t="s">
        <v>21458</v>
      </c>
      <c r="Z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" spans="3:26" ht="57" hidden="1">
      <c r="C41" s="28" t="s">
        <v>20</v>
      </c>
      <c r="D41" s="5">
        <v>154</v>
      </c>
      <c r="E41" s="5">
        <v>22185</v>
      </c>
      <c r="F41" s="28" t="str">
        <f>IFERROR(VLOOKUP(TAB_OFICINAS[[#This Row],[Cliente]],LISTA_DE_CLIENTES[[Código]:[Nome Fantasia]],2,FALSE),"")</f>
        <v>HOTEIS E POUSADAS LE RENARD LTDA. - ME</v>
      </c>
      <c r="G41" s="5" t="str">
        <f>IFERROR(VLOOKUP(TAB_OFICINAS[[#This Row],[Cliente]],LISTA_DE_CLIENTES[[Código]:[Nome Fantasia]],3,FALSE),"")</f>
        <v>LE RENARD</v>
      </c>
      <c r="H41" s="51">
        <v>2111018059</v>
      </c>
      <c r="I41" s="28" t="s">
        <v>20365</v>
      </c>
      <c r="J41" s="91">
        <v>49</v>
      </c>
      <c r="K41" s="86">
        <v>46008</v>
      </c>
      <c r="L41" s="10">
        <v>49</v>
      </c>
      <c r="M41" s="6">
        <v>46027</v>
      </c>
      <c r="N41" s="6">
        <v>46029</v>
      </c>
      <c r="O41" s="19">
        <f>TAB_OFICINAS[[#This Row],[Data Retorno Produção]]-TAB_OFICINAS[[#This Row],[Data Prometida  Entrega]]</f>
        <v>2</v>
      </c>
      <c r="P41" s="40" t="str">
        <f>IF(TAB_OFICINAS[[#This Row],[Dias Para Entrega]]&lt;=0,"Em dia","Dia de Atrasado")</f>
        <v>Dia de Atrasado</v>
      </c>
      <c r="Q41" s="10">
        <v>0</v>
      </c>
      <c r="R41" s="10">
        <v>1</v>
      </c>
      <c r="S41" s="5">
        <v>677</v>
      </c>
      <c r="T41" s="5">
        <v>70</v>
      </c>
      <c r="U41" s="52">
        <v>4.3</v>
      </c>
      <c r="V41" s="44">
        <f>IFERROR(TAB_OFICINAS[[#This Row],[Valor Unit]]*TAB_OFICINAS[[#This Row],[Qtd pçs Enviadas]]," ")</f>
        <v>210.7</v>
      </c>
      <c r="W41" s="17">
        <v>46038</v>
      </c>
      <c r="X41" s="5" t="s">
        <v>6251</v>
      </c>
      <c r="Y41" s="27" t="s">
        <v>20366</v>
      </c>
      <c r="Z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" spans="3:26" hidden="1">
      <c r="C42" s="28" t="s">
        <v>15</v>
      </c>
      <c r="D42" s="5">
        <v>3660</v>
      </c>
      <c r="E42" s="5">
        <v>23575</v>
      </c>
      <c r="F42" s="28" t="str">
        <f>IFERROR(VLOOKUP(TAB_OFICINAS[[#This Row],[Cliente]],LISTA_DE_CLIENTES[[Código]:[Nome Fantasia]],2,FALSE),"")</f>
        <v>HOSPITAL ESPERANCA SA</v>
      </c>
      <c r="G42" s="2" t="str">
        <f>IFERROR(VLOOKUP(TAB_OFICINAS[[#This Row],[Cliente]],LISTA_DE_CLIENTES[[Código]:[Nome Fantasia]],3,FALSE),"")</f>
        <v>HOSPITAL ALIANÇA</v>
      </c>
      <c r="H42" s="51">
        <v>2103067072</v>
      </c>
      <c r="I42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42" s="91">
        <v>544</v>
      </c>
      <c r="K42" s="88">
        <v>46195</v>
      </c>
      <c r="L42" s="9">
        <v>544</v>
      </c>
      <c r="M42" s="6">
        <v>46206</v>
      </c>
      <c r="N42" s="6">
        <v>46203</v>
      </c>
      <c r="O42" s="23">
        <f>TAB_OFICINAS[[#This Row],[Data Retorno Produção]]-TAB_OFICINAS[[#This Row],[Data Prometida  Entrega]]</f>
        <v>-3</v>
      </c>
      <c r="P42" s="98" t="str">
        <f>IF(TAB_OFICINAS[[#This Row],[Dias Para Entrega]]&lt;=0,"Em dia","Dia de Atrasado")</f>
        <v>Em dia</v>
      </c>
      <c r="Q42" s="10">
        <f>IFERROR(TAB_OFICINAS[[#This Row],[Qtd pçs Enviadas]]-TAB_OFICINAS[[#This Row],[Qtd pçs Retornadas ]]," ")</f>
        <v>0</v>
      </c>
      <c r="R42" s="24">
        <v>0</v>
      </c>
      <c r="S42" s="5">
        <v>3282</v>
      </c>
      <c r="T42" s="5">
        <v>17391</v>
      </c>
      <c r="U42" s="11">
        <v>3.85</v>
      </c>
      <c r="V42" s="25">
        <f>IFERROR(TAB_OFICINAS[[#This Row],[Valor Unit]]*TAB_OFICINAS[[#This Row],[Qtd pçs Enviadas]]," ")</f>
        <v>2094.4</v>
      </c>
      <c r="W42" s="26">
        <v>46210</v>
      </c>
      <c r="X42" s="17" t="s">
        <v>6251</v>
      </c>
      <c r="Y42" s="27" t="s">
        <v>21378</v>
      </c>
      <c r="Z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" spans="3:26" hidden="1">
      <c r="C43" s="28" t="s">
        <v>15</v>
      </c>
      <c r="D43" s="5">
        <v>5391</v>
      </c>
      <c r="E43" s="5">
        <v>23059</v>
      </c>
      <c r="F43" s="28" t="str">
        <f>IFERROR(VLOOKUP(TAB_OFICINAS[[#This Row],[Cliente]],LISTA_DE_CLIENTES[[Código]:[Nome Fantasia]],2,FALSE),"")</f>
        <v>PACIFICO OPERACOES HOSPITALARES S.A</v>
      </c>
      <c r="G43" s="2" t="str">
        <f>IFERROR(VLOOKUP(TAB_OFICINAS[[#This Row],[Cliente]],LISTA_DE_CLIENTES[[Código]:[Nome Fantasia]],3,FALSE),"")</f>
        <v>MATERNIDADE SAO LUIZ</v>
      </c>
      <c r="H43" s="63">
        <v>2103062485</v>
      </c>
      <c r="I43" s="28" t="s">
        <v>20770</v>
      </c>
      <c r="J43" s="91">
        <v>504</v>
      </c>
      <c r="K43" s="86">
        <v>46181</v>
      </c>
      <c r="L43" s="34">
        <v>504</v>
      </c>
      <c r="M43" s="6">
        <v>46185</v>
      </c>
      <c r="N43" s="6">
        <v>46184</v>
      </c>
      <c r="O43" s="19">
        <f>TAB_OFICINAS[[#This Row],[Data Retorno Produção]]-TAB_OFICINAS[[#This Row],[Data Prometida  Entrega]]</f>
        <v>-1</v>
      </c>
      <c r="P43" s="40" t="str">
        <f>IF(TAB_OFICINAS[[#This Row],[Dias Para Entrega]]&lt;=0,"Em dia","Dia de Atrasado")</f>
        <v>Em dia</v>
      </c>
      <c r="Q43" s="10">
        <f>IFERROR(TAB_OFICINAS[[#This Row],[Qtd pçs Enviadas]]-TAB_OFICINAS[[#This Row],[Qtd pçs Retornadas ]]," ")</f>
        <v>0</v>
      </c>
      <c r="R43" s="10">
        <v>0</v>
      </c>
      <c r="S43" s="5">
        <v>3254</v>
      </c>
      <c r="T43" s="5">
        <v>17294</v>
      </c>
      <c r="U43" s="1">
        <v>3.85</v>
      </c>
      <c r="V43" s="3">
        <f>IFERROR(TAB_OFICINAS[[#This Row],[Valor Unit]]*TAB_OFICINAS[[#This Row],[Qtd pçs Enviadas]]," ")</f>
        <v>1940.4</v>
      </c>
      <c r="W43" s="17">
        <v>46191</v>
      </c>
      <c r="X43" s="5" t="s">
        <v>6251</v>
      </c>
      <c r="Y43" s="4" t="s">
        <v>21378</v>
      </c>
      <c r="Z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" spans="3:26" hidden="1">
      <c r="C44" s="28" t="s">
        <v>21197</v>
      </c>
      <c r="D44" s="5">
        <v>188</v>
      </c>
      <c r="E44" s="5">
        <v>23044</v>
      </c>
      <c r="F44" s="28" t="str">
        <f>IFERROR(VLOOKUP(TAB_OFICINAS[[#This Row],[Cliente]],LISTA_DE_CLIENTES[[Código]:[Nome Fantasia]],2,FALSE),"")</f>
        <v>IHC SAO PAULO HOTELARIA LTDA.</v>
      </c>
      <c r="G44" s="5" t="str">
        <f>IFERROR(VLOOKUP(TAB_OFICINAS[[#This Row],[Cliente]],LISTA_DE_CLIENTES[[Código]:[Nome Fantasia]],3,FALSE),"")</f>
        <v>INTERCONTINENTAL SP</v>
      </c>
      <c r="H44" s="63">
        <v>92110300739</v>
      </c>
      <c r="I44" s="28" t="s">
        <v>21424</v>
      </c>
      <c r="J44" s="91">
        <v>600</v>
      </c>
      <c r="K44" s="86">
        <v>46106</v>
      </c>
      <c r="L44" s="10">
        <v>600</v>
      </c>
      <c r="M44" s="6">
        <v>46115</v>
      </c>
      <c r="N44" s="6">
        <v>46114</v>
      </c>
      <c r="O44" s="19">
        <f>TAB_OFICINAS[[#This Row],[Data Retorno Produção]]-TAB_OFICINAS[[#This Row],[Data Prometida  Entrega]]</f>
        <v>-1</v>
      </c>
      <c r="P44" s="40" t="str">
        <f>IF(TAB_OFICINAS[[#This Row],[Dias Para Entrega]]&lt;=0,"Em dia","Dia de Atrasado")</f>
        <v>Em dia</v>
      </c>
      <c r="Q44" s="10">
        <f>IFERROR(TAB_OFICINAS[[#This Row],[Qtd pçs Enviadas]]-TAB_OFICINAS[[#This Row],[Qtd pçs Retornadas ]]," ")</f>
        <v>0</v>
      </c>
      <c r="R44" s="10" t="s">
        <v>21565</v>
      </c>
      <c r="S44" s="5">
        <v>711</v>
      </c>
      <c r="T44" s="5">
        <v>46</v>
      </c>
      <c r="U44" s="52">
        <v>5.95</v>
      </c>
      <c r="V44" s="44">
        <f>IFERROR(TAB_OFICINAS[[#This Row],[Valor Unit]]*TAB_OFICINAS[[#This Row],[Qtd pçs Enviadas]]," ")</f>
        <v>3570</v>
      </c>
      <c r="W44" s="17">
        <v>46125</v>
      </c>
      <c r="X44" s="5" t="s">
        <v>6251</v>
      </c>
      <c r="Y44" s="27"/>
      <c r="Z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" spans="3:26" hidden="1">
      <c r="C45" s="28" t="s">
        <v>20</v>
      </c>
      <c r="D45" s="5">
        <v>155</v>
      </c>
      <c r="E45" s="5">
        <v>22346</v>
      </c>
      <c r="F45" s="28" t="str">
        <f>IFERROR(VLOOKUP(TAB_OFICINAS[[#This Row],[Cliente]],LISTA_DE_CLIENTES[[Código]:[Nome Fantasia]],2,FALSE),"")</f>
        <v>HOTEIS OTHON S A</v>
      </c>
      <c r="G45" s="5" t="str">
        <f>IFERROR(VLOOKUP(TAB_OFICINAS[[#This Row],[Cliente]],LISTA_DE_CLIENTES[[Código]:[Nome Fantasia]],3,FALSE),"")</f>
        <v>RIO OTHON PALACE HOT</v>
      </c>
      <c r="H45" s="51">
        <v>92108303842</v>
      </c>
      <c r="I45" s="28" t="s">
        <v>20367</v>
      </c>
      <c r="J45" s="91">
        <v>100</v>
      </c>
      <c r="K45" s="86">
        <v>46031</v>
      </c>
      <c r="L45" s="10" t="s">
        <v>24423</v>
      </c>
      <c r="M45" s="6">
        <v>46036</v>
      </c>
      <c r="N45" s="6">
        <v>46035</v>
      </c>
      <c r="O45" s="19">
        <f>TAB_OFICINAS[[#This Row],[Data Retorno Produção]]-TAB_OFICINAS[[#This Row],[Data Prometida  Entrega]]</f>
        <v>-1</v>
      </c>
      <c r="P45" s="40" t="str">
        <f>IF(TAB_OFICINAS[[#This Row],[Dias Para Entrega]]&lt;=0,"Em dia","Dia de Atrasado")</f>
        <v>Em dia</v>
      </c>
      <c r="Q45" s="10" t="str">
        <f>IFERROR(TAB_OFICINAS[[#This Row],[Qtd pçs Enviadas]]-TAB_OFICINAS[[#This Row],[Qtd pçs Retornadas ]]," ")</f>
        <v xml:space="preserve"> </v>
      </c>
      <c r="R45" s="10">
        <v>0</v>
      </c>
      <c r="S45" s="5">
        <v>3073</v>
      </c>
      <c r="T45" s="5">
        <v>71</v>
      </c>
      <c r="U45" s="52">
        <v>4</v>
      </c>
      <c r="V45" s="44">
        <f>IFERROR(TAB_OFICINAS[[#This Row],[Valor Unit]]*TAB_OFICINAS[[#This Row],[Qtd pçs Enviadas]]," ")</f>
        <v>400</v>
      </c>
      <c r="W45" s="17">
        <v>46045</v>
      </c>
      <c r="X45" s="5" t="s">
        <v>6251</v>
      </c>
      <c r="Y45" s="27"/>
      <c r="Z45" s="40" t="str">
        <f>IF(TAB_OFICINAS[[#This Row],[Qtd pçs Enviadas]]=TAB_OFICINAS[[#This Row],[Qtd pçs Retornadas ]],"Produção Finalizada",TAB_OFICINAS[[#This Row],[Qtd pçs Pendetente ]] &amp; " " &amp; "Pçs Pendente")</f>
        <v xml:space="preserve">  Pçs Pendente</v>
      </c>
    </row>
    <row r="46" spans="3:26" ht="28.5" hidden="1">
      <c r="C46" s="28" t="s">
        <v>15</v>
      </c>
      <c r="D46" s="5">
        <v>3346</v>
      </c>
      <c r="E46" s="5">
        <v>23073</v>
      </c>
      <c r="F46" s="28" t="str">
        <f>IFERROR(VLOOKUP(TAB_OFICINAS[[#This Row],[Cliente]],LISTA_DE_CLIENTES[[Código]:[Nome Fantasia]],2,FALSE),"")</f>
        <v>REDE D´OR SAO LUIZ S.A.</v>
      </c>
      <c r="G46" s="5" t="str">
        <f>IFERROR(VLOOKUP(TAB_OFICINAS[[#This Row],[Cliente]],LISTA_DE_CLIENTES[[Código]:[Nome Fantasia]],3,FALSE),"")</f>
        <v>MEMORIAL STAR</v>
      </c>
      <c r="H46" s="63">
        <v>2103062485</v>
      </c>
      <c r="I46" s="28" t="s">
        <v>20770</v>
      </c>
      <c r="J46" s="91">
        <v>500</v>
      </c>
      <c r="K46" s="86">
        <v>46054</v>
      </c>
      <c r="L46" s="10">
        <v>500</v>
      </c>
      <c r="M46" s="6">
        <v>46129</v>
      </c>
      <c r="N46" s="6">
        <v>46128</v>
      </c>
      <c r="O46" s="19">
        <f>TAB_OFICINAS[[#This Row],[Data Retorno Produção]]-TAB_OFICINAS[[#This Row],[Data Prometida  Entrega]]</f>
        <v>-1</v>
      </c>
      <c r="P46" s="40" t="str">
        <f>IF(TAB_OFICINAS[[#This Row],[Dias Para Entrega]]&lt;=0,"Em dia","Dia de Atrasado")</f>
        <v>Em dia</v>
      </c>
      <c r="Q46" s="10">
        <f>IFERROR(TAB_OFICINAS[[#This Row],[Qtd pçs Enviadas]]-TAB_OFICINAS[[#This Row],[Qtd pçs Retornadas ]]," ")</f>
        <v>0</v>
      </c>
      <c r="R46" s="10">
        <v>0</v>
      </c>
      <c r="S46" s="5">
        <v>726</v>
      </c>
      <c r="T46" s="5" t="s">
        <v>21574</v>
      </c>
      <c r="U46" s="52">
        <v>3.85</v>
      </c>
      <c r="V46" s="44">
        <v>1925</v>
      </c>
      <c r="W46" s="65" t="s">
        <v>22341</v>
      </c>
      <c r="X46" s="5" t="s">
        <v>6251</v>
      </c>
      <c r="Y46" s="27" t="s">
        <v>21378</v>
      </c>
      <c r="Z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" spans="3:26" hidden="1">
      <c r="C47" s="28" t="s">
        <v>7</v>
      </c>
      <c r="D47" s="5">
        <v>1153</v>
      </c>
      <c r="E47" s="5">
        <v>22132</v>
      </c>
      <c r="F47" s="28" t="str">
        <f>IFERROR(VLOOKUP(TAB_OFICINAS[[#This Row],[Cliente]],LISTA_DE_CLIENTES[[Código]:[Nome Fantasia]],2,FALSE),"")</f>
        <v>MAGNA DINIZ HOTEL E TURISMO LTDA</v>
      </c>
      <c r="G47" s="5" t="str">
        <f>IFERROR(VLOOKUP(TAB_OFICINAS[[#This Row],[Cliente]],LISTA_DE_CLIENTES[[Código]:[Nome Fantasia]],3,FALSE),"")</f>
        <v>GRAN MAREIRO</v>
      </c>
      <c r="H47" s="51">
        <v>3301072701</v>
      </c>
      <c r="I47" s="28" t="s">
        <v>20311</v>
      </c>
      <c r="J47" s="91">
        <v>230</v>
      </c>
      <c r="K47" s="86">
        <v>46008</v>
      </c>
      <c r="L47" s="10">
        <v>230</v>
      </c>
      <c r="M47" s="6">
        <v>46028</v>
      </c>
      <c r="N47" s="6">
        <v>46027</v>
      </c>
      <c r="O47" s="19">
        <f>TAB_OFICINAS[[#This Row],[Data Retorno Produção]]-TAB_OFICINAS[[#This Row],[Data Prometida  Entrega]]</f>
        <v>-1</v>
      </c>
      <c r="P47" s="40" t="str">
        <f>IF(TAB_OFICINAS[[#This Row],[Dias Para Entrega]]&lt;=0,"Em dia","Dia de Atrasado")</f>
        <v>Em dia</v>
      </c>
      <c r="Q47" s="10">
        <f>IFERROR(TAB_OFICINAS[[#This Row],[Qtd pçs Enviadas]]-TAB_OFICINAS[[#This Row],[Qtd pçs Retornadas ]]," ")</f>
        <v>0</v>
      </c>
      <c r="R47" s="10">
        <v>0</v>
      </c>
      <c r="S47" s="5">
        <v>3045</v>
      </c>
      <c r="T47" s="5">
        <v>18</v>
      </c>
      <c r="U47" s="52">
        <v>4.0999999999999996</v>
      </c>
      <c r="V47" s="44">
        <f>IFERROR(TAB_OFICINAS[[#This Row],[Valor Unit]]*TAB_OFICINAS[[#This Row],[Qtd pçs Enviadas]]," ")</f>
        <v>942.99999999999989</v>
      </c>
      <c r="W47" s="17">
        <v>46037</v>
      </c>
      <c r="X47" s="5" t="s">
        <v>6251</v>
      </c>
      <c r="Y47" s="27"/>
      <c r="Z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" spans="3:26" ht="71.25" hidden="1">
      <c r="C48" s="28" t="s">
        <v>20</v>
      </c>
      <c r="D48" s="5">
        <v>4451</v>
      </c>
      <c r="E48" s="5">
        <v>22240</v>
      </c>
      <c r="F48" s="28" t="str">
        <f>IFERROR(VLOOKUP(TAB_OFICINAS[[#This Row],[Cliente]],LISTA_DE_CLIENTES[[Código]:[Nome Fantasia]],2,FALSE),"")</f>
        <v>ASSOCIAÇÃO CLUBE WAVE 1</v>
      </c>
      <c r="G48" s="5" t="str">
        <f>IFERROR(VLOOKUP(TAB_OFICINAS[[#This Row],[Cliente]],LISTA_DE_CLIENTES[[Código]:[Nome Fantasia]],3,FALSE),"")</f>
        <v>BEYOND SP</v>
      </c>
      <c r="H48" s="51">
        <v>92105268542</v>
      </c>
      <c r="I48" s="28" t="s">
        <v>20368</v>
      </c>
      <c r="J48" s="91">
        <v>148</v>
      </c>
      <c r="K48" s="86">
        <v>46036</v>
      </c>
      <c r="L48" s="10">
        <v>148</v>
      </c>
      <c r="M48" s="6">
        <v>46048</v>
      </c>
      <c r="N48" s="6">
        <v>46045</v>
      </c>
      <c r="O48" s="19">
        <f>TAB_OFICINAS[[#This Row],[Data Retorno Produção]]-TAB_OFICINAS[[#This Row],[Data Prometida  Entrega]]</f>
        <v>-3</v>
      </c>
      <c r="P48" s="40" t="str">
        <f>IF(TAB_OFICINAS[[#This Row],[Dias Para Entrega]]&lt;=0,"Em dia","Dia de Atrasado")</f>
        <v>Em dia</v>
      </c>
      <c r="Q48" s="10">
        <f>IFERROR(TAB_OFICINAS[[#This Row],[Qtd pçs Enviadas]]-TAB_OFICINAS[[#This Row],[Qtd pçs Retornadas ]]," ")</f>
        <v>0</v>
      </c>
      <c r="R48" s="10">
        <v>2</v>
      </c>
      <c r="S48" s="5">
        <v>4308</v>
      </c>
      <c r="T48" s="5">
        <v>73</v>
      </c>
      <c r="U48" s="52">
        <v>5.3</v>
      </c>
      <c r="V48" s="44">
        <f>IFERROR(TAB_OFICINAS[[#This Row],[Valor Unit]]*TAB_OFICINAS[[#This Row],[Qtd pçs Enviadas]]," ")</f>
        <v>784.4</v>
      </c>
      <c r="W48" s="17">
        <v>46057</v>
      </c>
      <c r="X48" s="5" t="s">
        <v>6251</v>
      </c>
      <c r="Y48" s="27" t="s">
        <v>20369</v>
      </c>
      <c r="Z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9" spans="3:26" ht="28.5" hidden="1">
      <c r="C49" s="28" t="s">
        <v>15</v>
      </c>
      <c r="D49" s="5">
        <v>943</v>
      </c>
      <c r="E49" s="5">
        <v>22882</v>
      </c>
      <c r="F49" s="28" t="str">
        <f>IFERROR(VLOOKUP(TAB_OFICINAS[[#This Row],[Cliente]],LISTA_DE_CLIENTES[[Código]:[Nome Fantasia]],2,FALSE),"")</f>
        <v>REDE DOR SAO LUIZ S.A.</v>
      </c>
      <c r="G49" s="5" t="str">
        <f>IFERROR(VLOOKUP(TAB_OFICINAS[[#This Row],[Cliente]],LISTA_DE_CLIENTES[[Código]:[Nome Fantasia]],3,FALSE),"")</f>
        <v>HOSPITAL COPA STAR</v>
      </c>
      <c r="H49" s="63">
        <v>2101015261</v>
      </c>
      <c r="I49" s="28" t="s">
        <v>21172</v>
      </c>
      <c r="J49" s="91">
        <v>500</v>
      </c>
      <c r="K49" s="86">
        <v>46113</v>
      </c>
      <c r="L49" s="10">
        <v>500</v>
      </c>
      <c r="M49" s="6">
        <v>46118</v>
      </c>
      <c r="N49" s="6">
        <v>46118</v>
      </c>
      <c r="O49" s="19">
        <f>TAB_OFICINAS[[#This Row],[Data Retorno Produção]]-TAB_OFICINAS[[#This Row],[Data Prometida  Entrega]]</f>
        <v>0</v>
      </c>
      <c r="P49" s="40" t="str">
        <f>IF(TAB_OFICINAS[[#This Row],[Dias Para Entrega]]&lt;=0,"Em dia","Dia de Atrasado")</f>
        <v>Em dia</v>
      </c>
      <c r="Q49" s="10">
        <f>IFERROR(TAB_OFICINAS[[#This Row],[Qtd pçs Enviadas]]-TAB_OFICINAS[[#This Row],[Qtd pçs Retornadas ]]," ")</f>
        <v>0</v>
      </c>
      <c r="R49" s="10">
        <v>1</v>
      </c>
      <c r="S49" s="5">
        <v>726</v>
      </c>
      <c r="T49" s="5">
        <v>17075</v>
      </c>
      <c r="U49" s="52">
        <v>3.85</v>
      </c>
      <c r="V49" s="44">
        <f>IFERROR(TAB_OFICINAS[[#This Row],[Valor Unit]]*TAB_OFICINAS[[#This Row],[Qtd pçs Enviadas]]," ")</f>
        <v>1925</v>
      </c>
      <c r="W49" s="17">
        <v>46125</v>
      </c>
      <c r="X49" s="5" t="s">
        <v>6251</v>
      </c>
      <c r="Y49" s="27" t="s">
        <v>21467</v>
      </c>
      <c r="Z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" spans="3:26" hidden="1">
      <c r="C50" s="28" t="s">
        <v>15</v>
      </c>
      <c r="D50" s="5">
        <v>5391</v>
      </c>
      <c r="E50" s="5">
        <v>23059</v>
      </c>
      <c r="F50" s="28" t="str">
        <f>IFERROR(VLOOKUP(TAB_OFICINAS[[#This Row],[Cliente]],LISTA_DE_CLIENTES[[Código]:[Nome Fantasia]],2,FALSE),"")</f>
        <v>PACIFICO OPERACOES HOSPITALARES S.A</v>
      </c>
      <c r="G50" s="5" t="str">
        <f>IFERROR(VLOOKUP(TAB_OFICINAS[[#This Row],[Cliente]],LISTA_DE_CLIENTES[[Código]:[Nome Fantasia]],3,FALSE),"")</f>
        <v>MATERNIDADE SAO LUIZ</v>
      </c>
      <c r="H50" s="63">
        <v>2103062485</v>
      </c>
      <c r="I50" s="75" t="s">
        <v>22766</v>
      </c>
      <c r="J50" s="91">
        <v>500</v>
      </c>
      <c r="K50" s="86">
        <v>46153</v>
      </c>
      <c r="L50" s="10">
        <v>500</v>
      </c>
      <c r="M50" s="6">
        <v>46164</v>
      </c>
      <c r="N50" s="6">
        <v>46164</v>
      </c>
      <c r="O50" s="19">
        <f>TAB_OFICINAS[[#This Row],[Data Retorno Produção]]-TAB_OFICINAS[[#This Row],[Data Prometida  Entrega]]</f>
        <v>0</v>
      </c>
      <c r="P50" s="40" t="str">
        <f>IF(TAB_OFICINAS[[#This Row],[Dias Para Entrega]]&lt;=0,"Em dia","Dia de Atrasado")</f>
        <v>Em dia</v>
      </c>
      <c r="Q50" s="10">
        <f>IFERROR(TAB_OFICINAS[[#This Row],[Qtd pçs Enviadas]]-TAB_OFICINAS[[#This Row],[Qtd pçs Retornadas ]]," ")</f>
        <v>0</v>
      </c>
      <c r="R50" s="10"/>
      <c r="S50" s="5">
        <v>833</v>
      </c>
      <c r="T50" s="5">
        <v>17256</v>
      </c>
      <c r="U50" s="52">
        <v>3.85</v>
      </c>
      <c r="V50" s="44">
        <f>IFERROR(TAB_OFICINAS[[#This Row],[Valor Unit]]*TAB_OFICINAS[[#This Row],[Qtd pçs Enviadas]]," ")</f>
        <v>1925</v>
      </c>
      <c r="W50" s="17">
        <v>46169</v>
      </c>
      <c r="X50" s="5" t="s">
        <v>6251</v>
      </c>
      <c r="Y50" s="27" t="s">
        <v>21378</v>
      </c>
      <c r="Z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" spans="3:26" hidden="1">
      <c r="C51" s="28" t="s">
        <v>15</v>
      </c>
      <c r="D51" s="5">
        <v>3660</v>
      </c>
      <c r="E51" s="5">
        <v>23575</v>
      </c>
      <c r="F51" s="28" t="str">
        <f>IFERROR(VLOOKUP(TAB_OFICINAS[[#This Row],[Cliente]],LISTA_DE_CLIENTES[[Código]:[Nome Fantasia]],2,FALSE),"")</f>
        <v>HOSPITAL ESPERANCA SA</v>
      </c>
      <c r="G51" s="2" t="str">
        <f>IFERROR(VLOOKUP(TAB_OFICINAS[[#This Row],[Cliente]],LISTA_DE_CLIENTES[[Código]:[Nome Fantasia]],3,FALSE),"")</f>
        <v>HOSPITAL ALIANÇA</v>
      </c>
      <c r="H51" s="51">
        <v>2103067072</v>
      </c>
      <c r="I51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51" s="91">
        <v>500</v>
      </c>
      <c r="K51" s="88">
        <v>46203</v>
      </c>
      <c r="L51" s="9">
        <v>500</v>
      </c>
      <c r="M51" s="6">
        <v>46205</v>
      </c>
      <c r="N51" s="6">
        <v>46205</v>
      </c>
      <c r="O51" s="23">
        <f>TAB_OFICINAS[[#This Row],[Data Retorno Produção]]-TAB_OFICINAS[[#This Row],[Data Prometida  Entrega]]</f>
        <v>0</v>
      </c>
      <c r="P51" s="98" t="str">
        <f>IF(TAB_OFICINAS[[#This Row],[Dias Para Entrega]]&lt;=0,"Em dia","Dia de Atrasado")</f>
        <v>Em dia</v>
      </c>
      <c r="Q51" s="10">
        <f>IFERROR(TAB_OFICINAS[[#This Row],[Qtd pçs Enviadas]]-TAB_OFICINAS[[#This Row],[Qtd pçs Retornadas ]]," ")</f>
        <v>0</v>
      </c>
      <c r="R51" s="24">
        <v>0</v>
      </c>
      <c r="S51" s="5">
        <v>902</v>
      </c>
      <c r="T51" s="5">
        <v>17397</v>
      </c>
      <c r="U51" s="11">
        <v>3.85</v>
      </c>
      <c r="V51" s="25">
        <f>IFERROR(TAB_OFICINAS[[#This Row],[Valor Unit]]*TAB_OFICINAS[[#This Row],[Qtd pçs Enviadas]]," ")</f>
        <v>1925</v>
      </c>
      <c r="W51" s="26">
        <v>46212</v>
      </c>
      <c r="X51" s="17" t="s">
        <v>6251</v>
      </c>
      <c r="Y51" s="27" t="s">
        <v>23442</v>
      </c>
      <c r="Z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" spans="3:26" hidden="1">
      <c r="C52" s="28" t="s">
        <v>15</v>
      </c>
      <c r="D52" s="5">
        <v>1941</v>
      </c>
      <c r="E52" s="5">
        <v>22893</v>
      </c>
      <c r="F52" s="28" t="str">
        <f>IFERROR(VLOOKUP(TAB_OFICINAS[[#This Row],[Cliente]],LISTA_DE_CLIENTES[[Código]:[Nome Fantasia]],2,FALSE),"")</f>
        <v>HOSPITAIS INTEGRADOS DA GAVEA S/A</v>
      </c>
      <c r="G52" s="5" t="str">
        <f>IFERROR(VLOOKUP(TAB_OFICINAS[[#This Row],[Cliente]],LISTA_DE_CLIENTES[[Código]:[Nome Fantasia]],3,FALSE),"")</f>
        <v>REDE D´OR - DF STAR</v>
      </c>
      <c r="H52" s="51">
        <v>2101102488</v>
      </c>
      <c r="I52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52" s="91">
        <v>498</v>
      </c>
      <c r="K52" s="88">
        <v>46188</v>
      </c>
      <c r="L52" s="9">
        <v>498</v>
      </c>
      <c r="M52" s="6">
        <v>46195</v>
      </c>
      <c r="N52" s="6">
        <v>46197</v>
      </c>
      <c r="O52" s="23">
        <f>TAB_OFICINAS[[#This Row],[Data Retorno Produção]]-TAB_OFICINAS[[#This Row],[Data Prometida  Entrega]]</f>
        <v>2</v>
      </c>
      <c r="P52" s="98" t="str">
        <f>IF(TAB_OFICINAS[[#This Row],[Dias Para Entrega]]&lt;=0,"Em dia","Dia de Atrasado")</f>
        <v>Dia de Atrasado</v>
      </c>
      <c r="Q52" s="10">
        <f>IFERROR(TAB_OFICINAS[[#This Row],[Qtd pçs Enviadas]]-TAB_OFICINAS[[#This Row],[Qtd pçs Retornadas ]]," ")</f>
        <v>0</v>
      </c>
      <c r="R52" s="24">
        <v>0</v>
      </c>
      <c r="S52" s="5">
        <v>886</v>
      </c>
      <c r="T52" s="5">
        <v>17350</v>
      </c>
      <c r="U52" s="11">
        <v>3.85</v>
      </c>
      <c r="V52" s="25">
        <f>IFERROR(TAB_OFICINAS[[#This Row],[Valor Unit]]*TAB_OFICINAS[[#This Row],[Qtd pçs Enviadas]]," ")</f>
        <v>1917.3</v>
      </c>
      <c r="W52" s="26">
        <v>46203</v>
      </c>
      <c r="X52" s="17" t="s">
        <v>6251</v>
      </c>
      <c r="Y52" s="27" t="s">
        <v>23428</v>
      </c>
      <c r="Z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" spans="3:26" ht="57" hidden="1">
      <c r="C53" s="28" t="s">
        <v>15</v>
      </c>
      <c r="D53" s="5">
        <v>1942</v>
      </c>
      <c r="E53" s="5">
        <v>22842</v>
      </c>
      <c r="F53" s="28" t="str">
        <f>IFERROR(VLOOKUP(TAB_OFICINAS[[#This Row],[Cliente]],LISTA_DE_CLIENTES[[Código]:[Nome Fantasia]],2,FALSE),"")</f>
        <v>ONCO STAR SP ONCOLOGIA LTDA (REDE D´OR)</v>
      </c>
      <c r="G53" s="5" t="str">
        <f>IFERROR(VLOOKUP(TAB_OFICINAS[[#This Row],[Cliente]],LISTA_DE_CLIENTES[[Código]:[Nome Fantasia]],3,FALSE),"")</f>
        <v>R DOR VILA NOVA STAR</v>
      </c>
      <c r="H53" s="63">
        <v>2101102488</v>
      </c>
      <c r="I53" s="28" t="s">
        <v>21389</v>
      </c>
      <c r="J53" s="91">
        <v>491</v>
      </c>
      <c r="K53" s="86">
        <v>46100</v>
      </c>
      <c r="L53" s="10">
        <v>491</v>
      </c>
      <c r="M53" s="6">
        <v>46107</v>
      </c>
      <c r="N53" s="6">
        <v>46107</v>
      </c>
      <c r="O53" s="19">
        <f>TAB_OFICINAS[[#This Row],[Data Retorno Produção]]-TAB_OFICINAS[[#This Row],[Data Prometida  Entrega]]</f>
        <v>0</v>
      </c>
      <c r="P53" s="40" t="str">
        <f>IF(TAB_OFICINAS[[#This Row],[Dias Para Entrega]]&lt;=0,"Em dia","Dia de Atrasado")</f>
        <v>Em dia</v>
      </c>
      <c r="Q53" s="10">
        <f>IFERROR(TAB_OFICINAS[[#This Row],[Qtd pçs Enviadas]]-TAB_OFICINAS[[#This Row],[Qtd pçs Retornadas ]]," ")</f>
        <v>0</v>
      </c>
      <c r="R53" s="10">
        <v>4</v>
      </c>
      <c r="S53" s="5">
        <v>696</v>
      </c>
      <c r="T53" s="5">
        <v>17048</v>
      </c>
      <c r="U53" s="52">
        <v>3.85</v>
      </c>
      <c r="V53" s="44">
        <v>1862.95</v>
      </c>
      <c r="W53" s="17">
        <v>46113</v>
      </c>
      <c r="X53" s="5" t="s">
        <v>6251</v>
      </c>
      <c r="Y53" s="27" t="s">
        <v>21464</v>
      </c>
      <c r="Z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" spans="3:26" hidden="1">
      <c r="C54" s="28" t="s">
        <v>15</v>
      </c>
      <c r="D54" s="5">
        <v>2685</v>
      </c>
      <c r="E54" s="5">
        <v>22138</v>
      </c>
      <c r="F54" s="28" t="str">
        <f>IFERROR(VLOOKUP(TAB_OFICINAS[[#This Row],[Cliente]],LISTA_DE_CLIENTES[[Código]:[Nome Fantasia]],2,FALSE),"")</f>
        <v>REDE DOR SAO LUIZ S.A.</v>
      </c>
      <c r="G54" s="5" t="str">
        <f>IFERROR(VLOOKUP(TAB_OFICINAS[[#This Row],[Cliente]],LISTA_DE_CLIENTES[[Código]:[Nome Fantasia]],3,FALSE),"")</f>
        <v>MATERNIDADE SAO LUIZ</v>
      </c>
      <c r="H54" s="63">
        <v>2101107032</v>
      </c>
      <c r="I54" s="28" t="s">
        <v>20779</v>
      </c>
      <c r="J54" s="91">
        <v>450</v>
      </c>
      <c r="K54" s="86">
        <v>46048</v>
      </c>
      <c r="L54" s="10">
        <v>450</v>
      </c>
      <c r="M54" s="6">
        <v>46057</v>
      </c>
      <c r="N54" s="6">
        <v>46057</v>
      </c>
      <c r="O54" s="19">
        <f>TAB_OFICINAS[[#This Row],[Data Retorno Produção]]-TAB_OFICINAS[[#This Row],[Data Prometida  Entrega]]</f>
        <v>0</v>
      </c>
      <c r="P54" s="40" t="str">
        <f>IF(TAB_OFICINAS[[#This Row],[Dias Para Entrega]]&lt;=0,"Em dia","Dia de Atrasado")</f>
        <v>Em dia</v>
      </c>
      <c r="Q54" s="10">
        <f>IFERROR(TAB_OFICINAS[[#This Row],[Qtd pçs Enviadas]]-TAB_OFICINAS[[#This Row],[Qtd pçs Retornadas ]]," ")</f>
        <v>0</v>
      </c>
      <c r="R54" s="10">
        <v>0</v>
      </c>
      <c r="S54" s="5">
        <v>555</v>
      </c>
      <c r="T54" s="5">
        <v>16900</v>
      </c>
      <c r="U54" s="52">
        <v>3.85</v>
      </c>
      <c r="V54" s="44">
        <f>IFERROR(TAB_OFICINAS[[#This Row],[Valor Unit]]*TAB_OFICINAS[[#This Row],[Qtd pçs Enviadas]]," ")</f>
        <v>1732.5</v>
      </c>
      <c r="W54" s="17">
        <v>46066</v>
      </c>
      <c r="X54" s="5" t="s">
        <v>6251</v>
      </c>
      <c r="Y54" s="27" t="s">
        <v>21341</v>
      </c>
      <c r="Z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" spans="3:26" ht="57" hidden="1">
      <c r="C55" s="28" t="s">
        <v>15</v>
      </c>
      <c r="D55" s="5">
        <v>2685</v>
      </c>
      <c r="E55" s="5">
        <v>22138</v>
      </c>
      <c r="F55" s="28" t="str">
        <f>IFERROR(VLOOKUP(TAB_OFICINAS[[#This Row],[Cliente]],LISTA_DE_CLIENTES[[Código]:[Nome Fantasia]],2,FALSE),"")</f>
        <v>REDE DOR SAO LUIZ S.A.</v>
      </c>
      <c r="G55" s="5" t="str">
        <f>IFERROR(VLOOKUP(TAB_OFICINAS[[#This Row],[Cliente]],LISTA_DE_CLIENTES[[Código]:[Nome Fantasia]],3,FALSE),"")</f>
        <v>MATERNIDADE SAO LUIZ</v>
      </c>
      <c r="H55" s="51">
        <v>2101107032</v>
      </c>
      <c r="I55" s="28" t="s">
        <v>20402</v>
      </c>
      <c r="J55" s="91">
        <v>450</v>
      </c>
      <c r="K55" s="86">
        <v>46048</v>
      </c>
      <c r="L55" s="10">
        <v>450</v>
      </c>
      <c r="M55" s="6">
        <v>46062</v>
      </c>
      <c r="N55" s="6">
        <v>46062</v>
      </c>
      <c r="O55" s="19">
        <f>TAB_OFICINAS[[#This Row],[Data Retorno Produção]]-TAB_OFICINAS[[#This Row],[Data Prometida  Entrega]]</f>
        <v>0</v>
      </c>
      <c r="P55" s="40" t="str">
        <f>IF(TAB_OFICINAS[[#This Row],[Dias Para Entrega]]&lt;=0,"Em dia","Dia de Atrasado")</f>
        <v>Em dia</v>
      </c>
      <c r="Q55" s="10">
        <f>IFERROR(TAB_OFICINAS[[#This Row],[Qtd pçs Enviadas]]-TAB_OFICINAS[[#This Row],[Qtd pçs Retornadas ]]," ")</f>
        <v>0</v>
      </c>
      <c r="R55" s="10">
        <v>0</v>
      </c>
      <c r="S55" s="5">
        <v>555</v>
      </c>
      <c r="T55" s="5">
        <v>16900</v>
      </c>
      <c r="U55" s="52">
        <v>3.85</v>
      </c>
      <c r="V55" s="44">
        <f>IFERROR(TAB_OFICINAS[[#This Row],[Valor Unit]]*TAB_OFICINAS[[#This Row],[Qtd pçs Enviadas]]," ")</f>
        <v>1732.5</v>
      </c>
      <c r="W55" s="17">
        <v>46066</v>
      </c>
      <c r="X55" s="5" t="s">
        <v>6251</v>
      </c>
      <c r="Y55" s="27" t="s">
        <v>20403</v>
      </c>
      <c r="Z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" spans="3:26" ht="28.5" hidden="1">
      <c r="C56" s="28" t="s">
        <v>15</v>
      </c>
      <c r="D56" s="5">
        <v>943</v>
      </c>
      <c r="E56" s="5">
        <v>22882</v>
      </c>
      <c r="F56" s="28" t="str">
        <f>IFERROR(VLOOKUP(TAB_OFICINAS[[#This Row],[Cliente]],LISTA_DE_CLIENTES[[Código]:[Nome Fantasia]],2,FALSE),"")</f>
        <v>REDE DOR SAO LUIZ S.A.</v>
      </c>
      <c r="G56" s="5" t="str">
        <f>IFERROR(VLOOKUP(TAB_OFICINAS[[#This Row],[Cliente]],LISTA_DE_CLIENTES[[Código]:[Nome Fantasia]],3,FALSE),"")</f>
        <v>HOSPITAL COPA STAR</v>
      </c>
      <c r="H56" s="63">
        <v>2101105263</v>
      </c>
      <c r="I56" s="28" t="s">
        <v>21684</v>
      </c>
      <c r="J56" s="91">
        <v>450</v>
      </c>
      <c r="K56" s="86">
        <v>46066</v>
      </c>
      <c r="L56" s="10">
        <v>450</v>
      </c>
      <c r="M56" s="6">
        <v>46133</v>
      </c>
      <c r="N56" s="6">
        <v>46129</v>
      </c>
      <c r="O56" s="19">
        <f>TAB_OFICINAS[[#This Row],[Data Retorno Produção]]-TAB_OFICINAS[[#This Row],[Data Prometida  Entrega]]</f>
        <v>-4</v>
      </c>
      <c r="P56" s="40" t="str">
        <f>IF(TAB_OFICINAS[[#This Row],[Dias Para Entrega]]&lt;=0,"Em dia","Dia de Atrasado")</f>
        <v>Em dia</v>
      </c>
      <c r="Q56" s="10">
        <f>IFERROR(TAB_OFICINAS[[#This Row],[Qtd pçs Enviadas]]-TAB_OFICINAS[[#This Row],[Qtd pçs Retornadas ]]," ")</f>
        <v>0</v>
      </c>
      <c r="R56" s="10">
        <v>0</v>
      </c>
      <c r="S56" s="5">
        <v>746</v>
      </c>
      <c r="T56" s="5" t="s">
        <v>22336</v>
      </c>
      <c r="U56" s="52">
        <v>3.85</v>
      </c>
      <c r="V56" s="44">
        <f>IFERROR(TAB_OFICINAS[[#This Row],[Valor Unit]]*TAB_OFICINAS[[#This Row],[Qtd pçs Enviadas]]," ")</f>
        <v>1732.5</v>
      </c>
      <c r="W56" s="65" t="s">
        <v>22337</v>
      </c>
      <c r="X56" s="5" t="s">
        <v>6251</v>
      </c>
      <c r="Y56" s="27" t="s">
        <v>21341</v>
      </c>
      <c r="Z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" spans="3:26" hidden="1">
      <c r="C57" s="28" t="s">
        <v>7</v>
      </c>
      <c r="D57" s="5">
        <v>1153</v>
      </c>
      <c r="E57" s="5">
        <v>22132</v>
      </c>
      <c r="F57" s="28" t="str">
        <f>IFERROR(VLOOKUP(TAB_OFICINAS[[#This Row],[Cliente]],LISTA_DE_CLIENTES[[Código]:[Nome Fantasia]],2,FALSE),"")</f>
        <v>MAGNA DINIZ HOTEL E TURISMO LTDA</v>
      </c>
      <c r="G57" s="5" t="str">
        <f>IFERROR(VLOOKUP(TAB_OFICINAS[[#This Row],[Cliente]],LISTA_DE_CLIENTES[[Código]:[Nome Fantasia]],3,FALSE),"")</f>
        <v>GRAN MAREIRO</v>
      </c>
      <c r="H57" s="51">
        <v>2102088505</v>
      </c>
      <c r="I57" s="28" t="s">
        <v>20312</v>
      </c>
      <c r="J57" s="91">
        <v>85</v>
      </c>
      <c r="K57" s="86">
        <v>46008</v>
      </c>
      <c r="L57" s="10">
        <v>85</v>
      </c>
      <c r="M57" s="6">
        <v>46028</v>
      </c>
      <c r="N57" s="6">
        <v>46027</v>
      </c>
      <c r="O57" s="19">
        <f>TAB_OFICINAS[[#This Row],[Data Retorno Produção]]-TAB_OFICINAS[[#This Row],[Data Prometida  Entrega]]</f>
        <v>-1</v>
      </c>
      <c r="P57" s="40" t="str">
        <f>IF(TAB_OFICINAS[[#This Row],[Dias Para Entrega]]&lt;=0,"Em dia","Dia de Atrasado")</f>
        <v>Em dia</v>
      </c>
      <c r="Q57" s="10">
        <f>IFERROR(TAB_OFICINAS[[#This Row],[Qtd pçs Enviadas]]-TAB_OFICINAS[[#This Row],[Qtd pçs Retornadas ]]," ")</f>
        <v>0</v>
      </c>
      <c r="R57" s="10">
        <v>0</v>
      </c>
      <c r="S57" s="5">
        <v>3045</v>
      </c>
      <c r="T57" s="5">
        <v>18</v>
      </c>
      <c r="U57" s="52">
        <v>8</v>
      </c>
      <c r="V57" s="44">
        <f>IFERROR(TAB_OFICINAS[[#This Row],[Valor Unit]]*TAB_OFICINAS[[#This Row],[Qtd pçs Enviadas]]," ")</f>
        <v>680</v>
      </c>
      <c r="W57" s="17">
        <v>46037</v>
      </c>
      <c r="X57" s="5" t="s">
        <v>6251</v>
      </c>
      <c r="Y57" s="27"/>
      <c r="Z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" spans="3:26" ht="85.5" hidden="1">
      <c r="C58" s="28" t="s">
        <v>15</v>
      </c>
      <c r="D58" s="5">
        <v>3346</v>
      </c>
      <c r="E58" s="5">
        <v>23170</v>
      </c>
      <c r="F58" s="28" t="str">
        <f>IFERROR(VLOOKUP(TAB_OFICINAS[[#This Row],[Cliente]],LISTA_DE_CLIENTES[[Código]:[Nome Fantasia]],2,FALSE),"")</f>
        <v>REDE D´OR SAO LUIZ S.A.</v>
      </c>
      <c r="G58" s="2" t="str">
        <f>IFERROR(VLOOKUP(TAB_OFICINAS[[#This Row],[Cliente]],LISTA_DE_CLIENTES[[Código]:[Nome Fantasia]],3,FALSE),"")</f>
        <v>MEMORIAL STAR</v>
      </c>
      <c r="H58" s="63">
        <v>2101107946</v>
      </c>
      <c r="I58" s="28" t="s">
        <v>21685</v>
      </c>
      <c r="J58" s="91">
        <v>450</v>
      </c>
      <c r="K58" s="86">
        <v>46167</v>
      </c>
      <c r="L58" s="34">
        <v>450</v>
      </c>
      <c r="M58" s="6">
        <v>46171</v>
      </c>
      <c r="N58" s="6">
        <v>46176</v>
      </c>
      <c r="O58" s="19">
        <f>TAB_OFICINAS[[#This Row],[Data Retorno Produção]]-TAB_OFICINAS[[#This Row],[Data Prometida  Entrega]]</f>
        <v>5</v>
      </c>
      <c r="P58" s="40" t="str">
        <f>IF(TAB_OFICINAS[[#This Row],[Dias Para Entrega]]&lt;=0,"Em dia","Dia de Atrasado")</f>
        <v>Dia de Atrasado</v>
      </c>
      <c r="Q58" s="10">
        <f>IFERROR(TAB_OFICINAS[[#This Row],[Qtd pçs Enviadas]]-TAB_OFICINAS[[#This Row],[Qtd pçs Retornadas ]]," ")</f>
        <v>0</v>
      </c>
      <c r="R58" s="10">
        <v>2</v>
      </c>
      <c r="S58" s="5">
        <v>855</v>
      </c>
      <c r="T58" s="5">
        <v>17272</v>
      </c>
      <c r="U58" s="1">
        <v>3.85</v>
      </c>
      <c r="V58" s="3">
        <f>IFERROR(TAB_OFICINAS[[#This Row],[Valor Unit]]*TAB_OFICINAS[[#This Row],[Qtd pçs Enviadas]]," ")</f>
        <v>1732.5</v>
      </c>
      <c r="W58" s="17">
        <v>46185</v>
      </c>
      <c r="X58" s="5" t="s">
        <v>6251</v>
      </c>
      <c r="Y58" s="4" t="s">
        <v>23133</v>
      </c>
      <c r="Z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" spans="3:26" hidden="1">
      <c r="C59" s="28" t="s">
        <v>5</v>
      </c>
      <c r="D59" s="5">
        <v>164</v>
      </c>
      <c r="E59" s="5">
        <v>23219</v>
      </c>
      <c r="F59" s="28" t="str">
        <f>IFERROR(VLOOKUP(TAB_OFICINAS[[#This Row],[Cliente]],LISTA_DE_CLIENTES[[Código]:[Nome Fantasia]],2,FALSE),"")</f>
        <v>HOTEL CURITIBA CAPITAL S/A</v>
      </c>
      <c r="G59" s="5" t="str">
        <f>IFERROR(VLOOKUP(TAB_OFICINAS[[#This Row],[Cliente]],LISTA_DE_CLIENTES[[Código]:[Nome Fantasia]],3,FALSE),"")</f>
        <v>RADISSON CURITIBA</v>
      </c>
      <c r="H59" s="63">
        <v>92104476208</v>
      </c>
      <c r="I59" s="28" t="s">
        <v>21710</v>
      </c>
      <c r="J59" s="91">
        <v>435</v>
      </c>
      <c r="K59" s="86">
        <v>46157</v>
      </c>
      <c r="L59" s="10">
        <v>435</v>
      </c>
      <c r="M59" s="6">
        <v>46168</v>
      </c>
      <c r="N59" s="6">
        <v>46169</v>
      </c>
      <c r="O59" s="19">
        <f>TAB_OFICINAS[[#This Row],[Data Retorno Produção]]-TAB_OFICINAS[[#This Row],[Data Prometida  Entrega]]</f>
        <v>1</v>
      </c>
      <c r="P59" s="40" t="str">
        <f>IF(TAB_OFICINAS[[#This Row],[Dias Para Entrega]]&lt;=0,"Em dia","Dia de Atrasado")</f>
        <v>Dia de Atrasado</v>
      </c>
      <c r="Q59" s="10">
        <f>IFERROR(TAB_OFICINAS[[#This Row],[Qtd pçs Enviadas]]-TAB_OFICINAS[[#This Row],[Qtd pçs Retornadas ]]," ")</f>
        <v>0</v>
      </c>
      <c r="R59" s="10"/>
      <c r="S59" s="5">
        <v>3214</v>
      </c>
      <c r="T59" s="5">
        <v>2644</v>
      </c>
      <c r="U59" s="52">
        <v>4</v>
      </c>
      <c r="V59" s="44">
        <f>IFERROR(TAB_OFICINAS[[#This Row],[Valor Unit]]*TAB_OFICINAS[[#This Row],[Qtd pçs Enviadas]]," ")</f>
        <v>1740</v>
      </c>
      <c r="W59" s="17">
        <v>46179</v>
      </c>
      <c r="X59" s="5" t="s">
        <v>6251</v>
      </c>
      <c r="Y59" s="27"/>
      <c r="Z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" spans="3:26" hidden="1">
      <c r="C60" s="28" t="s">
        <v>15</v>
      </c>
      <c r="D60" s="5">
        <v>1941</v>
      </c>
      <c r="E60" s="5">
        <v>22893</v>
      </c>
      <c r="F60" s="28" t="str">
        <f>IFERROR(VLOOKUP(TAB_OFICINAS[[#This Row],[Cliente]],LISTA_DE_CLIENTES[[Código]:[Nome Fantasia]],2,FALSE),"")</f>
        <v>HOSPITAIS INTEGRADOS DA GAVEA S/A</v>
      </c>
      <c r="G60" s="5" t="str">
        <f>IFERROR(VLOOKUP(TAB_OFICINAS[[#This Row],[Cliente]],LISTA_DE_CLIENTES[[Código]:[Nome Fantasia]],3,FALSE),"")</f>
        <v>REDE D´OR - DF STAR</v>
      </c>
      <c r="H60" s="63">
        <v>2101107948</v>
      </c>
      <c r="I60" s="28" t="s">
        <v>21372</v>
      </c>
      <c r="J60" s="91">
        <v>415</v>
      </c>
      <c r="K60" s="86">
        <v>46083</v>
      </c>
      <c r="L60" s="10">
        <v>415</v>
      </c>
      <c r="M60" s="6">
        <v>46087</v>
      </c>
      <c r="N60" s="6">
        <v>46087</v>
      </c>
      <c r="O60" s="19">
        <f>TAB_OFICINAS[[#This Row],[Data Retorno Produção]]-TAB_OFICINAS[[#This Row],[Data Prometida  Entrega]]</f>
        <v>0</v>
      </c>
      <c r="P60" s="40" t="str">
        <f>IF(TAB_OFICINAS[[#This Row],[Dias Para Entrega]]&lt;=0,"Em dia","Dia de Atrasado")</f>
        <v>Em dia</v>
      </c>
      <c r="Q60" s="10">
        <f>IFERROR(TAB_OFICINAS[[#This Row],[Qtd pçs Enviadas]]-TAB_OFICINAS[[#This Row],[Qtd pçs Retornadas ]]," ")</f>
        <v>0</v>
      </c>
      <c r="R60" s="10">
        <v>0</v>
      </c>
      <c r="S60" s="5">
        <v>650</v>
      </c>
      <c r="T60" s="5">
        <v>16980</v>
      </c>
      <c r="U60" s="52">
        <v>3.85</v>
      </c>
      <c r="V60" s="44">
        <f>IFERROR(TAB_OFICINAS[[#This Row],[Valor Unit]]*TAB_OFICINAS[[#This Row],[Qtd pçs Enviadas]]," ")</f>
        <v>1597.75</v>
      </c>
      <c r="W60" s="17">
        <v>46094</v>
      </c>
      <c r="X60" s="5" t="s">
        <v>6251</v>
      </c>
      <c r="Y60" s="27" t="s">
        <v>21341</v>
      </c>
      <c r="Z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" spans="3:26" hidden="1">
      <c r="C61" s="28" t="s">
        <v>1</v>
      </c>
      <c r="D61" s="5">
        <v>155</v>
      </c>
      <c r="E61" s="5">
        <v>22442</v>
      </c>
      <c r="F61" s="28" t="str">
        <f>IFERROR(VLOOKUP(TAB_OFICINAS[[#This Row],[Cliente]],LISTA_DE_CLIENTES[[Código]:[Nome Fantasia]],2,FALSE),"")</f>
        <v>HOTEIS OTHON S A</v>
      </c>
      <c r="G61" s="5" t="str">
        <f>IFERROR(VLOOKUP(TAB_OFICINAS[[#This Row],[Cliente]],LISTA_DE_CLIENTES[[Código]:[Nome Fantasia]],3,FALSE),"")</f>
        <v>RIO OTHON PALACE HOT</v>
      </c>
      <c r="H61" s="51">
        <v>2112868354</v>
      </c>
      <c r="I61" s="28" t="s">
        <v>20694</v>
      </c>
      <c r="J61" s="91">
        <v>300</v>
      </c>
      <c r="K61" s="86">
        <v>46034</v>
      </c>
      <c r="L61" s="10">
        <v>300</v>
      </c>
      <c r="M61" s="6">
        <v>46052</v>
      </c>
      <c r="N61" s="6">
        <v>46043</v>
      </c>
      <c r="O61" s="19">
        <f>TAB_OFICINAS[[#This Row],[Data Retorno Produção]]-TAB_OFICINAS[[#This Row],[Data Prometida  Entrega]]</f>
        <v>-9</v>
      </c>
      <c r="P61" s="40" t="str">
        <f>IF(TAB_OFICINAS[[#This Row],[Dias Para Entrega]]&lt;=0,"Em dia","Dia de Atrasado")</f>
        <v>Em dia</v>
      </c>
      <c r="Q61" s="10">
        <f>IFERROR(TAB_OFICINAS[[#This Row],[Qtd pçs Enviadas]]-TAB_OFICINAS[[#This Row],[Qtd pçs Retornadas ]]," ")</f>
        <v>0</v>
      </c>
      <c r="R61" s="10">
        <v>0</v>
      </c>
      <c r="S61" s="5">
        <v>3076</v>
      </c>
      <c r="T61" s="5">
        <v>33</v>
      </c>
      <c r="U61" s="52">
        <v>6</v>
      </c>
      <c r="V61" s="44">
        <f>IFERROR(TAB_OFICINAS[[#This Row],[Valor Unit]]*TAB_OFICINAS[[#This Row],[Qtd pçs Enviadas]]," ")</f>
        <v>1800</v>
      </c>
      <c r="W61" s="17">
        <v>46052</v>
      </c>
      <c r="X61" s="5" t="s">
        <v>6251</v>
      </c>
      <c r="Y61" s="27"/>
      <c r="Z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" spans="3:26" hidden="1">
      <c r="C62" s="28" t="s">
        <v>1</v>
      </c>
      <c r="D62" s="5">
        <v>943</v>
      </c>
      <c r="E62" s="5">
        <v>22133</v>
      </c>
      <c r="F62" s="28" t="str">
        <f>IFERROR(VLOOKUP(TAB_OFICINAS[[#This Row],[Cliente]],LISTA_DE_CLIENTES[[Código]:[Nome Fantasia]],2,FALSE),"")</f>
        <v>REDE DOR SAO LUIZ S.A.</v>
      </c>
      <c r="G62" s="5" t="str">
        <f>IFERROR(VLOOKUP(TAB_OFICINAS[[#This Row],[Cliente]],LISTA_DE_CLIENTES[[Código]:[Nome Fantasia]],3,FALSE),"")</f>
        <v>HOSPITAL COPA STAR</v>
      </c>
      <c r="H62" s="51">
        <v>2101105263</v>
      </c>
      <c r="I62" s="28" t="s">
        <v>21684</v>
      </c>
      <c r="J62" s="91">
        <v>150</v>
      </c>
      <c r="K62" s="86">
        <v>46044</v>
      </c>
      <c r="L62" s="10">
        <v>150</v>
      </c>
      <c r="M62" s="6">
        <v>46052</v>
      </c>
      <c r="N62" s="6">
        <v>46048</v>
      </c>
      <c r="O62" s="19">
        <f>TAB_OFICINAS[[#This Row],[Data Retorno Produção]]-TAB_OFICINAS[[#This Row],[Data Prometida  Entrega]]</f>
        <v>-4</v>
      </c>
      <c r="P62" s="40" t="str">
        <f>IF(TAB_OFICINAS[[#This Row],[Dias Para Entrega]]&lt;=0,"Em dia","Dia de Atrasado")</f>
        <v>Em dia</v>
      </c>
      <c r="Q62" s="10">
        <f>IFERROR(TAB_OFICINAS[[#This Row],[Qtd pçs Enviadas]]-TAB_OFICINAS[[#This Row],[Qtd pçs Retornadas ]]," ")</f>
        <v>0</v>
      </c>
      <c r="R62" s="10">
        <v>0</v>
      </c>
      <c r="S62" s="5">
        <v>551</v>
      </c>
      <c r="T62" s="5">
        <v>34</v>
      </c>
      <c r="U62" s="52">
        <v>8.5</v>
      </c>
      <c r="V62" s="44">
        <f>IFERROR(TAB_OFICINAS[[#This Row],[Valor Unit]]*TAB_OFICINAS[[#This Row],[Qtd pçs Enviadas]]," ")</f>
        <v>1275</v>
      </c>
      <c r="W62" s="17">
        <v>46026</v>
      </c>
      <c r="X62" s="5" t="s">
        <v>6251</v>
      </c>
      <c r="Y62" s="27"/>
      <c r="Z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" spans="3:26" hidden="1">
      <c r="C63" s="28" t="s">
        <v>19</v>
      </c>
      <c r="D63" s="5">
        <v>4287</v>
      </c>
      <c r="E63" s="5">
        <v>22005</v>
      </c>
      <c r="F63" s="28" t="str">
        <f>IFERROR(VLOOKUP(TAB_OFICINAS[[#This Row],[Cliente]],LISTA_DE_CLIENTES[[Código]:[Nome Fantasia]],2,FALSE),"")</f>
        <v>DIAGNOSTICOS DA AMERICA S.A .</v>
      </c>
      <c r="G63" s="5" t="str">
        <f>IFERROR(VLOOKUP(TAB_OFICINAS[[#This Row],[Cliente]],LISTA_DE_CLIENTES[[Código]:[Nome Fantasia]],3,FALSE),"")</f>
        <v>DASA ANALIA FRANCO</v>
      </c>
      <c r="H63" s="51">
        <v>3301095930</v>
      </c>
      <c r="I63" s="28" t="s">
        <v>20342</v>
      </c>
      <c r="J63" s="91">
        <v>20</v>
      </c>
      <c r="K63" s="86">
        <v>46008</v>
      </c>
      <c r="L63" s="10">
        <v>20</v>
      </c>
      <c r="M63" s="6">
        <v>46028</v>
      </c>
      <c r="N63" s="6">
        <v>46028</v>
      </c>
      <c r="O63" s="19">
        <f>TAB_OFICINAS[[#This Row],[Data Retorno Produção]]-TAB_OFICINAS[[#This Row],[Data Prometida  Entrega]]</f>
        <v>0</v>
      </c>
      <c r="P63" s="40" t="str">
        <f>IF(TAB_OFICINAS[[#This Row],[Dias Para Entrega]]&lt;=0,"Em dia","Dia de Atrasado")</f>
        <v>Em dia</v>
      </c>
      <c r="Q63" s="10">
        <f>IFERROR(TAB_OFICINAS[[#This Row],[Qtd pçs Enviadas]]-TAB_OFICINAS[[#This Row],[Qtd pçs Retornadas ]],"N/D ")</f>
        <v>0</v>
      </c>
      <c r="R63" s="10">
        <v>0</v>
      </c>
      <c r="S63" s="5">
        <v>3050</v>
      </c>
      <c r="T63" s="5">
        <v>37</v>
      </c>
      <c r="U63" s="52">
        <v>16</v>
      </c>
      <c r="V63" s="44">
        <f>IFERROR(TAB_OFICINAS[[#This Row],[Valor Unit]]*TAB_OFICINAS[[#This Row],[Qtd pçs Enviadas]]," ")</f>
        <v>320</v>
      </c>
      <c r="W63" s="17">
        <v>46037</v>
      </c>
      <c r="X63" s="5" t="s">
        <v>6251</v>
      </c>
      <c r="Y63" s="27"/>
      <c r="Z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" spans="3:26" hidden="1">
      <c r="C64" s="28" t="s">
        <v>15</v>
      </c>
      <c r="D64" s="5">
        <v>943</v>
      </c>
      <c r="E64" s="5">
        <v>22882</v>
      </c>
      <c r="F64" s="28" t="str">
        <f>IFERROR(VLOOKUP(TAB_OFICINAS[[#This Row],[Cliente]],LISTA_DE_CLIENTES[[Código]:[Nome Fantasia]],2,FALSE),"")</f>
        <v>REDE DOR SAO LUIZ S.A.</v>
      </c>
      <c r="G64" s="5" t="str">
        <f>IFERROR(VLOOKUP(TAB_OFICINAS[[#This Row],[Cliente]],LISTA_DE_CLIENTES[[Código]:[Nome Fantasia]],3,FALSE),"")</f>
        <v>HOSPITAL COPA STAR</v>
      </c>
      <c r="H64" s="63">
        <v>2103062485</v>
      </c>
      <c r="I64" s="28" t="s">
        <v>20770</v>
      </c>
      <c r="J64" s="91">
        <v>400</v>
      </c>
      <c r="K64" s="86">
        <v>46104</v>
      </c>
      <c r="L64" s="10">
        <v>400</v>
      </c>
      <c r="M64" s="6">
        <v>46111</v>
      </c>
      <c r="N64" s="6">
        <v>46108</v>
      </c>
      <c r="O64" s="19">
        <f>TAB_OFICINAS[[#This Row],[Data Retorno Produção]]-TAB_OFICINAS[[#This Row],[Data Prometida  Entrega]]</f>
        <v>-3</v>
      </c>
      <c r="P64" s="40" t="str">
        <f>IF(TAB_OFICINAS[[#This Row],[Dias Para Entrega]]&lt;=0,"Em dia","Dia de Atrasado")</f>
        <v>Em dia</v>
      </c>
      <c r="Q64" s="10">
        <f>IFERROR(TAB_OFICINAS[[#This Row],[Qtd pçs Enviadas]]-TAB_OFICINAS[[#This Row],[Qtd pçs Retornadas ]]," ")</f>
        <v>0</v>
      </c>
      <c r="R64" s="10"/>
      <c r="S64" s="5">
        <v>704</v>
      </c>
      <c r="T64" s="5" t="s">
        <v>21460</v>
      </c>
      <c r="U64" s="52">
        <v>3.85</v>
      </c>
      <c r="V64" s="44">
        <f>IFERROR(TAB_OFICINAS[[#This Row],[Valor Unit]]*TAB_OFICINAS[[#This Row],[Qtd pçs Enviadas]]," ")</f>
        <v>1540</v>
      </c>
      <c r="W64" s="17">
        <v>46115</v>
      </c>
      <c r="X64" s="5" t="s">
        <v>6251</v>
      </c>
      <c r="Y64" s="27" t="s">
        <v>21378</v>
      </c>
      <c r="Z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" spans="3:26" hidden="1">
      <c r="C65" s="28" t="s">
        <v>21197</v>
      </c>
      <c r="D65" s="5">
        <v>943</v>
      </c>
      <c r="E65" s="5">
        <v>22882</v>
      </c>
      <c r="F65" s="28" t="str">
        <f>IFERROR(VLOOKUP(TAB_OFICINAS[[#This Row],[Cliente]],LISTA_DE_CLIENTES[[Código]:[Nome Fantasia]],2,FALSE),"")</f>
        <v>REDE DOR SAO LUIZ S.A.</v>
      </c>
      <c r="G65" s="5" t="str">
        <f>IFERROR(VLOOKUP(TAB_OFICINAS[[#This Row],[Cliente]],LISTA_DE_CLIENTES[[Código]:[Nome Fantasia]],3,FALSE),"")</f>
        <v>HOSPITAL COPA STAR</v>
      </c>
      <c r="H65" s="63">
        <v>2103062485</v>
      </c>
      <c r="I65" s="28" t="s">
        <v>21568</v>
      </c>
      <c r="J65" s="91">
        <v>400</v>
      </c>
      <c r="K65" s="86">
        <v>46118</v>
      </c>
      <c r="L65" s="10">
        <v>400</v>
      </c>
      <c r="M65" s="6">
        <v>46132</v>
      </c>
      <c r="N65" s="6">
        <v>46122</v>
      </c>
      <c r="O65" s="19">
        <f>TAB_OFICINAS[[#This Row],[Data Retorno Produção]]-TAB_OFICINAS[[#This Row],[Data Prometida  Entrega]]</f>
        <v>-10</v>
      </c>
      <c r="P65" s="40" t="str">
        <f>IF(TAB_OFICINAS[[#This Row],[Dias Para Entrega]]&lt;=0,"Em dia","Dia de Atrasado")</f>
        <v>Em dia</v>
      </c>
      <c r="Q65" s="10">
        <f>IFERROR(TAB_OFICINAS[[#This Row],[Qtd pçs Enviadas]]-TAB_OFICINAS[[#This Row],[Qtd pçs Retornadas ]]," ")</f>
        <v>0</v>
      </c>
      <c r="R65" s="10"/>
      <c r="S65" s="5">
        <v>731</v>
      </c>
      <c r="T65" s="5">
        <v>48</v>
      </c>
      <c r="U65" s="52">
        <v>5.15</v>
      </c>
      <c r="V65" s="44">
        <f>IFERROR(TAB_OFICINAS[[#This Row],[Valor Unit]]*TAB_OFICINAS[[#This Row],[Qtd pçs Enviadas]]," ")</f>
        <v>2060</v>
      </c>
      <c r="W65" s="17">
        <f>TAB_OFICINAS[[#This Row],[Data Retorno Produção]]+10</f>
        <v>46132</v>
      </c>
      <c r="X65" s="5" t="s">
        <v>6251</v>
      </c>
      <c r="Y65" s="27"/>
      <c r="Z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" spans="3:26" hidden="1">
      <c r="C66" s="28" t="s">
        <v>15</v>
      </c>
      <c r="D66" s="5">
        <v>943</v>
      </c>
      <c r="E66" s="5">
        <v>22882</v>
      </c>
      <c r="F66" s="28" t="str">
        <f>IFERROR(VLOOKUP(TAB_OFICINAS[[#This Row],[Cliente]],LISTA_DE_CLIENTES[[Código]:[Nome Fantasia]],2,FALSE),"")</f>
        <v>REDE DOR SAO LUIZ S.A.</v>
      </c>
      <c r="G66" s="5" t="str">
        <f>IFERROR(VLOOKUP(TAB_OFICINAS[[#This Row],[Cliente]],LISTA_DE_CLIENTES[[Código]:[Nome Fantasia]],3,FALSE),"")</f>
        <v>HOSPITAL COPA STAR</v>
      </c>
      <c r="H66" s="63">
        <v>2103062485</v>
      </c>
      <c r="I66" s="28" t="s">
        <v>20770</v>
      </c>
      <c r="J66" s="91">
        <v>400</v>
      </c>
      <c r="K66" s="86">
        <v>46120</v>
      </c>
      <c r="L66" s="10">
        <v>400</v>
      </c>
      <c r="M66" s="6">
        <v>46129</v>
      </c>
      <c r="N66" s="6">
        <v>46132</v>
      </c>
      <c r="O66" s="19">
        <f>TAB_OFICINAS[[#This Row],[Data Retorno Produção]]-TAB_OFICINAS[[#This Row],[Data Prometida  Entrega]]</f>
        <v>3</v>
      </c>
      <c r="P66" s="40" t="str">
        <f>IF(TAB_OFICINAS[[#This Row],[Dias Para Entrega]]&lt;=0,"Em dia","Dia de Atrasado")</f>
        <v>Dia de Atrasado</v>
      </c>
      <c r="Q66" s="10">
        <f>IFERROR(TAB_OFICINAS[[#This Row],[Qtd pçs Enviadas]]-TAB_OFICINAS[[#This Row],[Qtd pçs Retornadas ]]," ")</f>
        <v>0</v>
      </c>
      <c r="R66" s="10"/>
      <c r="S66" s="5">
        <v>744</v>
      </c>
      <c r="T66" s="5">
        <v>17132</v>
      </c>
      <c r="U66" s="52">
        <v>3.85</v>
      </c>
      <c r="V66" s="44">
        <f>IFERROR(TAB_OFICINAS[[#This Row],[Valor Unit]]*TAB_OFICINAS[[#This Row],[Qtd pçs Enviadas]]," ")</f>
        <v>1540</v>
      </c>
      <c r="W66" s="17">
        <v>46139</v>
      </c>
      <c r="X66" s="5" t="s">
        <v>6251</v>
      </c>
      <c r="Y66" s="27" t="s">
        <v>21378</v>
      </c>
      <c r="Z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" spans="3:26" hidden="1">
      <c r="C67" s="28" t="s">
        <v>1</v>
      </c>
      <c r="D67" s="5">
        <v>5350</v>
      </c>
      <c r="E67" s="5">
        <v>22574</v>
      </c>
      <c r="F67" s="28" t="str">
        <f>IFERROR(VLOOKUP(TAB_OFICINAS[[#This Row],[Cliente]],LISTA_DE_CLIENTES[[Código]:[Nome Fantasia]],2,FALSE),"")</f>
        <v>TEREZINHA STODOLNI SALDANHA LTDA</v>
      </c>
      <c r="G67" s="5" t="str">
        <f>IFERROR(VLOOKUP(TAB_OFICINAS[[#This Row],[Cliente]],LISTA_DE_CLIENTES[[Código]:[Nome Fantasia]],3,FALSE),"")</f>
        <v>POUSADA MARILUZ</v>
      </c>
      <c r="H67" s="51">
        <v>92105225860</v>
      </c>
      <c r="I67" s="28" t="s">
        <v>20927</v>
      </c>
      <c r="J67" s="91">
        <v>18</v>
      </c>
      <c r="K67" s="86">
        <v>46051</v>
      </c>
      <c r="L67" s="10">
        <v>18</v>
      </c>
      <c r="M67" s="6">
        <v>46057</v>
      </c>
      <c r="N67" s="6">
        <v>46055</v>
      </c>
      <c r="O67" s="19">
        <f>TAB_OFICINAS[[#This Row],[Data Retorno Produção]]-TAB_OFICINAS[[#This Row],[Data Prometida  Entrega]]</f>
        <v>-2</v>
      </c>
      <c r="P67" s="40" t="str">
        <f>IF(TAB_OFICINAS[[#This Row],[Dias Para Entrega]]&lt;=0,"Em dia","Dia de Atrasado")</f>
        <v>Em dia</v>
      </c>
      <c r="Q67" s="10">
        <f>IFERROR(TAB_OFICINAS[[#This Row],[Qtd pçs Enviadas]]-TAB_OFICINAS[[#This Row],[Qtd pçs Retornadas ]],"N/D ")</f>
        <v>0</v>
      </c>
      <c r="R67" s="10">
        <v>0</v>
      </c>
      <c r="S67" s="5">
        <v>564</v>
      </c>
      <c r="T67" s="5">
        <v>35</v>
      </c>
      <c r="U67" s="52">
        <v>4.9000000000000004</v>
      </c>
      <c r="V67" s="44">
        <f>IFERROR(TAB_OFICINAS[[#This Row],[Valor Unit]]*TAB_OFICINAS[[#This Row],[Qtd pçs Enviadas]]," ")</f>
        <v>88.2</v>
      </c>
      <c r="W67" s="17">
        <v>46064</v>
      </c>
      <c r="X67" s="5" t="s">
        <v>6251</v>
      </c>
      <c r="Y67" s="27"/>
      <c r="Z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" spans="3:26" hidden="1">
      <c r="C68" s="28" t="s">
        <v>15</v>
      </c>
      <c r="D68" s="5">
        <v>2685</v>
      </c>
      <c r="E68" s="5">
        <v>22892</v>
      </c>
      <c r="F68" s="28" t="str">
        <f>IFERROR(VLOOKUP(TAB_OFICINAS[[#This Row],[Cliente]],LISTA_DE_CLIENTES[[Código]:[Nome Fantasia]],2,FALSE),"")</f>
        <v>REDE DOR SAO LUIZ S.A.</v>
      </c>
      <c r="G68" s="5" t="str">
        <f>IFERROR(VLOOKUP(TAB_OFICINAS[[#This Row],[Cliente]],LISTA_DE_CLIENTES[[Código]:[Nome Fantasia]],3,FALSE),"")</f>
        <v>MATERNIDADE SAO LUIZ</v>
      </c>
      <c r="H68" s="63">
        <v>2101107948</v>
      </c>
      <c r="I68" s="28" t="s">
        <v>21372</v>
      </c>
      <c r="J68" s="91">
        <v>400</v>
      </c>
      <c r="K68" s="86">
        <v>46111</v>
      </c>
      <c r="L68" s="10">
        <v>400</v>
      </c>
      <c r="M68" s="6">
        <v>46119</v>
      </c>
      <c r="N68" s="6">
        <f ca="1">TODAY()</f>
        <v>46315</v>
      </c>
      <c r="O68" s="19">
        <f ca="1">TAB_OFICINAS[[#This Row],[Data Retorno Produção]]-TAB_OFICINAS[[#This Row],[Data Prometida  Entrega]]</f>
        <v>196</v>
      </c>
      <c r="P68" s="40" t="str">
        <f ca="1">IF(TAB_OFICINAS[[#This Row],[Dias Para Entrega]]&lt;=0,"Em dia","Dia de Atrasado")</f>
        <v>Dia de Atrasado</v>
      </c>
      <c r="Q68" s="10">
        <f>IFERROR(TAB_OFICINAS[[#This Row],[Qtd pçs Enviadas]]-TAB_OFICINAS[[#This Row],[Qtd pçs Retornadas ]]," ")</f>
        <v>0</v>
      </c>
      <c r="R68" s="10"/>
      <c r="S68" s="5">
        <v>718</v>
      </c>
      <c r="T68" s="5">
        <v>17073</v>
      </c>
      <c r="U68" s="52">
        <v>3.85</v>
      </c>
      <c r="V68" s="44">
        <f>IFERROR(TAB_OFICINAS[[#This Row],[Valor Unit]]*TAB_OFICINAS[[#This Row],[Qtd pçs Enviadas]]," ")</f>
        <v>1540</v>
      </c>
      <c r="W68" s="17">
        <v>46121</v>
      </c>
      <c r="X68" s="5" t="s">
        <v>6251</v>
      </c>
      <c r="Y68" s="27" t="s">
        <v>21341</v>
      </c>
      <c r="Z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" spans="3:26" hidden="1">
      <c r="C69" s="28" t="s">
        <v>7</v>
      </c>
      <c r="D69" s="5">
        <v>526</v>
      </c>
      <c r="E69" s="5">
        <v>22125</v>
      </c>
      <c r="G69" s="5" t="str">
        <f>IFERROR(VLOOKUP(TAB_OFICINAS[[#This Row],[Cliente]],LISTA_DE_CLIENTES[[Código]:[Nome Fantasia]],3,FALSE),"")</f>
        <v>ATMOSFERA ST BARBARA</v>
      </c>
      <c r="H69" s="51">
        <v>92101472178</v>
      </c>
      <c r="I69" s="28" t="s">
        <v>20313</v>
      </c>
      <c r="J69" s="91">
        <v>50</v>
      </c>
      <c r="K69" s="86">
        <v>46008</v>
      </c>
      <c r="L69" s="10">
        <v>50</v>
      </c>
      <c r="M69" s="6">
        <v>46028</v>
      </c>
      <c r="N69" s="6">
        <v>46027</v>
      </c>
      <c r="O69" s="19">
        <f>TAB_OFICINAS[[#This Row],[Data Retorno Produção]]-TAB_OFICINAS[[#This Row],[Data Prometida  Entrega]]</f>
        <v>-1</v>
      </c>
      <c r="P69" s="40" t="str">
        <f>IF(TAB_OFICINAS[[#This Row],[Dias Para Entrega]]&lt;=0,"Em dia","Dia de Atrasado")</f>
        <v>Em dia</v>
      </c>
      <c r="Q69" s="10">
        <f>IFERROR(TAB_OFICINAS[[#This Row],[Qtd pçs Enviadas]]-TAB_OFICINAS[[#This Row],[Qtd pçs Retornadas ]],"N/D ")</f>
        <v>0</v>
      </c>
      <c r="R69" s="10">
        <v>0</v>
      </c>
      <c r="S69" s="5">
        <v>3045</v>
      </c>
      <c r="T69" s="5">
        <v>18</v>
      </c>
      <c r="U69" s="52">
        <v>12</v>
      </c>
      <c r="V69" s="44">
        <f>IFERROR(TAB_OFICINAS[[#This Row],[Valor Unit]]*TAB_OFICINAS[[#This Row],[Qtd pçs Enviadas]]," ")</f>
        <v>600</v>
      </c>
      <c r="W69" s="17">
        <v>46037</v>
      </c>
      <c r="X69" s="5" t="s">
        <v>6251</v>
      </c>
      <c r="Y69" s="27"/>
      <c r="Z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" spans="3:26" ht="42.75" hidden="1">
      <c r="C70" s="28" t="s">
        <v>15</v>
      </c>
      <c r="D70" s="5">
        <v>1942</v>
      </c>
      <c r="E70" s="5">
        <v>23101</v>
      </c>
      <c r="F70" s="28" t="str">
        <f>IFERROR(VLOOKUP(TAB_OFICINAS[[#This Row],[Cliente]],LISTA_DE_CLIENTES[[Código]:[Nome Fantasia]],2,FALSE),"")</f>
        <v>ONCO STAR SP ONCOLOGIA LTDA (REDE D´OR)</v>
      </c>
      <c r="G70" s="5" t="str">
        <f>IFERROR(VLOOKUP(TAB_OFICINAS[[#This Row],[Cliente]],LISTA_DE_CLIENTES[[Código]:[Nome Fantasia]],3,FALSE),"")</f>
        <v>R DOR VILA NOVA STAR</v>
      </c>
      <c r="H70" s="63">
        <v>2103067072</v>
      </c>
      <c r="I70" s="28" t="s">
        <v>21477</v>
      </c>
      <c r="J70" s="91">
        <v>380</v>
      </c>
      <c r="K70" s="86">
        <v>46125</v>
      </c>
      <c r="L70" s="10">
        <v>380</v>
      </c>
      <c r="M70" s="6">
        <v>46133</v>
      </c>
      <c r="N70" s="6">
        <v>46134</v>
      </c>
      <c r="O70" s="19">
        <f>TAB_OFICINAS[[#This Row],[Data Retorno Produção]]-TAB_OFICINAS[[#This Row],[Data Prometida  Entrega]]</f>
        <v>1</v>
      </c>
      <c r="P70" s="40" t="str">
        <f>IF(TAB_OFICINAS[[#This Row],[Dias Para Entrega]]&lt;=0,"Em dia","Dia de Atrasado")</f>
        <v>Dia de Atrasado</v>
      </c>
      <c r="Q70" s="10">
        <f>IFERROR(TAB_OFICINAS[[#This Row],[Qtd pçs Enviadas]]-TAB_OFICINAS[[#This Row],[Qtd pçs Retornadas ]]," ")</f>
        <v>0</v>
      </c>
      <c r="R70" s="10">
        <v>2</v>
      </c>
      <c r="S70" s="5">
        <v>746</v>
      </c>
      <c r="T70" s="5">
        <v>17147</v>
      </c>
      <c r="U70" s="52">
        <v>3.85</v>
      </c>
      <c r="V70" s="44">
        <f>IFERROR(TAB_OFICINAS[[#This Row],[Valor Unit]]*TAB_OFICINAS[[#This Row],[Qtd pçs Enviadas]]," ")</f>
        <v>1463</v>
      </c>
      <c r="W70" s="17">
        <v>46141</v>
      </c>
      <c r="X70" s="5" t="s">
        <v>6251</v>
      </c>
      <c r="Y70" s="27" t="s">
        <v>22346</v>
      </c>
      <c r="Z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" spans="3:26" hidden="1">
      <c r="C71" s="28" t="s">
        <v>21197</v>
      </c>
      <c r="D71" s="5">
        <v>9</v>
      </c>
      <c r="E71" s="5">
        <v>23226</v>
      </c>
      <c r="F71" s="28" t="str">
        <f>IFERROR(VLOOKUP(TAB_OFICINAS[[#This Row],[Cliente]],LISTA_DE_CLIENTES[[Código]:[Nome Fantasia]],2,FALSE),"")</f>
        <v>EMILIANO EMPREENDIMENTOS E PARTICIPACOES HOTELEIRA</v>
      </c>
      <c r="G71" s="5" t="str">
        <f>IFERROR(VLOOKUP(TAB_OFICINAS[[#This Row],[Cliente]],LISTA_DE_CLIENTES[[Código]:[Nome Fantasia]],3,FALSE),"")</f>
        <v>HOTEL EMILIANO</v>
      </c>
      <c r="H71" s="63">
        <v>2201029037</v>
      </c>
      <c r="I71" s="28" t="s">
        <v>21752</v>
      </c>
      <c r="J71" s="91">
        <v>300</v>
      </c>
      <c r="K71" s="86">
        <v>46123</v>
      </c>
      <c r="L71" s="10">
        <v>300</v>
      </c>
      <c r="M71" s="6">
        <v>46132</v>
      </c>
      <c r="N71" s="6">
        <v>46128</v>
      </c>
      <c r="O71" s="19">
        <f>TAB_OFICINAS[[#This Row],[Data Retorno Produção]]-TAB_OFICINAS[[#This Row],[Data Prometida  Entrega]]</f>
        <v>-4</v>
      </c>
      <c r="P71" s="40" t="str">
        <f>IF(TAB_OFICINAS[[#This Row],[Dias Para Entrega]]&lt;=0,"Em dia","Dia de Atrasado")</f>
        <v>Em dia</v>
      </c>
      <c r="Q71" s="10">
        <f>IFERROR(TAB_OFICINAS[[#This Row],[Qtd pçs Enviadas]]-TAB_OFICINAS[[#This Row],[Qtd pçs Retornadas ]]," ")</f>
        <v>0</v>
      </c>
      <c r="R71" s="10"/>
      <c r="S71" s="5">
        <v>751</v>
      </c>
      <c r="T71" s="5">
        <v>50</v>
      </c>
      <c r="U71" s="52">
        <v>8.5</v>
      </c>
      <c r="V71" s="44">
        <f>IFERROR(TAB_OFICINAS[[#This Row],[Valor Unit]]*TAB_OFICINAS[[#This Row],[Qtd pçs Enviadas]]," ")</f>
        <v>2550</v>
      </c>
      <c r="W71" s="17">
        <v>46139</v>
      </c>
      <c r="X71" s="5" t="s">
        <v>6251</v>
      </c>
      <c r="Y71" s="27"/>
      <c r="Z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" spans="3:26" hidden="1">
      <c r="C72" s="28" t="s">
        <v>3</v>
      </c>
      <c r="D72" s="5" t="s">
        <v>20290</v>
      </c>
      <c r="E72" s="5">
        <v>3</v>
      </c>
      <c r="F72" s="28" t="str">
        <f>IFERROR(VLOOKUP(TAB_OFICINAS[[#This Row],[Cliente]],LISTA_DE_CLIENTES[[Código]:[Nome Fantasia]],2,FALSE),"")</f>
        <v/>
      </c>
      <c r="G72" s="5" t="str">
        <f>IFERROR(VLOOKUP(TAB_OFICINAS[[#This Row],[Cliente]],LISTA_DE_CLIENTES[[Código]:[Nome Fantasia]],3,FALSE),"")</f>
        <v/>
      </c>
      <c r="H72" s="51" t="s">
        <v>23962</v>
      </c>
      <c r="I72" s="73" t="s">
        <v>21178</v>
      </c>
      <c r="J72" s="91">
        <v>350</v>
      </c>
      <c r="K72" s="86">
        <v>46077</v>
      </c>
      <c r="L72" s="10">
        <v>350</v>
      </c>
      <c r="M72" s="6">
        <v>46105</v>
      </c>
      <c r="N72" s="6">
        <v>46154</v>
      </c>
      <c r="O72" s="19">
        <f>TAB_OFICINAS[[#This Row],[Data Retorno Produção]]-TAB_OFICINAS[[#This Row],[Data Prometida  Entrega]]</f>
        <v>49</v>
      </c>
      <c r="P72" s="40" t="str">
        <f>IF(TAB_OFICINAS[[#This Row],[Dias Para Entrega]]&lt;=0,"Em dia","Dia de Atrasado")</f>
        <v>Dia de Atrasado</v>
      </c>
      <c r="Q72" s="10">
        <f>IFERROR(TAB_OFICINAS[[#This Row],[Qtd pçs Enviadas]]-TAB_OFICINAS[[#This Row],[Qtd pçs Retornadas ]]," ")</f>
        <v>0</v>
      </c>
      <c r="R72" s="48">
        <v>0</v>
      </c>
      <c r="S72" s="5">
        <v>622</v>
      </c>
      <c r="T72" s="5">
        <v>104</v>
      </c>
      <c r="U72" s="52">
        <v>10</v>
      </c>
      <c r="V72" s="44">
        <f>IFERROR(TAB_OFICINAS[[#This Row],[Valor Unit]]*TAB_OFICINAS[[#This Row],[Qtd pçs Enviadas]]," ")</f>
        <v>3500</v>
      </c>
      <c r="W72" s="17">
        <f>TAB_OFICINAS[[#This Row],[Data Retorno Produção]]+10</f>
        <v>46164</v>
      </c>
      <c r="X72" s="5" t="s">
        <v>6251</v>
      </c>
      <c r="Y72" s="27"/>
      <c r="Z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" spans="3:26" hidden="1">
      <c r="C73" s="28" t="s">
        <v>16</v>
      </c>
      <c r="D73" s="5">
        <v>2685</v>
      </c>
      <c r="E73" s="5">
        <v>22138</v>
      </c>
      <c r="F73" s="28" t="str">
        <f>IFERROR(VLOOKUP(TAB_OFICINAS[[#This Row],[Cliente]],LISTA_DE_CLIENTES[[Código]:[Nome Fantasia]],2,FALSE),"")</f>
        <v>REDE DOR SAO LUIZ S.A.</v>
      </c>
      <c r="G73" s="5" t="str">
        <f>IFERROR(VLOOKUP(TAB_OFICINAS[[#This Row],[Cliente]],LISTA_DE_CLIENTES[[Código]:[Nome Fantasia]],3,FALSE),"")</f>
        <v>MATERNIDADE SAO LUIZ</v>
      </c>
      <c r="H73" s="51">
        <v>2103062485</v>
      </c>
      <c r="I73" s="28" t="s">
        <v>20340</v>
      </c>
      <c r="J73" s="91">
        <v>339</v>
      </c>
      <c r="K73" s="86">
        <v>46058</v>
      </c>
      <c r="L73" s="10">
        <v>339</v>
      </c>
      <c r="M73" s="6">
        <v>46063</v>
      </c>
      <c r="N73" s="6">
        <v>46063</v>
      </c>
      <c r="O73" s="19">
        <f>TAB_OFICINAS[[#This Row],[Data Retorno Produção]]-TAB_OFICINAS[[#This Row],[Data Prometida  Entrega]]</f>
        <v>0</v>
      </c>
      <c r="P73" s="40" t="str">
        <f>IF(TAB_OFICINAS[[#This Row],[Dias Para Entrega]]&lt;=0,"Em dia","Dia de Atrasado")</f>
        <v>Em dia</v>
      </c>
      <c r="Q73" s="10">
        <f>IFERROR(TAB_OFICINAS[[#This Row],[Qtd pçs Enviadas]]-TAB_OFICINAS[[#This Row],[Qtd pçs Retornadas ]]," ")</f>
        <v>0</v>
      </c>
      <c r="R73" s="10">
        <v>0</v>
      </c>
      <c r="S73" s="5">
        <v>574</v>
      </c>
      <c r="T73" s="5">
        <v>35</v>
      </c>
      <c r="U73" s="52">
        <v>5.15</v>
      </c>
      <c r="V73" s="44">
        <f>IFERROR(TAB_OFICINAS[[#This Row],[Valor Unit]]*TAB_OFICINAS[[#This Row],[Qtd pçs Enviadas]]," ")</f>
        <v>1745.8500000000001</v>
      </c>
      <c r="W73" s="17">
        <v>46073</v>
      </c>
      <c r="X73" s="5" t="s">
        <v>6251</v>
      </c>
      <c r="Y73" s="27"/>
      <c r="Z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" spans="3:26" hidden="1">
      <c r="C74" s="28" t="s">
        <v>3</v>
      </c>
      <c r="D74" s="5">
        <v>2685</v>
      </c>
      <c r="E74" s="5">
        <v>22138</v>
      </c>
      <c r="F74" s="28" t="str">
        <f>IFERROR(VLOOKUP(TAB_OFICINAS[[#This Row],[Cliente]],LISTA_DE_CLIENTES[[Código]:[Nome Fantasia]],2,FALSE),"")</f>
        <v>REDE DOR SAO LUIZ S.A.</v>
      </c>
      <c r="G74" s="5" t="str">
        <f>IFERROR(VLOOKUP(TAB_OFICINAS[[#This Row],[Cliente]],LISTA_DE_CLIENTES[[Código]:[Nome Fantasia]],3,FALSE),"")</f>
        <v>MATERNIDADE SAO LUIZ</v>
      </c>
      <c r="H74" s="51">
        <v>2103062485</v>
      </c>
      <c r="I74" s="28" t="s">
        <v>20770</v>
      </c>
      <c r="J74" s="91">
        <v>336</v>
      </c>
      <c r="K74" s="86">
        <v>46058</v>
      </c>
      <c r="L74" s="10">
        <v>336</v>
      </c>
      <c r="M74" s="6">
        <v>46069</v>
      </c>
      <c r="N74" s="6">
        <v>46062</v>
      </c>
      <c r="O74" s="19">
        <f>TAB_OFICINAS[[#This Row],[Data Retorno Produção]]-TAB_OFICINAS[[#This Row],[Data Prometida  Entrega]]</f>
        <v>-7</v>
      </c>
      <c r="P74" s="40" t="str">
        <f>IF(TAB_OFICINAS[[#This Row],[Dias Para Entrega]]&lt;=0,"Em dia","Dia de Atrasado")</f>
        <v>Em dia</v>
      </c>
      <c r="Q74" s="10">
        <f>IFERROR(TAB_OFICINAS[[#This Row],[Qtd pçs Enviadas]]-TAB_OFICINAS[[#This Row],[Qtd pçs Retornadas ]]," ")</f>
        <v>0</v>
      </c>
      <c r="R74" s="10">
        <v>0</v>
      </c>
      <c r="S74" s="5">
        <v>575</v>
      </c>
      <c r="T74" s="5">
        <v>92</v>
      </c>
      <c r="U74" s="52">
        <v>5.15</v>
      </c>
      <c r="V74" s="44">
        <f>IFERROR(TAB_OFICINAS[[#This Row],[Valor Unit]]*TAB_OFICINAS[[#This Row],[Qtd pçs Enviadas]]," ")</f>
        <v>1730.4</v>
      </c>
      <c r="W74" s="17">
        <v>46072</v>
      </c>
      <c r="X74" s="5" t="s">
        <v>6251</v>
      </c>
      <c r="Y74" s="27"/>
      <c r="Z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" spans="3:26" hidden="1">
      <c r="C75" s="28" t="s">
        <v>5</v>
      </c>
      <c r="D75" s="5">
        <v>4794</v>
      </c>
      <c r="E75" s="5">
        <v>22036</v>
      </c>
      <c r="F75" s="28" t="str">
        <f>IFERROR(VLOOKUP(TAB_OFICINAS[[#This Row],[Cliente]],LISTA_DE_CLIENTES[[Código]:[Nome Fantasia]],2,FALSE),"")</f>
        <v>BIOCOR HOSPITAL DE DOENCAS CARDIOVASCULARES S.A.</v>
      </c>
      <c r="G75" s="5" t="str">
        <f>IFERROR(VLOOKUP(TAB_OFICINAS[[#This Row],[Cliente]],LISTA_DE_CLIENTES[[Código]:[Nome Fantasia]],3,FALSE),"")</f>
        <v>BH DOR</v>
      </c>
      <c r="H75" s="51">
        <v>2101068474</v>
      </c>
      <c r="I75" s="28" t="s">
        <v>20300</v>
      </c>
      <c r="J75" s="91">
        <v>332</v>
      </c>
      <c r="K75" s="86">
        <v>46006</v>
      </c>
      <c r="L75" s="10">
        <v>332</v>
      </c>
      <c r="M75" s="6">
        <v>46037</v>
      </c>
      <c r="N75" s="6">
        <v>46036</v>
      </c>
      <c r="O75" s="19">
        <f>TAB_OFICINAS[[#This Row],[Data Retorno Produção]]-TAB_OFICINAS[[#This Row],[Data Prometida  Entrega]]</f>
        <v>-1</v>
      </c>
      <c r="P75" s="40" t="str">
        <f>IF(TAB_OFICINAS[[#This Row],[Dias Para Entrega]]&lt;=0,"Em dia","Dia de Atrasado")</f>
        <v>Em dia</v>
      </c>
      <c r="Q75" s="10">
        <f>IFERROR(TAB_OFICINAS[[#This Row],[Qtd pçs Enviadas]]-TAB_OFICINAS[[#This Row],[Qtd pçs Retornadas ]]," ")</f>
        <v>0</v>
      </c>
      <c r="R75" s="10">
        <v>0</v>
      </c>
      <c r="S75" s="5">
        <v>529</v>
      </c>
      <c r="T75" s="5">
        <v>2593</v>
      </c>
      <c r="U75" s="52">
        <v>5.85</v>
      </c>
      <c r="V75" s="44">
        <f>IFERROR(TAB_OFICINAS[[#This Row],[Valor Unit]]*TAB_OFICINAS[[#This Row],[Qtd pçs Enviadas]]," ")</f>
        <v>1942.1999999999998</v>
      </c>
      <c r="W75" s="17">
        <v>46059</v>
      </c>
      <c r="X75" s="5" t="s">
        <v>6251</v>
      </c>
      <c r="Y75" s="27"/>
      <c r="Z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" spans="3:26" hidden="1">
      <c r="C76" s="28" t="s">
        <v>5</v>
      </c>
      <c r="D76" s="5">
        <v>4794</v>
      </c>
      <c r="E76" s="5">
        <v>22036</v>
      </c>
      <c r="F76" s="28" t="str">
        <f>IFERROR(VLOOKUP(TAB_OFICINAS[[#This Row],[Cliente]],LISTA_DE_CLIENTES[[Código]:[Nome Fantasia]],2,FALSE),"")</f>
        <v>BIOCOR HOSPITAL DE DOENCAS CARDIOVASCULARES S.A.</v>
      </c>
      <c r="G76" s="5" t="str">
        <f>IFERROR(VLOOKUP(TAB_OFICINAS[[#This Row],[Cliente]],LISTA_DE_CLIENTES[[Código]:[Nome Fantasia]],3,FALSE),"")</f>
        <v>BH DOR</v>
      </c>
      <c r="H76" s="51">
        <v>2103858479</v>
      </c>
      <c r="I76" s="28" t="s">
        <v>20296</v>
      </c>
      <c r="J76" s="91">
        <v>332</v>
      </c>
      <c r="K76" s="86">
        <v>46006</v>
      </c>
      <c r="L76" s="10">
        <v>332</v>
      </c>
      <c r="M76" s="6">
        <v>46037</v>
      </c>
      <c r="N76" s="6">
        <v>46036</v>
      </c>
      <c r="O76" s="19">
        <f>TAB_OFICINAS[[#This Row],[Data Retorno Produção]]-TAB_OFICINAS[[#This Row],[Data Prometida  Entrega]]</f>
        <v>-1</v>
      </c>
      <c r="P76" s="40" t="str">
        <f>IF(TAB_OFICINAS[[#This Row],[Dias Para Entrega]]&lt;=0,"Em dia","Dia de Atrasado")</f>
        <v>Em dia</v>
      </c>
      <c r="Q76" s="10">
        <f>IFERROR(TAB_OFICINAS[[#This Row],[Qtd pçs Enviadas]]-TAB_OFICINAS[[#This Row],[Qtd pçs Retornadas ]]," ")</f>
        <v>0</v>
      </c>
      <c r="R76" s="10">
        <v>0</v>
      </c>
      <c r="S76" s="5">
        <v>529</v>
      </c>
      <c r="T76" s="5">
        <v>2593</v>
      </c>
      <c r="U76" s="52">
        <v>3.5</v>
      </c>
      <c r="V76" s="44">
        <f>IFERROR(TAB_OFICINAS[[#This Row],[Valor Unit]]*TAB_OFICINAS[[#This Row],[Qtd pçs Enviadas]]," ")</f>
        <v>1162</v>
      </c>
      <c r="W76" s="17">
        <v>46059</v>
      </c>
      <c r="X76" s="5" t="s">
        <v>6251</v>
      </c>
      <c r="Y76" s="27"/>
      <c r="Z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" spans="3:26" ht="99.75" hidden="1">
      <c r="C77" s="28" t="s">
        <v>9</v>
      </c>
      <c r="D77" s="5">
        <v>1670</v>
      </c>
      <c r="E77" s="5">
        <v>23143</v>
      </c>
      <c r="F77" s="28" t="str">
        <f>IFERROR(VLOOKUP(TAB_OFICINAS[[#This Row],[Cliente]],LISTA_DE_CLIENTES[[Código]:[Nome Fantasia]],2,FALSE),"")</f>
        <v>ARPOADOR DE HOTEIS E TURISMO LTDA</v>
      </c>
      <c r="G77" s="5" t="str">
        <f>IFERROR(VLOOKUP(TAB_OFICINAS[[#This Row],[Cliente]],LISTA_DE_CLIENTES[[Código]:[Nome Fantasia]],3,FALSE),"")</f>
        <v>ARPOADOR INN</v>
      </c>
      <c r="H77" s="63">
        <v>7301093991</v>
      </c>
      <c r="I77" s="28" t="s">
        <v>21496</v>
      </c>
      <c r="J77" s="91">
        <v>113</v>
      </c>
      <c r="K77" s="86">
        <v>46146</v>
      </c>
      <c r="L77" s="10">
        <v>113</v>
      </c>
      <c r="M77" s="6">
        <v>46160</v>
      </c>
      <c r="N77" s="6">
        <v>46164</v>
      </c>
      <c r="O77" s="19">
        <f>TAB_OFICINAS[[#This Row],[Data Retorno Produção]]-TAB_OFICINAS[[#This Row],[Data Prometida  Entrega]]</f>
        <v>4</v>
      </c>
      <c r="P77" s="40" t="str">
        <f>IF(TAB_OFICINAS[[#This Row],[Dias Para Entrega]]&lt;=0,"Em dia","Dia de Atrasado")</f>
        <v>Dia de Atrasado</v>
      </c>
      <c r="Q77" s="10">
        <f>IFERROR(TAB_OFICINAS[[#This Row],[Qtd pçs Enviadas]]-TAB_OFICINAS[[#This Row],[Qtd pçs Retornadas ]]," ")</f>
        <v>0</v>
      </c>
      <c r="R77" s="67"/>
      <c r="S77" s="5">
        <v>813</v>
      </c>
      <c r="T77" s="5">
        <v>334</v>
      </c>
      <c r="U77" s="52">
        <v>16</v>
      </c>
      <c r="V77" s="44">
        <f>IFERROR(TAB_OFICINAS[[#This Row],[Valor Unit]]*TAB_OFICINAS[[#This Row],[Qtd pçs Enviadas]]," ")</f>
        <v>1808</v>
      </c>
      <c r="W77" s="17">
        <v>46172</v>
      </c>
      <c r="X77" s="5" t="s">
        <v>6251</v>
      </c>
      <c r="Y77" s="68" t="s">
        <v>22844</v>
      </c>
      <c r="Z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" spans="3:26" hidden="1">
      <c r="C78" s="28" t="s">
        <v>15</v>
      </c>
      <c r="D78" s="5">
        <v>1941</v>
      </c>
      <c r="E78" s="5">
        <v>22893</v>
      </c>
      <c r="F78" s="28" t="str">
        <f>IFERROR(VLOOKUP(TAB_OFICINAS[[#This Row],[Cliente]],LISTA_DE_CLIENTES[[Código]:[Nome Fantasia]],2,FALSE),"")</f>
        <v>HOSPITAIS INTEGRADOS DA GAVEA S/A</v>
      </c>
      <c r="G78" s="5" t="str">
        <f>IFERROR(VLOOKUP(TAB_OFICINAS[[#This Row],[Cliente]],LISTA_DE_CLIENTES[[Código]:[Nome Fantasia]],3,FALSE),"")</f>
        <v>REDE D´OR - DF STAR</v>
      </c>
      <c r="H78" s="51">
        <v>2101107948</v>
      </c>
      <c r="I78" s="28" t="str">
        <f>IFERROR(VLOOKUP(TAB_OFICINAS[[#This Row],[Codigo Produto ]],_000___PEDIDOS_DE_CLIENTES[[Data.Column2]:[Descrição Produto]],2,FALSE)," ")</f>
        <v>LENÇOL BARRA ESTREITA BRANCO 400F 100% ALGODÃO - LOGO BORDADO COR ALABASTRO 07077 - 1,80 X 2,80</v>
      </c>
      <c r="J78" s="91">
        <v>306</v>
      </c>
      <c r="K78" s="88">
        <v>46195</v>
      </c>
      <c r="L78" s="9">
        <v>306</v>
      </c>
      <c r="M78" s="6">
        <v>46202</v>
      </c>
      <c r="N78" s="6">
        <v>46203</v>
      </c>
      <c r="O78" s="23">
        <f>TAB_OFICINAS[[#This Row],[Data Retorno Produção]]-TAB_OFICINAS[[#This Row],[Data Prometida  Entrega]]</f>
        <v>1</v>
      </c>
      <c r="P78" s="98" t="str">
        <f>IF(TAB_OFICINAS[[#This Row],[Dias Para Entrega]]&lt;=0,"Em dia","Dia de Atrasado")</f>
        <v>Dia de Atrasado</v>
      </c>
      <c r="Q78" s="10">
        <f>IFERROR(TAB_OFICINAS[[#This Row],[Qtd pçs Enviadas]]-TAB_OFICINAS[[#This Row],[Qtd pçs Retornadas ]]," ")</f>
        <v>0</v>
      </c>
      <c r="R78" s="24"/>
      <c r="S78" s="5">
        <v>895</v>
      </c>
      <c r="T78" s="5">
        <v>17392</v>
      </c>
      <c r="U78" s="11">
        <v>3.85</v>
      </c>
      <c r="V78" s="25">
        <f>IFERROR(TAB_OFICINAS[[#This Row],[Valor Unit]]*TAB_OFICINAS[[#This Row],[Qtd pçs Enviadas]]," ")</f>
        <v>1178.1000000000001</v>
      </c>
      <c r="W78" s="26">
        <v>46210</v>
      </c>
      <c r="X78" s="17" t="s">
        <v>6251</v>
      </c>
      <c r="Y78" s="27" t="s">
        <v>21341</v>
      </c>
      <c r="Z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" spans="3:26" hidden="1">
      <c r="C79" s="28" t="s">
        <v>15</v>
      </c>
      <c r="D79" s="5">
        <v>1941</v>
      </c>
      <c r="E79" s="5">
        <v>22893</v>
      </c>
      <c r="F79" s="28" t="str">
        <f>IFERROR(VLOOKUP(TAB_OFICINAS[[#This Row],[Cliente]],LISTA_DE_CLIENTES[[Código]:[Nome Fantasia]],2,FALSE),"")</f>
        <v>HOSPITAIS INTEGRADOS DA GAVEA S/A</v>
      </c>
      <c r="G79" s="5" t="str">
        <f>IFERROR(VLOOKUP(TAB_OFICINAS[[#This Row],[Cliente]],LISTA_DE_CLIENTES[[Código]:[Nome Fantasia]],3,FALSE),"")</f>
        <v>REDE D´OR - DF STAR</v>
      </c>
      <c r="H79" s="78">
        <v>2101102488</v>
      </c>
      <c r="I79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79" s="91">
        <v>306</v>
      </c>
      <c r="K79" s="88">
        <v>46184</v>
      </c>
      <c r="L79" s="9">
        <v>306</v>
      </c>
      <c r="M79" s="6">
        <v>46185</v>
      </c>
      <c r="N79" s="6">
        <v>46185</v>
      </c>
      <c r="O79" s="23">
        <f>TAB_OFICINAS[[#This Row],[Data Retorno Produção]]-TAB_OFICINAS[[#This Row],[Data Prometida  Entrega]]</f>
        <v>0</v>
      </c>
      <c r="P79" s="98" t="str">
        <f>IF(TAB_OFICINAS[[#This Row],[Dias Para Entrega]]&lt;=0,"Em dia","Dia de Atrasado")</f>
        <v>Em dia</v>
      </c>
      <c r="Q79" s="10">
        <f>IFERROR(TAB_OFICINAS[[#This Row],[Qtd pçs Enviadas]]-TAB_OFICINAS[[#This Row],[Qtd pçs Retornadas ]]," ")</f>
        <v>0</v>
      </c>
      <c r="R79" s="24">
        <v>0</v>
      </c>
      <c r="S79" s="5">
        <v>880</v>
      </c>
      <c r="T79" s="5">
        <v>17298</v>
      </c>
      <c r="U79" s="11">
        <v>3.85</v>
      </c>
      <c r="V79" s="25">
        <f>IFERROR(TAB_OFICINAS[[#This Row],[Valor Unit]]*TAB_OFICINAS[[#This Row],[Qtd pçs Enviadas]]," ")</f>
        <v>1178.1000000000001</v>
      </c>
      <c r="W79" s="26">
        <v>46192</v>
      </c>
      <c r="X79" s="17" t="s">
        <v>6251</v>
      </c>
      <c r="Y79" s="27" t="s">
        <v>23428</v>
      </c>
      <c r="Z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" spans="3:26" hidden="1">
      <c r="C80" s="28" t="s">
        <v>1</v>
      </c>
      <c r="D80" s="5">
        <v>5350</v>
      </c>
      <c r="E80" s="5">
        <v>22574</v>
      </c>
      <c r="F80" s="28" t="str">
        <f>IFERROR(VLOOKUP(TAB_OFICINAS[[#This Row],[Cliente]],LISTA_DE_CLIENTES[[Código]:[Nome Fantasia]],2,FALSE),"")</f>
        <v>TEREZINHA STODOLNI SALDANHA LTDA</v>
      </c>
      <c r="G80" s="5" t="str">
        <f>IFERROR(VLOOKUP(TAB_OFICINAS[[#This Row],[Cliente]],LISTA_DE_CLIENTES[[Código]:[Nome Fantasia]],3,FALSE),"")</f>
        <v>POUSADA MARILUZ</v>
      </c>
      <c r="H80" s="51">
        <v>92115105048</v>
      </c>
      <c r="I80" s="28" t="s">
        <v>21024</v>
      </c>
      <c r="J80" s="91">
        <v>6</v>
      </c>
      <c r="K80" s="86">
        <v>46051</v>
      </c>
      <c r="L80" s="10">
        <v>6</v>
      </c>
      <c r="M80" s="6">
        <v>46057</v>
      </c>
      <c r="N80" s="6">
        <v>46055</v>
      </c>
      <c r="O80" s="19">
        <f>TAB_OFICINAS[[#This Row],[Data Retorno Produção]]-TAB_OFICINAS[[#This Row],[Data Prometida  Entrega]]</f>
        <v>-2</v>
      </c>
      <c r="P80" s="40" t="str">
        <f>IF(TAB_OFICINAS[[#This Row],[Dias Para Entrega]]&lt;=0,"Em dia","Dia de Atrasado")</f>
        <v>Em dia</v>
      </c>
      <c r="Q80" s="10">
        <f>IFERROR(TAB_OFICINAS[[#This Row],[Qtd pçs Enviadas]]-TAB_OFICINAS[[#This Row],[Qtd pçs Retornadas ]],"N/D ")</f>
        <v>0</v>
      </c>
      <c r="R80" s="10">
        <v>0</v>
      </c>
      <c r="S80" s="5">
        <v>564</v>
      </c>
      <c r="T80" s="5">
        <v>35</v>
      </c>
      <c r="U80" s="52">
        <v>9.5</v>
      </c>
      <c r="V80" s="44">
        <f>IFERROR(TAB_OFICINAS[[#This Row],[Valor Unit]]*TAB_OFICINAS[[#This Row],[Qtd pçs Enviadas]]," ")</f>
        <v>57</v>
      </c>
      <c r="W80" s="17">
        <v>46064</v>
      </c>
      <c r="X80" s="5" t="s">
        <v>6251</v>
      </c>
      <c r="Y80" s="27"/>
      <c r="Z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" spans="3:26" hidden="1">
      <c r="C81" s="28" t="s">
        <v>7</v>
      </c>
      <c r="D81" s="5">
        <v>1153</v>
      </c>
      <c r="E81" s="5">
        <v>22132</v>
      </c>
      <c r="F81" s="28" t="str">
        <f>IFERROR(VLOOKUP(TAB_OFICINAS[[#This Row],[Cliente]],LISTA_DE_CLIENTES[[Código]:[Nome Fantasia]],2,FALSE),"")</f>
        <v>MAGNA DINIZ HOTEL E TURISMO LTDA</v>
      </c>
      <c r="G81" s="5" t="str">
        <f>IFERROR(VLOOKUP(TAB_OFICINAS[[#This Row],[Cliente]],LISTA_DE_CLIENTES[[Código]:[Nome Fantasia]],3,FALSE),"")</f>
        <v>GRAN MAREIRO</v>
      </c>
      <c r="H81" s="51">
        <v>2115018504</v>
      </c>
      <c r="I81" s="28" t="s">
        <v>20310</v>
      </c>
      <c r="J81" s="91">
        <v>36</v>
      </c>
      <c r="K81" s="86">
        <v>46008</v>
      </c>
      <c r="L81" s="10">
        <v>36</v>
      </c>
      <c r="M81" s="6">
        <v>46028</v>
      </c>
      <c r="N81" s="6">
        <v>46027</v>
      </c>
      <c r="O81" s="19">
        <f>TAB_OFICINAS[[#This Row],[Data Retorno Produção]]-TAB_OFICINAS[[#This Row],[Data Prometida  Entrega]]</f>
        <v>-1</v>
      </c>
      <c r="P81" s="40" t="str">
        <f>IF(TAB_OFICINAS[[#This Row],[Dias Para Entrega]]&lt;=0,"Em dia","Dia de Atrasado")</f>
        <v>Em dia</v>
      </c>
      <c r="Q81" s="10">
        <f>IFERROR(TAB_OFICINAS[[#This Row],[Qtd pçs Enviadas]]-TAB_OFICINAS[[#This Row],[Qtd pçs Retornadas ]],"N/D ")</f>
        <v>0</v>
      </c>
      <c r="R81" s="10">
        <v>0</v>
      </c>
      <c r="S81" s="5">
        <v>3045</v>
      </c>
      <c r="T81" s="5">
        <v>18</v>
      </c>
      <c r="U81" s="52">
        <v>16</v>
      </c>
      <c r="V81" s="44">
        <f>IFERROR(TAB_OFICINAS[[#This Row],[Valor Unit]]*TAB_OFICINAS[[#This Row],[Qtd pçs Enviadas]]," ")</f>
        <v>576</v>
      </c>
      <c r="W81" s="17">
        <v>46037</v>
      </c>
      <c r="X81" s="5" t="s">
        <v>6251</v>
      </c>
      <c r="Y81" s="27"/>
      <c r="Z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" spans="3:26" hidden="1">
      <c r="C82" s="28" t="s">
        <v>3</v>
      </c>
      <c r="D82" s="5">
        <v>943</v>
      </c>
      <c r="E82" s="5">
        <v>23090</v>
      </c>
      <c r="F82" s="28" t="str">
        <f>IFERROR(VLOOKUP(TAB_OFICINAS[[#This Row],[Cliente]],LISTA_DE_CLIENTES[[Código]:[Nome Fantasia]],2,FALSE),"")</f>
        <v>REDE DOR SAO LUIZ S.A.</v>
      </c>
      <c r="G82" s="5" t="str">
        <f>IFERROR(VLOOKUP(TAB_OFICINAS[[#This Row],[Cliente]],LISTA_DE_CLIENTES[[Código]:[Nome Fantasia]],3,FALSE),"")</f>
        <v>HOSPITAL COPA STAR</v>
      </c>
      <c r="H82" s="63">
        <v>2103067072</v>
      </c>
      <c r="I82" s="28" t="s">
        <v>21477</v>
      </c>
      <c r="J82" s="91">
        <v>302</v>
      </c>
      <c r="K82" s="86">
        <v>46170</v>
      </c>
      <c r="L82" s="34">
        <v>302</v>
      </c>
      <c r="M82" s="6">
        <v>46178</v>
      </c>
      <c r="N82" s="6">
        <v>46176</v>
      </c>
      <c r="O82" s="19">
        <f>TAB_OFICINAS[[#This Row],[Data Retorno Produção]]-TAB_OFICINAS[[#This Row],[Data Prometida  Entrega]]</f>
        <v>-2</v>
      </c>
      <c r="P82" s="40" t="str">
        <f>IF(TAB_OFICINAS[[#This Row],[Dias Para Entrega]]&lt;=0,"Em dia","Dia de Atrasado")</f>
        <v>Em dia</v>
      </c>
      <c r="Q82" s="10">
        <f>IFERROR(TAB_OFICINAS[[#This Row],[Qtd pçs Enviadas]]-TAB_OFICINAS[[#This Row],[Qtd pçs Retornadas ]]," ")</f>
        <v>0</v>
      </c>
      <c r="R82" s="10"/>
      <c r="S82" s="5">
        <v>860</v>
      </c>
      <c r="T82" s="5">
        <v>109</v>
      </c>
      <c r="U82" s="52">
        <v>3</v>
      </c>
      <c r="V82" s="44">
        <f>IFERROR(TAB_OFICINAS[[#This Row],[Valor Unit]]*TAB_OFICINAS[[#This Row],[Qtd pçs Enviadas]]," ")</f>
        <v>906</v>
      </c>
      <c r="W82" s="17">
        <f>TAB_OFICINAS[[#This Row],[Data Retorno Produção]]+10</f>
        <v>46186</v>
      </c>
      <c r="X82" s="5" t="s">
        <v>6251</v>
      </c>
      <c r="Y82" s="27"/>
      <c r="Z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" spans="3:26" ht="85.5" hidden="1">
      <c r="C83" s="28" t="s">
        <v>19</v>
      </c>
      <c r="D83" s="5">
        <v>155</v>
      </c>
      <c r="E83" s="5">
        <v>22346</v>
      </c>
      <c r="F83" s="28" t="str">
        <f>IFERROR(VLOOKUP(TAB_OFICINAS[[#This Row],[Cliente]],LISTA_DE_CLIENTES[[Código]:[Nome Fantasia]],2,FALSE),"")</f>
        <v>HOTEIS OTHON S A</v>
      </c>
      <c r="G83" s="5" t="str">
        <f>IFERROR(VLOOKUP(TAB_OFICINAS[[#This Row],[Cliente]],LISTA_DE_CLIENTES[[Código]:[Nome Fantasia]],3,FALSE),"")</f>
        <v>RIO OTHON PALACE HOT</v>
      </c>
      <c r="H83" s="51">
        <v>92108303842</v>
      </c>
      <c r="I83" s="28" t="s">
        <v>20356</v>
      </c>
      <c r="J83" s="91">
        <v>400</v>
      </c>
      <c r="K83" s="86">
        <v>46008</v>
      </c>
      <c r="L83" s="10">
        <v>400</v>
      </c>
      <c r="M83" s="6">
        <v>46028</v>
      </c>
      <c r="N83" s="6">
        <v>46038</v>
      </c>
      <c r="O83" s="19">
        <f>TAB_OFICINAS[[#This Row],[Data Retorno Produção]]-TAB_OFICINAS[[#This Row],[Data Prometida  Entrega]]</f>
        <v>10</v>
      </c>
      <c r="P83" s="40" t="str">
        <f>IF(TAB_OFICINAS[[#This Row],[Dias Para Entrega]]&lt;=0,"Em dia","Dia de Atrasado")</f>
        <v>Dia de Atrasado</v>
      </c>
      <c r="Q83" s="10">
        <f>IFERROR(TAB_OFICINAS[[#This Row],[Qtd pçs Enviadas]]-TAB_OFICINAS[[#This Row],[Qtd pçs Retornadas ]]," ")</f>
        <v>0</v>
      </c>
      <c r="R83" s="10">
        <v>0</v>
      </c>
      <c r="S83" s="5">
        <v>3050</v>
      </c>
      <c r="T83" s="5">
        <v>39</v>
      </c>
      <c r="U83" s="52">
        <v>4.5999999999999996</v>
      </c>
      <c r="V83" s="44">
        <v>1380</v>
      </c>
      <c r="W83" s="17">
        <v>46050</v>
      </c>
      <c r="X83" s="5" t="s">
        <v>6251</v>
      </c>
      <c r="Y83" s="27" t="s">
        <v>20357</v>
      </c>
      <c r="Z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" spans="3:26" hidden="1">
      <c r="C84" s="28" t="s">
        <v>21197</v>
      </c>
      <c r="D84" s="5">
        <v>5391</v>
      </c>
      <c r="E84" s="5">
        <v>22892</v>
      </c>
      <c r="F84" s="28" t="str">
        <f>IFERROR(VLOOKUP(TAB_OFICINAS[[#This Row],[Cliente]],LISTA_DE_CLIENTES[[Código]:[Nome Fantasia]],2,FALSE),"")</f>
        <v>PACIFICO OPERACOES HOSPITALARES S.A</v>
      </c>
      <c r="G84" s="5" t="str">
        <f>IFERROR(VLOOKUP(TAB_OFICINAS[[#This Row],[Cliente]],LISTA_DE_CLIENTES[[Código]:[Nome Fantasia]],3,FALSE),"")</f>
        <v>MATERNIDADE SAO LUIZ</v>
      </c>
      <c r="H84" s="63">
        <v>2103062485</v>
      </c>
      <c r="I84" s="28" t="s">
        <v>20770</v>
      </c>
      <c r="J84" s="91">
        <v>700</v>
      </c>
      <c r="K84" s="86">
        <v>46129</v>
      </c>
      <c r="L84" s="10">
        <v>700</v>
      </c>
      <c r="M84" s="6">
        <v>46140</v>
      </c>
      <c r="N84" s="6">
        <v>46135</v>
      </c>
      <c r="O84" s="19">
        <f>TAB_OFICINAS[[#This Row],[Data Retorno Produção]]-TAB_OFICINAS[[#This Row],[Data Prometida  Entrega]]</f>
        <v>-5</v>
      </c>
      <c r="P84" s="40" t="str">
        <f>IF(TAB_OFICINAS[[#This Row],[Dias Para Entrega]]&lt;=0,"Em dia","Dia de Atrasado")</f>
        <v>Em dia</v>
      </c>
      <c r="Q84" s="10">
        <f>IFERROR(TAB_OFICINAS[[#This Row],[Qtd pçs Enviadas]]-TAB_OFICINAS[[#This Row],[Qtd pçs Retornadas ]]," ")</f>
        <v>0</v>
      </c>
      <c r="R84" s="10"/>
      <c r="S84" s="5">
        <v>763</v>
      </c>
      <c r="T84" s="5">
        <v>52</v>
      </c>
      <c r="U84" s="52">
        <v>5.15</v>
      </c>
      <c r="V84" s="44">
        <f>IFERROR(TAB_OFICINAS[[#This Row],[Valor Unit]]*TAB_OFICINAS[[#This Row],[Qtd pçs Enviadas]]," ")</f>
        <v>3605.0000000000005</v>
      </c>
      <c r="W84" s="17">
        <v>46156</v>
      </c>
      <c r="X84" s="5" t="s">
        <v>6251</v>
      </c>
      <c r="Y84" s="27"/>
      <c r="Z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" spans="3:26" hidden="1">
      <c r="C85" s="28" t="s">
        <v>15</v>
      </c>
      <c r="D85" s="5">
        <v>1942</v>
      </c>
      <c r="E85" s="5">
        <v>23440</v>
      </c>
      <c r="F85" s="28" t="str">
        <f>IFERROR(VLOOKUP(TAB_OFICINAS[[#This Row],[Cliente]],LISTA_DE_CLIENTES[[Código]:[Nome Fantasia]],2,FALSE),"")</f>
        <v>ONCO STAR SP ONCOLOGIA LTDA (REDE D´OR)</v>
      </c>
      <c r="G85" s="2" t="str">
        <f>IFERROR(VLOOKUP(TAB_OFICINAS[[#This Row],[Cliente]],LISTA_DE_CLIENTES[[Código]:[Nome Fantasia]],3,FALSE),"")</f>
        <v>R DOR VILA NOVA STAR</v>
      </c>
      <c r="H85" s="51">
        <v>2101102488</v>
      </c>
      <c r="I85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5" s="91">
        <v>302</v>
      </c>
      <c r="K85" s="88">
        <v>46203</v>
      </c>
      <c r="L85" s="9">
        <v>302</v>
      </c>
      <c r="M85" s="6">
        <v>46206</v>
      </c>
      <c r="N85" s="6">
        <v>46204</v>
      </c>
      <c r="O85" s="23">
        <f>TAB_OFICINAS[[#This Row],[Data Retorno Produção]]-TAB_OFICINAS[[#This Row],[Data Prometida  Entrega]]</f>
        <v>-2</v>
      </c>
      <c r="P85" s="98" t="str">
        <f>IF(TAB_OFICINAS[[#This Row],[Dias Para Entrega]]&lt;=0,"Em dia","Dia de Atrasado")</f>
        <v>Em dia</v>
      </c>
      <c r="Q85" s="10">
        <f>IFERROR(TAB_OFICINAS[[#This Row],[Qtd pçs Enviadas]]-TAB_OFICINAS[[#This Row],[Qtd pçs Retornadas ]]," ")</f>
        <v>0</v>
      </c>
      <c r="R85" s="24">
        <v>0</v>
      </c>
      <c r="S85" s="5">
        <v>903</v>
      </c>
      <c r="T85" s="5">
        <v>17398</v>
      </c>
      <c r="U85" s="11">
        <v>3.85</v>
      </c>
      <c r="V85" s="25">
        <f>IFERROR(TAB_OFICINAS[[#This Row],[Valor Unit]]*TAB_OFICINAS[[#This Row],[Qtd pçs Enviadas]]," ")</f>
        <v>1162.7</v>
      </c>
      <c r="W85" s="26">
        <v>46212</v>
      </c>
      <c r="X85" s="17" t="s">
        <v>6251</v>
      </c>
      <c r="Y85" s="27" t="s">
        <v>21341</v>
      </c>
      <c r="Z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" spans="3:26" hidden="1">
      <c r="C86" s="28" t="s">
        <v>1</v>
      </c>
      <c r="D86" s="5">
        <v>5350</v>
      </c>
      <c r="E86" s="5">
        <v>22574</v>
      </c>
      <c r="F86" s="28" t="str">
        <f>IFERROR(VLOOKUP(TAB_OFICINAS[[#This Row],[Cliente]],LISTA_DE_CLIENTES[[Código]:[Nome Fantasia]],2,FALSE),"")</f>
        <v>TEREZINHA STODOLNI SALDANHA LTDA</v>
      </c>
      <c r="G86" s="5" t="str">
        <f>IFERROR(VLOOKUP(TAB_OFICINAS[[#This Row],[Cliente]],LISTA_DE_CLIENTES[[Código]:[Nome Fantasia]],3,FALSE),"")</f>
        <v>POUSADA MARILUZ</v>
      </c>
      <c r="H86" s="51">
        <v>92101108564</v>
      </c>
      <c r="I86" s="28" t="s">
        <v>21028</v>
      </c>
      <c r="J86" s="91">
        <v>6</v>
      </c>
      <c r="K86" s="86">
        <v>46051</v>
      </c>
      <c r="L86" s="10">
        <v>6</v>
      </c>
      <c r="M86" s="6">
        <v>46057</v>
      </c>
      <c r="N86" s="6">
        <v>46055</v>
      </c>
      <c r="O86" s="19">
        <f>TAB_OFICINAS[[#This Row],[Data Retorno Produção]]-TAB_OFICINAS[[#This Row],[Data Prometida  Entrega]]</f>
        <v>-2</v>
      </c>
      <c r="P86" s="40" t="str">
        <f>IF(TAB_OFICINAS[[#This Row],[Dias Para Entrega]]&lt;=0,"Em dia","Dia de Atrasado")</f>
        <v>Em dia</v>
      </c>
      <c r="Q86" s="10">
        <f>IFERROR(TAB_OFICINAS[[#This Row],[Qtd pçs Enviadas]]-TAB_OFICINAS[[#This Row],[Qtd pçs Retornadas ]],"N/D ")</f>
        <v>0</v>
      </c>
      <c r="R86" s="10">
        <v>0</v>
      </c>
      <c r="S86" s="5">
        <v>564</v>
      </c>
      <c r="T86" s="5">
        <v>35</v>
      </c>
      <c r="U86" s="52">
        <v>7.5</v>
      </c>
      <c r="V86" s="44">
        <f>IFERROR(TAB_OFICINAS[[#This Row],[Valor Unit]]*TAB_OFICINAS[[#This Row],[Qtd pçs Enviadas]]," ")</f>
        <v>45</v>
      </c>
      <c r="W86" s="17">
        <v>46064</v>
      </c>
      <c r="X86" s="5" t="s">
        <v>6251</v>
      </c>
      <c r="Y86" s="27"/>
      <c r="Z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" spans="3:26" hidden="1">
      <c r="C87" s="28" t="s">
        <v>7</v>
      </c>
      <c r="D87" s="5">
        <v>249</v>
      </c>
      <c r="E87" s="5">
        <v>22125</v>
      </c>
      <c r="F87" s="28" t="str">
        <f>IFERROR(VLOOKUP(TAB_OFICINAS[[#This Row],[Cliente]],LISTA_DE_CLIENTES[[Código]:[Nome Fantasia]],2,FALSE),"")</f>
        <v>MELIA BRASIL ADMINISTRACAO HOTELEIRA E COMERCIAL L</v>
      </c>
      <c r="G87" s="5" t="str">
        <f>IFERROR(VLOOKUP(TAB_OFICINAS[[#This Row],[Cliente]],LISTA_DE_CLIENTES[[Código]:[Nome Fantasia]],3,FALSE),"")</f>
        <v>MELIA IBIRAPUERA</v>
      </c>
      <c r="H87" s="51">
        <v>92115472176</v>
      </c>
      <c r="I87" s="28" t="s">
        <v>20319</v>
      </c>
      <c r="J87" s="91">
        <v>50</v>
      </c>
      <c r="K87" s="86">
        <v>46028</v>
      </c>
      <c r="L87" s="10">
        <v>50</v>
      </c>
      <c r="M87" s="6">
        <v>46038</v>
      </c>
      <c r="N87" s="6">
        <v>46031</v>
      </c>
      <c r="O87" s="19">
        <f>TAB_OFICINAS[[#This Row],[Data Retorno Produção]]-TAB_OFICINAS[[#This Row],[Data Prometida  Entrega]]</f>
        <v>-7</v>
      </c>
      <c r="P87" s="40" t="str">
        <f>IF(TAB_OFICINAS[[#This Row],[Dias Para Entrega]]&lt;=0,"Em dia","Dia de Atrasado")</f>
        <v>Em dia</v>
      </c>
      <c r="Q87" s="10">
        <f>IFERROR(TAB_OFICINAS[[#This Row],[Qtd pçs Enviadas]]-TAB_OFICINAS[[#This Row],[Qtd pçs Retornadas ]],"N/D ")</f>
        <v>0</v>
      </c>
      <c r="R87" s="10">
        <v>0</v>
      </c>
      <c r="S87" s="5">
        <v>3063</v>
      </c>
      <c r="T87" s="5">
        <v>19</v>
      </c>
      <c r="U87" s="52">
        <v>16</v>
      </c>
      <c r="V87" s="44">
        <f>IFERROR(TAB_OFICINAS[[#This Row],[Valor Unit]]*TAB_OFICINAS[[#This Row],[Qtd pçs Enviadas]]," ")</f>
        <v>800</v>
      </c>
      <c r="W87" s="17">
        <v>46041</v>
      </c>
      <c r="X87" s="5" t="s">
        <v>6251</v>
      </c>
      <c r="Y87" s="27"/>
      <c r="Z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" spans="3:26" hidden="1">
      <c r="C88" s="28" t="s">
        <v>15</v>
      </c>
      <c r="D88" s="5">
        <v>943</v>
      </c>
      <c r="E88" s="5">
        <v>22882</v>
      </c>
      <c r="F88" s="28" t="str">
        <f>IFERROR(VLOOKUP(TAB_OFICINAS[[#This Row],[Cliente]],LISTA_DE_CLIENTES[[Código]:[Nome Fantasia]],2,FALSE),"")</f>
        <v>REDE DOR SAO LUIZ S.A.</v>
      </c>
      <c r="G88" s="5" t="str">
        <f>IFERROR(VLOOKUP(TAB_OFICINAS[[#This Row],[Cliente]],LISTA_DE_CLIENTES[[Código]:[Nome Fantasia]],3,FALSE),"")</f>
        <v>HOSPITAL COPA STAR</v>
      </c>
      <c r="H88" s="63">
        <v>2103062494</v>
      </c>
      <c r="I88" s="28" t="s">
        <v>21170</v>
      </c>
      <c r="J88" s="91">
        <v>300</v>
      </c>
      <c r="K88" s="86">
        <v>46104</v>
      </c>
      <c r="L88" s="10">
        <v>300</v>
      </c>
      <c r="M88" s="6">
        <v>46111</v>
      </c>
      <c r="N88" s="6">
        <v>46108</v>
      </c>
      <c r="O88" s="19">
        <f>TAB_OFICINAS[[#This Row],[Data Retorno Produção]]-TAB_OFICINAS[[#This Row],[Data Prometida  Entrega]]</f>
        <v>-3</v>
      </c>
      <c r="P88" s="40" t="str">
        <f>IF(TAB_OFICINAS[[#This Row],[Dias Para Entrega]]&lt;=0,"Em dia","Dia de Atrasado")</f>
        <v>Em dia</v>
      </c>
      <c r="Q88" s="10">
        <f>IFERROR(TAB_OFICINAS[[#This Row],[Qtd pçs Enviadas]]-TAB_OFICINAS[[#This Row],[Qtd pçs Retornadas ]]," ")</f>
        <v>0</v>
      </c>
      <c r="R88" s="10">
        <v>0</v>
      </c>
      <c r="S88" s="5">
        <v>704</v>
      </c>
      <c r="T88" s="5">
        <v>17065</v>
      </c>
      <c r="U88" s="52">
        <v>3.85</v>
      </c>
      <c r="V88" s="44">
        <f>IFERROR(TAB_OFICINAS[[#This Row],[Valor Unit]]*TAB_OFICINAS[[#This Row],[Qtd pçs Enviadas]]," ")</f>
        <v>1155</v>
      </c>
      <c r="W88" s="17">
        <v>46115</v>
      </c>
      <c r="X88" s="5" t="s">
        <v>6251</v>
      </c>
      <c r="Y88" s="27" t="s">
        <v>21378</v>
      </c>
      <c r="Z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" spans="3:26" ht="71.25" hidden="1">
      <c r="C89" s="28" t="s">
        <v>16</v>
      </c>
      <c r="D89" s="5">
        <v>943</v>
      </c>
      <c r="E89" s="5">
        <v>22882</v>
      </c>
      <c r="F89" s="28" t="str">
        <f>IFERROR(VLOOKUP(TAB_OFICINAS[[#This Row],[Cliente]],LISTA_DE_CLIENTES[[Código]:[Nome Fantasia]],2,FALSE),"")</f>
        <v>REDE DOR SAO LUIZ S.A.</v>
      </c>
      <c r="G89" s="5" t="str">
        <f>IFERROR(VLOOKUP(TAB_OFICINAS[[#This Row],[Cliente]],LISTA_DE_CLIENTES[[Código]:[Nome Fantasia]],3,FALSE),"")</f>
        <v>HOSPITAL COPA STAR</v>
      </c>
      <c r="H89" s="63">
        <v>2103062494</v>
      </c>
      <c r="I89" s="28" t="s">
        <v>21170</v>
      </c>
      <c r="J89" s="91">
        <v>300</v>
      </c>
      <c r="K89" s="86">
        <v>46112</v>
      </c>
      <c r="L89" s="10">
        <v>300</v>
      </c>
      <c r="M89" s="6">
        <v>46127</v>
      </c>
      <c r="N89" s="6">
        <v>46126</v>
      </c>
      <c r="O89" s="19">
        <f>TAB_OFICINAS[[#This Row],[Data Retorno Produção]]-TAB_OFICINAS[[#This Row],[Data Prometida  Entrega]]</f>
        <v>-1</v>
      </c>
      <c r="P89" s="40" t="str">
        <f>IF(TAB_OFICINAS[[#This Row],[Dias Para Entrega]]&lt;=0,"Em dia","Dia de Atrasado")</f>
        <v>Em dia</v>
      </c>
      <c r="Q89" s="10">
        <f>IFERROR(TAB_OFICINAS[[#This Row],[Qtd pçs Enviadas]]-TAB_OFICINAS[[#This Row],[Qtd pçs Retornadas ]]," ")</f>
        <v>0</v>
      </c>
      <c r="R89" s="10">
        <v>6</v>
      </c>
      <c r="S89" s="5">
        <v>719</v>
      </c>
      <c r="T89" s="5">
        <v>44</v>
      </c>
      <c r="U89" s="52">
        <v>5.95</v>
      </c>
      <c r="V89" s="44">
        <f>IFERROR(TAB_OFICINAS[[#This Row],[Valor Unit]]*TAB_OFICINAS[[#This Row],[Qtd pçs Enviadas]]," ")</f>
        <v>1785</v>
      </c>
      <c r="W89" s="17">
        <v>46136</v>
      </c>
      <c r="X89" s="5" t="s">
        <v>6251</v>
      </c>
      <c r="Y89" s="64" t="s">
        <v>21571</v>
      </c>
      <c r="Z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" spans="3:26" hidden="1">
      <c r="C90" s="28" t="s">
        <v>15</v>
      </c>
      <c r="D90" s="5">
        <v>943</v>
      </c>
      <c r="E90" s="5">
        <v>22882</v>
      </c>
      <c r="F90" s="28" t="str">
        <f>IFERROR(VLOOKUP(TAB_OFICINAS[[#This Row],[Cliente]],LISTA_DE_CLIENTES[[Código]:[Nome Fantasia]],2,FALSE),"")</f>
        <v>REDE DOR SAO LUIZ S.A.</v>
      </c>
      <c r="G90" s="5" t="str">
        <f>IFERROR(VLOOKUP(TAB_OFICINAS[[#This Row],[Cliente]],LISTA_DE_CLIENTES[[Código]:[Nome Fantasia]],3,FALSE),"")</f>
        <v>HOSPITAL COPA STAR</v>
      </c>
      <c r="H90" s="63">
        <v>2103062494</v>
      </c>
      <c r="I90" s="28" t="s">
        <v>21170</v>
      </c>
      <c r="J90" s="91">
        <v>300</v>
      </c>
      <c r="K90" s="86">
        <v>46120</v>
      </c>
      <c r="L90" s="10">
        <v>300</v>
      </c>
      <c r="M90" s="6">
        <v>46129</v>
      </c>
      <c r="N90" s="6">
        <v>46132</v>
      </c>
      <c r="O90" s="19">
        <f>TAB_OFICINAS[[#This Row],[Data Retorno Produção]]-TAB_OFICINAS[[#This Row],[Data Prometida  Entrega]]</f>
        <v>3</v>
      </c>
      <c r="P90" s="40" t="str">
        <f>IF(TAB_OFICINAS[[#This Row],[Dias Para Entrega]]&lt;=0,"Em dia","Dia de Atrasado")</f>
        <v>Dia de Atrasado</v>
      </c>
      <c r="Q90" s="10">
        <f>IFERROR(TAB_OFICINAS[[#This Row],[Qtd pçs Enviadas]]-TAB_OFICINAS[[#This Row],[Qtd pçs Retornadas ]]," ")</f>
        <v>0</v>
      </c>
      <c r="R90" s="10"/>
      <c r="S90" s="5">
        <v>744</v>
      </c>
      <c r="T90" s="5">
        <v>17132</v>
      </c>
      <c r="U90" s="52">
        <v>3.85</v>
      </c>
      <c r="V90" s="44">
        <f>IFERROR(TAB_OFICINAS[[#This Row],[Valor Unit]]*TAB_OFICINAS[[#This Row],[Qtd pçs Enviadas]]," ")</f>
        <v>1155</v>
      </c>
      <c r="W90" s="17">
        <v>46139</v>
      </c>
      <c r="X90" s="5" t="s">
        <v>6251</v>
      </c>
      <c r="Y90" s="27" t="s">
        <v>21378</v>
      </c>
      <c r="Z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" spans="3:26" hidden="1">
      <c r="C91" s="28" t="s">
        <v>21197</v>
      </c>
      <c r="D91" s="5">
        <v>156</v>
      </c>
      <c r="E91" s="5">
        <v>23030</v>
      </c>
      <c r="F91" s="28" t="str">
        <f>IFERROR(VLOOKUP(TAB_OFICINAS[[#This Row],[Cliente]],LISTA_DE_CLIENTES[[Código]:[Nome Fantasia]],2,FALSE),"")</f>
        <v>HOTEIS ROYAL PALM PLAZA LTDA.</v>
      </c>
      <c r="G91" s="5" t="str">
        <f>IFERROR(VLOOKUP(TAB_OFICINAS[[#This Row],[Cliente]],LISTA_DE_CLIENTES[[Código]:[Nome Fantasia]],3,FALSE),"")</f>
        <v>ROYAL PALM PLAZA</v>
      </c>
      <c r="H91" s="63">
        <v>92105029730</v>
      </c>
      <c r="I91" s="28" t="s">
        <v>21422</v>
      </c>
      <c r="J91" s="91">
        <v>20</v>
      </c>
      <c r="K91" s="86">
        <v>46129</v>
      </c>
      <c r="L91" s="10">
        <v>20</v>
      </c>
      <c r="M91" s="6">
        <v>46136</v>
      </c>
      <c r="N91" s="6">
        <v>46146</v>
      </c>
      <c r="O91" s="19">
        <f>TAB_OFICINAS[[#This Row],[Data Retorno Produção]]-TAB_OFICINAS[[#This Row],[Data Prometida  Entrega]]</f>
        <v>10</v>
      </c>
      <c r="P91" s="40" t="str">
        <f>IF(TAB_OFICINAS[[#This Row],[Dias Para Entrega]]&lt;=0,"Em dia","Dia de Atrasado")</f>
        <v>Dia de Atrasado</v>
      </c>
      <c r="Q91" s="10">
        <f>IFERROR(TAB_OFICINAS[[#This Row],[Qtd pçs Enviadas]]-TAB_OFICINAS[[#This Row],[Qtd pçs Retornadas ]]," ")</f>
        <v>0</v>
      </c>
      <c r="R91" s="10"/>
      <c r="S91" s="5">
        <v>770</v>
      </c>
      <c r="T91" s="5">
        <v>55</v>
      </c>
      <c r="U91" s="52">
        <v>11.45</v>
      </c>
      <c r="V91" s="44">
        <f>IFERROR(TAB_OFICINAS[[#This Row],[Valor Unit]]*TAB_OFICINAS[[#This Row],[Qtd pçs Enviadas]]," ")</f>
        <v>229</v>
      </c>
      <c r="W91" s="17">
        <v>46156</v>
      </c>
      <c r="X91" s="5" t="s">
        <v>6251</v>
      </c>
      <c r="Y91" s="27"/>
      <c r="Z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" spans="3:26" hidden="1">
      <c r="C92" s="28" t="s">
        <v>21197</v>
      </c>
      <c r="D92" s="5">
        <v>156</v>
      </c>
      <c r="E92" s="5">
        <v>23030</v>
      </c>
      <c r="F92" s="28" t="str">
        <f>IFERROR(VLOOKUP(TAB_OFICINAS[[#This Row],[Cliente]],LISTA_DE_CLIENTES[[Código]:[Nome Fantasia]],2,FALSE),"")</f>
        <v>HOTEIS ROYAL PALM PLAZA LTDA.</v>
      </c>
      <c r="G92" s="5" t="str">
        <f>IFERROR(VLOOKUP(TAB_OFICINAS[[#This Row],[Cliente]],LISTA_DE_CLIENTES[[Código]:[Nome Fantasia]],3,FALSE),"")</f>
        <v>ROYAL PALM PLAZA</v>
      </c>
      <c r="H92" s="63">
        <v>92111239728</v>
      </c>
      <c r="I92" s="28" t="s">
        <v>21426</v>
      </c>
      <c r="J92" s="91">
        <v>20</v>
      </c>
      <c r="K92" s="86">
        <v>46129</v>
      </c>
      <c r="L92" s="10">
        <v>20</v>
      </c>
      <c r="M92" s="6">
        <v>46136</v>
      </c>
      <c r="N92" s="6">
        <v>46146</v>
      </c>
      <c r="O92" s="19">
        <f>TAB_OFICINAS[[#This Row],[Data Retorno Produção]]-TAB_OFICINAS[[#This Row],[Data Prometida  Entrega]]</f>
        <v>10</v>
      </c>
      <c r="P92" s="40" t="str">
        <f>IF(TAB_OFICINAS[[#This Row],[Dias Para Entrega]]&lt;=0,"Em dia","Dia de Atrasado")</f>
        <v>Dia de Atrasado</v>
      </c>
      <c r="Q92" s="10">
        <f>IFERROR(TAB_OFICINAS[[#This Row],[Qtd pçs Enviadas]]-TAB_OFICINAS[[#This Row],[Qtd pçs Retornadas ]]," ")</f>
        <v>0</v>
      </c>
      <c r="R92" s="10"/>
      <c r="S92" s="5">
        <v>770</v>
      </c>
      <c r="T92" s="5">
        <v>55</v>
      </c>
      <c r="U92" s="52">
        <v>10</v>
      </c>
      <c r="V92" s="44">
        <f>IFERROR(TAB_OFICINAS[[#This Row],[Valor Unit]]*TAB_OFICINAS[[#This Row],[Qtd pçs Enviadas]]," ")</f>
        <v>200</v>
      </c>
      <c r="W92" s="17">
        <v>46156</v>
      </c>
      <c r="X92" s="5" t="s">
        <v>6251</v>
      </c>
      <c r="Y92" s="27"/>
      <c r="Z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" spans="3:26" ht="28.5" hidden="1">
      <c r="C93" s="28" t="s">
        <v>21197</v>
      </c>
      <c r="D93" s="5">
        <v>156</v>
      </c>
      <c r="E93" s="5">
        <v>23030</v>
      </c>
      <c r="F93" s="28" t="str">
        <f>IFERROR(VLOOKUP(TAB_OFICINAS[[#This Row],[Cliente]],LISTA_DE_CLIENTES[[Código]:[Nome Fantasia]],2,FALSE),"")</f>
        <v>HOTEIS ROYAL PALM PLAZA LTDA.</v>
      </c>
      <c r="G93" s="5" t="str">
        <f>IFERROR(VLOOKUP(TAB_OFICINAS[[#This Row],[Cliente]],LISTA_DE_CLIENTES[[Código]:[Nome Fantasia]],3,FALSE),"")</f>
        <v>ROYAL PALM PLAZA</v>
      </c>
      <c r="H93" s="63">
        <v>92112029729</v>
      </c>
      <c r="I93" s="28" t="s">
        <v>22553</v>
      </c>
      <c r="J93" s="91">
        <v>20</v>
      </c>
      <c r="K93" s="86">
        <v>46129</v>
      </c>
      <c r="L93" s="10">
        <v>20</v>
      </c>
      <c r="M93" s="6">
        <v>46136</v>
      </c>
      <c r="N93" s="6">
        <v>46146</v>
      </c>
      <c r="O93" s="19">
        <f>TAB_OFICINAS[[#This Row],[Data Retorno Produção]]-TAB_OFICINAS[[#This Row],[Data Prometida  Entrega]]</f>
        <v>10</v>
      </c>
      <c r="P93" s="40" t="str">
        <f>IF(TAB_OFICINAS[[#This Row],[Dias Para Entrega]]&lt;=0,"Em dia","Dia de Atrasado")</f>
        <v>Dia de Atrasado</v>
      </c>
      <c r="Q93" s="10">
        <f>IFERROR(TAB_OFICINAS[[#This Row],[Qtd pçs Enviadas]]-TAB_OFICINAS[[#This Row],[Qtd pçs Retornadas ]]," ")</f>
        <v>0</v>
      </c>
      <c r="R93" s="10"/>
      <c r="S93" s="5">
        <v>770</v>
      </c>
      <c r="T93" s="5">
        <v>55</v>
      </c>
      <c r="U93" s="52">
        <v>8.5</v>
      </c>
      <c r="V93" s="44">
        <f>IFERROR(TAB_OFICINAS[[#This Row],[Valor Unit]]*TAB_OFICINAS[[#This Row],[Qtd pçs Enviadas]]," ")</f>
        <v>170</v>
      </c>
      <c r="W93" s="17">
        <v>46156</v>
      </c>
      <c r="X93" s="5" t="s">
        <v>6251</v>
      </c>
      <c r="Y93" s="27" t="s">
        <v>22529</v>
      </c>
      <c r="Z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" spans="3:26" hidden="1">
      <c r="C94" s="28" t="s">
        <v>16</v>
      </c>
      <c r="D94" s="5">
        <v>1941</v>
      </c>
      <c r="E94" s="5">
        <v>22893</v>
      </c>
      <c r="F94" s="28" t="str">
        <f>IFERROR(VLOOKUP(TAB_OFICINAS[[#This Row],[Cliente]],LISTA_DE_CLIENTES[[Código]:[Nome Fantasia]],2,FALSE),"")</f>
        <v>HOSPITAIS INTEGRADOS DA GAVEA S/A</v>
      </c>
      <c r="G94" s="5" t="str">
        <f>IFERROR(VLOOKUP(TAB_OFICINAS[[#This Row],[Cliente]],LISTA_DE_CLIENTES[[Código]:[Nome Fantasia]],3,FALSE),"")</f>
        <v>REDE D´OR - DF STAR</v>
      </c>
      <c r="H94" s="63">
        <v>2101107948</v>
      </c>
      <c r="I94" s="28" t="s">
        <v>21372</v>
      </c>
      <c r="J94" s="91">
        <v>300</v>
      </c>
      <c r="K94" s="86">
        <v>46149</v>
      </c>
      <c r="L94" s="10">
        <v>300</v>
      </c>
      <c r="M94" s="6">
        <v>46156</v>
      </c>
      <c r="N94" s="6">
        <v>46157</v>
      </c>
      <c r="O94" s="19">
        <f>TAB_OFICINAS[[#This Row],[Data Retorno Produção]]-TAB_OFICINAS[[#This Row],[Data Prometida  Entrega]]</f>
        <v>1</v>
      </c>
      <c r="P94" s="40" t="str">
        <f>IF(TAB_OFICINAS[[#This Row],[Dias Para Entrega]]&lt;=0,"Em dia","Dia de Atrasado")</f>
        <v>Dia de Atrasado</v>
      </c>
      <c r="Q94" s="10">
        <f>IFERROR(TAB_OFICINAS[[#This Row],[Qtd pçs Enviadas]]-TAB_OFICINAS[[#This Row],[Qtd pçs Retornadas ]]," ")</f>
        <v>0</v>
      </c>
      <c r="R94" s="10">
        <v>0</v>
      </c>
      <c r="S94" s="5">
        <v>825</v>
      </c>
      <c r="T94" s="5">
        <v>47</v>
      </c>
      <c r="U94" s="52">
        <v>5</v>
      </c>
      <c r="V94" s="44">
        <f>IFERROR(TAB_OFICINAS[[#This Row],[Valor Unit]]*TAB_OFICINAS[[#This Row],[Qtd pçs Enviadas]]," ")</f>
        <v>1500</v>
      </c>
      <c r="W94" s="17">
        <v>46167</v>
      </c>
      <c r="X94" s="5" t="s">
        <v>6251</v>
      </c>
      <c r="Y94" s="27"/>
      <c r="Z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" spans="3:26" hidden="1">
      <c r="C95" s="28" t="s">
        <v>20</v>
      </c>
      <c r="D95" s="5">
        <v>943</v>
      </c>
      <c r="E95" s="5">
        <v>22133</v>
      </c>
      <c r="F95" s="28" t="str">
        <f>IFERROR(VLOOKUP(TAB_OFICINAS[[#This Row],[Cliente]],LISTA_DE_CLIENTES[[Código]:[Nome Fantasia]],2,FALSE),"")</f>
        <v>REDE DOR SAO LUIZ S.A.</v>
      </c>
      <c r="G95" s="5" t="str">
        <f>IFERROR(VLOOKUP(TAB_OFICINAS[[#This Row],[Cliente]],LISTA_DE_CLIENTES[[Código]:[Nome Fantasia]],3,FALSE),"")</f>
        <v>HOSPITAL COPA STAR</v>
      </c>
      <c r="H95" s="51">
        <v>2101105264</v>
      </c>
      <c r="I95" s="28" t="s">
        <v>20370</v>
      </c>
      <c r="J95" s="91">
        <v>75</v>
      </c>
      <c r="K95" s="86">
        <v>46048</v>
      </c>
      <c r="L95" s="10">
        <v>75</v>
      </c>
      <c r="M95" s="6">
        <v>46052</v>
      </c>
      <c r="N95" s="6">
        <v>46050</v>
      </c>
      <c r="O95" s="19">
        <f>TAB_OFICINAS[[#This Row],[Data Retorno Produção]]-TAB_OFICINAS[[#This Row],[Data Prometida  Entrega]]</f>
        <v>-2</v>
      </c>
      <c r="P95" s="40" t="str">
        <f>IF(TAB_OFICINAS[[#This Row],[Dias Para Entrega]]&lt;=0,"Em dia","Dia de Atrasado")</f>
        <v>Em dia</v>
      </c>
      <c r="Q95" s="10">
        <f>IFERROR(TAB_OFICINAS[[#This Row],[Qtd pçs Enviadas]]-TAB_OFICINAS[[#This Row],[Qtd pçs Retornadas ]]," ")</f>
        <v>0</v>
      </c>
      <c r="R95" s="10">
        <v>0</v>
      </c>
      <c r="S95" s="5">
        <v>553</v>
      </c>
      <c r="T95" s="5">
        <v>74</v>
      </c>
      <c r="U95" s="52">
        <v>6</v>
      </c>
      <c r="V95" s="44">
        <f>IFERROR(TAB_OFICINAS[[#This Row],[Valor Unit]]*TAB_OFICINAS[[#This Row],[Qtd pçs Enviadas]]," ")</f>
        <v>450</v>
      </c>
      <c r="W95" s="17">
        <v>46059</v>
      </c>
      <c r="X95" s="5" t="s">
        <v>6251</v>
      </c>
      <c r="Y95" s="27"/>
      <c r="Z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" spans="3:26" hidden="1">
      <c r="C96" s="28" t="s">
        <v>20</v>
      </c>
      <c r="D96" s="5">
        <v>2933</v>
      </c>
      <c r="E96" s="5">
        <v>22277</v>
      </c>
      <c r="F96" s="28" t="str">
        <f>IFERROR(VLOOKUP(TAB_OFICINAS[[#This Row],[Cliente]],LISTA_DE_CLIENTES[[Código]:[Nome Fantasia]],2,FALSE),"")</f>
        <v>J.F. GOMES POUSADA EIRELI</v>
      </c>
      <c r="G96" s="5" t="str">
        <f>IFERROR(VLOOKUP(TAB_OFICINAS[[#This Row],[Cliente]],LISTA_DE_CLIENTES[[Código]:[Nome Fantasia]],3,FALSE),"")</f>
        <v>POUSADA APPLE HOUSE</v>
      </c>
      <c r="H96" s="51">
        <v>2101068585</v>
      </c>
      <c r="I96" s="28" t="s">
        <v>20371</v>
      </c>
      <c r="J96" s="91">
        <v>60</v>
      </c>
      <c r="K96" s="86">
        <v>46050</v>
      </c>
      <c r="L96" s="10">
        <v>60</v>
      </c>
      <c r="M96" s="6">
        <v>46058</v>
      </c>
      <c r="N96" s="6">
        <v>46057</v>
      </c>
      <c r="O96" s="19">
        <f>TAB_OFICINAS[[#This Row],[Data Retorno Produção]]-TAB_OFICINAS[[#This Row],[Data Prometida  Entrega]]</f>
        <v>-1</v>
      </c>
      <c r="P96" s="40" t="str">
        <f>IF(TAB_OFICINAS[[#This Row],[Dias Para Entrega]]&lt;=0,"Em dia","Dia de Atrasado")</f>
        <v>Em dia</v>
      </c>
      <c r="Q96" s="10">
        <f>IFERROR(TAB_OFICINAS[[#This Row],[Qtd pçs Enviadas]]-TAB_OFICINAS[[#This Row],[Qtd pçs Retornadas ]],"N/D ")</f>
        <v>0</v>
      </c>
      <c r="R96" s="10">
        <v>0</v>
      </c>
      <c r="S96" s="5">
        <v>560</v>
      </c>
      <c r="T96" s="5">
        <v>75</v>
      </c>
      <c r="U96" s="52">
        <v>6</v>
      </c>
      <c r="V96" s="44">
        <f>IFERROR(TAB_OFICINAS[[#This Row],[Valor Unit]]*TAB_OFICINAS[[#This Row],[Qtd pçs Enviadas]]," ")</f>
        <v>360</v>
      </c>
      <c r="W96" s="17">
        <v>46065</v>
      </c>
      <c r="X96" s="5" t="s">
        <v>6251</v>
      </c>
      <c r="Y96" s="27"/>
      <c r="Z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" spans="3:26" hidden="1">
      <c r="C97" s="28" t="s">
        <v>21197</v>
      </c>
      <c r="D97" s="5">
        <v>156</v>
      </c>
      <c r="E97" s="5">
        <v>23030</v>
      </c>
      <c r="F97" s="28" t="str">
        <f>IFERROR(VLOOKUP(TAB_OFICINAS[[#This Row],[Cliente]],LISTA_DE_CLIENTES[[Código]:[Nome Fantasia]],2,FALSE),"")</f>
        <v>HOTEIS ROYAL PALM PLAZA LTDA.</v>
      </c>
      <c r="G97" s="5" t="str">
        <f>IFERROR(VLOOKUP(TAB_OFICINAS[[#This Row],[Cliente]],LISTA_DE_CLIENTES[[Código]:[Nome Fantasia]],3,FALSE),"")</f>
        <v>ROYAL PALM PLAZA</v>
      </c>
      <c r="H97" s="63">
        <v>92101044086</v>
      </c>
      <c r="I97" s="28" t="s">
        <v>20749</v>
      </c>
      <c r="J97" s="91">
        <v>10</v>
      </c>
      <c r="K97" s="86">
        <v>46129</v>
      </c>
      <c r="L97" s="10">
        <v>10</v>
      </c>
      <c r="M97" s="6">
        <v>46136</v>
      </c>
      <c r="N97" s="6">
        <v>46146</v>
      </c>
      <c r="O97" s="19">
        <f>TAB_OFICINAS[[#This Row],[Data Retorno Produção]]-TAB_OFICINAS[[#This Row],[Data Prometida  Entrega]]</f>
        <v>10</v>
      </c>
      <c r="P97" s="40" t="str">
        <f>IF(TAB_OFICINAS[[#This Row],[Dias Para Entrega]]&lt;=0,"Em dia","Dia de Atrasado")</f>
        <v>Dia de Atrasado</v>
      </c>
      <c r="Q97" s="10">
        <f>IFERROR(TAB_OFICINAS[[#This Row],[Qtd pçs Enviadas]]-TAB_OFICINAS[[#This Row],[Qtd pçs Retornadas ]]," ")</f>
        <v>0</v>
      </c>
      <c r="R97" s="10"/>
      <c r="S97" s="5">
        <v>770</v>
      </c>
      <c r="T97" s="5">
        <v>55</v>
      </c>
      <c r="U97" s="52">
        <v>9</v>
      </c>
      <c r="V97" s="44">
        <f>IFERROR(TAB_OFICINAS[[#This Row],[Valor Unit]]*TAB_OFICINAS[[#This Row],[Qtd pçs Enviadas]]," ")</f>
        <v>90</v>
      </c>
      <c r="W97" s="17">
        <v>46156</v>
      </c>
      <c r="X97" s="5" t="s">
        <v>6251</v>
      </c>
      <c r="Y97" s="27"/>
      <c r="Z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" spans="3:26" hidden="1">
      <c r="C98" s="28" t="s">
        <v>3</v>
      </c>
      <c r="D98" s="5">
        <v>5572</v>
      </c>
      <c r="E98" s="5">
        <v>23503</v>
      </c>
      <c r="F98" s="28" t="str">
        <f>IFERROR(VLOOKUP(TAB_OFICINAS[[#This Row],[Cliente]],LISTA_DE_CLIENTES[[Código]:[Nome Fantasia]],2,FALSE),"")</f>
        <v>TAUÁ HOTEL E CONVENTION JOÃO PESSOA LTDA</v>
      </c>
      <c r="G98" s="5" t="str">
        <f>IFERROR(VLOOKUP(TAB_OFICINAS[[#This Row],[Cliente]],LISTA_DE_CLIENTES[[Código]:[Nome Fantasia]],3,FALSE),"")</f>
        <v>TAUÁ HOTEL E CONVENT</v>
      </c>
      <c r="H98" s="63">
        <v>3302122847</v>
      </c>
      <c r="I98" s="28" t="s">
        <v>22974</v>
      </c>
      <c r="J98" s="91">
        <v>300</v>
      </c>
      <c r="K98" s="86">
        <v>46174</v>
      </c>
      <c r="L98" s="34">
        <v>300</v>
      </c>
      <c r="M98" s="6">
        <v>46185</v>
      </c>
      <c r="N98" s="6">
        <v>46183</v>
      </c>
      <c r="O98" s="19">
        <f>TAB_OFICINAS[[#This Row],[Data Retorno Produção]]-TAB_OFICINAS[[#This Row],[Data Prometida  Entrega]]</f>
        <v>-2</v>
      </c>
      <c r="P98" s="40" t="str">
        <f>IF(TAB_OFICINAS[[#This Row],[Dias Para Entrega]]&lt;=0,"Em dia","Dia de Atrasado")</f>
        <v>Em dia</v>
      </c>
      <c r="Q98" s="10">
        <f>IFERROR(TAB_OFICINAS[[#This Row],[Qtd pçs Enviadas]]-TAB_OFICINAS[[#This Row],[Qtd pçs Retornadas ]]," ")</f>
        <v>0</v>
      </c>
      <c r="R98" s="10"/>
      <c r="S98" s="5">
        <v>3243</v>
      </c>
      <c r="T98" s="5">
        <v>110</v>
      </c>
      <c r="U98" s="52">
        <v>5.5</v>
      </c>
      <c r="V98" s="44">
        <f>IFERROR(TAB_OFICINAS[[#This Row],[Valor Unit]]*TAB_OFICINAS[[#This Row],[Qtd pçs Enviadas]]," ")</f>
        <v>1650</v>
      </c>
      <c r="W98" s="17">
        <v>46196</v>
      </c>
      <c r="X98" s="5" t="s">
        <v>6251</v>
      </c>
      <c r="Y98" s="27"/>
      <c r="Z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" spans="3:26" hidden="1">
      <c r="C99" s="28" t="s">
        <v>1</v>
      </c>
      <c r="D99" s="5">
        <v>5350</v>
      </c>
      <c r="E99" s="5">
        <v>22574</v>
      </c>
      <c r="F99" s="28" t="str">
        <f>IFERROR(VLOOKUP(TAB_OFICINAS[[#This Row],[Cliente]],LISTA_DE_CLIENTES[[Código]:[Nome Fantasia]],2,FALSE),"")</f>
        <v>TEREZINHA STODOLNI SALDANHA LTDA</v>
      </c>
      <c r="G99" s="5" t="str">
        <f>IFERROR(VLOOKUP(TAB_OFICINAS[[#This Row],[Cliente]],LISTA_DE_CLIENTES[[Código]:[Nome Fantasia]],3,FALSE),"")</f>
        <v>POUSADA MARILUZ</v>
      </c>
      <c r="H99" s="51">
        <v>92102868565</v>
      </c>
      <c r="I99" s="28" t="s">
        <v>21032</v>
      </c>
      <c r="J99" s="91">
        <v>6</v>
      </c>
      <c r="K99" s="86">
        <v>46051</v>
      </c>
      <c r="L99" s="10">
        <v>6</v>
      </c>
      <c r="M99" s="6">
        <v>46057</v>
      </c>
      <c r="N99" s="6">
        <v>46055</v>
      </c>
      <c r="O99" s="19">
        <f>TAB_OFICINAS[[#This Row],[Data Retorno Produção]]-TAB_OFICINAS[[#This Row],[Data Prometida  Entrega]]</f>
        <v>-2</v>
      </c>
      <c r="P99" s="40" t="str">
        <f>IF(TAB_OFICINAS[[#This Row],[Dias Para Entrega]]&lt;=0,"Em dia","Dia de Atrasado")</f>
        <v>Em dia</v>
      </c>
      <c r="Q99" s="10">
        <f>IFERROR(TAB_OFICINAS[[#This Row],[Qtd pçs Enviadas]]-TAB_OFICINAS[[#This Row],[Qtd pçs Retornadas ]],"N/D ")</f>
        <v>0</v>
      </c>
      <c r="R99" s="10">
        <v>0</v>
      </c>
      <c r="S99" s="5">
        <v>564</v>
      </c>
      <c r="T99" s="5">
        <v>35</v>
      </c>
      <c r="U99" s="52">
        <v>6.5</v>
      </c>
      <c r="V99" s="44">
        <f>IFERROR(TAB_OFICINAS[[#This Row],[Valor Unit]]*TAB_OFICINAS[[#This Row],[Qtd pçs Enviadas]]," ")</f>
        <v>39</v>
      </c>
      <c r="W99" s="17">
        <v>46064</v>
      </c>
      <c r="X99" s="5" t="s">
        <v>6251</v>
      </c>
      <c r="Y99" s="27"/>
      <c r="Z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" spans="3:26" hidden="1">
      <c r="C100" s="28" t="s">
        <v>15</v>
      </c>
      <c r="D100" s="5">
        <v>943</v>
      </c>
      <c r="E100" s="5">
        <v>22882</v>
      </c>
      <c r="F100" s="28" t="str">
        <f>IFERROR(VLOOKUP(TAB_OFICINAS[[#This Row],[Cliente]],LISTA_DE_CLIENTES[[Código]:[Nome Fantasia]],2,FALSE),"")</f>
        <v>REDE DOR SAO LUIZ S.A.</v>
      </c>
      <c r="G100" s="5" t="str">
        <f>IFERROR(VLOOKUP(TAB_OFICINAS[[#This Row],[Cliente]],LISTA_DE_CLIENTES[[Código]:[Nome Fantasia]],3,FALSE),"")</f>
        <v>HOSPITAL COPA STAR</v>
      </c>
      <c r="H100" s="63">
        <v>2101105263</v>
      </c>
      <c r="I100" s="28" t="s">
        <v>21684</v>
      </c>
      <c r="J100" s="91">
        <v>275</v>
      </c>
      <c r="K100" s="86">
        <v>46132</v>
      </c>
      <c r="L100" s="10">
        <v>275</v>
      </c>
      <c r="M100" s="6">
        <v>46140</v>
      </c>
      <c r="N100" s="6">
        <v>46136</v>
      </c>
      <c r="O100" s="19">
        <f>TAB_OFICINAS[[#This Row],[Data Retorno Produção]]-TAB_OFICINAS[[#This Row],[Data Prometida  Entrega]]</f>
        <v>-4</v>
      </c>
      <c r="P100" s="40" t="str">
        <f>IF(TAB_OFICINAS[[#This Row],[Dias Para Entrega]]&lt;=0,"Em dia","Dia de Atrasado")</f>
        <v>Em dia</v>
      </c>
      <c r="Q100" s="10">
        <f>IFERROR(TAB_OFICINAS[[#This Row],[Qtd pçs Enviadas]]-TAB_OFICINAS[[#This Row],[Qtd pçs Retornadas ]]," ")</f>
        <v>0</v>
      </c>
      <c r="R100" s="10">
        <v>0</v>
      </c>
      <c r="S100" s="5">
        <v>773</v>
      </c>
      <c r="T100" s="5">
        <v>17148</v>
      </c>
      <c r="U100" s="52">
        <v>3.85</v>
      </c>
      <c r="V100" s="44">
        <f>IFERROR(TAB_OFICINAS[[#This Row],[Valor Unit]]*TAB_OFICINAS[[#This Row],[Qtd pçs Enviadas]]," ")</f>
        <v>1058.75</v>
      </c>
      <c r="W100" s="17">
        <v>46142</v>
      </c>
      <c r="X100" s="5" t="s">
        <v>6251</v>
      </c>
      <c r="Y100" s="27" t="s">
        <v>21341</v>
      </c>
      <c r="Z1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" spans="3:26" hidden="1">
      <c r="C101" s="28" t="s">
        <v>15</v>
      </c>
      <c r="D101" s="5">
        <v>943</v>
      </c>
      <c r="E101" s="5">
        <v>23090</v>
      </c>
      <c r="F101" s="28" t="str">
        <f>IFERROR(VLOOKUP(TAB_OFICINAS[[#This Row],[Cliente]],LISTA_DE_CLIENTES[[Código]:[Nome Fantasia]],2,FALSE),"")</f>
        <v>REDE DOR SAO LUIZ S.A.</v>
      </c>
      <c r="G101" s="5" t="str">
        <f>IFERROR(VLOOKUP(TAB_OFICINAS[[#This Row],[Cliente]],LISTA_DE_CLIENTES[[Código]:[Nome Fantasia]],3,FALSE),"")</f>
        <v>HOSPITAL COPA STAR</v>
      </c>
      <c r="H101" s="63">
        <v>2103067072</v>
      </c>
      <c r="I101" s="75" t="s">
        <v>22772</v>
      </c>
      <c r="J101" s="91">
        <v>273</v>
      </c>
      <c r="K101" s="86">
        <v>46157</v>
      </c>
      <c r="L101" s="10">
        <v>273</v>
      </c>
      <c r="M101" s="6">
        <v>46170</v>
      </c>
      <c r="N101" s="6">
        <v>46168</v>
      </c>
      <c r="O101" s="19">
        <f>TAB_OFICINAS[[#This Row],[Data Retorno Produção]]-TAB_OFICINAS[[#This Row],[Data Prometida  Entrega]]</f>
        <v>-2</v>
      </c>
      <c r="P101" s="40" t="str">
        <f>IF(TAB_OFICINAS[[#This Row],[Dias Para Entrega]]&lt;=0,"Em dia","Dia de Atrasado")</f>
        <v>Em dia</v>
      </c>
      <c r="Q101" s="10">
        <f>IFERROR(TAB_OFICINAS[[#This Row],[Qtd pçs Enviadas]]-TAB_OFICINAS[[#This Row],[Qtd pçs Retornadas ]]," ")</f>
        <v>0</v>
      </c>
      <c r="R101" s="10"/>
      <c r="S101" s="5">
        <v>845</v>
      </c>
      <c r="T101" s="5">
        <v>17257</v>
      </c>
      <c r="U101" s="52">
        <v>3.85</v>
      </c>
      <c r="V101" s="44">
        <f>IFERROR(TAB_OFICINAS[[#This Row],[Valor Unit]]*TAB_OFICINAS[[#This Row],[Qtd pçs Enviadas]]," ")</f>
        <v>1051.05</v>
      </c>
      <c r="W101" s="17">
        <v>46171</v>
      </c>
      <c r="X101" s="5" t="s">
        <v>6251</v>
      </c>
      <c r="Y101" s="27" t="s">
        <v>21378</v>
      </c>
      <c r="Z1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" spans="3:26" hidden="1">
      <c r="C102" s="28" t="s">
        <v>15</v>
      </c>
      <c r="D102" s="5">
        <v>1941</v>
      </c>
      <c r="E102" s="5">
        <v>22893</v>
      </c>
      <c r="F102" s="28" t="str">
        <f>IFERROR(VLOOKUP(TAB_OFICINAS[[#This Row],[Cliente]],LISTA_DE_CLIENTES[[Código]:[Nome Fantasia]],2,FALSE),"")</f>
        <v>HOSPITAIS INTEGRADOS DA GAVEA S/A</v>
      </c>
      <c r="G102" s="5" t="str">
        <f>IFERROR(VLOOKUP(TAB_OFICINAS[[#This Row],[Cliente]],LISTA_DE_CLIENTES[[Código]:[Nome Fantasia]],3,FALSE),"")</f>
        <v>REDE D´OR - DF STAR</v>
      </c>
      <c r="H102" s="63">
        <v>2101102488</v>
      </c>
      <c r="I102" s="28" t="s">
        <v>21402</v>
      </c>
      <c r="J102" s="91">
        <v>265</v>
      </c>
      <c r="K102" s="86">
        <v>46119</v>
      </c>
      <c r="L102" s="10">
        <v>265</v>
      </c>
      <c r="M102" s="6">
        <v>46122</v>
      </c>
      <c r="N102" s="6">
        <v>46122</v>
      </c>
      <c r="O102" s="19">
        <f>TAB_OFICINAS[[#This Row],[Data Retorno Produção]]-TAB_OFICINAS[[#This Row],[Data Prometida  Entrega]]</f>
        <v>0</v>
      </c>
      <c r="P102" s="40" t="str">
        <f>IF(TAB_OFICINAS[[#This Row],[Dias Para Entrega]]&lt;=0,"Em dia","Dia de Atrasado")</f>
        <v>Em dia</v>
      </c>
      <c r="Q102" s="10">
        <f>IFERROR(TAB_OFICINAS[[#This Row],[Qtd pçs Enviadas]]-TAB_OFICINAS[[#This Row],[Qtd pçs Retornadas ]]," ")</f>
        <v>0</v>
      </c>
      <c r="R102" s="10">
        <v>0</v>
      </c>
      <c r="S102" s="5">
        <v>739</v>
      </c>
      <c r="T102" s="5" t="s">
        <v>21569</v>
      </c>
      <c r="U102" s="52">
        <v>3.85</v>
      </c>
      <c r="V102" s="44">
        <f>IFERROR(TAB_OFICINAS[[#This Row],[Valor Unit]]*TAB_OFICINAS[[#This Row],[Qtd pçs Enviadas]]," ")</f>
        <v>1020.25</v>
      </c>
      <c r="W102" s="17" t="s">
        <v>21570</v>
      </c>
      <c r="X102" s="5" t="s">
        <v>6251</v>
      </c>
      <c r="Y102" s="27" t="s">
        <v>21341</v>
      </c>
      <c r="Z1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" spans="3:26" hidden="1">
      <c r="C103" s="28" t="s">
        <v>15</v>
      </c>
      <c r="D103" s="5">
        <v>3660</v>
      </c>
      <c r="E103" s="5">
        <v>23575</v>
      </c>
      <c r="F103" s="28" t="str">
        <f>IFERROR(VLOOKUP(TAB_OFICINAS[[#This Row],[Cliente]],LISTA_DE_CLIENTES[[Código]:[Nome Fantasia]],2,FALSE),"")</f>
        <v>HOSPITAL ESPERANCA SA</v>
      </c>
      <c r="G103" s="2" t="str">
        <f>IFERROR(VLOOKUP(TAB_OFICINAS[[#This Row],[Cliente]],LISTA_DE_CLIENTES[[Código]:[Nome Fantasia]],3,FALSE),"")</f>
        <v>HOSPITAL ALIANÇA</v>
      </c>
      <c r="H103" s="51">
        <v>2103067072</v>
      </c>
      <c r="I103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103" s="91">
        <v>261</v>
      </c>
      <c r="K103" s="88">
        <v>46203</v>
      </c>
      <c r="L103" s="9">
        <v>261</v>
      </c>
      <c r="M103" s="6">
        <v>46205</v>
      </c>
      <c r="N103" s="6">
        <v>46205</v>
      </c>
      <c r="O103" s="23">
        <f>TAB_OFICINAS[[#This Row],[Data Retorno Produção]]-TAB_OFICINAS[[#This Row],[Data Prometida  Entrega]]</f>
        <v>0</v>
      </c>
      <c r="P103" s="98" t="str">
        <f>IF(TAB_OFICINAS[[#This Row],[Dias Para Entrega]]&lt;=0,"Em dia","Dia de Atrasado")</f>
        <v>Em dia</v>
      </c>
      <c r="Q103" s="10">
        <f>IFERROR(TAB_OFICINAS[[#This Row],[Qtd pçs Enviadas]]-TAB_OFICINAS[[#This Row],[Qtd pçs Retornadas ]]," ")</f>
        <v>0</v>
      </c>
      <c r="R103" s="24">
        <v>0</v>
      </c>
      <c r="S103" s="5">
        <v>903</v>
      </c>
      <c r="T103" s="5">
        <v>17398</v>
      </c>
      <c r="U103" s="11">
        <v>3.85</v>
      </c>
      <c r="V103" s="25">
        <f>IFERROR(TAB_OFICINAS[[#This Row],[Valor Unit]]*TAB_OFICINAS[[#This Row],[Qtd pçs Enviadas]]," ")</f>
        <v>1004.85</v>
      </c>
      <c r="W103" s="26">
        <v>46212</v>
      </c>
      <c r="X103" s="17" t="s">
        <v>6251</v>
      </c>
      <c r="Y103" s="27" t="s">
        <v>23442</v>
      </c>
      <c r="Z1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4" spans="3:26" hidden="1">
      <c r="C104" s="28" t="s">
        <v>18</v>
      </c>
      <c r="D104" s="5">
        <v>1153</v>
      </c>
      <c r="E104" s="5">
        <v>22132</v>
      </c>
      <c r="F104" s="28" t="str">
        <f>IFERROR(VLOOKUP(TAB_OFICINAS[[#This Row],[Cliente]],LISTA_DE_CLIENTES[[Código]:[Nome Fantasia]],2,FALSE),"")</f>
        <v>MAGNA DINIZ HOTEL E TURISMO LTDA</v>
      </c>
      <c r="G104" s="5" t="str">
        <f>IFERROR(VLOOKUP(TAB_OFICINAS[[#This Row],[Cliente]],LISTA_DE_CLIENTES[[Código]:[Nome Fantasia]],3,FALSE),"")</f>
        <v>GRAN MAREIRO</v>
      </c>
      <c r="H104" s="51">
        <v>2301073317</v>
      </c>
      <c r="I104" s="28" t="s">
        <v>20380</v>
      </c>
      <c r="J104" s="91">
        <v>34</v>
      </c>
      <c r="K104" s="86">
        <v>46008</v>
      </c>
      <c r="L104" s="10">
        <v>34</v>
      </c>
      <c r="M104" s="6">
        <v>46028</v>
      </c>
      <c r="N104" s="6">
        <v>46027</v>
      </c>
      <c r="O104" s="19">
        <f>TAB_OFICINAS[[#This Row],[Data Retorno Produção]]-TAB_OFICINAS[[#This Row],[Data Prometida  Entrega]]</f>
        <v>-1</v>
      </c>
      <c r="P104" s="40" t="str">
        <f>IF(TAB_OFICINAS[[#This Row],[Dias Para Entrega]]&lt;=0,"Em dia","Dia de Atrasado")</f>
        <v>Em dia</v>
      </c>
      <c r="Q104" s="10">
        <f>IFERROR(TAB_OFICINAS[[#This Row],[Qtd pçs Enviadas]]-TAB_OFICINAS[[#This Row],[Qtd pçs Retornadas ]],"N/D ")</f>
        <v>0</v>
      </c>
      <c r="R104" s="10">
        <v>0</v>
      </c>
      <c r="S104" s="5">
        <v>3052</v>
      </c>
      <c r="T104" s="5">
        <v>28</v>
      </c>
      <c r="U104" s="52">
        <v>16</v>
      </c>
      <c r="V104" s="44">
        <f>IFERROR(TAB_OFICINAS[[#This Row],[Valor Unit]]*TAB_OFICINAS[[#This Row],[Qtd pçs Enviadas]]," ")</f>
        <v>544</v>
      </c>
      <c r="W104" s="17">
        <v>46037</v>
      </c>
      <c r="X104" s="5" t="s">
        <v>6251</v>
      </c>
      <c r="Y104" s="27"/>
      <c r="Z1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5" spans="3:26" hidden="1">
      <c r="C105" s="28" t="s">
        <v>1</v>
      </c>
      <c r="D105" s="5">
        <v>5350</v>
      </c>
      <c r="E105" s="5">
        <v>22574</v>
      </c>
      <c r="F105" s="28" t="str">
        <f>IFERROR(VLOOKUP(TAB_OFICINAS[[#This Row],[Cliente]],LISTA_DE_CLIENTES[[Código]:[Nome Fantasia]],2,FALSE),"")</f>
        <v>TEREZINHA STODOLNI SALDANHA LTDA</v>
      </c>
      <c r="G105" s="5" t="str">
        <f>IFERROR(VLOOKUP(TAB_OFICINAS[[#This Row],[Cliente]],LISTA_DE_CLIENTES[[Código]:[Nome Fantasia]],3,FALSE),"")</f>
        <v>POUSADA MARILUZ</v>
      </c>
      <c r="H105" s="51">
        <v>92105232467</v>
      </c>
      <c r="I105" s="28" t="s">
        <v>21034</v>
      </c>
      <c r="J105" s="91">
        <v>6</v>
      </c>
      <c r="K105" s="86">
        <v>46051</v>
      </c>
      <c r="L105" s="10">
        <v>6</v>
      </c>
      <c r="M105" s="6">
        <v>46057</v>
      </c>
      <c r="N105" s="6">
        <v>46055</v>
      </c>
      <c r="O105" s="19">
        <f>TAB_OFICINAS[[#This Row],[Data Retorno Produção]]-TAB_OFICINAS[[#This Row],[Data Prometida  Entrega]]</f>
        <v>-2</v>
      </c>
      <c r="P105" s="40" t="str">
        <f>IF(TAB_OFICINAS[[#This Row],[Dias Para Entrega]]&lt;=0,"Em dia","Dia de Atrasado")</f>
        <v>Em dia</v>
      </c>
      <c r="Q105" s="10">
        <f>IFERROR(TAB_OFICINAS[[#This Row],[Qtd pçs Enviadas]]-TAB_OFICINAS[[#This Row],[Qtd pçs Retornadas ]],"N/D ")</f>
        <v>0</v>
      </c>
      <c r="R105" s="10">
        <v>0</v>
      </c>
      <c r="S105" s="5">
        <v>564</v>
      </c>
      <c r="T105" s="5">
        <v>35</v>
      </c>
      <c r="U105" s="52">
        <v>5.3</v>
      </c>
      <c r="V105" s="44">
        <f>IFERROR(TAB_OFICINAS[[#This Row],[Valor Unit]]*TAB_OFICINAS[[#This Row],[Qtd pçs Enviadas]]," ")</f>
        <v>31.799999999999997</v>
      </c>
      <c r="W105" s="17">
        <v>46064</v>
      </c>
      <c r="X105" s="5" t="s">
        <v>6251</v>
      </c>
      <c r="Y105" s="27"/>
      <c r="Z1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6" spans="3:26" hidden="1">
      <c r="C106" s="28" t="s">
        <v>15</v>
      </c>
      <c r="D106" s="5">
        <v>3346</v>
      </c>
      <c r="E106" s="5">
        <v>22980</v>
      </c>
      <c r="F106" s="28" t="str">
        <f>IFERROR(VLOOKUP(TAB_OFICINAS[[#This Row],[Cliente]],LISTA_DE_CLIENTES[[Código]:[Nome Fantasia]],2,FALSE),"")</f>
        <v>REDE D´OR SAO LUIZ S.A.</v>
      </c>
      <c r="G106" s="5" t="str">
        <f>IFERROR(VLOOKUP(TAB_OFICINAS[[#This Row],[Cliente]],LISTA_DE_CLIENTES[[Código]:[Nome Fantasia]],3,FALSE),"")</f>
        <v>MEMORIAL STAR</v>
      </c>
      <c r="H106" s="63">
        <v>2103062494</v>
      </c>
      <c r="I106" s="28" t="s">
        <v>21170</v>
      </c>
      <c r="J106" s="91">
        <v>250</v>
      </c>
      <c r="K106" s="86">
        <v>46098</v>
      </c>
      <c r="L106" s="10">
        <v>250</v>
      </c>
      <c r="M106" s="6">
        <v>46104</v>
      </c>
      <c r="N106" s="6">
        <v>46104</v>
      </c>
      <c r="O106" s="19">
        <f>TAB_OFICINAS[[#This Row],[Data Retorno Produção]]-TAB_OFICINAS[[#This Row],[Data Prometida  Entrega]]</f>
        <v>0</v>
      </c>
      <c r="P106" s="40" t="str">
        <f>IF(TAB_OFICINAS[[#This Row],[Dias Para Entrega]]&lt;=0,"Em dia","Dia de Atrasado")</f>
        <v>Em dia</v>
      </c>
      <c r="Q106" s="10">
        <f>IFERROR(TAB_OFICINAS[[#This Row],[Qtd pçs Enviadas]]-TAB_OFICINAS[[#This Row],[Qtd pçs Retornadas ]]," ")</f>
        <v>0</v>
      </c>
      <c r="R106" s="10">
        <v>0</v>
      </c>
      <c r="S106" s="5">
        <v>689</v>
      </c>
      <c r="T106" s="5">
        <v>17040</v>
      </c>
      <c r="U106" s="52">
        <v>3.85</v>
      </c>
      <c r="V106" s="44">
        <f>IFERROR(TAB_OFICINAS[[#This Row],[Valor Unit]]*TAB_OFICINAS[[#This Row],[Qtd pçs Enviadas]]," ")</f>
        <v>962.5</v>
      </c>
      <c r="W106" s="17">
        <v>46106</v>
      </c>
      <c r="X106" s="5" t="s">
        <v>6251</v>
      </c>
      <c r="Y106" s="27" t="s">
        <v>21388</v>
      </c>
      <c r="Z1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7" spans="3:26" ht="71.25" hidden="1">
      <c r="C107" s="28" t="s">
        <v>16</v>
      </c>
      <c r="D107" s="5">
        <v>3346</v>
      </c>
      <c r="E107" s="5">
        <v>22980</v>
      </c>
      <c r="F107" s="28" t="str">
        <f>IFERROR(VLOOKUP(TAB_OFICINAS[[#This Row],[Cliente]],LISTA_DE_CLIENTES[[Código]:[Nome Fantasia]],2,FALSE),"")</f>
        <v>REDE D´OR SAO LUIZ S.A.</v>
      </c>
      <c r="G107" s="5" t="str">
        <f>IFERROR(VLOOKUP(TAB_OFICINAS[[#This Row],[Cliente]],LISTA_DE_CLIENTES[[Código]:[Nome Fantasia]],3,FALSE),"")</f>
        <v>MEMORIAL STAR</v>
      </c>
      <c r="H107" s="63">
        <v>2103062494</v>
      </c>
      <c r="I107" s="28" t="s">
        <v>21170</v>
      </c>
      <c r="J107" s="91">
        <v>250</v>
      </c>
      <c r="K107" s="86">
        <v>46101</v>
      </c>
      <c r="L107" s="10">
        <v>250</v>
      </c>
      <c r="M107" s="6">
        <v>46112</v>
      </c>
      <c r="N107" s="6">
        <v>46108</v>
      </c>
      <c r="O107" s="19">
        <f>TAB_OFICINAS[[#This Row],[Data Retorno Produção]]-TAB_OFICINAS[[#This Row],[Data Prometida  Entrega]]</f>
        <v>-4</v>
      </c>
      <c r="P107" s="40" t="str">
        <f>IF(TAB_OFICINAS[[#This Row],[Dias Para Entrega]]&lt;=0,"Em dia","Dia de Atrasado")</f>
        <v>Em dia</v>
      </c>
      <c r="Q107" s="10">
        <f>IFERROR(TAB_OFICINAS[[#This Row],[Qtd pçs Enviadas]]-TAB_OFICINAS[[#This Row],[Qtd pçs Retornadas ]]," ")</f>
        <v>0</v>
      </c>
      <c r="R107" s="10">
        <v>0</v>
      </c>
      <c r="S107" s="5">
        <v>697</v>
      </c>
      <c r="T107" s="5">
        <v>43</v>
      </c>
      <c r="U107" s="52">
        <v>5.95</v>
      </c>
      <c r="V107" s="44">
        <f>IFERROR(TAB_OFICINAS[[#This Row],[Valor Unit]]*TAB_OFICINAS[[#This Row],[Qtd pçs Enviadas]]," ")</f>
        <v>1487.5</v>
      </c>
      <c r="W107" s="17">
        <v>46118</v>
      </c>
      <c r="X107" s="5" t="s">
        <v>6251</v>
      </c>
      <c r="Y107" s="27" t="s">
        <v>21450</v>
      </c>
      <c r="Z1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8" spans="3:26" hidden="1">
      <c r="C108" s="28" t="s">
        <v>15</v>
      </c>
      <c r="D108" s="5">
        <v>943</v>
      </c>
      <c r="E108" s="5">
        <v>22882</v>
      </c>
      <c r="F108" s="28" t="str">
        <f>IFERROR(VLOOKUP(TAB_OFICINAS[[#This Row],[Cliente]],LISTA_DE_CLIENTES[[Código]:[Nome Fantasia]],2,FALSE),"")</f>
        <v>REDE DOR SAO LUIZ S.A.</v>
      </c>
      <c r="G108" s="2" t="str">
        <f>IFERROR(VLOOKUP(TAB_OFICINAS[[#This Row],[Cliente]],LISTA_DE_CLIENTES[[Código]:[Nome Fantasia]],3,FALSE),"")</f>
        <v>HOSPITAL COPA STAR</v>
      </c>
      <c r="H108" s="63">
        <v>2101105263</v>
      </c>
      <c r="I108" s="28" t="s">
        <v>21684</v>
      </c>
      <c r="J108" s="91">
        <v>250</v>
      </c>
      <c r="K108" s="86">
        <v>46181</v>
      </c>
      <c r="L108" s="34">
        <v>250</v>
      </c>
      <c r="M108" s="6">
        <v>46185</v>
      </c>
      <c r="N108" s="6">
        <v>46184</v>
      </c>
      <c r="O108" s="19">
        <f>TAB_OFICINAS[[#This Row],[Data Retorno Produção]]-TAB_OFICINAS[[#This Row],[Data Prometida  Entrega]]</f>
        <v>-1</v>
      </c>
      <c r="P108" s="40" t="str">
        <f>IF(TAB_OFICINAS[[#This Row],[Dias Para Entrega]]&lt;=0,"Em dia","Dia de Atrasado")</f>
        <v>Em dia</v>
      </c>
      <c r="Q108" s="10">
        <f>IFERROR(TAB_OFICINAS[[#This Row],[Qtd pçs Enviadas]]-TAB_OFICINAS[[#This Row],[Qtd pçs Retornadas ]]," ")</f>
        <v>0</v>
      </c>
      <c r="R108" s="10">
        <v>0</v>
      </c>
      <c r="S108" s="5">
        <v>3254</v>
      </c>
      <c r="T108" s="5">
        <v>17294</v>
      </c>
      <c r="U108" s="1">
        <v>3.85</v>
      </c>
      <c r="V108" s="3">
        <f>IFERROR(TAB_OFICINAS[[#This Row],[Valor Unit]]*TAB_OFICINAS[[#This Row],[Qtd pçs Enviadas]]," ")</f>
        <v>962.5</v>
      </c>
      <c r="W108" s="17">
        <v>46191</v>
      </c>
      <c r="X108" s="5" t="s">
        <v>6251</v>
      </c>
      <c r="Y108" s="4" t="s">
        <v>21341</v>
      </c>
      <c r="Z1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9" spans="3:26" ht="57" hidden="1">
      <c r="C109" s="28" t="s">
        <v>15</v>
      </c>
      <c r="D109" s="5">
        <v>3346</v>
      </c>
      <c r="E109" s="5">
        <v>23099</v>
      </c>
      <c r="F109" s="28" t="str">
        <f>IFERROR(VLOOKUP(TAB_OFICINAS[[#This Row],[Cliente]],LISTA_DE_CLIENTES[[Código]:[Nome Fantasia]],2,FALSE),"")</f>
        <v>REDE D´OR SAO LUIZ S.A.</v>
      </c>
      <c r="G109" s="5" t="str">
        <f>IFERROR(VLOOKUP(TAB_OFICINAS[[#This Row],[Cliente]],LISTA_DE_CLIENTES[[Código]:[Nome Fantasia]],3,FALSE),"")</f>
        <v>MEMORIAL STAR</v>
      </c>
      <c r="H109" s="63">
        <v>2103067072</v>
      </c>
      <c r="I109" s="28" t="s">
        <v>21477</v>
      </c>
      <c r="J109" s="91">
        <v>250</v>
      </c>
      <c r="K109" s="86">
        <v>46125</v>
      </c>
      <c r="L109" s="10">
        <v>250</v>
      </c>
      <c r="M109" s="6">
        <v>46133</v>
      </c>
      <c r="N109" s="6">
        <v>46134</v>
      </c>
      <c r="O109" s="19">
        <f>TAB_OFICINAS[[#This Row],[Data Retorno Produção]]-TAB_OFICINAS[[#This Row],[Data Prometida  Entrega]]</f>
        <v>1</v>
      </c>
      <c r="P109" s="40" t="str">
        <f>IF(TAB_OFICINAS[[#This Row],[Dias Para Entrega]]&lt;=0,"Em dia","Dia de Atrasado")</f>
        <v>Dia de Atrasado</v>
      </c>
      <c r="Q109" s="10">
        <f>IFERROR(TAB_OFICINAS[[#This Row],[Qtd pçs Enviadas]]-TAB_OFICINAS[[#This Row],[Qtd pçs Retornadas ]]," ")</f>
        <v>0</v>
      </c>
      <c r="R109" s="10">
        <v>2</v>
      </c>
      <c r="S109" s="5">
        <v>746</v>
      </c>
      <c r="T109" s="5">
        <v>17147</v>
      </c>
      <c r="U109" s="52">
        <v>3.85</v>
      </c>
      <c r="V109" s="44">
        <v>954.8</v>
      </c>
      <c r="W109" s="17">
        <v>46141</v>
      </c>
      <c r="X109" s="5" t="s">
        <v>6251</v>
      </c>
      <c r="Y109" s="27" t="s">
        <v>22347</v>
      </c>
      <c r="Z1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0" spans="3:26" hidden="1">
      <c r="C110" s="28" t="s">
        <v>7</v>
      </c>
      <c r="D110" s="5">
        <v>155</v>
      </c>
      <c r="E110" s="5">
        <v>22242</v>
      </c>
      <c r="F110" s="28" t="str">
        <f>IFERROR(VLOOKUP(TAB_OFICINAS[[#This Row],[Cliente]],LISTA_DE_CLIENTES[[Código]:[Nome Fantasia]],2,FALSE),"")</f>
        <v>HOTEIS OTHON S A</v>
      </c>
      <c r="G110" s="5" t="str">
        <f>IFERROR(VLOOKUP(TAB_OFICINAS[[#This Row],[Cliente]],LISTA_DE_CLIENTES[[Código]:[Nome Fantasia]],3,FALSE),"")</f>
        <v>RIO OTHON PALACE HOT</v>
      </c>
      <c r="H110" s="51">
        <v>2112868354</v>
      </c>
      <c r="I110" s="28" t="s">
        <v>20315</v>
      </c>
      <c r="J110" s="91">
        <v>300</v>
      </c>
      <c r="K110" s="86">
        <v>46034</v>
      </c>
      <c r="L110" s="10">
        <v>300</v>
      </c>
      <c r="M110" s="6">
        <v>46052</v>
      </c>
      <c r="N110" s="6">
        <v>46043</v>
      </c>
      <c r="O110" s="19">
        <f>TAB_OFICINAS[[#This Row],[Data Retorno Produção]]-TAB_OFICINAS[[#This Row],[Data Prometida  Entrega]]</f>
        <v>-9</v>
      </c>
      <c r="P110" s="40" t="str">
        <f>IF(TAB_OFICINAS[[#This Row],[Dias Para Entrega]]&lt;=0,"Em dia","Dia de Atrasado")</f>
        <v>Em dia</v>
      </c>
      <c r="Q110" s="10">
        <f>IFERROR(TAB_OFICINAS[[#This Row],[Qtd pçs Enviadas]]-TAB_OFICINAS[[#This Row],[Qtd pçs Retornadas ]]," ")</f>
        <v>0</v>
      </c>
      <c r="R110" s="10">
        <v>0</v>
      </c>
      <c r="S110" s="5">
        <v>3075</v>
      </c>
      <c r="T110" s="5">
        <v>20</v>
      </c>
      <c r="U110" s="52">
        <v>6</v>
      </c>
      <c r="V110" s="44">
        <f>IFERROR(TAB_OFICINAS[[#This Row],[Valor Unit]]*TAB_OFICINAS[[#This Row],[Qtd pçs Enviadas]]," ")</f>
        <v>1800</v>
      </c>
      <c r="W110" s="17">
        <v>46052</v>
      </c>
      <c r="X110" s="5" t="s">
        <v>6251</v>
      </c>
      <c r="Y110" s="27"/>
      <c r="Z1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1" spans="3:26" hidden="1">
      <c r="C111" s="28" t="s">
        <v>7</v>
      </c>
      <c r="D111" s="5">
        <v>5258</v>
      </c>
      <c r="E111" s="5">
        <v>22469</v>
      </c>
      <c r="F111" s="28" t="str">
        <f>IFERROR(VLOOKUP(TAB_OFICINAS[[#This Row],[Cliente]],LISTA_DE_CLIENTES[[Código]:[Nome Fantasia]],2,FALSE),"")</f>
        <v>SPA CHANDRA GARUDA LTDA</v>
      </c>
      <c r="G111" s="5" t="str">
        <f>IFERROR(VLOOKUP(TAB_OFICINAS[[#This Row],[Cliente]],LISTA_DE_CLIENTES[[Código]:[Nome Fantasia]],3,FALSE),"")</f>
        <v>SPA CHANDRA GARUDA L</v>
      </c>
      <c r="H111" s="51">
        <v>2101018582</v>
      </c>
      <c r="I111" s="28" t="s">
        <v>20314</v>
      </c>
      <c r="J111" s="91">
        <v>20</v>
      </c>
      <c r="K111" s="86">
        <v>46034</v>
      </c>
      <c r="L111" s="10">
        <v>20</v>
      </c>
      <c r="M111" s="6">
        <v>46038</v>
      </c>
      <c r="N111" s="6">
        <v>46036</v>
      </c>
      <c r="O111" s="19">
        <f>TAB_OFICINAS[[#This Row],[Data Retorno Produção]]-TAB_OFICINAS[[#This Row],[Data Prometida  Entrega]]</f>
        <v>-2</v>
      </c>
      <c r="P111" s="40" t="str">
        <f>IF(TAB_OFICINAS[[#This Row],[Dias Para Entrega]]&lt;=0,"Em dia","Dia de Atrasado")</f>
        <v>Em dia</v>
      </c>
      <c r="Q111" s="10">
        <f>IFERROR(TAB_OFICINAS[[#This Row],[Qtd pçs Enviadas]]-TAB_OFICINAS[[#This Row],[Qtd pçs Retornadas ]],"N/D ")</f>
        <v>0</v>
      </c>
      <c r="R111" s="10">
        <v>0</v>
      </c>
      <c r="S111" s="5">
        <v>3075</v>
      </c>
      <c r="T111" s="5">
        <v>20</v>
      </c>
      <c r="U111" s="52">
        <v>4.5</v>
      </c>
      <c r="V111" s="44">
        <f>IFERROR(TAB_OFICINAS[[#This Row],[Valor Unit]]*TAB_OFICINAS[[#This Row],[Qtd pçs Enviadas]]," ")</f>
        <v>90</v>
      </c>
      <c r="W111" s="17">
        <v>46052</v>
      </c>
      <c r="X111" s="5" t="s">
        <v>6251</v>
      </c>
      <c r="Y111" s="27"/>
      <c r="Z1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2" spans="3:26" ht="28.5" hidden="1">
      <c r="C112" s="28" t="s">
        <v>15</v>
      </c>
      <c r="D112" s="5">
        <v>943</v>
      </c>
      <c r="E112" s="5">
        <v>22882</v>
      </c>
      <c r="F112" s="28" t="str">
        <f>IFERROR(VLOOKUP(TAB_OFICINAS[[#This Row],[Cliente]],LISTA_DE_CLIENTES[[Código]:[Nome Fantasia]],2,FALSE),"")</f>
        <v>REDE DOR SAO LUIZ S.A.</v>
      </c>
      <c r="G112" s="5" t="str">
        <f>IFERROR(VLOOKUP(TAB_OFICINAS[[#This Row],[Cliente]],LISTA_DE_CLIENTES[[Código]:[Nome Fantasia]],3,FALSE),"")</f>
        <v>HOSPITAL COPA STAR</v>
      </c>
      <c r="H112" s="63">
        <v>2101105263</v>
      </c>
      <c r="I112" s="28" t="s">
        <v>21684</v>
      </c>
      <c r="J112" s="91">
        <v>230</v>
      </c>
      <c r="K112" s="86">
        <v>46127</v>
      </c>
      <c r="L112" s="10">
        <v>230</v>
      </c>
      <c r="M112" s="6">
        <v>46136</v>
      </c>
      <c r="N112" s="6">
        <v>46134</v>
      </c>
      <c r="O112" s="19">
        <f>TAB_OFICINAS[[#This Row],[Data Retorno Produção]]-TAB_OFICINAS[[#This Row],[Data Prometida  Entrega]]</f>
        <v>-2</v>
      </c>
      <c r="P112" s="40" t="str">
        <f>IF(TAB_OFICINAS[[#This Row],[Dias Para Entrega]]&lt;=0,"Em dia","Dia de Atrasado")</f>
        <v>Em dia</v>
      </c>
      <c r="Q112" s="10">
        <f>IFERROR(TAB_OFICINAS[[#This Row],[Qtd pçs Enviadas]]-TAB_OFICINAS[[#This Row],[Qtd pçs Retornadas ]]," ")</f>
        <v>0</v>
      </c>
      <c r="R112" s="10">
        <v>0</v>
      </c>
      <c r="S112" s="5">
        <v>759</v>
      </c>
      <c r="T112" s="5" t="s">
        <v>22342</v>
      </c>
      <c r="U112" s="52">
        <v>3.85</v>
      </c>
      <c r="V112" s="44">
        <v>481.25</v>
      </c>
      <c r="W112" s="65" t="s">
        <v>22343</v>
      </c>
      <c r="X112" s="5" t="s">
        <v>6251</v>
      </c>
      <c r="Y112" s="27" t="s">
        <v>21341</v>
      </c>
      <c r="Z1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3" spans="1:26" hidden="1">
      <c r="A113" t="s">
        <v>21395</v>
      </c>
      <c r="C113" s="28" t="s">
        <v>1</v>
      </c>
      <c r="D113" s="5">
        <v>5337</v>
      </c>
      <c r="E113" s="5">
        <v>22678</v>
      </c>
      <c r="F113" s="28" t="str">
        <f>IFERROR(VLOOKUP(TAB_OFICINAS[[#This Row],[Cliente]],LISTA_DE_CLIENTES[[Código]:[Nome Fantasia]],2,FALSE),"")</f>
        <v>COOLTIVE COMERCIO DE PLANTAS LTDA</v>
      </c>
      <c r="G113" s="5" t="str">
        <f>IFERROR(VLOOKUP(TAB_OFICINAS[[#This Row],[Cliente]],LISTA_DE_CLIENTES[[Código]:[Nome Fantasia]],3,FALSE),"")</f>
        <v>COOLTIVE</v>
      </c>
      <c r="H113" s="51">
        <v>2115013767</v>
      </c>
      <c r="I113" s="28" t="s">
        <v>21050</v>
      </c>
      <c r="J113" s="91">
        <v>5</v>
      </c>
      <c r="K113" s="86">
        <v>46051</v>
      </c>
      <c r="L113" s="10">
        <v>5</v>
      </c>
      <c r="M113" s="6">
        <v>46057</v>
      </c>
      <c r="N113" s="6">
        <v>46055</v>
      </c>
      <c r="O113" s="19">
        <f>TAB_OFICINAS[[#This Row],[Data Retorno Produção]]-TAB_OFICINAS[[#This Row],[Data Prometida  Entrega]]</f>
        <v>-2</v>
      </c>
      <c r="P113" s="40" t="str">
        <f>IF(TAB_OFICINAS[[#This Row],[Dias Para Entrega]]&lt;=0,"Em dia","Dia de Atrasado")</f>
        <v>Em dia</v>
      </c>
      <c r="Q113" s="10">
        <f>IFERROR(TAB_OFICINAS[[#This Row],[Qtd pçs Enviadas]]-TAB_OFICINAS[[#This Row],[Qtd pçs Retornadas ]],"N/D ")</f>
        <v>0</v>
      </c>
      <c r="R113" s="10">
        <v>0</v>
      </c>
      <c r="S113" s="5">
        <v>564</v>
      </c>
      <c r="T113" s="5">
        <v>35</v>
      </c>
      <c r="U113" s="52">
        <v>13</v>
      </c>
      <c r="V113" s="44">
        <f>IFERROR(TAB_OFICINAS[[#This Row],[Valor Unit]]*TAB_OFICINAS[[#This Row],[Qtd pçs Enviadas]]," ")</f>
        <v>65</v>
      </c>
      <c r="W113" s="17">
        <v>46064</v>
      </c>
      <c r="X113" s="5" t="s">
        <v>6251</v>
      </c>
      <c r="Y113" s="27"/>
      <c r="Z1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4" spans="1:26" hidden="1">
      <c r="C114" s="28" t="s">
        <v>7</v>
      </c>
      <c r="D114" s="5">
        <v>943</v>
      </c>
      <c r="E114" s="5">
        <v>22133</v>
      </c>
      <c r="F114" s="28" t="str">
        <f>IFERROR(VLOOKUP(TAB_OFICINAS[[#This Row],[Cliente]],LISTA_DE_CLIENTES[[Código]:[Nome Fantasia]],2,FALSE),"")</f>
        <v>REDE DOR SAO LUIZ S.A.</v>
      </c>
      <c r="G114" s="5" t="str">
        <f>IFERROR(VLOOKUP(TAB_OFICINAS[[#This Row],[Cliente]],LISTA_DE_CLIENTES[[Código]:[Nome Fantasia]],3,FALSE),"")</f>
        <v>HOSPITAL COPA STAR</v>
      </c>
      <c r="H114" s="51">
        <v>2101105263</v>
      </c>
      <c r="I114" s="28" t="s">
        <v>20293</v>
      </c>
      <c r="J114" s="91">
        <v>150</v>
      </c>
      <c r="K114" s="86">
        <v>46044</v>
      </c>
      <c r="L114" s="10">
        <v>150</v>
      </c>
      <c r="M114" s="6">
        <v>46052</v>
      </c>
      <c r="N114" s="6">
        <v>46048</v>
      </c>
      <c r="O114" s="19">
        <f>TAB_OFICINAS[[#This Row],[Data Retorno Produção]]-TAB_OFICINAS[[#This Row],[Data Prometida  Entrega]]</f>
        <v>-4</v>
      </c>
      <c r="P114" s="40" t="str">
        <f>IF(TAB_OFICINAS[[#This Row],[Dias Para Entrega]]&lt;=0,"Em dia","Dia de Atrasado")</f>
        <v>Em dia</v>
      </c>
      <c r="Q114" s="10">
        <f>IFERROR(TAB_OFICINAS[[#This Row],[Qtd pçs Enviadas]]-TAB_OFICINAS[[#This Row],[Qtd pçs Retornadas ]]," ")</f>
        <v>0</v>
      </c>
      <c r="R114" s="10">
        <v>0</v>
      </c>
      <c r="S114" s="5">
        <v>550</v>
      </c>
      <c r="T114" s="5">
        <v>21</v>
      </c>
      <c r="U114" s="52">
        <v>8.5</v>
      </c>
      <c r="V114" s="44">
        <f>IFERROR(TAB_OFICINAS[[#This Row],[Valor Unit]]*TAB_OFICINAS[[#This Row],[Qtd pçs Enviadas]]," ")</f>
        <v>1275</v>
      </c>
      <c r="W114" s="17">
        <v>46057</v>
      </c>
      <c r="X114" s="5" t="s">
        <v>6251</v>
      </c>
      <c r="Y114" s="27"/>
      <c r="Z1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5" spans="1:26" hidden="1">
      <c r="C115" s="28" t="s">
        <v>5</v>
      </c>
      <c r="D115" s="5">
        <v>4451</v>
      </c>
      <c r="E115" s="5">
        <v>22442</v>
      </c>
      <c r="F115" s="28" t="str">
        <f>IFERROR(VLOOKUP(TAB_OFICINAS[[#This Row],[Cliente]],LISTA_DE_CLIENTES[[Código]:[Nome Fantasia]],2,FALSE),"")</f>
        <v>ASSOCIAÇÃO CLUBE WAVE 1</v>
      </c>
      <c r="G115" s="5" t="str">
        <f>IFERROR(VLOOKUP(TAB_OFICINAS[[#This Row],[Cliente]],LISTA_DE_CLIENTES[[Código]:[Nome Fantasia]],3,FALSE),"")</f>
        <v>BEYOND SP</v>
      </c>
      <c r="H115" s="51">
        <v>93402028511</v>
      </c>
      <c r="I115" s="28" t="s">
        <v>20302</v>
      </c>
      <c r="J115" s="91">
        <v>222</v>
      </c>
      <c r="K115" s="86">
        <v>46041</v>
      </c>
      <c r="L115" s="10">
        <v>222</v>
      </c>
      <c r="M115" s="6">
        <v>46069</v>
      </c>
      <c r="N115" s="6">
        <v>46050</v>
      </c>
      <c r="O115" s="19">
        <f>TAB_OFICINAS[[#This Row],[Data Retorno Produção]]-TAB_OFICINAS[[#This Row],[Data Prometida  Entrega]]</f>
        <v>-19</v>
      </c>
      <c r="P115" s="40" t="str">
        <f>IF(TAB_OFICINAS[[#This Row],[Dias Para Entrega]]&lt;=0,"Em dia","Dia de Atrasado")</f>
        <v>Em dia</v>
      </c>
      <c r="Q115" s="10">
        <f>IFERROR(TAB_OFICINAS[[#This Row],[Qtd pçs Enviadas]]-TAB_OFICINAS[[#This Row],[Qtd pçs Retornadas ]]," ")</f>
        <v>0</v>
      </c>
      <c r="R115" s="10">
        <v>0</v>
      </c>
      <c r="S115" s="5">
        <v>4319</v>
      </c>
      <c r="T115" s="5">
        <v>2599</v>
      </c>
      <c r="U115" s="52">
        <v>10</v>
      </c>
      <c r="V115" s="44">
        <f>IFERROR(TAB_OFICINAS[[#This Row],[Valor Unit]]*TAB_OFICINAS[[#This Row],[Qtd pçs Enviadas]]," ")</f>
        <v>2220</v>
      </c>
      <c r="W115" s="17">
        <v>46059</v>
      </c>
      <c r="X115" s="5" t="s">
        <v>6251</v>
      </c>
      <c r="Y115" s="27"/>
      <c r="Z1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6" spans="1:26" hidden="1">
      <c r="C116" s="28" t="s">
        <v>5</v>
      </c>
      <c r="D116" s="5">
        <v>4451</v>
      </c>
      <c r="E116" s="5">
        <v>22442</v>
      </c>
      <c r="F116" s="28" t="str">
        <f>IFERROR(VLOOKUP(TAB_OFICINAS[[#This Row],[Cliente]],LISTA_DE_CLIENTES[[Código]:[Nome Fantasia]],2,FALSE),"")</f>
        <v>ASSOCIAÇÃO CLUBE WAVE 1</v>
      </c>
      <c r="G116" s="5" t="str">
        <f>IFERROR(VLOOKUP(TAB_OFICINAS[[#This Row],[Cliente]],LISTA_DE_CLIENTES[[Código]:[Nome Fantasia]],3,FALSE),"")</f>
        <v>BEYOND SP</v>
      </c>
      <c r="H116" s="51">
        <v>92115017839</v>
      </c>
      <c r="I116" s="28" t="s">
        <v>20303</v>
      </c>
      <c r="J116" s="91">
        <v>222</v>
      </c>
      <c r="K116" s="86">
        <v>46041</v>
      </c>
      <c r="L116" s="10">
        <v>222</v>
      </c>
      <c r="M116" s="6">
        <v>46069</v>
      </c>
      <c r="N116" s="6">
        <v>46050</v>
      </c>
      <c r="O116" s="19">
        <f>TAB_OFICINAS[[#This Row],[Data Retorno Produção]]-TAB_OFICINAS[[#This Row],[Data Prometida  Entrega]]</f>
        <v>-19</v>
      </c>
      <c r="P116" s="40" t="str">
        <f>IF(TAB_OFICINAS[[#This Row],[Dias Para Entrega]]&lt;=0,"Em dia","Dia de Atrasado")</f>
        <v>Em dia</v>
      </c>
      <c r="Q116" s="10">
        <f>IFERROR(TAB_OFICINAS[[#This Row],[Qtd pçs Enviadas]]-TAB_OFICINAS[[#This Row],[Qtd pçs Retornadas ]]," ")</f>
        <v>0</v>
      </c>
      <c r="R116" s="10">
        <v>0</v>
      </c>
      <c r="S116" s="5">
        <v>4319</v>
      </c>
      <c r="T116" s="5">
        <v>2599</v>
      </c>
      <c r="U116" s="52">
        <v>15.7</v>
      </c>
      <c r="V116" s="44">
        <f>IFERROR(TAB_OFICINAS[[#This Row],[Valor Unit]]*TAB_OFICINAS[[#This Row],[Qtd pçs Enviadas]]," ")</f>
        <v>3485.3999999999996</v>
      </c>
      <c r="W116" s="17">
        <v>46059</v>
      </c>
      <c r="X116" s="5" t="s">
        <v>6251</v>
      </c>
      <c r="Y116" s="27"/>
      <c r="Z1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7" spans="1:26" hidden="1">
      <c r="C117" s="28" t="s">
        <v>5</v>
      </c>
      <c r="D117" s="5">
        <v>4451</v>
      </c>
      <c r="E117" s="5">
        <v>22442</v>
      </c>
      <c r="F117" s="28" t="str">
        <f>IFERROR(VLOOKUP(TAB_OFICINAS[[#This Row],[Cliente]],LISTA_DE_CLIENTES[[Código]:[Nome Fantasia]],2,FALSE),"")</f>
        <v>ASSOCIAÇÃO CLUBE WAVE 1</v>
      </c>
      <c r="G117" s="5" t="str">
        <f>IFERROR(VLOOKUP(TAB_OFICINAS[[#This Row],[Cliente]],LISTA_DE_CLIENTES[[Código]:[Nome Fantasia]],3,FALSE),"")</f>
        <v>BEYOND SP</v>
      </c>
      <c r="H117" s="51">
        <v>92102035363</v>
      </c>
      <c r="I117" s="28" t="s">
        <v>20307</v>
      </c>
      <c r="J117" s="91">
        <v>222</v>
      </c>
      <c r="K117" s="86">
        <v>46041</v>
      </c>
      <c r="L117" s="10">
        <v>222</v>
      </c>
      <c r="M117" s="6">
        <v>46069</v>
      </c>
      <c r="N117" s="6">
        <v>46050</v>
      </c>
      <c r="O117" s="19">
        <f>TAB_OFICINAS[[#This Row],[Data Retorno Produção]]-TAB_OFICINAS[[#This Row],[Data Prometida  Entrega]]</f>
        <v>-19</v>
      </c>
      <c r="P117" s="40" t="str">
        <f>IF(TAB_OFICINAS[[#This Row],[Dias Para Entrega]]&lt;=0,"Em dia","Dia de Atrasado")</f>
        <v>Em dia</v>
      </c>
      <c r="Q117" s="10">
        <f>IFERROR(TAB_OFICINAS[[#This Row],[Qtd pçs Enviadas]]-TAB_OFICINAS[[#This Row],[Qtd pçs Retornadas ]]," ")</f>
        <v>0</v>
      </c>
      <c r="R117" s="10">
        <v>0</v>
      </c>
      <c r="S117" s="5">
        <v>4319</v>
      </c>
      <c r="T117" s="5">
        <v>2599</v>
      </c>
      <c r="U117" s="52">
        <v>10.5</v>
      </c>
      <c r="V117" s="44">
        <f>IFERROR(TAB_OFICINAS[[#This Row],[Valor Unit]]*TAB_OFICINAS[[#This Row],[Qtd pçs Enviadas]]," ")</f>
        <v>2331</v>
      </c>
      <c r="W117" s="17">
        <v>46059</v>
      </c>
      <c r="X117" s="5" t="s">
        <v>6251</v>
      </c>
      <c r="Y117" s="27"/>
      <c r="Z1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8" spans="1:26" hidden="1">
      <c r="C118" s="28" t="s">
        <v>21197</v>
      </c>
      <c r="D118" s="5">
        <v>156</v>
      </c>
      <c r="E118" s="5">
        <v>23030</v>
      </c>
      <c r="F118" s="28" t="str">
        <f>IFERROR(VLOOKUP(TAB_OFICINAS[[#This Row],[Cliente]],LISTA_DE_CLIENTES[[Código]:[Nome Fantasia]],2,FALSE),"")</f>
        <v>HOTEIS ROYAL PALM PLAZA LTDA.</v>
      </c>
      <c r="G118" s="5" t="str">
        <f>IFERROR(VLOOKUP(TAB_OFICINAS[[#This Row],[Cliente]],LISTA_DE_CLIENTES[[Código]:[Nome Fantasia]],3,FALSE),"")</f>
        <v>ROYAL PALM PLAZA</v>
      </c>
      <c r="H118" s="63">
        <v>93110019727</v>
      </c>
      <c r="I118" s="28" t="s">
        <v>21429</v>
      </c>
      <c r="J118" s="91">
        <v>10</v>
      </c>
      <c r="K118" s="86">
        <v>46129</v>
      </c>
      <c r="L118" s="10">
        <v>10</v>
      </c>
      <c r="M118" s="6">
        <v>46136</v>
      </c>
      <c r="N118" s="6">
        <v>46146</v>
      </c>
      <c r="O118" s="19">
        <f>TAB_OFICINAS[[#This Row],[Data Retorno Produção]]-TAB_OFICINAS[[#This Row],[Data Prometida  Entrega]]</f>
        <v>10</v>
      </c>
      <c r="P118" s="40" t="str">
        <f>IF(TAB_OFICINAS[[#This Row],[Dias Para Entrega]]&lt;=0,"Em dia","Dia de Atrasado")</f>
        <v>Dia de Atrasado</v>
      </c>
      <c r="Q118" s="10">
        <f>IFERROR(TAB_OFICINAS[[#This Row],[Qtd pçs Enviadas]]-TAB_OFICINAS[[#This Row],[Qtd pçs Retornadas ]]," ")</f>
        <v>0</v>
      </c>
      <c r="R118" s="10"/>
      <c r="S118" s="5">
        <v>770</v>
      </c>
      <c r="T118" s="5">
        <v>55</v>
      </c>
      <c r="U118" s="52">
        <v>11</v>
      </c>
      <c r="V118" s="44">
        <f>IFERROR(TAB_OFICINAS[[#This Row],[Valor Unit]]*TAB_OFICINAS[[#This Row],[Qtd pçs Enviadas]]," ")</f>
        <v>110</v>
      </c>
      <c r="W118" s="17">
        <v>46156</v>
      </c>
      <c r="X118" s="5" t="s">
        <v>6251</v>
      </c>
      <c r="Y118" s="27"/>
      <c r="Z1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19" spans="1:26" hidden="1">
      <c r="C119" s="28" t="s">
        <v>20</v>
      </c>
      <c r="D119" s="5">
        <v>3107</v>
      </c>
      <c r="E119" s="5">
        <v>22529</v>
      </c>
      <c r="F119" s="28" t="str">
        <f>IFERROR(VLOOKUP(TAB_OFICINAS[[#This Row],[Cliente]],LISTA_DE_CLIENTES[[Código]:[Nome Fantasia]],2,FALSE),"")</f>
        <v>HCC HOTELS GESTAO HOTELEIRA LTDA.</v>
      </c>
      <c r="G119" s="5" t="str">
        <f>IFERROR(VLOOKUP(TAB_OFICINAS[[#This Row],[Cliente]],LISTA_DE_CLIENTES[[Código]:[Nome Fantasia]],3,FALSE),"")</f>
        <v>QOYA SP</v>
      </c>
      <c r="H119" s="51">
        <v>92105225860</v>
      </c>
      <c r="I119" s="28" t="s">
        <v>20292</v>
      </c>
      <c r="J119" s="91">
        <v>100</v>
      </c>
      <c r="K119" s="86">
        <v>46056</v>
      </c>
      <c r="L119" s="10">
        <v>100</v>
      </c>
      <c r="M119" s="6">
        <v>46059</v>
      </c>
      <c r="N119" s="6">
        <v>46059</v>
      </c>
      <c r="O119" s="19">
        <f>TAB_OFICINAS[[#This Row],[Data Retorno Produção]]-TAB_OFICINAS[[#This Row],[Data Prometida  Entrega]]</f>
        <v>0</v>
      </c>
      <c r="P119" s="40" t="str">
        <f>IF(TAB_OFICINAS[[#This Row],[Dias Para Entrega]]&lt;=0,"Em dia","Dia de Atrasado")</f>
        <v>Em dia</v>
      </c>
      <c r="Q119" s="10">
        <f>IFERROR(TAB_OFICINAS[[#This Row],[Qtd pçs Enviadas]]-TAB_OFICINAS[[#This Row],[Qtd pçs Retornadas ]]," ")</f>
        <v>0</v>
      </c>
      <c r="R119" s="10">
        <v>0</v>
      </c>
      <c r="S119" s="5">
        <v>568</v>
      </c>
      <c r="T119" s="5">
        <v>76</v>
      </c>
      <c r="U119" s="52">
        <v>4.9000000000000004</v>
      </c>
      <c r="V119" s="44">
        <f>IFERROR(TAB_OFICINAS[[#This Row],[Valor Unit]]*TAB_OFICINAS[[#This Row],[Qtd pçs Enviadas]]," ")</f>
        <v>490.00000000000006</v>
      </c>
      <c r="W119" s="17">
        <v>46066</v>
      </c>
      <c r="X119" s="5" t="s">
        <v>6251</v>
      </c>
      <c r="Y119" s="27"/>
      <c r="Z1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0" spans="1:26" ht="99.75" hidden="1">
      <c r="C120" s="28" t="s">
        <v>5</v>
      </c>
      <c r="D120" s="5">
        <v>943</v>
      </c>
      <c r="E120" s="5">
        <v>22248</v>
      </c>
      <c r="F120" s="28" t="str">
        <f>IFERROR(VLOOKUP(TAB_OFICINAS[[#This Row],[Cliente]],LISTA_DE_CLIENTES[[Código]:[Nome Fantasia]],2,FALSE),"")</f>
        <v>REDE DOR SAO LUIZ S.A.</v>
      </c>
      <c r="G120" s="5" t="str">
        <f>IFERROR(VLOOKUP(TAB_OFICINAS[[#This Row],[Cliente]],LISTA_DE_CLIENTES[[Código]:[Nome Fantasia]],3,FALSE),"")</f>
        <v>HOSPITAL COPA STAR</v>
      </c>
      <c r="H120" s="51">
        <v>2101067876</v>
      </c>
      <c r="I120" s="28" t="s">
        <v>20294</v>
      </c>
      <c r="J120" s="91">
        <v>202</v>
      </c>
      <c r="K120" s="86">
        <v>46006</v>
      </c>
      <c r="L120" s="10">
        <v>202</v>
      </c>
      <c r="M120" s="6">
        <v>46037</v>
      </c>
      <c r="N120" s="6">
        <v>46036</v>
      </c>
      <c r="O120" s="19">
        <f>TAB_OFICINAS[[#This Row],[Data Retorno Produção]]-TAB_OFICINAS[[#This Row],[Data Prometida  Entrega]]</f>
        <v>-1</v>
      </c>
      <c r="P120" s="40" t="str">
        <f>IF(TAB_OFICINAS[[#This Row],[Dias Para Entrega]]&lt;=0,"Em dia","Dia de Atrasado")</f>
        <v>Em dia</v>
      </c>
      <c r="Q120" s="10">
        <f>IFERROR(TAB_OFICINAS[[#This Row],[Qtd pçs Enviadas]]-TAB_OFICINAS[[#This Row],[Qtd pçs Retornadas ]]," ")</f>
        <v>0</v>
      </c>
      <c r="R120" s="10">
        <v>0</v>
      </c>
      <c r="S120" s="5">
        <v>529</v>
      </c>
      <c r="T120" s="5">
        <v>2593</v>
      </c>
      <c r="U120" s="52">
        <v>5.85</v>
      </c>
      <c r="V120" s="44">
        <f>IFERROR(TAB_OFICINAS[[#This Row],[Valor Unit]]*TAB_OFICINAS[[#This Row],[Qtd pçs Enviadas]]," ")</f>
        <v>1181.6999999999998</v>
      </c>
      <c r="W120" s="17">
        <v>46059</v>
      </c>
      <c r="X120" s="5" t="s">
        <v>6251</v>
      </c>
      <c r="Y120" s="27" t="s">
        <v>20301</v>
      </c>
      <c r="Z1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1" spans="1:26" hidden="1">
      <c r="C121" s="28" t="s">
        <v>5</v>
      </c>
      <c r="D121" s="5">
        <v>943</v>
      </c>
      <c r="E121" s="5">
        <v>22248</v>
      </c>
      <c r="F121" s="28" t="str">
        <f>IFERROR(VLOOKUP(TAB_OFICINAS[[#This Row],[Cliente]],LISTA_DE_CLIENTES[[Código]:[Nome Fantasia]],2,FALSE),"")</f>
        <v>REDE DOR SAO LUIZ S.A.</v>
      </c>
      <c r="G121" s="5" t="str">
        <f>IFERROR(VLOOKUP(TAB_OFICINAS[[#This Row],[Cliente]],LISTA_DE_CLIENTES[[Código]:[Nome Fantasia]],3,FALSE),"")</f>
        <v>HOSPITAL COPA STAR</v>
      </c>
      <c r="H121" s="51">
        <v>2103857875</v>
      </c>
      <c r="I121" s="28" t="s">
        <v>20295</v>
      </c>
      <c r="J121" s="91">
        <v>202</v>
      </c>
      <c r="K121" s="86">
        <v>46006</v>
      </c>
      <c r="L121" s="10">
        <v>202</v>
      </c>
      <c r="M121" s="6">
        <v>46037</v>
      </c>
      <c r="N121" s="6">
        <v>46036</v>
      </c>
      <c r="O121" s="19">
        <f>TAB_OFICINAS[[#This Row],[Data Retorno Produção]]-TAB_OFICINAS[[#This Row],[Data Prometida  Entrega]]</f>
        <v>-1</v>
      </c>
      <c r="P121" s="40" t="str">
        <f>IF(TAB_OFICINAS[[#This Row],[Dias Para Entrega]]&lt;=0,"Em dia","Dia de Atrasado")</f>
        <v>Em dia</v>
      </c>
      <c r="Q121" s="10">
        <f>IFERROR(TAB_OFICINAS[[#This Row],[Qtd pçs Enviadas]]-TAB_OFICINAS[[#This Row],[Qtd pçs Retornadas ]]," ")</f>
        <v>0</v>
      </c>
      <c r="R121" s="10">
        <v>0</v>
      </c>
      <c r="S121" s="5">
        <v>529</v>
      </c>
      <c r="T121" s="5">
        <v>2593</v>
      </c>
      <c r="U121" s="52">
        <v>3.5</v>
      </c>
      <c r="V121" s="44">
        <f>IFERROR(TAB_OFICINAS[[#This Row],[Valor Unit]]*TAB_OFICINAS[[#This Row],[Qtd pçs Enviadas]]," ")</f>
        <v>707</v>
      </c>
      <c r="W121" s="17">
        <v>46059</v>
      </c>
      <c r="X121" s="5" t="s">
        <v>6251</v>
      </c>
      <c r="Y121" s="27"/>
      <c r="Z1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2" spans="1:26" hidden="1">
      <c r="C122" s="28" t="s">
        <v>5</v>
      </c>
      <c r="D122" s="5">
        <v>164</v>
      </c>
      <c r="E122" s="5">
        <v>23219</v>
      </c>
      <c r="F122" s="28" t="str">
        <f>IFERROR(VLOOKUP(TAB_OFICINAS[[#This Row],[Cliente]],LISTA_DE_CLIENTES[[Código]:[Nome Fantasia]],2,FALSE),"")</f>
        <v>HOTEL CURITIBA CAPITAL S/A</v>
      </c>
      <c r="G122" s="5" t="str">
        <f>IFERROR(VLOOKUP(TAB_OFICINAS[[#This Row],[Cliente]],LISTA_DE_CLIENTES[[Código]:[Nome Fantasia]],3,FALSE),"")</f>
        <v>RADISSON CURITIBA</v>
      </c>
      <c r="H122" s="63">
        <v>92101058046</v>
      </c>
      <c r="I122" s="28" t="s">
        <v>22144</v>
      </c>
      <c r="J122" s="91">
        <v>202</v>
      </c>
      <c r="K122" s="86">
        <v>46157</v>
      </c>
      <c r="L122" s="10">
        <v>202</v>
      </c>
      <c r="M122" s="6">
        <v>46168</v>
      </c>
      <c r="N122" s="6">
        <v>46169</v>
      </c>
      <c r="O122" s="19">
        <f>TAB_OFICINAS[[#This Row],[Data Retorno Produção]]-TAB_OFICINAS[[#This Row],[Data Prometida  Entrega]]</f>
        <v>1</v>
      </c>
      <c r="P122" s="40" t="str">
        <f>IF(TAB_OFICINAS[[#This Row],[Dias Para Entrega]]&lt;=0,"Em dia","Dia de Atrasado")</f>
        <v>Dia de Atrasado</v>
      </c>
      <c r="Q122" s="10">
        <f>IFERROR(TAB_OFICINAS[[#This Row],[Qtd pçs Enviadas]]-TAB_OFICINAS[[#This Row],[Qtd pçs Retornadas ]]," ")</f>
        <v>0</v>
      </c>
      <c r="R122" s="10"/>
      <c r="S122" s="5">
        <v>3214</v>
      </c>
      <c r="T122" s="5">
        <v>2644</v>
      </c>
      <c r="U122" s="52">
        <v>4.3</v>
      </c>
      <c r="V122" s="44">
        <f>IFERROR(TAB_OFICINAS[[#This Row],[Valor Unit]]*TAB_OFICINAS[[#This Row],[Qtd pçs Enviadas]]," ")</f>
        <v>868.59999999999991</v>
      </c>
      <c r="W122" s="17">
        <v>46179</v>
      </c>
      <c r="X122" s="5" t="s">
        <v>6251</v>
      </c>
      <c r="Y122" s="27"/>
      <c r="Z1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3" spans="1:26" ht="99.75" hidden="1">
      <c r="C123" s="28" t="s">
        <v>15</v>
      </c>
      <c r="D123" s="5">
        <v>1942</v>
      </c>
      <c r="E123" s="5">
        <v>22995</v>
      </c>
      <c r="F123" s="28" t="str">
        <f>IFERROR(VLOOKUP(TAB_OFICINAS[[#This Row],[Cliente]],LISTA_DE_CLIENTES[[Código]:[Nome Fantasia]],2,FALSE),"")</f>
        <v>ONCO STAR SP ONCOLOGIA LTDA (REDE D´OR)</v>
      </c>
      <c r="G123" s="2" t="str">
        <f>IFERROR(VLOOKUP(TAB_OFICINAS[[#This Row],[Cliente]],LISTA_DE_CLIENTES[[Código]:[Nome Fantasia]],3,FALSE),"")</f>
        <v>R DOR VILA NOVA STAR</v>
      </c>
      <c r="H123" s="63">
        <v>2101102487</v>
      </c>
      <c r="I123" s="28" t="s">
        <v>20777</v>
      </c>
      <c r="J123" s="91">
        <v>201</v>
      </c>
      <c r="K123" s="86">
        <v>46178</v>
      </c>
      <c r="L123" s="34">
        <v>201</v>
      </c>
      <c r="M123" s="6">
        <v>46190</v>
      </c>
      <c r="N123" s="6">
        <v>46183</v>
      </c>
      <c r="O123" s="19">
        <f>TAB_OFICINAS[[#This Row],[Data Retorno Produção]]-TAB_OFICINAS[[#This Row],[Data Prometida  Entrega]]</f>
        <v>-7</v>
      </c>
      <c r="P123" s="40" t="str">
        <f>IF(TAB_OFICINAS[[#This Row],[Dias Para Entrega]]&lt;=0,"Em dia","Dia de Atrasado")</f>
        <v>Em dia</v>
      </c>
      <c r="Q123" s="10">
        <f>IFERROR(TAB_OFICINAS[[#This Row],[Qtd pçs Enviadas]]-TAB_OFICINAS[[#This Row],[Qtd pçs Retornadas ]]," ")</f>
        <v>0</v>
      </c>
      <c r="R123" s="10"/>
      <c r="S123" s="5">
        <v>871</v>
      </c>
      <c r="T123" s="5">
        <v>17295</v>
      </c>
      <c r="U123" s="1">
        <v>3.85</v>
      </c>
      <c r="V123" s="3">
        <v>766.15</v>
      </c>
      <c r="W123" s="17">
        <v>46191</v>
      </c>
      <c r="X123" s="5" t="s">
        <v>6251</v>
      </c>
      <c r="Y123" s="4" t="s">
        <v>23186</v>
      </c>
      <c r="Z1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" spans="1:26" hidden="1">
      <c r="C124" s="28" t="s">
        <v>3</v>
      </c>
      <c r="D124" s="5">
        <v>2667</v>
      </c>
      <c r="E124" s="5">
        <v>22276</v>
      </c>
      <c r="F124" s="28" t="str">
        <f>IFERROR(VLOOKUP(TAB_OFICINAS[[#This Row],[Cliente]],LISTA_DE_CLIENTES[[Código]:[Nome Fantasia]],2,FALSE),"")</f>
        <v>JAPY GOLF &amp; HOTEL LTDA</v>
      </c>
      <c r="G124" s="5" t="str">
        <f>IFERROR(VLOOKUP(TAB_OFICINAS[[#This Row],[Cliente]],LISTA_DE_CLIENTES[[Código]:[Nome Fantasia]],3,FALSE),"")</f>
        <v>JAPY GOLF &amp; HOTEL</v>
      </c>
      <c r="H124" s="51">
        <v>92109280497</v>
      </c>
      <c r="I124" s="28" t="s">
        <v>21564</v>
      </c>
      <c r="J124" s="91">
        <v>200</v>
      </c>
      <c r="K124" s="86">
        <v>46007</v>
      </c>
      <c r="L124" s="10">
        <v>200</v>
      </c>
      <c r="M124" s="6">
        <v>46028</v>
      </c>
      <c r="N124" s="6">
        <v>46028</v>
      </c>
      <c r="O124" s="19">
        <f>TAB_OFICINAS[[#This Row],[Data Retorno Produção]]-TAB_OFICINAS[[#This Row],[Data Prometida  Entrega]]</f>
        <v>0</v>
      </c>
      <c r="P124" s="40" t="str">
        <f>IF(TAB_OFICINAS[[#This Row],[Dias Para Entrega]]&lt;=0,"Em dia","Dia de Atrasado")</f>
        <v>Em dia</v>
      </c>
      <c r="Q124" s="10">
        <f>IFERROR(TAB_OFICINAS[[#This Row],[Qtd pçs Enviadas]]-TAB_OFICINAS[[#This Row],[Qtd pçs Retornadas ]]," ")</f>
        <v>0</v>
      </c>
      <c r="R124" s="10">
        <v>0</v>
      </c>
      <c r="S124" s="5">
        <v>635</v>
      </c>
      <c r="T124" s="5">
        <v>85</v>
      </c>
      <c r="U124" s="52">
        <v>4.5999999999999996</v>
      </c>
      <c r="V124" s="44">
        <f>IFERROR(TAB_OFICINAS[[#This Row],[Valor Unit]]*TAB_OFICINAS[[#This Row],[Qtd pçs Enviadas]]," ")</f>
        <v>919.99999999999989</v>
      </c>
      <c r="W124" s="17">
        <v>46034</v>
      </c>
      <c r="X124" s="5" t="s">
        <v>6251</v>
      </c>
      <c r="Y124" s="27"/>
      <c r="Z1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" spans="1:26" hidden="1">
      <c r="C125" s="28" t="s">
        <v>3</v>
      </c>
      <c r="D125" s="5">
        <v>2667</v>
      </c>
      <c r="E125" s="5">
        <v>22276</v>
      </c>
      <c r="F125" s="28" t="str">
        <f>IFERROR(VLOOKUP(TAB_OFICINAS[[#This Row],[Cliente]],LISTA_DE_CLIENTES[[Código]:[Nome Fantasia]],2,FALSE),"")</f>
        <v>JAPY GOLF &amp; HOTEL LTDA</v>
      </c>
      <c r="G125" s="5" t="str">
        <f>IFERROR(VLOOKUP(TAB_OFICINAS[[#This Row],[Cliente]],LISTA_DE_CLIENTES[[Código]:[Nome Fantasia]],3,FALSE),"")</f>
        <v>JAPY GOLF &amp; HOTEL</v>
      </c>
      <c r="H125" s="51">
        <v>92105030439</v>
      </c>
      <c r="I125" s="28" t="s">
        <v>20966</v>
      </c>
      <c r="J125" s="91">
        <v>200</v>
      </c>
      <c r="K125" s="86">
        <v>46007</v>
      </c>
      <c r="L125" s="10">
        <v>200</v>
      </c>
      <c r="M125" s="6">
        <v>46028</v>
      </c>
      <c r="N125" s="6">
        <v>46028</v>
      </c>
      <c r="O125" s="19">
        <f>TAB_OFICINAS[[#This Row],[Data Retorno Produção]]-TAB_OFICINAS[[#This Row],[Data Prometida  Entrega]]</f>
        <v>0</v>
      </c>
      <c r="P125" s="40" t="str">
        <f>IF(TAB_OFICINAS[[#This Row],[Dias Para Entrega]]&lt;=0,"Em dia","Dia de Atrasado")</f>
        <v>Em dia</v>
      </c>
      <c r="Q125" s="10">
        <f>IFERROR(TAB_OFICINAS[[#This Row],[Qtd pçs Enviadas]]-TAB_OFICINAS[[#This Row],[Qtd pçs Retornadas ]]," ")</f>
        <v>0</v>
      </c>
      <c r="R125" s="10">
        <v>0</v>
      </c>
      <c r="S125" s="5">
        <v>635</v>
      </c>
      <c r="T125" s="5">
        <v>85</v>
      </c>
      <c r="U125" s="52">
        <v>4.3</v>
      </c>
      <c r="V125" s="44">
        <f>IFERROR(TAB_OFICINAS[[#This Row],[Valor Unit]]*TAB_OFICINAS[[#This Row],[Qtd pçs Enviadas]]," ")</f>
        <v>860</v>
      </c>
      <c r="W125" s="17">
        <v>46034</v>
      </c>
      <c r="X125" s="5" t="s">
        <v>6251</v>
      </c>
      <c r="Y125" s="27"/>
      <c r="Z1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" spans="1:26" hidden="1">
      <c r="C126" s="28" t="s">
        <v>7</v>
      </c>
      <c r="D126" s="5">
        <v>2933</v>
      </c>
      <c r="E126" s="5">
        <v>22277</v>
      </c>
      <c r="F126" s="28" t="str">
        <f>IFERROR(VLOOKUP(TAB_OFICINAS[[#This Row],[Cliente]],LISTA_DE_CLIENTES[[Código]:[Nome Fantasia]],2,FALSE),"")</f>
        <v>J.F. GOMES POUSADA EIRELI</v>
      </c>
      <c r="G126" s="5" t="str">
        <f>IFERROR(VLOOKUP(TAB_OFICINAS[[#This Row],[Cliente]],LISTA_DE_CLIENTES[[Código]:[Nome Fantasia]],3,FALSE),"")</f>
        <v>POUSADA APPLE HOUSE</v>
      </c>
      <c r="H126" s="51">
        <v>2115068551</v>
      </c>
      <c r="I126" s="28" t="s">
        <v>20317</v>
      </c>
      <c r="J126" s="91">
        <v>39</v>
      </c>
      <c r="K126" s="86">
        <v>46050</v>
      </c>
      <c r="L126" s="10">
        <v>39</v>
      </c>
      <c r="M126" s="6">
        <v>46066</v>
      </c>
      <c r="N126" s="6">
        <v>46063</v>
      </c>
      <c r="O126" s="19">
        <f>TAB_OFICINAS[[#This Row],[Data Retorno Produção]]-TAB_OFICINAS[[#This Row],[Data Prometida  Entrega]]</f>
        <v>-3</v>
      </c>
      <c r="P126" s="40" t="str">
        <f>IF(TAB_OFICINAS[[#This Row],[Dias Para Entrega]]&lt;=0,"Em dia","Dia de Atrasado")</f>
        <v>Em dia</v>
      </c>
      <c r="Q126" s="10">
        <f>IFERROR(TAB_OFICINAS[[#This Row],[Qtd pçs Enviadas]]-TAB_OFICINAS[[#This Row],[Qtd pçs Retornadas ]],"N/D ")</f>
        <v>0</v>
      </c>
      <c r="R126" s="10">
        <v>0</v>
      </c>
      <c r="S126" s="5">
        <v>558</v>
      </c>
      <c r="T126" s="5">
        <v>22</v>
      </c>
      <c r="U126" s="52">
        <v>16</v>
      </c>
      <c r="V126" s="44">
        <f>IFERROR(TAB_OFICINAS[[#This Row],[Valor Unit]]*TAB_OFICINAS[[#This Row],[Qtd pçs Enviadas]]," ")</f>
        <v>624</v>
      </c>
      <c r="W126" s="17">
        <v>46072</v>
      </c>
      <c r="X126" s="5" t="s">
        <v>6251</v>
      </c>
      <c r="Y126" s="27"/>
      <c r="Z1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" spans="1:26" hidden="1">
      <c r="C127" s="28" t="s">
        <v>3</v>
      </c>
      <c r="D127" s="5">
        <v>5391</v>
      </c>
      <c r="E127" s="5">
        <v>23059</v>
      </c>
      <c r="F127" s="28" t="str">
        <f>IFERROR(VLOOKUP(TAB_OFICINAS[[#This Row],[Cliente]],LISTA_DE_CLIENTES[[Código]:[Nome Fantasia]],2,FALSE),"")</f>
        <v>PACIFICO OPERACOES HOSPITALARES S.A</v>
      </c>
      <c r="G127" s="5" t="str">
        <f>IFERROR(VLOOKUP(TAB_OFICINAS[[#This Row],[Cliente]],LISTA_DE_CLIENTES[[Código]:[Nome Fantasia]],3,FALSE),"")</f>
        <v>MATERNIDADE SAO LUIZ</v>
      </c>
      <c r="H127" s="63">
        <v>2103062485</v>
      </c>
      <c r="I127" s="28" t="s">
        <v>20770</v>
      </c>
      <c r="J127" s="91">
        <v>200</v>
      </c>
      <c r="K127" s="86">
        <v>46164</v>
      </c>
      <c r="L127" s="71">
        <v>200</v>
      </c>
      <c r="M127" s="6">
        <v>46175</v>
      </c>
      <c r="N127" s="6">
        <v>46171</v>
      </c>
      <c r="O127" s="19">
        <f>TAB_OFICINAS[[#This Row],[Data Retorno Produção]]-TAB_OFICINAS[[#This Row],[Data Prometida  Entrega]]</f>
        <v>-4</v>
      </c>
      <c r="P127" s="40" t="str">
        <f>IF(TAB_OFICINAS[[#This Row],[Dias Para Entrega]]&lt;=0,"Em dia","Dia de Atrasado")</f>
        <v>Em dia</v>
      </c>
      <c r="Q127" s="10">
        <f>IFERROR(TAB_OFICINAS[[#This Row],[Qtd pçs Enviadas]]-TAB_OFICINAS[[#This Row],[Qtd pçs Retornadas ]]," ")</f>
        <v>0</v>
      </c>
      <c r="R127" s="10"/>
      <c r="S127" s="5">
        <v>852</v>
      </c>
      <c r="T127" s="5">
        <v>108</v>
      </c>
      <c r="U127" s="52">
        <v>5.15</v>
      </c>
      <c r="V127" s="44">
        <f>IFERROR(TAB_OFICINAS[[#This Row],[Valor Unit]]*TAB_OFICINAS[[#This Row],[Qtd pçs Enviadas]]," ")</f>
        <v>1030</v>
      </c>
      <c r="W127" s="17">
        <f>TAB_OFICINAS[[#This Row],[Data Retorno Produção]]+10</f>
        <v>46181</v>
      </c>
      <c r="X127" s="5" t="s">
        <v>6251</v>
      </c>
      <c r="Y127" s="27"/>
      <c r="Z1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" spans="1:26" hidden="1">
      <c r="C128" s="28" t="s">
        <v>18</v>
      </c>
      <c r="D128" s="5">
        <v>3593</v>
      </c>
      <c r="E128" s="5">
        <v>22065</v>
      </c>
      <c r="F128" s="28" t="str">
        <f>IFERROR(VLOOKUP(TAB_OFICINAS[[#This Row],[Cliente]],LISTA_DE_CLIENTES[[Código]:[Nome Fantasia]],2,FALSE),"")</f>
        <v>DIAGNOSTICOS DA AMERICA S.A.</v>
      </c>
      <c r="G128" s="5" t="str">
        <f>IFERROR(VLOOKUP(TAB_OFICINAS[[#This Row],[Cliente]],LISTA_DE_CLIENTES[[Código]:[Nome Fantasia]],3,FALSE),"")</f>
        <v>DASA PINHEIROS</v>
      </c>
      <c r="H128" s="51">
        <v>3301095930</v>
      </c>
      <c r="I128" s="28" t="s">
        <v>20342</v>
      </c>
      <c r="J128" s="91">
        <v>20</v>
      </c>
      <c r="K128" s="86">
        <v>46028</v>
      </c>
      <c r="L128" s="10">
        <v>20</v>
      </c>
      <c r="M128" s="6">
        <v>46042</v>
      </c>
      <c r="N128" s="6">
        <v>46043</v>
      </c>
      <c r="O128" s="19">
        <f>TAB_OFICINAS[[#This Row],[Data Retorno Produção]]-TAB_OFICINAS[[#This Row],[Data Prometida  Entrega]]</f>
        <v>1</v>
      </c>
      <c r="P128" s="40" t="str">
        <f>IF(TAB_OFICINAS[[#This Row],[Dias Para Entrega]]&lt;=0,"Em dia","Dia de Atrasado")</f>
        <v>Dia de Atrasado</v>
      </c>
      <c r="Q128" s="10">
        <f>IFERROR(TAB_OFICINAS[[#This Row],[Qtd pçs Enviadas]]-TAB_OFICINAS[[#This Row],[Qtd pçs Retornadas ]],"N/D ")</f>
        <v>0</v>
      </c>
      <c r="R128" s="10">
        <v>0</v>
      </c>
      <c r="S128" s="5">
        <v>4301</v>
      </c>
      <c r="T128" s="5">
        <v>30</v>
      </c>
      <c r="U128" s="52">
        <v>16</v>
      </c>
      <c r="V128" s="44">
        <f>IFERROR(TAB_OFICINAS[[#This Row],[Valor Unit]]*TAB_OFICINAS[[#This Row],[Qtd pçs Enviadas]]," ")</f>
        <v>320</v>
      </c>
      <c r="W128" s="17">
        <v>46055</v>
      </c>
      <c r="X128" s="5" t="s">
        <v>6251</v>
      </c>
      <c r="Y128" s="27"/>
      <c r="Z1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" spans="3:26" hidden="1">
      <c r="C129" s="28" t="s">
        <v>16</v>
      </c>
      <c r="D129" s="5">
        <v>5391</v>
      </c>
      <c r="E129" s="5">
        <v>23555</v>
      </c>
      <c r="F129" s="28" t="str">
        <f>IFERROR(VLOOKUP(TAB_OFICINAS[[#This Row],[Cliente]],LISTA_DE_CLIENTES[[Código]:[Nome Fantasia]],2,FALSE),"")</f>
        <v>PACIFICO OPERACOES HOSPITALARES S.A</v>
      </c>
      <c r="G129" s="2" t="str">
        <f>IFERROR(VLOOKUP(TAB_OFICINAS[[#This Row],[Cliente]],LISTA_DE_CLIENTES[[Código]:[Nome Fantasia]],3,FALSE),"")</f>
        <v>MATERNIDADE SAO LUIZ</v>
      </c>
      <c r="H129" s="51">
        <v>2101102488</v>
      </c>
      <c r="I129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129" s="91">
        <v>199</v>
      </c>
      <c r="K129" s="88">
        <v>46191</v>
      </c>
      <c r="L129" s="9">
        <v>199</v>
      </c>
      <c r="M129" s="6">
        <v>46203</v>
      </c>
      <c r="N129" s="6">
        <v>46202</v>
      </c>
      <c r="O129" s="23">
        <f>TAB_OFICINAS[[#This Row],[Data Retorno Produção]]-TAB_OFICINAS[[#This Row],[Data Prometida  Entrega]]</f>
        <v>-1</v>
      </c>
      <c r="P129" s="98" t="str">
        <f>IF(TAB_OFICINAS[[#This Row],[Dias Para Entrega]]&lt;=0,"Em dia","Dia de Atrasado")</f>
        <v>Em dia</v>
      </c>
      <c r="Q129" s="10">
        <f>IFERROR(TAB_OFICINAS[[#This Row],[Qtd pçs Enviadas]]-TAB_OFICINAS[[#This Row],[Qtd pçs Retornadas ]]," ")</f>
        <v>0</v>
      </c>
      <c r="R129" s="24"/>
      <c r="S129" s="5">
        <v>891</v>
      </c>
      <c r="T129" s="5">
        <v>55</v>
      </c>
      <c r="U129" s="11">
        <v>6.5</v>
      </c>
      <c r="V129" s="25">
        <f>IFERROR(TAB_OFICINAS[[#This Row],[Valor Unit]]*TAB_OFICINAS[[#This Row],[Qtd pçs Enviadas]]," ")</f>
        <v>1293.5</v>
      </c>
      <c r="W129" s="26">
        <v>46212</v>
      </c>
      <c r="X129" s="17" t="s">
        <v>6251</v>
      </c>
      <c r="Y129" s="27"/>
      <c r="Z1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" spans="3:26" hidden="1">
      <c r="C130" s="28" t="s">
        <v>3</v>
      </c>
      <c r="D130" s="5">
        <v>9</v>
      </c>
      <c r="E130" s="5">
        <v>23223</v>
      </c>
      <c r="F130" s="28" t="str">
        <f>IFERROR(VLOOKUP(TAB_OFICINAS[[#This Row],[Cliente]],LISTA_DE_CLIENTES[[Código]:[Nome Fantasia]],2,FALSE),"")</f>
        <v>EMILIANO EMPREENDIMENTOS E PARTICIPACOES HOTELEIRA</v>
      </c>
      <c r="G130" s="5" t="str">
        <f>IFERROR(VLOOKUP(TAB_OFICINAS[[#This Row],[Cliente]],LISTA_DE_CLIENTES[[Código]:[Nome Fantasia]],3,FALSE),"")</f>
        <v>HOTEL EMILIANO</v>
      </c>
      <c r="H130" s="63">
        <v>2201029561</v>
      </c>
      <c r="I130" s="28" t="s">
        <v>21753</v>
      </c>
      <c r="J130" s="91">
        <v>184</v>
      </c>
      <c r="K130" s="86">
        <v>46155</v>
      </c>
      <c r="L130" s="10">
        <v>184</v>
      </c>
      <c r="M130" s="6">
        <v>46157</v>
      </c>
      <c r="N130" s="6">
        <v>46157</v>
      </c>
      <c r="O130" s="19">
        <f>TAB_OFICINAS[[#This Row],[Data Retorno Produção]]-TAB_OFICINAS[[#This Row],[Data Prometida  Entrega]]</f>
        <v>0</v>
      </c>
      <c r="P130" s="40" t="str">
        <f>IF(TAB_OFICINAS[[#This Row],[Dias Para Entrega]]&lt;=0,"Em dia","Dia de Atrasado")</f>
        <v>Em dia</v>
      </c>
      <c r="Q130" s="10">
        <f>IFERROR(TAB_OFICINAS[[#This Row],[Qtd pçs Enviadas]]-TAB_OFICINAS[[#This Row],[Qtd pçs Retornadas ]]," ")</f>
        <v>0</v>
      </c>
      <c r="R130" s="10"/>
      <c r="S130" s="5">
        <v>837</v>
      </c>
      <c r="T130" s="5">
        <v>105</v>
      </c>
      <c r="U130" s="52">
        <v>8.5</v>
      </c>
      <c r="V130" s="44">
        <f>IFERROR(TAB_OFICINAS[[#This Row],[Valor Unit]]*TAB_OFICINAS[[#This Row],[Qtd pçs Enviadas]]," ")</f>
        <v>1564</v>
      </c>
      <c r="W130" s="17">
        <v>46167</v>
      </c>
      <c r="X130" s="5" t="s">
        <v>6251</v>
      </c>
      <c r="Y130" s="27"/>
      <c r="Z1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" spans="3:26" hidden="1">
      <c r="C131" s="28" t="s">
        <v>20</v>
      </c>
      <c r="D131" s="5">
        <v>3107</v>
      </c>
      <c r="E131" s="5">
        <v>22529</v>
      </c>
      <c r="F131" s="28" t="str">
        <f>IFERROR(VLOOKUP(TAB_OFICINAS[[#This Row],[Cliente]],LISTA_DE_CLIENTES[[Código]:[Nome Fantasia]],2,FALSE),"")</f>
        <v>HCC HOTELS GESTAO HOTELEIRA LTDA.</v>
      </c>
      <c r="G131" s="5" t="str">
        <f>IFERROR(VLOOKUP(TAB_OFICINAS[[#This Row],[Cliente]],LISTA_DE_CLIENTES[[Código]:[Nome Fantasia]],3,FALSE),"")</f>
        <v>QOYA SP</v>
      </c>
      <c r="H131" s="51">
        <v>92101853643</v>
      </c>
      <c r="I131" s="28" t="s">
        <v>20372</v>
      </c>
      <c r="J131" s="91">
        <v>50</v>
      </c>
      <c r="K131" s="86">
        <v>46063</v>
      </c>
      <c r="L131" s="10">
        <v>50</v>
      </c>
      <c r="M131" s="6">
        <v>46066</v>
      </c>
      <c r="N131" s="6">
        <v>46066</v>
      </c>
      <c r="O131" s="19">
        <f>TAB_OFICINAS[[#This Row],[Data Retorno Produção]]-TAB_OFICINAS[[#This Row],[Data Prometida  Entrega]]</f>
        <v>0</v>
      </c>
      <c r="P131" s="40" t="str">
        <f>IF(TAB_OFICINAS[[#This Row],[Dias Para Entrega]]&lt;=0,"Em dia","Dia de Atrasado")</f>
        <v>Em dia</v>
      </c>
      <c r="Q131" s="10">
        <f>IFERROR(TAB_OFICINAS[[#This Row],[Qtd pçs Enviadas]]-TAB_OFICINAS[[#This Row],[Qtd pçs Retornadas ]],"N/D ")</f>
        <v>0</v>
      </c>
      <c r="R131" s="10">
        <v>0</v>
      </c>
      <c r="S131" s="5">
        <v>677</v>
      </c>
      <c r="T131" s="5">
        <v>77</v>
      </c>
      <c r="U131" s="52">
        <v>5.5</v>
      </c>
      <c r="V131" s="44">
        <f>IFERROR(TAB_OFICINAS[[#This Row],[Valor Unit]]*TAB_OFICINAS[[#This Row],[Qtd pçs Enviadas]]," ")</f>
        <v>275</v>
      </c>
      <c r="W131" s="17">
        <v>46080</v>
      </c>
      <c r="X131" s="5" t="s">
        <v>6251</v>
      </c>
      <c r="Y131" s="27"/>
      <c r="Z1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" spans="3:26" hidden="1">
      <c r="C132" s="28" t="s">
        <v>15</v>
      </c>
      <c r="D132" s="5">
        <v>1942</v>
      </c>
      <c r="E132" s="5">
        <v>22842</v>
      </c>
      <c r="F132" s="28" t="str">
        <f>IFERROR(VLOOKUP(TAB_OFICINAS[[#This Row],[Cliente]],LISTA_DE_CLIENTES[[Código]:[Nome Fantasia]],2,FALSE),"")</f>
        <v>ONCO STAR SP ONCOLOGIA LTDA (REDE D´OR)</v>
      </c>
      <c r="G132" s="5" t="str">
        <f>IFERROR(VLOOKUP(TAB_OFICINAS[[#This Row],[Cliente]],LISTA_DE_CLIENTES[[Código]:[Nome Fantasia]],3,FALSE),"")</f>
        <v>R DOR VILA NOVA STAR</v>
      </c>
      <c r="H132" s="63">
        <v>2101102487</v>
      </c>
      <c r="I132" s="28" t="s">
        <v>20777</v>
      </c>
      <c r="J132" s="91">
        <v>170</v>
      </c>
      <c r="K132" s="86">
        <v>46091</v>
      </c>
      <c r="L132" s="10">
        <v>170</v>
      </c>
      <c r="M132" s="6">
        <v>46097</v>
      </c>
      <c r="N132" s="6">
        <v>46097</v>
      </c>
      <c r="O132" s="19">
        <f>TAB_OFICINAS[[#This Row],[Data Retorno Produção]]-TAB_OFICINAS[[#This Row],[Data Prometida  Entrega]]</f>
        <v>0</v>
      </c>
      <c r="P132" s="40" t="str">
        <f>IF(TAB_OFICINAS[[#This Row],[Dias Para Entrega]]&lt;=0,"Em dia","Dia de Atrasado")</f>
        <v>Em dia</v>
      </c>
      <c r="Q132" s="10">
        <f>IFERROR(TAB_OFICINAS[[#This Row],[Qtd pçs Enviadas]]-TAB_OFICINAS[[#This Row],[Qtd pçs Retornadas ]]," ")</f>
        <v>0</v>
      </c>
      <c r="R132" s="10">
        <v>0</v>
      </c>
      <c r="S132" s="5">
        <v>675</v>
      </c>
      <c r="T132" s="5">
        <v>16991</v>
      </c>
      <c r="U132" s="52">
        <v>3.85</v>
      </c>
      <c r="V132" s="44">
        <f>IFERROR(TAB_OFICINAS[[#This Row],[Valor Unit]]*TAB_OFICINAS[[#This Row],[Qtd pçs Enviadas]]," ")</f>
        <v>654.5</v>
      </c>
      <c r="W132" s="17">
        <v>46104</v>
      </c>
      <c r="X132" s="5" t="s">
        <v>6251</v>
      </c>
      <c r="Y132" s="27" t="s">
        <v>21341</v>
      </c>
      <c r="Z1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" spans="3:26" ht="28.5" hidden="1">
      <c r="C133" s="28" t="s">
        <v>21197</v>
      </c>
      <c r="D133" s="5">
        <v>1942</v>
      </c>
      <c r="E133" s="5">
        <v>23101</v>
      </c>
      <c r="F133" s="28" t="str">
        <f>IFERROR(VLOOKUP(TAB_OFICINAS[[#This Row],[Cliente]],LISTA_DE_CLIENTES[[Código]:[Nome Fantasia]],2,FALSE),"")</f>
        <v>ONCO STAR SP ONCOLOGIA LTDA (REDE D´OR)</v>
      </c>
      <c r="G133" s="5" t="str">
        <f>IFERROR(VLOOKUP(TAB_OFICINAS[[#This Row],[Cliente]],LISTA_DE_CLIENTES[[Código]:[Nome Fantasia]],3,FALSE),"")</f>
        <v>R DOR VILA NOVA STAR</v>
      </c>
      <c r="H133" s="63">
        <v>2103067072</v>
      </c>
      <c r="I133" s="28" t="s">
        <v>21477</v>
      </c>
      <c r="J133" s="91">
        <v>380</v>
      </c>
      <c r="K133" s="86">
        <v>46136</v>
      </c>
      <c r="L133" s="10">
        <v>380</v>
      </c>
      <c r="M133" s="6">
        <v>46146</v>
      </c>
      <c r="N133" s="6">
        <v>46144</v>
      </c>
      <c r="O133" s="19">
        <f>TAB_OFICINAS[[#This Row],[Data Retorno Produção]]-TAB_OFICINAS[[#This Row],[Data Prometida  Entrega]]</f>
        <v>-2</v>
      </c>
      <c r="P133" s="40" t="str">
        <f>IF(TAB_OFICINAS[[#This Row],[Dias Para Entrega]]&lt;=0,"Em dia","Dia de Atrasado")</f>
        <v>Em dia</v>
      </c>
      <c r="Q133" s="10">
        <f>IFERROR(TAB_OFICINAS[[#This Row],[Qtd pçs Enviadas]]-TAB_OFICINAS[[#This Row],[Qtd pçs Retornadas ]]," ")</f>
        <v>0</v>
      </c>
      <c r="R133" s="10"/>
      <c r="S133" s="5">
        <v>789</v>
      </c>
      <c r="T133" s="5">
        <v>56</v>
      </c>
      <c r="U133" s="52">
        <v>3</v>
      </c>
      <c r="V133" s="44">
        <f>IFERROR(TAB_OFICINAS[[#This Row],[Valor Unit]]*TAB_OFICINAS[[#This Row],[Qtd pçs Enviadas]]," ")</f>
        <v>1140</v>
      </c>
      <c r="W133" s="17">
        <f>TAB_OFICINAS[[#This Row],[Data Retorno Produção]]+10</f>
        <v>46154</v>
      </c>
      <c r="X133" s="5" t="s">
        <v>6251</v>
      </c>
      <c r="Y133" s="27" t="s">
        <v>20326</v>
      </c>
      <c r="Z1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" spans="3:26" hidden="1">
      <c r="C134" s="28" t="s">
        <v>8</v>
      </c>
      <c r="D134" s="5">
        <v>249</v>
      </c>
      <c r="E134" s="5">
        <v>22004</v>
      </c>
      <c r="F134" s="28" t="str">
        <f>IFERROR(VLOOKUP(TAB_OFICINAS[[#This Row],[Cliente]],LISTA_DE_CLIENTES[[Código]:[Nome Fantasia]],2,FALSE),"")</f>
        <v>MELIA BRASIL ADMINISTRACAO HOTELEIRA E COMERCIAL L</v>
      </c>
      <c r="G134" s="5" t="str">
        <f>IFERROR(VLOOKUP(TAB_OFICINAS[[#This Row],[Cliente]],LISTA_DE_CLIENTES[[Código]:[Nome Fantasia]],3,FALSE),"")</f>
        <v>MELIA IBIRAPUERA</v>
      </c>
      <c r="H134" s="51">
        <v>92101035362</v>
      </c>
      <c r="I134" s="28" t="s">
        <v>20329</v>
      </c>
      <c r="J134" s="91">
        <v>152</v>
      </c>
      <c r="K134" s="86">
        <v>45947</v>
      </c>
      <c r="L134" s="10">
        <v>152</v>
      </c>
      <c r="M134" s="6">
        <v>46028</v>
      </c>
      <c r="N134" s="6">
        <v>46029</v>
      </c>
      <c r="O134" s="19">
        <f>TAB_OFICINAS[[#This Row],[Data Retorno Produção]]-TAB_OFICINAS[[#This Row],[Data Prometida  Entrega]]</f>
        <v>1</v>
      </c>
      <c r="P134" s="40" t="str">
        <f>IF(TAB_OFICINAS[[#This Row],[Dias Para Entrega]]&lt;=0,"Em dia","Dia de Atrasado")</f>
        <v>Dia de Atrasado</v>
      </c>
      <c r="Q134" s="10">
        <f>IFERROR(TAB_OFICINAS[[#This Row],[Qtd pçs Enviadas]]-TAB_OFICINAS[[#This Row],[Qtd pçs Retornadas ]]," ")</f>
        <v>0</v>
      </c>
      <c r="R134" s="10">
        <v>0</v>
      </c>
      <c r="S134" s="5">
        <v>3046</v>
      </c>
      <c r="T134" s="5">
        <v>13</v>
      </c>
      <c r="U134" s="52">
        <v>8</v>
      </c>
      <c r="V134" s="44">
        <f>IFERROR(TAB_OFICINAS[[#This Row],[Valor Unit]]*TAB_OFICINAS[[#This Row],[Qtd pçs Enviadas]]," ")</f>
        <v>1216</v>
      </c>
      <c r="W134" s="17">
        <v>46038</v>
      </c>
      <c r="X134" s="5" t="s">
        <v>6251</v>
      </c>
      <c r="Y134" s="27"/>
      <c r="Z1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" spans="3:26" hidden="1">
      <c r="C135" s="28" t="s">
        <v>15</v>
      </c>
      <c r="D135" s="5">
        <v>3346</v>
      </c>
      <c r="E135" s="5">
        <v>23170</v>
      </c>
      <c r="F135" s="28" t="str">
        <f>IFERROR(VLOOKUP(TAB_OFICINAS[[#This Row],[Cliente]],LISTA_DE_CLIENTES[[Código]:[Nome Fantasia]],2,FALSE),"")</f>
        <v>REDE D´OR SAO LUIZ S.A.</v>
      </c>
      <c r="G135" s="2" t="str">
        <f>IFERROR(VLOOKUP(TAB_OFICINAS[[#This Row],[Cliente]],LISTA_DE_CLIENTES[[Código]:[Nome Fantasia]],3,FALSE),"")</f>
        <v>MEMORIAL STAR</v>
      </c>
      <c r="H135" s="51">
        <v>2101105263</v>
      </c>
      <c r="I135" s="28" t="str">
        <f>IFERROR(VLOOKUP(TAB_OFICINAS[[#This Row],[Codigo Produto ]],_000___PEDIDOS_DE_CLIENTES[[Data.Column2]:[Descrição Produto]],2,FALSE)," ")</f>
        <v>LENÇOL DE CIMA BRANCO - 400F 100% ALG - COM FESTONÊ E LOGO S* BORDADO COR ALABASTRO 07077 - 1,80 X 2,80</v>
      </c>
      <c r="J135" s="91">
        <v>152</v>
      </c>
      <c r="K135" s="88">
        <v>46204</v>
      </c>
      <c r="L135" s="9">
        <v>152</v>
      </c>
      <c r="M135" s="6">
        <v>46206</v>
      </c>
      <c r="N135" s="6">
        <v>46206</v>
      </c>
      <c r="O135" s="23">
        <f>TAB_OFICINAS[[#This Row],[Data Retorno Produção]]-TAB_OFICINAS[[#This Row],[Data Prometida  Entrega]]</f>
        <v>0</v>
      </c>
      <c r="P135" s="98" t="str">
        <f>IF(TAB_OFICINAS[[#This Row],[Dias Para Entrega]]&lt;=0,"Em dia","Dia de Atrasado")</f>
        <v>Em dia</v>
      </c>
      <c r="Q135" s="10">
        <f>IFERROR(TAB_OFICINAS[[#This Row],[Qtd pçs Enviadas]]-TAB_OFICINAS[[#This Row],[Qtd pçs Retornadas ]]," ")</f>
        <v>0</v>
      </c>
      <c r="R135" s="24">
        <v>0</v>
      </c>
      <c r="S135" s="5">
        <v>904</v>
      </c>
      <c r="T135" s="5">
        <v>17399</v>
      </c>
      <c r="U135" s="11">
        <v>3.85</v>
      </c>
      <c r="V135" s="25">
        <f>IFERROR(TAB_OFICINAS[[#This Row],[Valor Unit]]*TAB_OFICINAS[[#This Row],[Qtd pçs Enviadas]]," ")</f>
        <v>585.20000000000005</v>
      </c>
      <c r="W135" s="26">
        <v>46213</v>
      </c>
      <c r="X135" s="17" t="s">
        <v>6251</v>
      </c>
      <c r="Y135" s="27" t="s">
        <v>23428</v>
      </c>
      <c r="Z1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" spans="3:26" hidden="1">
      <c r="C136" s="28" t="s">
        <v>16</v>
      </c>
      <c r="D136" s="5">
        <v>943</v>
      </c>
      <c r="E136" s="5">
        <v>22133</v>
      </c>
      <c r="F136" s="28" t="str">
        <f>IFERROR(VLOOKUP(TAB_OFICINAS[[#This Row],[Cliente]],LISTA_DE_CLIENTES[[Código]:[Nome Fantasia]],2,FALSE),"")</f>
        <v>REDE DOR SAO LUIZ S.A.</v>
      </c>
      <c r="G136" s="5" t="str">
        <f>IFERROR(VLOOKUP(TAB_OFICINAS[[#This Row],[Cliente]],LISTA_DE_CLIENTES[[Código]:[Nome Fantasia]],3,FALSE),"")</f>
        <v>HOSPITAL COPA STAR</v>
      </c>
      <c r="H136" s="51">
        <v>2101105264</v>
      </c>
      <c r="I136" s="28" t="s">
        <v>20332</v>
      </c>
      <c r="J136" s="91">
        <v>150</v>
      </c>
      <c r="K136" s="86">
        <v>46044</v>
      </c>
      <c r="L136" s="10">
        <v>150</v>
      </c>
      <c r="M136" s="6">
        <v>46050</v>
      </c>
      <c r="N136" s="6">
        <v>46050</v>
      </c>
      <c r="O136" s="19">
        <f>TAB_OFICINAS[[#This Row],[Data Retorno Produção]]-TAB_OFICINAS[[#This Row],[Data Prometida  Entrega]]</f>
        <v>0</v>
      </c>
      <c r="P136" s="40" t="str">
        <f>IF(TAB_OFICINAS[[#This Row],[Dias Para Entrega]]&lt;=0,"Em dia","Dia de Atrasado")</f>
        <v>Em dia</v>
      </c>
      <c r="Q136" s="10">
        <f>IFERROR(TAB_OFICINAS[[#This Row],[Qtd pçs Enviadas]]-TAB_OFICINAS[[#This Row],[Qtd pçs Retornadas ]]," ")</f>
        <v>0</v>
      </c>
      <c r="R136" s="10">
        <v>0</v>
      </c>
      <c r="S136" s="5">
        <v>549</v>
      </c>
      <c r="T136" s="5">
        <v>32</v>
      </c>
      <c r="U136" s="52">
        <v>6</v>
      </c>
      <c r="V136" s="44">
        <f>IFERROR(TAB_OFICINAS[[#This Row],[Valor Unit]]*TAB_OFICINAS[[#This Row],[Qtd pçs Enviadas]]," ")</f>
        <v>900</v>
      </c>
      <c r="W136" s="17">
        <v>46059</v>
      </c>
      <c r="X136" s="5" t="s">
        <v>6251</v>
      </c>
      <c r="Y136" s="27"/>
      <c r="Z1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" spans="3:26" hidden="1">
      <c r="C137" s="28" t="s">
        <v>1</v>
      </c>
      <c r="D137" s="5">
        <v>5350</v>
      </c>
      <c r="E137" s="5">
        <v>22574</v>
      </c>
      <c r="F137" s="28" t="str">
        <f>IFERROR(VLOOKUP(TAB_OFICINAS[[#This Row],[Cliente]],LISTA_DE_CLIENTES[[Código]:[Nome Fantasia]],2,FALSE),"")</f>
        <v>TEREZINHA STODOLNI SALDANHA LTDA</v>
      </c>
      <c r="G137" s="5" t="str">
        <f>IFERROR(VLOOKUP(TAB_OFICINAS[[#This Row],[Cliente]],LISTA_DE_CLIENTES[[Código]:[Nome Fantasia]],3,FALSE),"")</f>
        <v>POUSADA MARILUZ</v>
      </c>
      <c r="H137" s="51">
        <v>92115108563</v>
      </c>
      <c r="I137" s="28" t="s">
        <v>21023</v>
      </c>
      <c r="J137" s="91">
        <v>3</v>
      </c>
      <c r="K137" s="86">
        <v>46051</v>
      </c>
      <c r="L137" s="10">
        <v>3</v>
      </c>
      <c r="M137" s="6">
        <v>46057</v>
      </c>
      <c r="N137" s="6">
        <v>46055</v>
      </c>
      <c r="O137" s="19">
        <f>TAB_OFICINAS[[#This Row],[Data Retorno Produção]]-TAB_OFICINAS[[#This Row],[Data Prometida  Entrega]]</f>
        <v>-2</v>
      </c>
      <c r="P137" s="40" t="str">
        <f>IF(TAB_OFICINAS[[#This Row],[Dias Para Entrega]]&lt;=0,"Em dia","Dia de Atrasado")</f>
        <v>Em dia</v>
      </c>
      <c r="Q137" s="10">
        <f>IFERROR(TAB_OFICINAS[[#This Row],[Qtd pçs Enviadas]]-TAB_OFICINAS[[#This Row],[Qtd pçs Retornadas ]],"N/D ")</f>
        <v>0</v>
      </c>
      <c r="R137" s="10">
        <v>0</v>
      </c>
      <c r="S137" s="5">
        <v>564</v>
      </c>
      <c r="T137" s="5">
        <v>35</v>
      </c>
      <c r="U137" s="52">
        <v>11</v>
      </c>
      <c r="V137" s="44">
        <f>IFERROR(TAB_OFICINAS[[#This Row],[Valor Unit]]*TAB_OFICINAS[[#This Row],[Qtd pçs Enviadas]]," ")</f>
        <v>33</v>
      </c>
      <c r="W137" s="17">
        <v>46064</v>
      </c>
      <c r="X137" s="5" t="s">
        <v>6251</v>
      </c>
      <c r="Y137" s="27"/>
      <c r="Z1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" spans="3:26" hidden="1">
      <c r="C138" s="28" t="s">
        <v>7</v>
      </c>
      <c r="D138" s="5">
        <v>2933</v>
      </c>
      <c r="E138" s="5">
        <v>22277</v>
      </c>
      <c r="F138" s="28" t="str">
        <f>IFERROR(VLOOKUP(TAB_OFICINAS[[#This Row],[Cliente]],LISTA_DE_CLIENTES[[Código]:[Nome Fantasia]],2,FALSE),"")</f>
        <v>J.F. GOMES POUSADA EIRELI</v>
      </c>
      <c r="G138" s="5" t="str">
        <f>IFERROR(VLOOKUP(TAB_OFICINAS[[#This Row],[Cliente]],LISTA_DE_CLIENTES[[Código]:[Nome Fantasia]],3,FALSE),"")</f>
        <v>POUSADA APPLE HOUSE</v>
      </c>
      <c r="H138" s="51">
        <v>2115068550</v>
      </c>
      <c r="I138" s="28" t="s">
        <v>20316</v>
      </c>
      <c r="J138" s="91">
        <v>30</v>
      </c>
      <c r="K138" s="86">
        <v>46050</v>
      </c>
      <c r="L138" s="10">
        <v>30</v>
      </c>
      <c r="M138" s="6">
        <v>46066</v>
      </c>
      <c r="N138" s="6">
        <v>46063</v>
      </c>
      <c r="O138" s="19">
        <f>TAB_OFICINAS[[#This Row],[Data Retorno Produção]]-TAB_OFICINAS[[#This Row],[Data Prometida  Entrega]]</f>
        <v>-3</v>
      </c>
      <c r="P138" s="40" t="str">
        <f>IF(TAB_OFICINAS[[#This Row],[Dias Para Entrega]]&lt;=0,"Em dia","Dia de Atrasado")</f>
        <v>Em dia</v>
      </c>
      <c r="Q138" s="10">
        <f>IFERROR(TAB_OFICINAS[[#This Row],[Qtd pçs Enviadas]]-TAB_OFICINAS[[#This Row],[Qtd pçs Retornadas ]],"N/D ")</f>
        <v>0</v>
      </c>
      <c r="R138" s="10">
        <v>0</v>
      </c>
      <c r="S138" s="5">
        <v>558</v>
      </c>
      <c r="T138" s="5">
        <v>22</v>
      </c>
      <c r="U138" s="52">
        <v>16</v>
      </c>
      <c r="V138" s="44">
        <f>IFERROR(TAB_OFICINAS[[#This Row],[Valor Unit]]*TAB_OFICINAS[[#This Row],[Qtd pçs Enviadas]]," ")</f>
        <v>480</v>
      </c>
      <c r="W138" s="17">
        <v>46072</v>
      </c>
      <c r="X138" s="5" t="s">
        <v>6251</v>
      </c>
      <c r="Y138" s="27"/>
      <c r="Z1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" spans="3:26" hidden="1">
      <c r="C139" s="28" t="s">
        <v>1</v>
      </c>
      <c r="D139" s="5">
        <v>5350</v>
      </c>
      <c r="E139" s="5">
        <v>22574</v>
      </c>
      <c r="F139" s="28" t="str">
        <f>IFERROR(VLOOKUP(TAB_OFICINAS[[#This Row],[Cliente]],LISTA_DE_CLIENTES[[Código]:[Nome Fantasia]],2,FALSE),"")</f>
        <v>TEREZINHA STODOLNI SALDANHA LTDA</v>
      </c>
      <c r="G139" s="5" t="str">
        <f>IFERROR(VLOOKUP(TAB_OFICINAS[[#This Row],[Cliente]],LISTA_DE_CLIENTES[[Código]:[Nome Fantasia]],3,FALSE),"")</f>
        <v>POUSADA MARILUZ</v>
      </c>
      <c r="H139" s="51">
        <v>92101103020</v>
      </c>
      <c r="I139" s="28" t="s">
        <v>21026</v>
      </c>
      <c r="J139" s="91">
        <v>3</v>
      </c>
      <c r="K139" s="86">
        <v>46051</v>
      </c>
      <c r="L139" s="10">
        <v>3</v>
      </c>
      <c r="M139" s="6">
        <v>46057</v>
      </c>
      <c r="N139" s="6">
        <v>46055</v>
      </c>
      <c r="O139" s="19">
        <f>TAB_OFICINAS[[#This Row],[Data Retorno Produção]]-TAB_OFICINAS[[#This Row],[Data Prometida  Entrega]]</f>
        <v>-2</v>
      </c>
      <c r="P139" s="40" t="str">
        <f>IF(TAB_OFICINAS[[#This Row],[Dias Para Entrega]]&lt;=0,"Em dia","Dia de Atrasado")</f>
        <v>Em dia</v>
      </c>
      <c r="Q139" s="10">
        <f>IFERROR(TAB_OFICINAS[[#This Row],[Qtd pçs Enviadas]]-TAB_OFICINAS[[#This Row],[Qtd pçs Retornadas ]],"N/D ")</f>
        <v>0</v>
      </c>
      <c r="R139" s="10">
        <v>0</v>
      </c>
      <c r="S139" s="5">
        <v>564</v>
      </c>
      <c r="T139" s="5">
        <v>35</v>
      </c>
      <c r="U139" s="52">
        <v>6</v>
      </c>
      <c r="V139" s="44">
        <f>IFERROR(TAB_OFICINAS[[#This Row],[Valor Unit]]*TAB_OFICINAS[[#This Row],[Qtd pçs Enviadas]]," ")</f>
        <v>18</v>
      </c>
      <c r="W139" s="17">
        <v>46064</v>
      </c>
      <c r="X139" s="5" t="s">
        <v>6251</v>
      </c>
      <c r="Y139" s="27"/>
      <c r="Z1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" spans="3:26" hidden="1">
      <c r="C140" s="28" t="s">
        <v>3</v>
      </c>
      <c r="D140" s="5">
        <v>5454</v>
      </c>
      <c r="E140" s="5">
        <v>23056</v>
      </c>
      <c r="F140" s="28" t="str">
        <f>IFERROR(VLOOKUP(TAB_OFICINAS[[#This Row],[Cliente]],LISTA_DE_CLIENTES[[Código]:[Nome Fantasia]],2,FALSE),"")</f>
        <v>FERREIRA &amp; SEGANTINI CENTRO DE CIRURGIA PLASTICA E</v>
      </c>
      <c r="G140" s="5" t="str">
        <f>IFERROR(VLOOKUP(TAB_OFICINAS[[#This Row],[Cliente]],LISTA_DE_CLIENTES[[Código]:[Nome Fantasia]],3,FALSE),"")</f>
        <v>FERREIRA SEGANTINI C</v>
      </c>
      <c r="H140" s="63">
        <v>3302012426</v>
      </c>
      <c r="I140" s="28" t="s">
        <v>21417</v>
      </c>
      <c r="J140" s="91">
        <v>150</v>
      </c>
      <c r="K140" s="86">
        <v>46111</v>
      </c>
      <c r="L140" s="10">
        <v>150</v>
      </c>
      <c r="M140" s="6">
        <v>46118</v>
      </c>
      <c r="N140" s="6">
        <v>46111</v>
      </c>
      <c r="O140" s="19">
        <f>TAB_OFICINAS[[#This Row],[Data Retorno Produção]]-TAB_OFICINAS[[#This Row],[Data Prometida  Entrega]]</f>
        <v>-7</v>
      </c>
      <c r="P140" s="40" t="str">
        <f>IF(TAB_OFICINAS[[#This Row],[Dias Para Entrega]]&lt;=0,"Em dia","Dia de Atrasado")</f>
        <v>Em dia</v>
      </c>
      <c r="Q140" s="10">
        <f>IFERROR(TAB_OFICINAS[[#This Row],[Qtd pçs Enviadas]]-TAB_OFICINAS[[#This Row],[Qtd pçs Retornadas ]]," ")</f>
        <v>0</v>
      </c>
      <c r="R140" s="10"/>
      <c r="S140" s="5">
        <v>717</v>
      </c>
      <c r="T140" s="5">
        <v>101</v>
      </c>
      <c r="U140" s="52">
        <v>3</v>
      </c>
      <c r="V140" s="44">
        <f>IFERROR(TAB_OFICINAS[[#This Row],[Valor Unit]]*TAB_OFICINAS[[#This Row],[Qtd pçs Enviadas]]," ")</f>
        <v>450</v>
      </c>
      <c r="W140" s="17">
        <v>46125</v>
      </c>
      <c r="X140" s="5" t="s">
        <v>6251</v>
      </c>
      <c r="Y140" s="27"/>
      <c r="Z1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" spans="3:26" hidden="1">
      <c r="C141" s="28" t="s">
        <v>3</v>
      </c>
      <c r="D141" s="5">
        <v>3346</v>
      </c>
      <c r="E141" s="5">
        <v>23170</v>
      </c>
      <c r="F141" s="28" t="str">
        <f>IFERROR(VLOOKUP(TAB_OFICINAS[[#This Row],[Cliente]],LISTA_DE_CLIENTES[[Código]:[Nome Fantasia]],2,FALSE),"")</f>
        <v>REDE D´OR SAO LUIZ S.A.</v>
      </c>
      <c r="G141" s="5" t="str">
        <f>IFERROR(VLOOKUP(TAB_OFICINAS[[#This Row],[Cliente]],LISTA_DE_CLIENTES[[Código]:[Nome Fantasia]],3,FALSE),"")</f>
        <v>MEMORIAL STAR</v>
      </c>
      <c r="H141" s="63">
        <v>2101107946</v>
      </c>
      <c r="I141" s="28" t="s">
        <v>21685</v>
      </c>
      <c r="J141" s="91">
        <v>150</v>
      </c>
      <c r="K141" s="86">
        <v>46157</v>
      </c>
      <c r="L141" s="10">
        <v>150</v>
      </c>
      <c r="M141" s="6">
        <v>46162</v>
      </c>
      <c r="N141" s="6">
        <v>46161</v>
      </c>
      <c r="O141" s="19">
        <f>TAB_OFICINAS[[#This Row],[Data Retorno Produção]]-TAB_OFICINAS[[#This Row],[Data Prometida  Entrega]]</f>
        <v>-1</v>
      </c>
      <c r="P141" s="40" t="str">
        <f>IF(TAB_OFICINAS[[#This Row],[Dias Para Entrega]]&lt;=0,"Em dia","Dia de Atrasado")</f>
        <v>Em dia</v>
      </c>
      <c r="Q141" s="10">
        <f>IFERROR(TAB_OFICINAS[[#This Row],[Qtd pçs Enviadas]]-TAB_OFICINAS[[#This Row],[Qtd pçs Retornadas ]]," ")</f>
        <v>0</v>
      </c>
      <c r="R141" s="10"/>
      <c r="S141" s="5">
        <v>844</v>
      </c>
      <c r="T141" s="5">
        <v>107</v>
      </c>
      <c r="U141" s="52">
        <v>4.5</v>
      </c>
      <c r="V141" s="44">
        <f>IFERROR(TAB_OFICINAS[[#This Row],[Valor Unit]]*TAB_OFICINAS[[#This Row],[Qtd pçs Enviadas]]," ")</f>
        <v>675</v>
      </c>
      <c r="W141" s="17">
        <f>TAB_OFICINAS[[#This Row],[Data Retorno Produção]]+10</f>
        <v>46171</v>
      </c>
      <c r="X141" s="5" t="s">
        <v>6251</v>
      </c>
      <c r="Y141" s="27"/>
      <c r="Z1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" spans="3:26" hidden="1">
      <c r="C142" s="28" t="s">
        <v>3</v>
      </c>
      <c r="D142" s="5">
        <v>142</v>
      </c>
      <c r="E142" s="5">
        <v>23457</v>
      </c>
      <c r="F142" s="28" t="str">
        <f>IFERROR(VLOOKUP(TAB_OFICINAS[[#This Row],[Cliente]],LISTA_DE_CLIENTES[[Código]:[Nome Fantasia]],2,FALSE),"")</f>
        <v>GXS EMPREENDIMENTOS TURISTICOS LTDA</v>
      </c>
      <c r="G142" s="2" t="str">
        <f>IFERROR(VLOOKUP(TAB_OFICINAS[[#This Row],[Cliente]],LISTA_DE_CLIENTES[[Código]:[Nome Fantasia]],3,FALSE),"")</f>
        <v>AWASI SANTA CATARINA</v>
      </c>
      <c r="H142" s="63">
        <v>3759313469</v>
      </c>
      <c r="I142" s="28" t="s">
        <v>22778</v>
      </c>
      <c r="J142" s="91">
        <v>150</v>
      </c>
      <c r="K142" s="86">
        <v>46183</v>
      </c>
      <c r="L142" s="34">
        <v>150</v>
      </c>
      <c r="M142" s="6">
        <v>46193</v>
      </c>
      <c r="N142" s="6">
        <v>46190</v>
      </c>
      <c r="O142" s="19">
        <f>TAB_OFICINAS[[#This Row],[Data Retorno Produção]]-TAB_OFICINAS[[#This Row],[Data Prometida  Entrega]]</f>
        <v>-3</v>
      </c>
      <c r="P142" s="40" t="str">
        <f>IF(TAB_OFICINAS[[#This Row],[Dias Para Entrega]]&lt;=0,"Em dia","Dia de Atrasado")</f>
        <v>Em dia</v>
      </c>
      <c r="Q142" s="10">
        <f>IFERROR(TAB_OFICINAS[[#This Row],[Qtd pçs Enviadas]]-TAB_OFICINAS[[#This Row],[Qtd pçs Retornadas ]]," ")</f>
        <v>0</v>
      </c>
      <c r="R142" s="10"/>
      <c r="S142" s="5">
        <v>3261</v>
      </c>
      <c r="T142" s="5">
        <v>112</v>
      </c>
      <c r="U142" s="1">
        <v>3</v>
      </c>
      <c r="V142" s="3">
        <f>IFERROR(TAB_OFICINAS[[#This Row],[Valor Unit]]*TAB_OFICINAS[[#This Row],[Qtd pçs Enviadas]]," ")</f>
        <v>450</v>
      </c>
      <c r="W142" s="17">
        <v>46199</v>
      </c>
      <c r="X142" s="5" t="s">
        <v>6251</v>
      </c>
      <c r="Y142" s="4"/>
      <c r="Z1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" spans="3:26" hidden="1">
      <c r="C143" s="28" t="s">
        <v>15</v>
      </c>
      <c r="D143" s="5">
        <v>1942</v>
      </c>
      <c r="E143" s="5">
        <v>23100</v>
      </c>
      <c r="F143" s="28" t="str">
        <f>IFERROR(VLOOKUP(TAB_OFICINAS[[#This Row],[Cliente]],LISTA_DE_CLIENTES[[Código]:[Nome Fantasia]],2,FALSE),"")</f>
        <v>ONCO STAR SP ONCOLOGIA LTDA (REDE D´OR)</v>
      </c>
      <c r="G143" s="2" t="str">
        <f>IFERROR(VLOOKUP(TAB_OFICINAS[[#This Row],[Cliente]],LISTA_DE_CLIENTES[[Código]:[Nome Fantasia]],3,FALSE),"")</f>
        <v>R DOR VILA NOVA STAR</v>
      </c>
      <c r="H143" s="51">
        <v>3301084128</v>
      </c>
      <c r="I143" s="28" t="s">
        <v>23445</v>
      </c>
      <c r="J143" s="91">
        <v>150</v>
      </c>
      <c r="K143" s="88">
        <v>46205</v>
      </c>
      <c r="L143" s="9">
        <v>150</v>
      </c>
      <c r="M143" s="6">
        <v>46210</v>
      </c>
      <c r="N143" s="6">
        <v>46209</v>
      </c>
      <c r="O143" s="23">
        <f>TAB_OFICINAS[[#This Row],[Data Retorno Produção]]-TAB_OFICINAS[[#This Row],[Data Prometida  Entrega]]</f>
        <v>-1</v>
      </c>
      <c r="P143" s="98" t="str">
        <f>IF(TAB_OFICINAS[[#This Row],[Dias Para Entrega]]&lt;=0,"Em dia","Dia de Atrasado")</f>
        <v>Em dia</v>
      </c>
      <c r="Q143" s="10">
        <f>IFERROR(TAB_OFICINAS[[#This Row],[Qtd pçs Enviadas]]-TAB_OFICINAS[[#This Row],[Qtd pçs Retornadas ]]," ")</f>
        <v>0</v>
      </c>
      <c r="R143" s="24"/>
      <c r="S143" s="5">
        <v>908</v>
      </c>
      <c r="U143" s="11">
        <v>3.85</v>
      </c>
      <c r="V143" s="25">
        <f>IFERROR(TAB_OFICINAS[[#This Row],[Valor Unit]]*TAB_OFICINAS[[#This Row],[Qtd pçs Enviadas]]," ")</f>
        <v>577.5</v>
      </c>
      <c r="W143" s="26"/>
      <c r="X143" s="17" t="s">
        <v>6251</v>
      </c>
      <c r="Y143" s="27" t="s">
        <v>21341</v>
      </c>
      <c r="Z1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" spans="3:26" hidden="1">
      <c r="C144" s="28" t="s">
        <v>15</v>
      </c>
      <c r="D144" s="5">
        <v>1942</v>
      </c>
      <c r="E144" s="5">
        <v>23100</v>
      </c>
      <c r="F144" s="28" t="str">
        <f>IFERROR(VLOOKUP(TAB_OFICINAS[[#This Row],[Cliente]],LISTA_DE_CLIENTES[[Código]:[Nome Fantasia]],2,FALSE),"")</f>
        <v>ONCO STAR SP ONCOLOGIA LTDA (REDE D´OR)</v>
      </c>
      <c r="G144" s="2" t="str">
        <f>IFERROR(VLOOKUP(TAB_OFICINAS[[#This Row],[Cliente]],LISTA_DE_CLIENTES[[Código]:[Nome Fantasia]],3,FALSE),"")</f>
        <v>R DOR VILA NOVA STAR</v>
      </c>
      <c r="H144" s="51">
        <v>3301084127</v>
      </c>
      <c r="I144" s="28" t="s">
        <v>23446</v>
      </c>
      <c r="J144" s="91">
        <v>150</v>
      </c>
      <c r="K144" s="88">
        <v>46205</v>
      </c>
      <c r="L144" s="9">
        <v>150</v>
      </c>
      <c r="M144" s="6">
        <v>46210</v>
      </c>
      <c r="N144" s="6">
        <v>46209</v>
      </c>
      <c r="O144" s="23">
        <f>TAB_OFICINAS[[#This Row],[Data Retorno Produção]]-TAB_OFICINAS[[#This Row],[Data Prometida  Entrega]]</f>
        <v>-1</v>
      </c>
      <c r="P144" s="98" t="str">
        <f>IF(TAB_OFICINAS[[#This Row],[Dias Para Entrega]]&lt;=0,"Em dia","Dia de Atrasado")</f>
        <v>Em dia</v>
      </c>
      <c r="Q144" s="10">
        <f>IFERROR(TAB_OFICINAS[[#This Row],[Qtd pçs Enviadas]]-TAB_OFICINAS[[#This Row],[Qtd pçs Retornadas ]]," ")</f>
        <v>0</v>
      </c>
      <c r="R144" s="24"/>
      <c r="S144" s="5">
        <v>908</v>
      </c>
      <c r="U144" s="11">
        <v>3.85</v>
      </c>
      <c r="V144" s="25">
        <f>IFERROR(TAB_OFICINAS[[#This Row],[Valor Unit]]*TAB_OFICINAS[[#This Row],[Qtd pçs Enviadas]]," ")</f>
        <v>577.5</v>
      </c>
      <c r="W144" s="26"/>
      <c r="X144" s="17" t="s">
        <v>6251</v>
      </c>
      <c r="Y144" s="27" t="s">
        <v>21341</v>
      </c>
      <c r="Z1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" spans="3:26" ht="71.25" hidden="1">
      <c r="C145" s="28" t="s">
        <v>20</v>
      </c>
      <c r="D145" s="5" t="s">
        <v>20290</v>
      </c>
      <c r="E145" s="5">
        <v>3</v>
      </c>
      <c r="F145" s="28" t="str">
        <f>IFERROR(VLOOKUP(TAB_OFICINAS[[#This Row],[Cliente]],LISTA_DE_CLIENTES[[Código]:[Nome Fantasia]],2,FALSE),"")</f>
        <v/>
      </c>
      <c r="G145" s="5" t="str">
        <f>IFERROR(VLOOKUP(TAB_OFICINAS[[#This Row],[Cliente]],LISTA_DE_CLIENTES[[Código]:[Nome Fantasia]],3,FALSE),"")</f>
        <v/>
      </c>
      <c r="H145" s="51" t="s">
        <v>23962</v>
      </c>
      <c r="I145" s="28" t="s">
        <v>20378</v>
      </c>
      <c r="J145" s="91">
        <v>175</v>
      </c>
      <c r="K145" s="86">
        <v>46066</v>
      </c>
      <c r="L145" s="10">
        <v>175</v>
      </c>
      <c r="M145" s="6">
        <v>46086</v>
      </c>
      <c r="N145" s="6">
        <v>46071</v>
      </c>
      <c r="O145" s="19">
        <f>TAB_OFICINAS[[#This Row],[Data Retorno Produção]]-TAB_OFICINAS[[#This Row],[Data Prometida  Entrega]]</f>
        <v>-15</v>
      </c>
      <c r="P145" s="40" t="str">
        <f>IF(TAB_OFICINAS[[#This Row],[Dias Para Entrega]]&lt;=0,"Em dia","Dia de Atrasado")</f>
        <v>Em dia</v>
      </c>
      <c r="Q145" s="10">
        <f>IFERROR(TAB_OFICINAS[[#This Row],[Qtd pçs Enviadas]]-TAB_OFICINAS[[#This Row],[Qtd pçs Retornadas ]]," ")</f>
        <v>0</v>
      </c>
      <c r="R145" s="10">
        <v>0</v>
      </c>
      <c r="S145" s="5">
        <v>595</v>
      </c>
      <c r="T145" s="5">
        <v>79</v>
      </c>
      <c r="U145" s="52">
        <v>10</v>
      </c>
      <c r="V145" s="44">
        <v>30</v>
      </c>
      <c r="W145" s="17">
        <v>46092</v>
      </c>
      <c r="X145" s="5" t="s">
        <v>6251</v>
      </c>
      <c r="Y145" s="27" t="s">
        <v>22443</v>
      </c>
      <c r="Z1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" spans="3:26" hidden="1">
      <c r="C146" s="28" t="s">
        <v>20</v>
      </c>
      <c r="D146" s="5">
        <v>2345</v>
      </c>
      <c r="E146" s="5">
        <v>22856</v>
      </c>
      <c r="F146" s="28" t="str">
        <f>IFERROR(VLOOKUP(TAB_OFICINAS[[#This Row],[Cliente]],LISTA_DE_CLIENTES[[Código]:[Nome Fantasia]],2,FALSE),"")</f>
        <v>CHATEAU CAMPOS DO JORDAO SERVICOS HOTELEIROS LTDA</v>
      </c>
      <c r="G146" s="5" t="str">
        <f>IFERROR(VLOOKUP(TAB_OFICINAS[[#This Row],[Cliente]],LISTA_DE_CLIENTES[[Código]:[Nome Fantasia]],3,FALSE),"")</f>
        <v>HOTEL CHATEAU</v>
      </c>
      <c r="H146" s="51">
        <v>2103850147</v>
      </c>
      <c r="I146" s="28" t="s">
        <v>20377</v>
      </c>
      <c r="J146" s="91">
        <v>30</v>
      </c>
      <c r="K146" s="86">
        <v>46078</v>
      </c>
      <c r="L146" s="10">
        <v>30</v>
      </c>
      <c r="M146" s="6">
        <v>46083</v>
      </c>
      <c r="N146" s="6">
        <v>46083</v>
      </c>
      <c r="O146" s="19">
        <f>TAB_OFICINAS[[#This Row],[Data Retorno Produção]]-TAB_OFICINAS[[#This Row],[Data Prometida  Entrega]]</f>
        <v>0</v>
      </c>
      <c r="P146" s="40" t="str">
        <f>IF(TAB_OFICINAS[[#This Row],[Dias Para Entrega]]&lt;=0,"Em dia","Dia de Atrasado")</f>
        <v>Em dia</v>
      </c>
      <c r="Q146" s="10">
        <f>IFERROR(TAB_OFICINAS[[#This Row],[Qtd pçs Enviadas]]-TAB_OFICINAS[[#This Row],[Qtd pçs Retornadas ]],"N/D ")</f>
        <v>0</v>
      </c>
      <c r="R146" s="10">
        <v>0</v>
      </c>
      <c r="S146" s="5">
        <v>630</v>
      </c>
      <c r="T146" s="5">
        <v>79</v>
      </c>
      <c r="U146" s="52">
        <v>3</v>
      </c>
      <c r="V146" s="44">
        <f>IFERROR(TAB_OFICINAS[[#This Row],[Valor Unit]]*TAB_OFICINAS[[#This Row],[Qtd pçs Enviadas]]," ")</f>
        <v>90</v>
      </c>
      <c r="W146" s="17">
        <v>46092</v>
      </c>
      <c r="X146" s="5" t="s">
        <v>6251</v>
      </c>
      <c r="Y146" s="27"/>
      <c r="Z1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" spans="3:26" ht="71.25" hidden="1">
      <c r="C147" s="28" t="s">
        <v>9</v>
      </c>
      <c r="D147" s="5">
        <v>1934</v>
      </c>
      <c r="E147" s="5">
        <v>23548</v>
      </c>
      <c r="F147" s="28" t="str">
        <f>IFERROR(VLOOKUP(TAB_OFICINAS[[#This Row],[Cliente]],LISTA_DE_CLIENTES[[Código]:[Nome Fantasia]],2,FALSE),"")</f>
        <v>TS ITU HOTEL EMPREENDIMENTO IMOBILIARIO S.A</v>
      </c>
      <c r="G147" s="2" t="str">
        <f>IFERROR(VLOOKUP(TAB_OFICINAS[[#This Row],[Cliente]],LISTA_DE_CLIENTES[[Código]:[Nome Fantasia]],3,FALSE),"")</f>
        <v>NOVOTEL ITU</v>
      </c>
      <c r="H147" s="51">
        <v>92115029937</v>
      </c>
      <c r="I147" s="28" t="str">
        <f>IFERROR(VLOOKUP(TAB_OFICINAS[[#This Row],[Codigo Produto ]],_000___PEDIDOS_DE_CLIENTES[[Data.Column2]:[Descrição Produto]],2,FALSE)," ")</f>
        <v>DUVET (CAPA) - 300F MISTO STRIPE LARGE 1cm - VERTICAL - CLASSIC C/ ENVELOPE - 2,90 X 2,60</v>
      </c>
      <c r="J147" s="91">
        <v>51</v>
      </c>
      <c r="K147" s="88">
        <v>46211</v>
      </c>
      <c r="L147" s="9">
        <v>51</v>
      </c>
      <c r="M147" s="6">
        <v>46195</v>
      </c>
      <c r="N147" s="6">
        <v>46198</v>
      </c>
      <c r="O147" s="23">
        <f>TAB_OFICINAS[[#This Row],[Data Retorno Produção]]-TAB_OFICINAS[[#This Row],[Data Prometida  Entrega]]</f>
        <v>3</v>
      </c>
      <c r="P147" s="98" t="str">
        <f>IF(TAB_OFICINAS[[#This Row],[Dias Para Entrega]]&lt;=0,"Em dia","Dia de Atrasado")</f>
        <v>Dia de Atrasado</v>
      </c>
      <c r="Q147" s="10">
        <f>IFERROR(TAB_OFICINAS[[#This Row],[Qtd pçs Enviadas]]-TAB_OFICINAS[[#This Row],[Qtd pçs Retornadas ]]," ")</f>
        <v>0</v>
      </c>
      <c r="R147" s="24"/>
      <c r="S147" s="5">
        <v>3260</v>
      </c>
      <c r="T147" s="5">
        <v>336</v>
      </c>
      <c r="U147" s="11">
        <v>15</v>
      </c>
      <c r="V147" s="25">
        <f>IFERROR(TAB_OFICINAS[[#This Row],[Valor Unit]]*TAB_OFICINAS[[#This Row],[Qtd pçs Enviadas]]," ")</f>
        <v>765</v>
      </c>
      <c r="W147" s="26">
        <f>TAB_OFICINAS[[#This Row],[Data Retorno Produção]]+11</f>
        <v>46209</v>
      </c>
      <c r="X147" s="17" t="s">
        <v>6251</v>
      </c>
      <c r="Y147" s="96" t="s">
        <v>23443</v>
      </c>
      <c r="Z1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" spans="3:26" hidden="1">
      <c r="C148" s="28" t="s">
        <v>20</v>
      </c>
      <c r="D148" s="5">
        <v>2345</v>
      </c>
      <c r="E148" s="5">
        <v>22856</v>
      </c>
      <c r="F148" s="28" t="str">
        <f>IFERROR(VLOOKUP(TAB_OFICINAS[[#This Row],[Cliente]],LISTA_DE_CLIENTES[[Código]:[Nome Fantasia]],2,FALSE),"")</f>
        <v>CHATEAU CAMPOS DO JORDAO SERVICOS HOTELEIROS LTDA</v>
      </c>
      <c r="G148" s="5" t="str">
        <f>IFERROR(VLOOKUP(TAB_OFICINAS[[#This Row],[Cliente]],LISTA_DE_CLIENTES[[Código]:[Nome Fantasia]],3,FALSE),"")</f>
        <v>HOTEL CHATEAU</v>
      </c>
      <c r="H148" s="51">
        <v>2101112653</v>
      </c>
      <c r="I148" s="28" t="s">
        <v>20373</v>
      </c>
      <c r="J148" s="91">
        <v>12</v>
      </c>
      <c r="K148" s="86">
        <v>46078</v>
      </c>
      <c r="L148" s="10">
        <v>12</v>
      </c>
      <c r="M148" s="6">
        <v>46083</v>
      </c>
      <c r="N148" s="6">
        <v>46083</v>
      </c>
      <c r="O148" s="19">
        <f>TAB_OFICINAS[[#This Row],[Data Retorno Produção]]-TAB_OFICINAS[[#This Row],[Data Prometida  Entrega]]</f>
        <v>0</v>
      </c>
      <c r="P148" s="40" t="str">
        <f>IF(TAB_OFICINAS[[#This Row],[Dias Para Entrega]]&lt;=0,"Em dia","Dia de Atrasado")</f>
        <v>Em dia</v>
      </c>
      <c r="Q148" s="10">
        <f>IFERROR(TAB_OFICINAS[[#This Row],[Qtd pçs Enviadas]]-TAB_OFICINAS[[#This Row],[Qtd pçs Retornadas ]],"N/D ")</f>
        <v>0</v>
      </c>
      <c r="R148" s="10">
        <v>0</v>
      </c>
      <c r="S148" s="5">
        <v>630</v>
      </c>
      <c r="T148" s="5">
        <v>79</v>
      </c>
      <c r="U148" s="52">
        <v>7</v>
      </c>
      <c r="V148" s="44">
        <f>IFERROR(TAB_OFICINAS[[#This Row],[Valor Unit]]*TAB_OFICINAS[[#This Row],[Qtd pçs Enviadas]]," ")</f>
        <v>84</v>
      </c>
      <c r="W148" s="17">
        <v>46092</v>
      </c>
      <c r="X148" s="5" t="s">
        <v>6251</v>
      </c>
      <c r="Y148" s="27"/>
      <c r="Z1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" spans="3:26" hidden="1">
      <c r="C149" s="28" t="s">
        <v>8</v>
      </c>
      <c r="D149" s="5">
        <v>4451</v>
      </c>
      <c r="E149" s="5">
        <v>22240</v>
      </c>
      <c r="F149" s="28" t="str">
        <f>IFERROR(VLOOKUP(TAB_OFICINAS[[#This Row],[Cliente]],LISTA_DE_CLIENTES[[Código]:[Nome Fantasia]],2,FALSE),"")</f>
        <v>ASSOCIAÇÃO CLUBE WAVE 1</v>
      </c>
      <c r="G149" s="5" t="str">
        <f>IFERROR(VLOOKUP(TAB_OFICINAS[[#This Row],[Cliente]],LISTA_DE_CLIENTES[[Código]:[Nome Fantasia]],3,FALSE),"")</f>
        <v>BEYOND SP</v>
      </c>
      <c r="H149" s="51">
        <v>92105268542</v>
      </c>
      <c r="I149" s="28" t="s">
        <v>20331</v>
      </c>
      <c r="J149" s="91">
        <v>147</v>
      </c>
      <c r="K149" s="86">
        <v>46036</v>
      </c>
      <c r="L149" s="10">
        <v>147</v>
      </c>
      <c r="M149" s="6">
        <v>46048</v>
      </c>
      <c r="N149" s="6">
        <v>46048</v>
      </c>
      <c r="O149" s="19">
        <f>TAB_OFICINAS[[#This Row],[Data Retorno Produção]]-TAB_OFICINAS[[#This Row],[Data Prometida  Entrega]]</f>
        <v>0</v>
      </c>
      <c r="P149" s="40" t="str">
        <f>IF(TAB_OFICINAS[[#This Row],[Dias Para Entrega]]&lt;=0,"Em dia","Dia de Atrasado")</f>
        <v>Em dia</v>
      </c>
      <c r="Q149" s="10">
        <f>IFERROR(TAB_OFICINAS[[#This Row],[Qtd pçs Enviadas]]-TAB_OFICINAS[[#This Row],[Qtd pçs Retornadas ]]," ")</f>
        <v>0</v>
      </c>
      <c r="R149" s="10">
        <v>0</v>
      </c>
      <c r="S149" s="5">
        <v>4310</v>
      </c>
      <c r="T149" s="5">
        <v>17</v>
      </c>
      <c r="U149" s="52">
        <v>5.3</v>
      </c>
      <c r="V149" s="44">
        <f>IFERROR(TAB_OFICINAS[[#This Row],[Valor Unit]]*TAB_OFICINAS[[#This Row],[Qtd pçs Enviadas]]," ")</f>
        <v>779.1</v>
      </c>
      <c r="W149" s="17">
        <f>TAB_OFICINAS[[#This Row],[Data Retorno Produção]]+10</f>
        <v>46058</v>
      </c>
      <c r="X149" s="5" t="s">
        <v>6251</v>
      </c>
      <c r="Y149" s="27"/>
      <c r="Z1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" spans="3:26" hidden="1">
      <c r="C150" s="28" t="s">
        <v>16</v>
      </c>
      <c r="D150" s="5">
        <v>4451</v>
      </c>
      <c r="E150" s="5">
        <v>22240</v>
      </c>
      <c r="F150" s="28" t="str">
        <f>IFERROR(VLOOKUP(TAB_OFICINAS[[#This Row],[Cliente]],LISTA_DE_CLIENTES[[Código]:[Nome Fantasia]],2,FALSE),"")</f>
        <v>ASSOCIAÇÃO CLUBE WAVE 1</v>
      </c>
      <c r="G150" s="5" t="str">
        <f>IFERROR(VLOOKUP(TAB_OFICINAS[[#This Row],[Cliente]],LISTA_DE_CLIENTES[[Código]:[Nome Fantasia]],3,FALSE),"")</f>
        <v>BEYOND SP</v>
      </c>
      <c r="H150" s="51">
        <v>92105268542</v>
      </c>
      <c r="I150" s="28" t="s">
        <v>20331</v>
      </c>
      <c r="J150" s="91">
        <v>147</v>
      </c>
      <c r="K150" s="86">
        <v>46037</v>
      </c>
      <c r="L150" s="10">
        <v>147</v>
      </c>
      <c r="M150" s="6">
        <v>46044</v>
      </c>
      <c r="N150" s="6">
        <v>46044</v>
      </c>
      <c r="O150" s="19">
        <f>TAB_OFICINAS[[#This Row],[Data Retorno Produção]]-TAB_OFICINAS[[#This Row],[Data Prometida  Entrega]]</f>
        <v>0</v>
      </c>
      <c r="P150" s="40" t="str">
        <f>IF(TAB_OFICINAS[[#This Row],[Dias Para Entrega]]&lt;=0,"Em dia","Dia de Atrasado")</f>
        <v>Em dia</v>
      </c>
      <c r="Q150" s="10">
        <f>IFERROR(TAB_OFICINAS[[#This Row],[Qtd pçs Enviadas]]-TAB_OFICINAS[[#This Row],[Qtd pçs Retornadas ]]," ")</f>
        <v>0</v>
      </c>
      <c r="R150" s="10">
        <v>0</v>
      </c>
      <c r="S150" s="5">
        <v>4313</v>
      </c>
      <c r="T150" s="5">
        <v>31</v>
      </c>
      <c r="U150" s="52">
        <v>5.3</v>
      </c>
      <c r="V150" s="44">
        <f>IFERROR(TAB_OFICINAS[[#This Row],[Valor Unit]]*TAB_OFICINAS[[#This Row],[Qtd pçs Enviadas]]," ")</f>
        <v>779.1</v>
      </c>
      <c r="W150" s="17">
        <v>46055</v>
      </c>
      <c r="X150" s="5" t="s">
        <v>6251</v>
      </c>
      <c r="Y150" s="27"/>
      <c r="Z1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" spans="3:26" hidden="1">
      <c r="C151" s="28" t="s">
        <v>15</v>
      </c>
      <c r="D151" s="5">
        <v>1281</v>
      </c>
      <c r="E151" s="5">
        <v>22486</v>
      </c>
      <c r="F151" s="28" t="str">
        <f>IFERROR(VLOOKUP(TAB_OFICINAS[[#This Row],[Cliente]],LISTA_DE_CLIENTES[[Código]:[Nome Fantasia]],2,FALSE),"")</f>
        <v>PALACIO TANGARA DESENVOLVIMENTO IMOBILIARIO E EXPL</v>
      </c>
      <c r="G151" s="5" t="str">
        <f>IFERROR(VLOOKUP(TAB_OFICINAS[[#This Row],[Cliente]],LISTA_DE_CLIENTES[[Código]:[Nome Fantasia]],3,FALSE),"")</f>
        <v>PALÁCIO TANGARÁ</v>
      </c>
      <c r="H151" s="51">
        <v>3302032156</v>
      </c>
      <c r="I151" s="28" t="s">
        <v>20392</v>
      </c>
      <c r="J151" s="91">
        <v>126</v>
      </c>
      <c r="K151" s="86">
        <v>46041</v>
      </c>
      <c r="L151" s="10">
        <v>126</v>
      </c>
      <c r="M151" s="6">
        <v>46048</v>
      </c>
      <c r="N151" s="6">
        <v>46048</v>
      </c>
      <c r="O151" s="19">
        <f>TAB_OFICINAS[[#This Row],[Data Retorno Produção]]-TAB_OFICINAS[[#This Row],[Data Prometida  Entrega]]</f>
        <v>0</v>
      </c>
      <c r="P151" s="40" t="str">
        <f>IF(TAB_OFICINAS[[#This Row],[Dias Para Entrega]]&lt;=0,"Em dia","Dia de Atrasado")</f>
        <v>Em dia</v>
      </c>
      <c r="Q151" s="10">
        <f>IFERROR(TAB_OFICINAS[[#This Row],[Qtd pçs Enviadas]]-TAB_OFICINAS[[#This Row],[Qtd pçs Retornadas ]]," ")</f>
        <v>0</v>
      </c>
      <c r="R151" s="10">
        <v>0</v>
      </c>
      <c r="S151" s="5">
        <v>3083</v>
      </c>
      <c r="T151" s="5">
        <v>16857</v>
      </c>
      <c r="U151" s="52">
        <v>3.2</v>
      </c>
      <c r="V151" s="44">
        <f>IFERROR(TAB_OFICINAS[[#This Row],[Valor Unit]]*TAB_OFICINAS[[#This Row],[Qtd pçs Enviadas]]," ")</f>
        <v>403.20000000000005</v>
      </c>
      <c r="W151" s="17">
        <v>46055</v>
      </c>
      <c r="X151" s="5" t="s">
        <v>6251</v>
      </c>
      <c r="Y151" s="27" t="s">
        <v>20425</v>
      </c>
      <c r="Z1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" spans="3:26" hidden="1">
      <c r="C152" s="28" t="s">
        <v>15</v>
      </c>
      <c r="D152" s="5">
        <v>5319</v>
      </c>
      <c r="E152" s="5">
        <v>22766</v>
      </c>
      <c r="F152" s="28" t="str">
        <f>IFERROR(VLOOKUP(TAB_OFICINAS[[#This Row],[Cliente]],LISTA_DE_CLIENTES[[Código]:[Nome Fantasia]],2,FALSE),"")</f>
        <v>VILLA JAGUAR HOTEL E RESTAURANTE LTDA</v>
      </c>
      <c r="G152" s="5" t="str">
        <f>IFERROR(VLOOKUP(TAB_OFICINAS[[#This Row],[Cliente]],LISTA_DE_CLIENTES[[Código]:[Nome Fantasia]],3,FALSE),"")</f>
        <v>VILLA JAGUAR</v>
      </c>
      <c r="H152" s="51" t="s">
        <v>21342</v>
      </c>
      <c r="I152" s="28" t="s">
        <v>21343</v>
      </c>
      <c r="J152" s="91">
        <v>121</v>
      </c>
      <c r="K152" s="86">
        <v>46071</v>
      </c>
      <c r="L152" s="10">
        <v>121</v>
      </c>
      <c r="M152" s="6">
        <v>46080</v>
      </c>
      <c r="N152" s="6">
        <v>46080</v>
      </c>
      <c r="O152" s="19">
        <f>TAB_OFICINAS[[#This Row],[Data Retorno Produção]]-TAB_OFICINAS[[#This Row],[Data Prometida  Entrega]]</f>
        <v>0</v>
      </c>
      <c r="P152" s="40" t="str">
        <f>IF(TAB_OFICINAS[[#This Row],[Dias Para Entrega]]&lt;=0,"Em dia","Dia de Atrasado")</f>
        <v>Em dia</v>
      </c>
      <c r="Q152" s="10">
        <f>IFERROR(TAB_OFICINAS[[#This Row],[Qtd pçs Enviadas]]-TAB_OFICINAS[[#This Row],[Qtd pçs Retornadas ]]," ")</f>
        <v>0</v>
      </c>
      <c r="R152" s="10">
        <v>0</v>
      </c>
      <c r="S152" s="5">
        <v>601</v>
      </c>
      <c r="T152" s="5">
        <v>16976</v>
      </c>
      <c r="U152" s="52">
        <v>3.2</v>
      </c>
      <c r="V152" s="44">
        <f>IFERROR(TAB_OFICINAS[[#This Row],[Valor Unit]]*TAB_OFICINAS[[#This Row],[Qtd pçs Enviadas]]," ")</f>
        <v>387.20000000000005</v>
      </c>
      <c r="W152" s="17">
        <v>46087</v>
      </c>
      <c r="X152" s="5" t="s">
        <v>6251</v>
      </c>
      <c r="Y152" s="27" t="s">
        <v>21344</v>
      </c>
      <c r="Z1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" spans="3:26" hidden="1">
      <c r="C153" s="28" t="s">
        <v>16</v>
      </c>
      <c r="D153" s="5">
        <v>1942</v>
      </c>
      <c r="E153" s="5">
        <v>22839</v>
      </c>
      <c r="F153" s="28" t="str">
        <f>IFERROR(VLOOKUP(TAB_OFICINAS[[#This Row],[Cliente]],LISTA_DE_CLIENTES[[Código]:[Nome Fantasia]],2,FALSE),"")</f>
        <v>ONCO STAR SP ONCOLOGIA LTDA (REDE D´OR)</v>
      </c>
      <c r="G153" s="5" t="str">
        <f>IFERROR(VLOOKUP(TAB_OFICINAS[[#This Row],[Cliente]],LISTA_DE_CLIENTES[[Código]:[Nome Fantasia]],3,FALSE),"")</f>
        <v>R DOR VILA NOVA STAR</v>
      </c>
      <c r="H153" s="51">
        <v>2121017007</v>
      </c>
      <c r="I153" s="28" t="s">
        <v>20341</v>
      </c>
      <c r="J153" s="91">
        <v>121</v>
      </c>
      <c r="K153" s="86">
        <v>46072</v>
      </c>
      <c r="L153" s="10">
        <v>121</v>
      </c>
      <c r="M153" s="6">
        <v>46076</v>
      </c>
      <c r="N153" s="6">
        <v>46076</v>
      </c>
      <c r="O153" s="19">
        <f>TAB_OFICINAS[[#This Row],[Data Retorno Produção]]-TAB_OFICINAS[[#This Row],[Data Prometida  Entrega]]</f>
        <v>0</v>
      </c>
      <c r="P153" s="40" t="str">
        <f>IF(TAB_OFICINAS[[#This Row],[Dias Para Entrega]]&lt;=0,"Em dia","Dia de Atrasado")</f>
        <v>Em dia</v>
      </c>
      <c r="Q153" s="10">
        <f>IFERROR(TAB_OFICINAS[[#This Row],[Qtd pçs Enviadas]]-TAB_OFICINAS[[#This Row],[Qtd pçs Retornadas ]]," ")</f>
        <v>0</v>
      </c>
      <c r="R153" s="10">
        <v>0</v>
      </c>
      <c r="S153" s="5">
        <v>603</v>
      </c>
      <c r="T153" s="5">
        <v>38</v>
      </c>
      <c r="U153" s="52">
        <v>8</v>
      </c>
      <c r="V153" s="44">
        <f>IFERROR(TAB_OFICINAS[[#This Row],[Valor Unit]]*TAB_OFICINAS[[#This Row],[Qtd pçs Enviadas]]," ")</f>
        <v>968</v>
      </c>
      <c r="W153" s="17">
        <v>46085</v>
      </c>
      <c r="X153" s="5" t="s">
        <v>6251</v>
      </c>
      <c r="Y153" s="27"/>
      <c r="Z1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" spans="3:26" hidden="1">
      <c r="C154" s="28" t="s">
        <v>7</v>
      </c>
      <c r="D154" s="5">
        <v>2685</v>
      </c>
      <c r="E154" s="5">
        <v>22138</v>
      </c>
      <c r="F154" s="28" t="str">
        <f>IFERROR(VLOOKUP(TAB_OFICINAS[[#This Row],[Cliente]],LISTA_DE_CLIENTES[[Código]:[Nome Fantasia]],2,FALSE),"")</f>
        <v>REDE DOR SAO LUIZ S.A.</v>
      </c>
      <c r="G154" s="5" t="str">
        <f>IFERROR(VLOOKUP(TAB_OFICINAS[[#This Row],[Cliente]],LISTA_DE_CLIENTES[[Código]:[Nome Fantasia]],3,FALSE),"")</f>
        <v>MATERNIDADE SAO LUIZ</v>
      </c>
      <c r="H154" s="51">
        <v>2101107032</v>
      </c>
      <c r="I154" s="28" t="s">
        <v>20318</v>
      </c>
      <c r="J154" s="91">
        <v>225</v>
      </c>
      <c r="K154" s="86">
        <v>46064</v>
      </c>
      <c r="L154" s="10">
        <v>225</v>
      </c>
      <c r="M154" s="6">
        <v>46073</v>
      </c>
      <c r="N154" s="6">
        <v>46073</v>
      </c>
      <c r="O154" s="19">
        <f>TAB_OFICINAS[[#This Row],[Data Retorno Produção]]-TAB_OFICINAS[[#This Row],[Data Prometida  Entrega]]</f>
        <v>0</v>
      </c>
      <c r="P154" s="40" t="str">
        <f>IF(TAB_OFICINAS[[#This Row],[Dias Para Entrega]]&lt;=0,"Em dia","Dia de Atrasado")</f>
        <v>Em dia</v>
      </c>
      <c r="Q154" s="10">
        <f>IFERROR(TAB_OFICINAS[[#This Row],[Qtd pçs Enviadas]]-TAB_OFICINAS[[#This Row],[Qtd pçs Retornadas ]]," ")</f>
        <v>0</v>
      </c>
      <c r="R154" s="10">
        <v>0</v>
      </c>
      <c r="S154" s="5">
        <v>584</v>
      </c>
      <c r="T154" s="5">
        <v>23</v>
      </c>
      <c r="U154" s="52">
        <v>8</v>
      </c>
      <c r="V154" s="44">
        <f>IFERROR(TAB_OFICINAS[[#This Row],[Valor Unit]]*TAB_OFICINAS[[#This Row],[Qtd pçs Enviadas]]," ")</f>
        <v>1800</v>
      </c>
      <c r="W154" s="17">
        <v>46083</v>
      </c>
      <c r="X154" s="5" t="s">
        <v>6251</v>
      </c>
      <c r="Y154" s="27"/>
      <c r="Z1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" spans="3:26" hidden="1">
      <c r="C155" s="28" t="s">
        <v>3</v>
      </c>
      <c r="D155" s="5">
        <v>9</v>
      </c>
      <c r="E155" s="5">
        <v>23226</v>
      </c>
      <c r="F155" s="28" t="str">
        <f>IFERROR(VLOOKUP(TAB_OFICINAS[[#This Row],[Cliente]],LISTA_DE_CLIENTES[[Código]:[Nome Fantasia]],2,FALSE),"")</f>
        <v>EMILIANO EMPREENDIMENTOS E PARTICIPACOES HOTELEIRA</v>
      </c>
      <c r="G155" s="5" t="str">
        <f>IFERROR(VLOOKUP(TAB_OFICINAS[[#This Row],[Cliente]],LISTA_DE_CLIENTES[[Código]:[Nome Fantasia]],3,FALSE),"")</f>
        <v>HOTEL EMILIANO</v>
      </c>
      <c r="H155" s="63">
        <v>2201029561</v>
      </c>
      <c r="I155" s="28" t="s">
        <v>21753</v>
      </c>
      <c r="J155" s="91">
        <v>116</v>
      </c>
      <c r="K155" s="86">
        <v>46123</v>
      </c>
      <c r="L155" s="10">
        <v>116</v>
      </c>
      <c r="M155" s="6">
        <v>46128</v>
      </c>
      <c r="N155" s="6">
        <v>46128</v>
      </c>
      <c r="O155" s="19">
        <f>TAB_OFICINAS[[#This Row],[Data Retorno Produção]]-TAB_OFICINAS[[#This Row],[Data Prometida  Entrega]]</f>
        <v>0</v>
      </c>
      <c r="P155" s="40" t="str">
        <f>IF(TAB_OFICINAS[[#This Row],[Dias Para Entrega]]&lt;=0,"Em dia","Dia de Atrasado")</f>
        <v>Em dia</v>
      </c>
      <c r="Q155" s="10">
        <f>IFERROR(TAB_OFICINAS[[#This Row],[Qtd pçs Enviadas]]-TAB_OFICINAS[[#This Row],[Qtd pçs Retornadas ]]," ")</f>
        <v>0</v>
      </c>
      <c r="R155" s="10"/>
      <c r="S155" s="5">
        <v>747</v>
      </c>
      <c r="T155" s="5">
        <v>102</v>
      </c>
      <c r="U155" s="52">
        <v>8.5</v>
      </c>
      <c r="V155" s="44">
        <f>IFERROR(TAB_OFICINAS[[#This Row],[Valor Unit]]*TAB_OFICINAS[[#This Row],[Qtd pçs Enviadas]]," ")</f>
        <v>986</v>
      </c>
      <c r="W155" s="17" t="s">
        <v>22345</v>
      </c>
      <c r="X155" s="5" t="s">
        <v>6251</v>
      </c>
      <c r="Y155" s="27"/>
      <c r="Z1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" spans="3:26" hidden="1">
      <c r="C156" s="28" t="s">
        <v>21197</v>
      </c>
      <c r="D156" s="5">
        <v>943</v>
      </c>
      <c r="E156" s="5">
        <v>22882</v>
      </c>
      <c r="F156" s="28" t="str">
        <f>IFERROR(VLOOKUP(TAB_OFICINAS[[#This Row],[Cliente]],LISTA_DE_CLIENTES[[Código]:[Nome Fantasia]],2,FALSE),"")</f>
        <v>REDE DOR SAO LUIZ S.A.</v>
      </c>
      <c r="G156" s="5" t="str">
        <f>IFERROR(VLOOKUP(TAB_OFICINAS[[#This Row],[Cliente]],LISTA_DE_CLIENTES[[Código]:[Nome Fantasia]],3,FALSE),"")</f>
        <v>HOSPITAL COPA STAR</v>
      </c>
      <c r="H156" s="63">
        <v>2103062494</v>
      </c>
      <c r="I156" s="28" t="s">
        <v>21170</v>
      </c>
      <c r="J156" s="91">
        <v>300</v>
      </c>
      <c r="K156" s="86">
        <v>46136</v>
      </c>
      <c r="L156" s="10">
        <v>300</v>
      </c>
      <c r="M156" s="6">
        <v>46161</v>
      </c>
      <c r="N156" s="6">
        <v>46161</v>
      </c>
      <c r="O156" s="19">
        <f>TAB_OFICINAS[[#This Row],[Data Retorno Produção]]-TAB_OFICINAS[[#This Row],[Data Prometida  Entrega]]</f>
        <v>0</v>
      </c>
      <c r="P156" s="40" t="str">
        <f>IF(TAB_OFICINAS[[#This Row],[Dias Para Entrega]]&lt;=0,"Em dia","Dia de Atrasado")</f>
        <v>Em dia</v>
      </c>
      <c r="Q156" s="10">
        <f>IFERROR(TAB_OFICINAS[[#This Row],[Qtd pçs Enviadas]]-TAB_OFICINAS[[#This Row],[Qtd pçs Retornadas ]]," ")</f>
        <v>0</v>
      </c>
      <c r="R156" s="10"/>
      <c r="S156" s="5">
        <v>786</v>
      </c>
      <c r="T156" s="5">
        <v>58</v>
      </c>
      <c r="U156" s="52">
        <v>5.95</v>
      </c>
      <c r="V156" s="44">
        <f>IFERROR(TAB_OFICINAS[[#This Row],[Valor Unit]]*TAB_OFICINAS[[#This Row],[Qtd pçs Enviadas]]," ")</f>
        <v>1785</v>
      </c>
      <c r="W156" s="17">
        <v>46170</v>
      </c>
      <c r="X156" s="5" t="s">
        <v>6251</v>
      </c>
      <c r="Y156" s="27"/>
      <c r="Z1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" spans="3:26" hidden="1">
      <c r="C157" s="28" t="s">
        <v>20</v>
      </c>
      <c r="D157" s="5">
        <v>2345</v>
      </c>
      <c r="E157" s="5">
        <v>22856</v>
      </c>
      <c r="F157" s="28" t="str">
        <f>IFERROR(VLOOKUP(TAB_OFICINAS[[#This Row],[Cliente]],LISTA_DE_CLIENTES[[Código]:[Nome Fantasia]],2,FALSE),"")</f>
        <v>CHATEAU CAMPOS DO JORDAO SERVICOS HOTELEIROS LTDA</v>
      </c>
      <c r="G157" s="5" t="str">
        <f>IFERROR(VLOOKUP(TAB_OFICINAS[[#This Row],[Cliente]],LISTA_DE_CLIENTES[[Código]:[Nome Fantasia]],3,FALSE),"")</f>
        <v>HOTEL CHATEAU</v>
      </c>
      <c r="H157" s="51">
        <v>2102161785</v>
      </c>
      <c r="I157" s="28" t="s">
        <v>20374</v>
      </c>
      <c r="J157" s="91">
        <v>12</v>
      </c>
      <c r="K157" s="86">
        <v>46078</v>
      </c>
      <c r="L157" s="10">
        <v>12</v>
      </c>
      <c r="M157" s="6">
        <v>46083</v>
      </c>
      <c r="N157" s="6">
        <v>46083</v>
      </c>
      <c r="O157" s="19">
        <f>TAB_OFICINAS[[#This Row],[Data Retorno Produção]]-TAB_OFICINAS[[#This Row],[Data Prometida  Entrega]]</f>
        <v>0</v>
      </c>
      <c r="P157" s="40" t="str">
        <f>IF(TAB_OFICINAS[[#This Row],[Dias Para Entrega]]&lt;=0,"Em dia","Dia de Atrasado")</f>
        <v>Em dia</v>
      </c>
      <c r="Q157" s="10">
        <f>IFERROR(TAB_OFICINAS[[#This Row],[Qtd pçs Enviadas]]-TAB_OFICINAS[[#This Row],[Qtd pçs Retornadas ]],"N/D ")</f>
        <v>0</v>
      </c>
      <c r="R157" s="10">
        <v>0</v>
      </c>
      <c r="S157" s="5">
        <v>630</v>
      </c>
      <c r="T157" s="5">
        <v>79</v>
      </c>
      <c r="U157" s="52">
        <v>7.5</v>
      </c>
      <c r="V157" s="44">
        <f>IFERROR(TAB_OFICINAS[[#This Row],[Valor Unit]]*TAB_OFICINAS[[#This Row],[Qtd pçs Enviadas]]," ")</f>
        <v>90</v>
      </c>
      <c r="W157" s="17">
        <v>46092</v>
      </c>
      <c r="X157" s="5" t="s">
        <v>6251</v>
      </c>
      <c r="Y157" s="27"/>
      <c r="Z1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" spans="3:26" hidden="1">
      <c r="C158" s="28" t="s">
        <v>15</v>
      </c>
      <c r="D158" s="5">
        <v>5572</v>
      </c>
      <c r="E158" s="5">
        <v>23503</v>
      </c>
      <c r="F158" s="28" t="str">
        <f>IFERROR(VLOOKUP(TAB_OFICINAS[[#This Row],[Cliente]],LISTA_DE_CLIENTES[[Código]:[Nome Fantasia]],2,FALSE),"")</f>
        <v>TAUÁ HOTEL E CONVENTION JOÃO PESSOA LTDA</v>
      </c>
      <c r="G158" s="2" t="str">
        <f>IFERROR(VLOOKUP(TAB_OFICINAS[[#This Row],[Cliente]],LISTA_DE_CLIENTES[[Código]:[Nome Fantasia]],3,FALSE),"")</f>
        <v>TAUÁ HOTEL E CONVENT</v>
      </c>
      <c r="H158" s="63">
        <v>92101069934</v>
      </c>
      <c r="I158" s="28" t="s">
        <v>22997</v>
      </c>
      <c r="J158" s="91">
        <v>113</v>
      </c>
      <c r="K158" s="86">
        <v>46178</v>
      </c>
      <c r="L158" s="34">
        <v>113</v>
      </c>
      <c r="M158" s="6">
        <v>46189</v>
      </c>
      <c r="N158" s="6">
        <v>46189</v>
      </c>
      <c r="O158" s="19">
        <f>TAB_OFICINAS[[#This Row],[Data Retorno Produção]]-TAB_OFICINAS[[#This Row],[Data Prometida  Entrega]]</f>
        <v>0</v>
      </c>
      <c r="P158" s="40" t="str">
        <f>IF(TAB_OFICINAS[[#This Row],[Dias Para Entrega]]&lt;=0,"Em dia","Dia de Atrasado")</f>
        <v>Em dia</v>
      </c>
      <c r="Q158" s="10">
        <f>IFERROR(TAB_OFICINAS[[#This Row],[Qtd pçs Enviadas]]-TAB_OFICINAS[[#This Row],[Qtd pçs Retornadas ]]," ")</f>
        <v>0</v>
      </c>
      <c r="R158" s="10">
        <v>1</v>
      </c>
      <c r="S158" s="5">
        <v>3251</v>
      </c>
      <c r="T158" s="5">
        <v>17347</v>
      </c>
      <c r="U158" s="1">
        <v>12</v>
      </c>
      <c r="V158" s="3">
        <f>IFERROR(TAB_OFICINAS[[#This Row],[Valor Unit]]*TAB_OFICINAS[[#This Row],[Qtd pçs Enviadas]]," ")</f>
        <v>1356</v>
      </c>
      <c r="W158" s="17">
        <v>46198</v>
      </c>
      <c r="X158" s="5" t="s">
        <v>6251</v>
      </c>
      <c r="Y158" s="4" t="s">
        <v>23177</v>
      </c>
      <c r="Z1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9" spans="3:26" hidden="1">
      <c r="C159" s="28" t="s">
        <v>3</v>
      </c>
      <c r="D159" s="5">
        <v>1281</v>
      </c>
      <c r="E159" s="5">
        <v>22486</v>
      </c>
      <c r="F159" s="28" t="str">
        <f>IFERROR(VLOOKUP(TAB_OFICINAS[[#This Row],[Cliente]],LISTA_DE_CLIENTES[[Código]:[Nome Fantasia]],2,FALSE),"")</f>
        <v>PALACIO TANGARA DESENVOLVIMENTO IMOBILIARIO E EXPL</v>
      </c>
      <c r="G159" s="5" t="str">
        <f>IFERROR(VLOOKUP(TAB_OFICINAS[[#This Row],[Cliente]],LISTA_DE_CLIENTES[[Código]:[Nome Fantasia]],3,FALSE),"")</f>
        <v>PALÁCIO TANGARÁ</v>
      </c>
      <c r="H159" s="51">
        <v>3302032156</v>
      </c>
      <c r="I159" s="28" t="s">
        <v>20673</v>
      </c>
      <c r="J159" s="91">
        <v>112</v>
      </c>
      <c r="K159" s="86">
        <v>46034</v>
      </c>
      <c r="L159" s="10">
        <v>112</v>
      </c>
      <c r="M159" s="6">
        <v>46037</v>
      </c>
      <c r="N159" s="6">
        <v>46037</v>
      </c>
      <c r="O159" s="19">
        <f>TAB_OFICINAS[[#This Row],[Data Retorno Produção]]-TAB_OFICINAS[[#This Row],[Data Prometida  Entrega]]</f>
        <v>0</v>
      </c>
      <c r="P159" s="40" t="str">
        <f>IF(TAB_OFICINAS[[#This Row],[Dias Para Entrega]]&lt;=0,"Em dia","Dia de Atrasado")</f>
        <v>Em dia</v>
      </c>
      <c r="Q159" s="10">
        <f>IFERROR(TAB_OFICINAS[[#This Row],[Qtd pçs Enviadas]]-TAB_OFICINAS[[#This Row],[Qtd pçs Retornadas ]]," ")</f>
        <v>0</v>
      </c>
      <c r="R159" s="10">
        <v>0</v>
      </c>
      <c r="S159" s="5">
        <v>3074</v>
      </c>
      <c r="T159" s="5">
        <v>88</v>
      </c>
      <c r="U159" s="52">
        <v>4</v>
      </c>
      <c r="V159" s="44">
        <f>IFERROR(TAB_OFICINAS[[#This Row],[Valor Unit]]*TAB_OFICINAS[[#This Row],[Qtd pçs Enviadas]]," ")</f>
        <v>448</v>
      </c>
      <c r="W159" s="17">
        <v>46050</v>
      </c>
      <c r="X159" s="5" t="s">
        <v>6251</v>
      </c>
      <c r="Y159" s="27"/>
      <c r="Z1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0" spans="3:26" hidden="1">
      <c r="C160" s="28" t="s">
        <v>17</v>
      </c>
      <c r="D160" s="5">
        <v>4451</v>
      </c>
      <c r="E160" s="5">
        <v>22240</v>
      </c>
      <c r="F160" s="28" t="str">
        <f>IFERROR(VLOOKUP(TAB_OFICINAS[[#This Row],[Cliente]],LISTA_DE_CLIENTES[[Código]:[Nome Fantasia]],2,FALSE),"")</f>
        <v>ASSOCIAÇÃO CLUBE WAVE 1</v>
      </c>
      <c r="G160" s="5" t="str">
        <f>IFERROR(VLOOKUP(TAB_OFICINAS[[#This Row],[Cliente]],LISTA_DE_CLIENTES[[Código]:[Nome Fantasia]],3,FALSE),"")</f>
        <v>BEYOND SP</v>
      </c>
      <c r="H160" s="51">
        <v>3301091670</v>
      </c>
      <c r="I160" s="28" t="s">
        <v>20347</v>
      </c>
      <c r="J160" s="91">
        <v>111</v>
      </c>
      <c r="K160" s="86">
        <v>46038</v>
      </c>
      <c r="L160" s="10">
        <v>111</v>
      </c>
      <c r="M160" s="6">
        <v>46037</v>
      </c>
      <c r="N160" s="6">
        <v>46064</v>
      </c>
      <c r="O160" s="19">
        <f>TAB_OFICINAS[[#This Row],[Data Retorno Produção]]-TAB_OFICINAS[[#This Row],[Data Prometida  Entrega]]</f>
        <v>27</v>
      </c>
      <c r="P160" s="40" t="str">
        <f>IF(TAB_OFICINAS[[#This Row],[Dias Para Entrega]]&lt;=0,"Em dia","Dia de Atrasado")</f>
        <v>Dia de Atrasado</v>
      </c>
      <c r="Q160" s="10">
        <f>IFERROR(TAB_OFICINAS[[#This Row],[Qtd pçs Enviadas]]-TAB_OFICINAS[[#This Row],[Qtd pçs Retornadas ]]," ")</f>
        <v>0</v>
      </c>
      <c r="R160" s="10">
        <v>0</v>
      </c>
      <c r="S160" s="5">
        <v>4316</v>
      </c>
      <c r="T160" s="5">
        <v>43</v>
      </c>
      <c r="U160" s="52">
        <v>14</v>
      </c>
      <c r="V160" s="44">
        <f>IFERROR(TAB_OFICINAS[[#This Row],[Valor Unit]]*TAB_OFICINAS[[#This Row],[Qtd pçs Enviadas]]," ")</f>
        <v>1554</v>
      </c>
      <c r="W160" s="17">
        <v>46071</v>
      </c>
      <c r="X160" s="5" t="s">
        <v>6251</v>
      </c>
      <c r="Y160" s="27"/>
      <c r="Z1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1" spans="3:26" hidden="1">
      <c r="C161" s="28" t="s">
        <v>17</v>
      </c>
      <c r="D161" s="5">
        <v>4451</v>
      </c>
      <c r="E161" s="5">
        <v>22240</v>
      </c>
      <c r="F161" s="28" t="str">
        <f>IFERROR(VLOOKUP(TAB_OFICINAS[[#This Row],[Cliente]],LISTA_DE_CLIENTES[[Código]:[Nome Fantasia]],2,FALSE),"")</f>
        <v>ASSOCIAÇÃO CLUBE WAVE 1</v>
      </c>
      <c r="G161" s="5" t="str">
        <f>IFERROR(VLOOKUP(TAB_OFICINAS[[#This Row],[Cliente]],LISTA_DE_CLIENTES[[Código]:[Nome Fantasia]],3,FALSE),"")</f>
        <v>BEYOND SP</v>
      </c>
      <c r="H161" s="51">
        <v>3301098625</v>
      </c>
      <c r="I161" s="28" t="s">
        <v>20348</v>
      </c>
      <c r="J161" s="91">
        <v>111</v>
      </c>
      <c r="K161" s="86">
        <v>46038</v>
      </c>
      <c r="L161" s="10">
        <v>111</v>
      </c>
      <c r="M161" s="6">
        <v>46037</v>
      </c>
      <c r="N161" s="6">
        <v>46056</v>
      </c>
      <c r="O161" s="19">
        <f>TAB_OFICINAS[[#This Row],[Data Retorno Produção]]-TAB_OFICINAS[[#This Row],[Data Prometida  Entrega]]</f>
        <v>19</v>
      </c>
      <c r="P161" s="40" t="str">
        <f>IF(TAB_OFICINAS[[#This Row],[Dias Para Entrega]]&lt;=0,"Em dia","Dia de Atrasado")</f>
        <v>Dia de Atrasado</v>
      </c>
      <c r="Q161" s="10">
        <f>IFERROR(TAB_OFICINAS[[#This Row],[Qtd pçs Enviadas]]-TAB_OFICINAS[[#This Row],[Qtd pçs Retornadas ]]," ")</f>
        <v>0</v>
      </c>
      <c r="R161" s="10">
        <v>0</v>
      </c>
      <c r="S161" s="5">
        <v>4316</v>
      </c>
      <c r="T161" s="5">
        <v>43</v>
      </c>
      <c r="U161" s="52">
        <v>14</v>
      </c>
      <c r="V161" s="44">
        <f>IFERROR(TAB_OFICINAS[[#This Row],[Valor Unit]]*TAB_OFICINAS[[#This Row],[Qtd pçs Enviadas]]," ")</f>
        <v>1554</v>
      </c>
      <c r="W161" s="17">
        <v>46071</v>
      </c>
      <c r="X161" s="5" t="s">
        <v>6251</v>
      </c>
      <c r="Y161" s="27"/>
      <c r="Z1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2" spans="3:26" hidden="1">
      <c r="C162" s="28" t="s">
        <v>5</v>
      </c>
      <c r="D162" s="5">
        <v>4451</v>
      </c>
      <c r="E162" s="5">
        <v>22442</v>
      </c>
      <c r="F162" s="28" t="str">
        <f>IFERROR(VLOOKUP(TAB_OFICINAS[[#This Row],[Cliente]],LISTA_DE_CLIENTES[[Código]:[Nome Fantasia]],2,FALSE),"")</f>
        <v>ASSOCIAÇÃO CLUBE WAVE 1</v>
      </c>
      <c r="G162" s="5" t="str">
        <f>IFERROR(VLOOKUP(TAB_OFICINAS[[#This Row],[Cliente]],LISTA_DE_CLIENTES[[Código]:[Nome Fantasia]],3,FALSE),"")</f>
        <v>BEYOND SP</v>
      </c>
      <c r="H162" s="51">
        <v>92115027838</v>
      </c>
      <c r="I162" s="28" t="s">
        <v>20304</v>
      </c>
      <c r="J162" s="91">
        <v>108</v>
      </c>
      <c r="K162" s="86">
        <v>46041</v>
      </c>
      <c r="L162" s="10">
        <v>108</v>
      </c>
      <c r="M162" s="6">
        <v>46069</v>
      </c>
      <c r="N162" s="6">
        <v>46050</v>
      </c>
      <c r="O162" s="19">
        <f>TAB_OFICINAS[[#This Row],[Data Retorno Produção]]-TAB_OFICINAS[[#This Row],[Data Prometida  Entrega]]</f>
        <v>-19</v>
      </c>
      <c r="P162" s="40" t="str">
        <f>IF(TAB_OFICINAS[[#This Row],[Dias Para Entrega]]&lt;=0,"Em dia","Dia de Atrasado")</f>
        <v>Em dia</v>
      </c>
      <c r="Q162" s="10">
        <f>IFERROR(TAB_OFICINAS[[#This Row],[Qtd pçs Enviadas]]-TAB_OFICINAS[[#This Row],[Qtd pçs Retornadas ]]," ")</f>
        <v>0</v>
      </c>
      <c r="R162" s="10">
        <v>0</v>
      </c>
      <c r="S162" s="5">
        <v>4319</v>
      </c>
      <c r="T162" s="5">
        <v>2599</v>
      </c>
      <c r="U162" s="52">
        <v>10.75</v>
      </c>
      <c r="V162" s="44">
        <f>IFERROR(TAB_OFICINAS[[#This Row],[Valor Unit]]*TAB_OFICINAS[[#This Row],[Qtd pçs Enviadas]]," ")</f>
        <v>1161</v>
      </c>
      <c r="W162" s="17">
        <v>46059</v>
      </c>
      <c r="X162" s="5" t="s">
        <v>6251</v>
      </c>
      <c r="Y162" s="27"/>
      <c r="Z1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3" spans="3:26" hidden="1">
      <c r="C163" s="28" t="s">
        <v>5</v>
      </c>
      <c r="D163" s="5">
        <v>4451</v>
      </c>
      <c r="E163" s="5">
        <v>22442</v>
      </c>
      <c r="F163" s="28" t="str">
        <f>IFERROR(VLOOKUP(TAB_OFICINAS[[#This Row],[Cliente]],LISTA_DE_CLIENTES[[Código]:[Nome Fantasia]],2,FALSE),"")</f>
        <v>ASSOCIAÇÃO CLUBE WAVE 1</v>
      </c>
      <c r="G163" s="5" t="str">
        <f>IFERROR(VLOOKUP(TAB_OFICINAS[[#This Row],[Cliente]],LISTA_DE_CLIENTES[[Código]:[Nome Fantasia]],3,FALSE),"")</f>
        <v>BEYOND SP</v>
      </c>
      <c r="H163" s="51">
        <v>93402028510</v>
      </c>
      <c r="I163" s="28" t="s">
        <v>20305</v>
      </c>
      <c r="J163" s="91">
        <v>108</v>
      </c>
      <c r="K163" s="86">
        <v>46041</v>
      </c>
      <c r="L163" s="10">
        <v>108</v>
      </c>
      <c r="M163" s="6">
        <v>46069</v>
      </c>
      <c r="N163" s="6">
        <v>46050</v>
      </c>
      <c r="O163" s="19">
        <f>TAB_OFICINAS[[#This Row],[Data Retorno Produção]]-TAB_OFICINAS[[#This Row],[Data Prometida  Entrega]]</f>
        <v>-19</v>
      </c>
      <c r="P163" s="40" t="str">
        <f>IF(TAB_OFICINAS[[#This Row],[Dias Para Entrega]]&lt;=0,"Em dia","Dia de Atrasado")</f>
        <v>Em dia</v>
      </c>
      <c r="Q163" s="10">
        <f>IFERROR(TAB_OFICINAS[[#This Row],[Qtd pçs Enviadas]]-TAB_OFICINAS[[#This Row],[Qtd pçs Retornadas ]]," ")</f>
        <v>0</v>
      </c>
      <c r="R163" s="10">
        <v>0</v>
      </c>
      <c r="S163" s="5">
        <v>4319</v>
      </c>
      <c r="T163" s="5">
        <v>2599</v>
      </c>
      <c r="U163" s="52">
        <v>6</v>
      </c>
      <c r="V163" s="44">
        <f>IFERROR(TAB_OFICINAS[[#This Row],[Valor Unit]]*TAB_OFICINAS[[#This Row],[Qtd pçs Enviadas]]," ")</f>
        <v>648</v>
      </c>
      <c r="W163" s="17">
        <v>46059</v>
      </c>
      <c r="X163" s="5" t="s">
        <v>6251</v>
      </c>
      <c r="Y163" s="27"/>
      <c r="Z1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4" spans="3:26" hidden="1">
      <c r="C164" s="28" t="s">
        <v>5</v>
      </c>
      <c r="D164" s="5">
        <v>4451</v>
      </c>
      <c r="E164" s="5">
        <v>22442</v>
      </c>
      <c r="F164" s="28" t="str">
        <f>IFERROR(VLOOKUP(TAB_OFICINAS[[#This Row],[Cliente]],LISTA_DE_CLIENTES[[Código]:[Nome Fantasia]],2,FALSE),"")</f>
        <v>ASSOCIAÇÃO CLUBE WAVE 1</v>
      </c>
      <c r="G164" s="5" t="str">
        <f>IFERROR(VLOOKUP(TAB_OFICINAS[[#This Row],[Cliente]],LISTA_DE_CLIENTES[[Código]:[Nome Fantasia]],3,FALSE),"")</f>
        <v>BEYOND SP</v>
      </c>
      <c r="H164" s="51">
        <v>92102038512</v>
      </c>
      <c r="I164" s="28" t="s">
        <v>20306</v>
      </c>
      <c r="J164" s="91">
        <v>108</v>
      </c>
      <c r="K164" s="86">
        <v>46041</v>
      </c>
      <c r="L164" s="10">
        <v>108</v>
      </c>
      <c r="M164" s="6">
        <v>46069</v>
      </c>
      <c r="N164" s="6">
        <v>46050</v>
      </c>
      <c r="O164" s="19">
        <f>TAB_OFICINAS[[#This Row],[Data Retorno Produção]]-TAB_OFICINAS[[#This Row],[Data Prometida  Entrega]]</f>
        <v>-19</v>
      </c>
      <c r="P164" s="40" t="str">
        <f>IF(TAB_OFICINAS[[#This Row],[Dias Para Entrega]]&lt;=0,"Em dia","Dia de Atrasado")</f>
        <v>Em dia</v>
      </c>
      <c r="Q164" s="10">
        <f>IFERROR(TAB_OFICINAS[[#This Row],[Qtd pçs Enviadas]]-TAB_OFICINAS[[#This Row],[Qtd pçs Retornadas ]]," ")</f>
        <v>0</v>
      </c>
      <c r="R164" s="10">
        <v>0</v>
      </c>
      <c r="S164" s="5">
        <v>4319</v>
      </c>
      <c r="T164" s="5">
        <v>2599</v>
      </c>
      <c r="U164" s="52">
        <v>6.5</v>
      </c>
      <c r="V164" s="44">
        <f>IFERROR(TAB_OFICINAS[[#This Row],[Valor Unit]]*TAB_OFICINAS[[#This Row],[Qtd pçs Enviadas]]," ")</f>
        <v>702</v>
      </c>
      <c r="W164" s="17">
        <v>46059</v>
      </c>
      <c r="X164" s="5" t="s">
        <v>6251</v>
      </c>
      <c r="Y164" s="27"/>
      <c r="Z1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5" spans="3:26" hidden="1">
      <c r="C165" s="28" t="s">
        <v>19</v>
      </c>
      <c r="D165" s="5">
        <v>155</v>
      </c>
      <c r="E165" s="5">
        <v>22346</v>
      </c>
      <c r="F165" s="28" t="str">
        <f>IFERROR(VLOOKUP(TAB_OFICINAS[[#This Row],[Cliente]],LISTA_DE_CLIENTES[[Código]:[Nome Fantasia]],2,FALSE),"")</f>
        <v>HOTEIS OTHON S A</v>
      </c>
      <c r="G165" s="5" t="str">
        <f>IFERROR(VLOOKUP(TAB_OFICINAS[[#This Row],[Cliente]],LISTA_DE_CLIENTES[[Código]:[Nome Fantasia]],3,FALSE),"")</f>
        <v>RIO OTHON PALACE HOT</v>
      </c>
      <c r="H165" s="51" t="s">
        <v>23962</v>
      </c>
      <c r="I165" s="28" t="s">
        <v>20358</v>
      </c>
      <c r="J165" s="91">
        <v>100</v>
      </c>
      <c r="K165" s="86">
        <v>46008</v>
      </c>
      <c r="L165" s="10">
        <v>100</v>
      </c>
      <c r="M165" s="6">
        <v>46028</v>
      </c>
      <c r="N165" s="6">
        <v>46031</v>
      </c>
      <c r="O165" s="19">
        <f>TAB_OFICINAS[[#This Row],[Data Retorno Produção]]-TAB_OFICINAS[[#This Row],[Data Prometida  Entrega]]</f>
        <v>3</v>
      </c>
      <c r="P165" s="40" t="str">
        <f>IF(TAB_OFICINAS[[#This Row],[Dias Para Entrega]]&lt;=0,"Em dia","Dia de Atrasado")</f>
        <v>Dia de Atrasado</v>
      </c>
      <c r="Q165" s="10">
        <f>IFERROR(TAB_OFICINAS[[#This Row],[Qtd pçs Enviadas]]-TAB_OFICINAS[[#This Row],[Qtd pçs Retornadas ]]," ")</f>
        <v>0</v>
      </c>
      <c r="R165" s="10">
        <v>0</v>
      </c>
      <c r="S165" s="5">
        <v>3050</v>
      </c>
      <c r="T165" s="5">
        <v>39</v>
      </c>
      <c r="U165" s="52">
        <v>1.4</v>
      </c>
      <c r="V165" s="44">
        <f>IFERROR(TAB_OFICINAS[[#This Row],[Valor Unit]]*TAB_OFICINAS[[#This Row],[Qtd pçs Enviadas]]," ")</f>
        <v>140</v>
      </c>
      <c r="W165" s="17">
        <v>46050</v>
      </c>
      <c r="X165" s="5" t="s">
        <v>6251</v>
      </c>
      <c r="Y165" s="27"/>
      <c r="Z1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6" spans="3:26" hidden="1">
      <c r="C166" s="28" t="s">
        <v>15</v>
      </c>
      <c r="D166" s="5">
        <v>1941</v>
      </c>
      <c r="E166" s="5">
        <v>22893</v>
      </c>
      <c r="F166" s="28" t="str">
        <f>IFERROR(VLOOKUP(TAB_OFICINAS[[#This Row],[Cliente]],LISTA_DE_CLIENTES[[Código]:[Nome Fantasia]],2,FALSE),"")</f>
        <v>HOSPITAIS INTEGRADOS DA GAVEA S/A</v>
      </c>
      <c r="G166" s="5" t="str">
        <f>IFERROR(VLOOKUP(TAB_OFICINAS[[#This Row],[Cliente]],LISTA_DE_CLIENTES[[Código]:[Nome Fantasia]],3,FALSE),"")</f>
        <v>REDE D´OR - DF STAR</v>
      </c>
      <c r="H166" s="63">
        <v>2101102488</v>
      </c>
      <c r="I166" s="28" t="s">
        <v>21402</v>
      </c>
      <c r="J166" s="91">
        <v>105</v>
      </c>
      <c r="K166" s="86">
        <v>46106</v>
      </c>
      <c r="L166" s="10">
        <v>105</v>
      </c>
      <c r="M166" s="6">
        <v>46111</v>
      </c>
      <c r="N166" s="6">
        <v>46111</v>
      </c>
      <c r="O166" s="19">
        <f>TAB_OFICINAS[[#This Row],[Data Retorno Produção]]-TAB_OFICINAS[[#This Row],[Data Prometida  Entrega]]</f>
        <v>0</v>
      </c>
      <c r="P166" s="40" t="str">
        <f>IF(TAB_OFICINAS[[#This Row],[Dias Para Entrega]]&lt;=0,"Em dia","Dia de Atrasado")</f>
        <v>Em dia</v>
      </c>
      <c r="Q166" s="10">
        <f>IFERROR(TAB_OFICINAS[[#This Row],[Qtd pçs Enviadas]]-TAB_OFICINAS[[#This Row],[Qtd pçs Retornadas ]]," ")</f>
        <v>0</v>
      </c>
      <c r="R166" s="10">
        <v>0</v>
      </c>
      <c r="S166" s="5">
        <v>712</v>
      </c>
      <c r="T166" s="5">
        <v>17067</v>
      </c>
      <c r="U166" s="52">
        <v>3.85</v>
      </c>
      <c r="V166" s="44">
        <f>IFERROR(TAB_OFICINAS[[#This Row],[Valor Unit]]*TAB_OFICINAS[[#This Row],[Qtd pçs Enviadas]]," ")</f>
        <v>404.25</v>
      </c>
      <c r="W166" s="17">
        <v>46118</v>
      </c>
      <c r="X166" s="5" t="s">
        <v>6251</v>
      </c>
      <c r="Y166" s="27" t="s">
        <v>21341</v>
      </c>
      <c r="Z1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7" spans="3:26" hidden="1">
      <c r="C167" s="28" t="s">
        <v>3</v>
      </c>
      <c r="D167" s="5">
        <v>5572</v>
      </c>
      <c r="E167" s="5">
        <v>23053</v>
      </c>
      <c r="F167" s="28" t="str">
        <f>IFERROR(VLOOKUP(TAB_OFICINAS[[#This Row],[Cliente]],LISTA_DE_CLIENTES[[Código]:[Nome Fantasia]],2,FALSE),"")</f>
        <v>TAUÁ HOTEL E CONVENTION JOÃO PESSOA LTDA</v>
      </c>
      <c r="G167" s="5" t="str">
        <f>IFERROR(VLOOKUP(TAB_OFICINAS[[#This Row],[Cliente]],LISTA_DE_CLIENTES[[Código]:[Nome Fantasia]],3,FALSE),"")</f>
        <v>TAUÁ HOTEL E CONVENT</v>
      </c>
      <c r="H167" s="63">
        <v>3105018388</v>
      </c>
      <c r="I167" s="28" t="s">
        <v>22963</v>
      </c>
      <c r="J167" s="91">
        <v>104</v>
      </c>
      <c r="K167" s="86">
        <v>46174</v>
      </c>
      <c r="L167" s="34">
        <v>104</v>
      </c>
      <c r="M167" s="6">
        <v>46185</v>
      </c>
      <c r="N167" s="6">
        <v>46183</v>
      </c>
      <c r="O167" s="19">
        <f>TAB_OFICINAS[[#This Row],[Data Retorno Produção]]-TAB_OFICINAS[[#This Row],[Data Prometida  Entrega]]</f>
        <v>-2</v>
      </c>
      <c r="P167" s="40" t="str">
        <f>IF(TAB_OFICINAS[[#This Row],[Dias Para Entrega]]&lt;=0,"Em dia","Dia de Atrasado")</f>
        <v>Em dia</v>
      </c>
      <c r="Q167" s="10">
        <f>IFERROR(TAB_OFICINAS[[#This Row],[Qtd pçs Enviadas]]-TAB_OFICINAS[[#This Row],[Qtd pçs Retornadas ]]," ")</f>
        <v>0</v>
      </c>
      <c r="R167" s="10"/>
      <c r="S167" s="5">
        <v>3247</v>
      </c>
      <c r="T167" s="5">
        <v>110</v>
      </c>
      <c r="U167" s="52">
        <v>3.25</v>
      </c>
      <c r="V167" s="44">
        <f>IFERROR(TAB_OFICINAS[[#This Row],[Valor Unit]]*TAB_OFICINAS[[#This Row],[Qtd pçs Enviadas]]," ")</f>
        <v>338</v>
      </c>
      <c r="W167" s="17">
        <v>46196</v>
      </c>
      <c r="X167" s="5" t="s">
        <v>6251</v>
      </c>
      <c r="Y167" s="27"/>
      <c r="Z1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8" spans="3:26" hidden="1">
      <c r="C168" s="28" t="s">
        <v>15</v>
      </c>
      <c r="D168" s="5">
        <v>2913</v>
      </c>
      <c r="E168" s="5">
        <v>23358</v>
      </c>
      <c r="F168" s="28" t="str">
        <f>IFERROR(VLOOKUP(TAB_OFICINAS[[#This Row],[Cliente]],LISTA_DE_CLIENTES[[Código]:[Nome Fantasia]],2,FALSE),"")</f>
        <v>EDIFICIO QUEEN VICTORIA</v>
      </c>
      <c r="G168" s="2" t="str">
        <f>IFERROR(VLOOKUP(TAB_OFICINAS[[#This Row],[Cliente]],LISTA_DE_CLIENTES[[Código]:[Nome Fantasia]],3,FALSE),"")</f>
        <v>QUEEN VICTORIA</v>
      </c>
      <c r="H168" s="63">
        <v>3302302215</v>
      </c>
      <c r="I168" s="28" t="s">
        <v>22682</v>
      </c>
      <c r="J168" s="91">
        <v>102</v>
      </c>
      <c r="K168" s="86">
        <v>46169</v>
      </c>
      <c r="L168" s="34">
        <v>102</v>
      </c>
      <c r="M168" s="6">
        <v>46181</v>
      </c>
      <c r="N168" s="6">
        <v>46175</v>
      </c>
      <c r="O168" s="19">
        <f>TAB_OFICINAS[[#This Row],[Data Retorno Produção]]-TAB_OFICINAS[[#This Row],[Data Prometida  Entrega]]</f>
        <v>-6</v>
      </c>
      <c r="P168" s="40" t="str">
        <f>IF(TAB_OFICINAS[[#This Row],[Dias Para Entrega]]&lt;=0,"Em dia","Dia de Atrasado")</f>
        <v>Em dia</v>
      </c>
      <c r="Q168" s="10">
        <f>IFERROR(TAB_OFICINAS[[#This Row],[Qtd pçs Enviadas]]-TAB_OFICINAS[[#This Row],[Qtd pçs Retornadas ]]," ")</f>
        <v>0</v>
      </c>
      <c r="R168" s="10"/>
      <c r="S168" s="5">
        <v>3233</v>
      </c>
      <c r="T168" s="5">
        <v>17274</v>
      </c>
      <c r="U168" s="1">
        <v>5.6</v>
      </c>
      <c r="V168" s="3">
        <f>IFERROR(TAB_OFICINAS[[#This Row],[Valor Unit]]*TAB_OFICINAS[[#This Row],[Qtd pçs Enviadas]]," ")</f>
        <v>571.19999999999993</v>
      </c>
      <c r="W168" s="17">
        <v>46185</v>
      </c>
      <c r="X168" s="5" t="s">
        <v>6251</v>
      </c>
      <c r="Y168" s="4" t="s">
        <v>22913</v>
      </c>
      <c r="Z1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69" spans="3:26" hidden="1">
      <c r="C169" s="28" t="s">
        <v>15</v>
      </c>
      <c r="D169" s="5">
        <v>4604</v>
      </c>
      <c r="E169" s="5">
        <v>22431</v>
      </c>
      <c r="F169" s="28" t="str">
        <f>IFERROR(VLOOKUP(TAB_OFICINAS[[#This Row],[Cliente]],LISTA_DE_CLIENTES[[Código]:[Nome Fantasia]],2,FALSE),"")</f>
        <v>RESID ILHA RASA LTDA</v>
      </c>
      <c r="G169" s="5" t="str">
        <f>IFERROR(VLOOKUP(TAB_OFICINAS[[#This Row],[Cliente]],LISTA_DE_CLIENTES[[Código]:[Nome Fantasia]],3,FALSE),"")</f>
        <v>RESID ILHA RASA</v>
      </c>
      <c r="H169" s="51" t="s">
        <v>23962</v>
      </c>
      <c r="I169" s="28" t="s">
        <v>20383</v>
      </c>
      <c r="J169" s="91">
        <v>101</v>
      </c>
      <c r="K169" s="86">
        <v>46028</v>
      </c>
      <c r="L169" s="10">
        <v>101</v>
      </c>
      <c r="M169" s="6">
        <v>46031</v>
      </c>
      <c r="N169" s="6">
        <v>46031</v>
      </c>
      <c r="O169" s="19">
        <f>TAB_OFICINAS[[#This Row],[Data Retorno Produção]]-TAB_OFICINAS[[#This Row],[Data Prometida  Entrega]]</f>
        <v>0</v>
      </c>
      <c r="P169" s="40" t="str">
        <f>IF(TAB_OFICINAS[[#This Row],[Dias Para Entrega]]&lt;=0,"Em dia","Dia de Atrasado")</f>
        <v>Em dia</v>
      </c>
      <c r="Q169" s="10">
        <f>IFERROR(TAB_OFICINAS[[#This Row],[Qtd pçs Enviadas]]-TAB_OFICINAS[[#This Row],[Qtd pçs Retornadas ]]," ")</f>
        <v>0</v>
      </c>
      <c r="R169" s="10">
        <v>0</v>
      </c>
      <c r="S169" s="5">
        <v>3062</v>
      </c>
      <c r="T169" s="5">
        <v>16836</v>
      </c>
      <c r="U169" s="52">
        <v>6.4</v>
      </c>
      <c r="V169" s="44">
        <f>IFERROR(TAB_OFICINAS[[#This Row],[Valor Unit]]*TAB_OFICINAS[[#This Row],[Qtd pçs Enviadas]]," ")</f>
        <v>646.40000000000009</v>
      </c>
      <c r="W169" s="17">
        <v>46038</v>
      </c>
      <c r="X169" s="5" t="s">
        <v>6251</v>
      </c>
      <c r="Y169" s="27"/>
      <c r="Z1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0" spans="3:26" hidden="1">
      <c r="C170" s="28" t="s">
        <v>18</v>
      </c>
      <c r="D170" s="5">
        <v>3593</v>
      </c>
      <c r="E170" s="5">
        <v>22065</v>
      </c>
      <c r="F170" s="28" t="str">
        <f>IFERROR(VLOOKUP(TAB_OFICINAS[[#This Row],[Cliente]],LISTA_DE_CLIENTES[[Código]:[Nome Fantasia]],2,FALSE),"")</f>
        <v>DIAGNOSTICOS DA AMERICA S.A.</v>
      </c>
      <c r="G170" s="5" t="str">
        <f>IFERROR(VLOOKUP(TAB_OFICINAS[[#This Row],[Cliente]],LISTA_DE_CLIENTES[[Código]:[Nome Fantasia]],3,FALSE),"")</f>
        <v>DASA PINHEIROS</v>
      </c>
      <c r="H170" s="51">
        <v>3301093025</v>
      </c>
      <c r="I170" s="28" t="s">
        <v>20343</v>
      </c>
      <c r="J170" s="91">
        <v>20</v>
      </c>
      <c r="K170" s="86">
        <v>46028</v>
      </c>
      <c r="L170" s="10">
        <v>20</v>
      </c>
      <c r="M170" s="6">
        <v>46042</v>
      </c>
      <c r="N170" s="6">
        <v>46043</v>
      </c>
      <c r="O170" s="19">
        <f>TAB_OFICINAS[[#This Row],[Data Retorno Produção]]-TAB_OFICINAS[[#This Row],[Data Prometida  Entrega]]</f>
        <v>1</v>
      </c>
      <c r="P170" s="40" t="str">
        <f>IF(TAB_OFICINAS[[#This Row],[Dias Para Entrega]]&lt;=0,"Em dia","Dia de Atrasado")</f>
        <v>Dia de Atrasado</v>
      </c>
      <c r="Q170" s="10">
        <f>IFERROR(TAB_OFICINAS[[#This Row],[Qtd pçs Enviadas]]-TAB_OFICINAS[[#This Row],[Qtd pçs Retornadas ]],"N/D ")</f>
        <v>0</v>
      </c>
      <c r="R170" s="10">
        <v>0</v>
      </c>
      <c r="S170" s="5">
        <v>4301</v>
      </c>
      <c r="T170" s="5">
        <v>30</v>
      </c>
      <c r="U170" s="52">
        <v>16</v>
      </c>
      <c r="V170" s="44">
        <f>IFERROR(TAB_OFICINAS[[#This Row],[Valor Unit]]*TAB_OFICINAS[[#This Row],[Qtd pçs Enviadas]]," ")</f>
        <v>320</v>
      </c>
      <c r="W170" s="17">
        <v>46055</v>
      </c>
      <c r="X170" s="5" t="s">
        <v>6251</v>
      </c>
      <c r="Y170" s="27"/>
      <c r="Z1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1" spans="3:26" hidden="1">
      <c r="C171" s="28" t="s">
        <v>19</v>
      </c>
      <c r="D171" s="5">
        <v>2575</v>
      </c>
      <c r="E171" s="5">
        <v>22390</v>
      </c>
      <c r="F171" s="28" t="str">
        <f>IFERROR(VLOOKUP(TAB_OFICINAS[[#This Row],[Cliente]],LISTA_DE_CLIENTES[[Código]:[Nome Fantasia]],2,FALSE),"")</f>
        <v>DIAGNOSTICOS DA AMERICA S.A .</v>
      </c>
      <c r="G171" s="5" t="str">
        <f>IFERROR(VLOOKUP(TAB_OFICINAS[[#This Row],[Cliente]],LISTA_DE_CLIENTES[[Código]:[Nome Fantasia]],3,FALSE),"")</f>
        <v>DASA HIGIENÓPOLIS</v>
      </c>
      <c r="H171" s="51">
        <v>3301095930</v>
      </c>
      <c r="I171" s="28" t="s">
        <v>20342</v>
      </c>
      <c r="J171" s="91">
        <v>30</v>
      </c>
      <c r="K171" s="86">
        <v>46042</v>
      </c>
      <c r="L171" s="10">
        <v>30</v>
      </c>
      <c r="M171" s="6">
        <v>46063</v>
      </c>
      <c r="N171" s="6">
        <v>46059</v>
      </c>
      <c r="O171" s="19">
        <f>TAB_OFICINAS[[#This Row],[Data Retorno Produção]]-TAB_OFICINAS[[#This Row],[Data Prometida  Entrega]]</f>
        <v>-4</v>
      </c>
      <c r="P171" s="40" t="str">
        <f>IF(TAB_OFICINAS[[#This Row],[Dias Para Entrega]]&lt;=0,"Em dia","Dia de Atrasado")</f>
        <v>Em dia</v>
      </c>
      <c r="Q171" s="10">
        <f>IFERROR(TAB_OFICINAS[[#This Row],[Qtd pçs Enviadas]]-TAB_OFICINAS[[#This Row],[Qtd pçs Retornadas ]],"N/D ")</f>
        <v>0</v>
      </c>
      <c r="R171" s="10">
        <v>0</v>
      </c>
      <c r="S171" s="5">
        <v>4322</v>
      </c>
      <c r="T171" s="5">
        <v>41</v>
      </c>
      <c r="U171" s="52">
        <v>16</v>
      </c>
      <c r="V171" s="44">
        <f>IFERROR(TAB_OFICINAS[[#This Row],[Valor Unit]]*TAB_OFICINAS[[#This Row],[Qtd pçs Enviadas]]," ")</f>
        <v>480</v>
      </c>
      <c r="W171" s="17">
        <v>46066</v>
      </c>
      <c r="X171" s="5" t="s">
        <v>6251</v>
      </c>
      <c r="Y171" s="27"/>
      <c r="Z1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2" spans="3:26" hidden="1">
      <c r="C172" s="28" t="s">
        <v>3</v>
      </c>
      <c r="D172" s="5">
        <v>142</v>
      </c>
      <c r="E172" s="5">
        <v>23457</v>
      </c>
      <c r="F172" s="28" t="str">
        <f>IFERROR(VLOOKUP(TAB_OFICINAS[[#This Row],[Cliente]],LISTA_DE_CLIENTES[[Código]:[Nome Fantasia]],2,FALSE),"")</f>
        <v>GXS EMPREENDIMENTOS TURISTICOS LTDA</v>
      </c>
      <c r="G172" s="2" t="str">
        <f>IFERROR(VLOOKUP(TAB_OFICINAS[[#This Row],[Cliente]],LISTA_DE_CLIENTES[[Código]:[Nome Fantasia]],3,FALSE),"")</f>
        <v>AWASI SANTA CATARINA</v>
      </c>
      <c r="H172" s="63">
        <v>3302047964</v>
      </c>
      <c r="I172" s="28" t="s">
        <v>22776</v>
      </c>
      <c r="J172" s="91">
        <v>101</v>
      </c>
      <c r="K172" s="86">
        <v>46183</v>
      </c>
      <c r="L172" s="34">
        <v>101</v>
      </c>
      <c r="M172" s="6">
        <v>46193</v>
      </c>
      <c r="N172" s="6">
        <v>46190</v>
      </c>
      <c r="O172" s="19">
        <f>TAB_OFICINAS[[#This Row],[Data Retorno Produção]]-TAB_OFICINAS[[#This Row],[Data Prometida  Entrega]]</f>
        <v>-3</v>
      </c>
      <c r="P172" s="40" t="str">
        <f>IF(TAB_OFICINAS[[#This Row],[Dias Para Entrega]]&lt;=0,"Em dia","Dia de Atrasado")</f>
        <v>Em dia</v>
      </c>
      <c r="Q172" s="10">
        <f>IFERROR(TAB_OFICINAS[[#This Row],[Qtd pçs Enviadas]]-TAB_OFICINAS[[#This Row],[Qtd pçs Retornadas ]]," ")</f>
        <v>0</v>
      </c>
      <c r="R172" s="10"/>
      <c r="S172" s="5">
        <v>3261</v>
      </c>
      <c r="T172" s="5">
        <v>112</v>
      </c>
      <c r="U172" s="1">
        <v>4.5</v>
      </c>
      <c r="V172" s="3">
        <f>IFERROR(TAB_OFICINAS[[#This Row],[Valor Unit]]*TAB_OFICINAS[[#This Row],[Qtd pçs Enviadas]]," ")</f>
        <v>454.5</v>
      </c>
      <c r="W172" s="17">
        <v>46199</v>
      </c>
      <c r="X172" s="5" t="s">
        <v>6251</v>
      </c>
      <c r="Y172" s="4"/>
      <c r="Z1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3" spans="3:26" ht="85.5" hidden="1">
      <c r="C173" s="28" t="s">
        <v>16</v>
      </c>
      <c r="D173" s="5">
        <v>2522</v>
      </c>
      <c r="E173" s="5">
        <v>23344</v>
      </c>
      <c r="F173" s="28" t="str">
        <f>IFERROR(VLOOKUP(TAB_OFICINAS[[#This Row],[Cliente]],LISTA_DE_CLIENTES[[Código]:[Nome Fantasia]],2,FALSE),"")</f>
        <v>HYPE ILHABELA ADMINISTRACAO E PARTICIPACOES LTDA.</v>
      </c>
      <c r="G173" s="2" t="str">
        <f>IFERROR(VLOOKUP(TAB_OFICINAS[[#This Row],[Cliente]],LISTA_DE_CLIENTES[[Código]:[Nome Fantasia]],3,FALSE),"")</f>
        <v>CASA DI SIRENA</v>
      </c>
      <c r="H173" s="51">
        <v>2111269708</v>
      </c>
      <c r="I173" s="28" t="str">
        <f>IFERROR(VLOOKUP(TAB_OFICINAS[[#This Row],[Codigo Produto ]],_000___PEDIDOS_DE_CLIENTES[[Data.Column2]:[Descrição Produto]],2,FALSE)," ")</f>
        <v>CAPA ALMOFADA SEM ABA ACABAMENTO CORDONÊ - FECHAMENTO COM ZÍPER TECIDO 186093 BOHEMIAN COR AZUL - 0,30 X 0,40</v>
      </c>
      <c r="J173" s="91">
        <v>101</v>
      </c>
      <c r="K173" s="88">
        <v>46184</v>
      </c>
      <c r="L173" s="9">
        <v>101</v>
      </c>
      <c r="M173" s="6">
        <v>46188</v>
      </c>
      <c r="N173" s="6">
        <v>46188</v>
      </c>
      <c r="O173" s="23">
        <f>TAB_OFICINAS[[#This Row],[Data Retorno Produção]]-TAB_OFICINAS[[#This Row],[Data Prometida  Entrega]]</f>
        <v>0</v>
      </c>
      <c r="P173" s="98" t="str">
        <f>IF(TAB_OFICINAS[[#This Row],[Dias Para Entrega]]&lt;=0,"Em dia","Dia de Atrasado")</f>
        <v>Em dia</v>
      </c>
      <c r="Q173" s="10">
        <f>IFERROR(TAB_OFICINAS[[#This Row],[Qtd pçs Enviadas]]-TAB_OFICINAS[[#This Row],[Qtd pçs Retornadas ]]," ")</f>
        <v>0</v>
      </c>
      <c r="R173" s="24">
        <v>1</v>
      </c>
      <c r="S173" s="5">
        <v>3265</v>
      </c>
      <c r="T173" s="5">
        <v>54</v>
      </c>
      <c r="U173" s="11">
        <v>6</v>
      </c>
      <c r="V173" s="25">
        <f>IFERROR(TAB_OFICINAS[[#This Row],[Valor Unit]]*TAB_OFICINAS[[#This Row],[Qtd pçs Enviadas]]," ")</f>
        <v>606</v>
      </c>
      <c r="W173" s="26">
        <v>46202</v>
      </c>
      <c r="X173" s="17" t="s">
        <v>6251</v>
      </c>
      <c r="Y173" s="27" t="s">
        <v>23444</v>
      </c>
      <c r="Z1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4" spans="3:26" hidden="1">
      <c r="C174" s="28" t="s">
        <v>15</v>
      </c>
      <c r="D174" s="5">
        <v>142</v>
      </c>
      <c r="E174" s="5">
        <v>23457</v>
      </c>
      <c r="F174" s="28" t="str">
        <f>IFERROR(VLOOKUP(TAB_OFICINAS[[#This Row],[Cliente]],LISTA_DE_CLIENTES[[Código]:[Nome Fantasia]],2,FALSE),"")</f>
        <v>GXS EMPREENDIMENTOS TURISTICOS LTDA</v>
      </c>
      <c r="G174" s="2" t="str">
        <f>IFERROR(VLOOKUP(TAB_OFICINAS[[#This Row],[Cliente]],LISTA_DE_CLIENTES[[Código]:[Nome Fantasia]],3,FALSE),"")</f>
        <v>AWASI SANTA CATARINA</v>
      </c>
      <c r="H174" s="51">
        <v>3302047964</v>
      </c>
      <c r="I174" s="28" t="str">
        <f>IFERROR(VLOOKUP(TAB_OFICINAS[[#This Row],[Codigo Produto ]],_000___PEDIDOS_DE_CLIENTES[[Data.Column2]:[Descrição Produto]],2,FALSE)," ")</f>
        <v>TOALHA ROSTO - FELPA CARAMELO - COM LOGO - 0,48 X 0,70</v>
      </c>
      <c r="J174" s="91">
        <v>101</v>
      </c>
      <c r="K174" s="88">
        <v>46195</v>
      </c>
      <c r="L174" s="9">
        <v>101</v>
      </c>
      <c r="M174" s="6">
        <v>46198</v>
      </c>
      <c r="N174" s="6">
        <v>46198</v>
      </c>
      <c r="O174" s="23">
        <f>TAB_OFICINAS[[#This Row],[Data Retorno Produção]]-TAB_OFICINAS[[#This Row],[Data Prometida  Entrega]]</f>
        <v>0</v>
      </c>
      <c r="P174" s="98" t="str">
        <f>IF(TAB_OFICINAS[[#This Row],[Dias Para Entrega]]&lt;=0,"Em dia","Dia de Atrasado")</f>
        <v>Em dia</v>
      </c>
      <c r="Q174" s="10">
        <f>IFERROR(TAB_OFICINAS[[#This Row],[Qtd pçs Enviadas]]-TAB_OFICINAS[[#This Row],[Qtd pçs Retornadas ]]," ")</f>
        <v>0</v>
      </c>
      <c r="R174" s="24"/>
      <c r="S174" s="5">
        <v>3282</v>
      </c>
      <c r="T174" s="5">
        <v>17357</v>
      </c>
      <c r="U174" s="11">
        <v>3.2</v>
      </c>
      <c r="V174" s="25">
        <f>IFERROR(TAB_OFICINAS[[#This Row],[Valor Unit]]*TAB_OFICINAS[[#This Row],[Qtd pçs Enviadas]]," ")</f>
        <v>323.20000000000005</v>
      </c>
      <c r="W174" s="26">
        <v>46205</v>
      </c>
      <c r="X174" s="17" t="s">
        <v>6251</v>
      </c>
      <c r="Y174" s="27" t="s">
        <v>23420</v>
      </c>
      <c r="Z1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5" spans="3:26" ht="85.5" hidden="1">
      <c r="C175" s="28" t="s">
        <v>5</v>
      </c>
      <c r="D175" s="5">
        <v>943</v>
      </c>
      <c r="E175" s="5">
        <v>22133</v>
      </c>
      <c r="F175" s="28" t="str">
        <f>IFERROR(VLOOKUP(TAB_OFICINAS[[#This Row],[Cliente]],LISTA_DE_CLIENTES[[Código]:[Nome Fantasia]],2,FALSE),"")</f>
        <v>REDE DOR SAO LUIZ S.A.</v>
      </c>
      <c r="G175" s="5" t="str">
        <f>IFERROR(VLOOKUP(TAB_OFICINAS[[#This Row],[Cliente]],LISTA_DE_CLIENTES[[Código]:[Nome Fantasia]],3,FALSE),"")</f>
        <v>HOSPITAL COPA STAR</v>
      </c>
      <c r="H175" s="51">
        <v>331084127</v>
      </c>
      <c r="I175" s="28" t="s">
        <v>20298</v>
      </c>
      <c r="J175" s="91">
        <v>100</v>
      </c>
      <c r="K175" s="86">
        <v>46006</v>
      </c>
      <c r="L175" s="10">
        <v>100</v>
      </c>
      <c r="M175" s="6">
        <v>46037</v>
      </c>
      <c r="N175" s="6">
        <v>46036</v>
      </c>
      <c r="O175" s="19">
        <f>TAB_OFICINAS[[#This Row],[Data Retorno Produção]]-TAB_OFICINAS[[#This Row],[Data Prometida  Entrega]]</f>
        <v>-1</v>
      </c>
      <c r="P175" s="40" t="str">
        <f>IF(TAB_OFICINAS[[#This Row],[Dias Para Entrega]]&lt;=0,"Em dia","Dia de Atrasado")</f>
        <v>Em dia</v>
      </c>
      <c r="Q175" s="10">
        <f>IFERROR(TAB_OFICINAS[[#This Row],[Qtd pçs Enviadas]]-TAB_OFICINAS[[#This Row],[Qtd pçs Retornadas ]]," ")</f>
        <v>0</v>
      </c>
      <c r="R175" s="10">
        <v>0</v>
      </c>
      <c r="S175" s="5">
        <v>529</v>
      </c>
      <c r="T175" s="5">
        <v>2593</v>
      </c>
      <c r="U175" s="52">
        <v>16</v>
      </c>
      <c r="V175" s="44">
        <f>IFERROR(TAB_OFICINAS[[#This Row],[Valor Unit]]*TAB_OFICINAS[[#This Row],[Qtd pçs Enviadas]]," ")</f>
        <v>1600</v>
      </c>
      <c r="W175" s="17">
        <v>46059</v>
      </c>
      <c r="X175" s="5" t="s">
        <v>6251</v>
      </c>
      <c r="Y175" s="27" t="s">
        <v>20309</v>
      </c>
      <c r="Z1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6" spans="3:26" hidden="1">
      <c r="C176" s="28" t="s">
        <v>5</v>
      </c>
      <c r="D176" s="5">
        <v>943</v>
      </c>
      <c r="E176" s="5">
        <v>22133</v>
      </c>
      <c r="F176" s="28" t="str">
        <f>IFERROR(VLOOKUP(TAB_OFICINAS[[#This Row],[Cliente]],LISTA_DE_CLIENTES[[Código]:[Nome Fantasia]],2,FALSE),"")</f>
        <v>REDE DOR SAO LUIZ S.A.</v>
      </c>
      <c r="G176" s="5" t="str">
        <f>IFERROR(VLOOKUP(TAB_OFICINAS[[#This Row],[Cliente]],LISTA_DE_CLIENTES[[Código]:[Nome Fantasia]],3,FALSE),"")</f>
        <v>HOSPITAL COPA STAR</v>
      </c>
      <c r="H176" s="51">
        <v>331084164</v>
      </c>
      <c r="I176" s="28" t="s">
        <v>20299</v>
      </c>
      <c r="J176" s="91">
        <v>100</v>
      </c>
      <c r="K176" s="86">
        <v>46006</v>
      </c>
      <c r="L176" s="10">
        <v>100</v>
      </c>
      <c r="M176" s="6">
        <v>46037</v>
      </c>
      <c r="N176" s="6">
        <v>46036</v>
      </c>
      <c r="O176" s="19">
        <f>TAB_OFICINAS[[#This Row],[Data Retorno Produção]]-TAB_OFICINAS[[#This Row],[Data Prometida  Entrega]]</f>
        <v>-1</v>
      </c>
      <c r="P176" s="40" t="str">
        <f>IF(TAB_OFICINAS[[#This Row],[Dias Para Entrega]]&lt;=0,"Em dia","Dia de Atrasado")</f>
        <v>Em dia</v>
      </c>
      <c r="Q176" s="10">
        <f>IFERROR(TAB_OFICINAS[[#This Row],[Qtd pçs Enviadas]]-TAB_OFICINAS[[#This Row],[Qtd pçs Retornadas ]]," ")</f>
        <v>0</v>
      </c>
      <c r="R176" s="10">
        <v>0</v>
      </c>
      <c r="S176" s="5">
        <v>529</v>
      </c>
      <c r="T176" s="5">
        <v>2593</v>
      </c>
      <c r="U176" s="52">
        <v>16</v>
      </c>
      <c r="V176" s="44">
        <f>IFERROR(TAB_OFICINAS[[#This Row],[Valor Unit]]*TAB_OFICINAS[[#This Row],[Qtd pçs Enviadas]]," ")</f>
        <v>1600</v>
      </c>
      <c r="W176" s="17">
        <v>46059</v>
      </c>
      <c r="X176" s="5" t="s">
        <v>6251</v>
      </c>
      <c r="Y176" s="27"/>
      <c r="Z1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7" spans="3:26" hidden="1">
      <c r="C177" s="28" t="s">
        <v>19</v>
      </c>
      <c r="D177" s="5">
        <v>2575</v>
      </c>
      <c r="E177" s="5">
        <v>22390</v>
      </c>
      <c r="F177" s="28" t="str">
        <f>IFERROR(VLOOKUP(TAB_OFICINAS[[#This Row],[Cliente]],LISTA_DE_CLIENTES[[Código]:[Nome Fantasia]],2,FALSE),"")</f>
        <v>DIAGNOSTICOS DA AMERICA S.A .</v>
      </c>
      <c r="G177" s="5" t="str">
        <f>IFERROR(VLOOKUP(TAB_OFICINAS[[#This Row],[Cliente]],LISTA_DE_CLIENTES[[Código]:[Nome Fantasia]],3,FALSE),"")</f>
        <v>DASA HIGIENÓPOLIS</v>
      </c>
      <c r="H177" s="51">
        <v>3301093026</v>
      </c>
      <c r="I177" s="28" t="s">
        <v>20361</v>
      </c>
      <c r="J177" s="91">
        <v>30</v>
      </c>
      <c r="K177" s="86">
        <v>46042</v>
      </c>
      <c r="L177" s="10">
        <v>30</v>
      </c>
      <c r="M177" s="6">
        <v>46063</v>
      </c>
      <c r="N177" s="6">
        <v>46059</v>
      </c>
      <c r="O177" s="19">
        <f>TAB_OFICINAS[[#This Row],[Data Retorno Produção]]-TAB_OFICINAS[[#This Row],[Data Prometida  Entrega]]</f>
        <v>-4</v>
      </c>
      <c r="P177" s="40" t="str">
        <f>IF(TAB_OFICINAS[[#This Row],[Dias Para Entrega]]&lt;=0,"Em dia","Dia de Atrasado")</f>
        <v>Em dia</v>
      </c>
      <c r="Q177" s="10">
        <f>IFERROR(TAB_OFICINAS[[#This Row],[Qtd pçs Enviadas]]-TAB_OFICINAS[[#This Row],[Qtd pçs Retornadas ]],"N/D ")</f>
        <v>0</v>
      </c>
      <c r="R177" s="10">
        <v>0</v>
      </c>
      <c r="S177" s="5">
        <v>4322</v>
      </c>
      <c r="T177" s="5">
        <v>41</v>
      </c>
      <c r="U177" s="52">
        <v>16</v>
      </c>
      <c r="V177" s="44">
        <f>IFERROR(TAB_OFICINAS[[#This Row],[Valor Unit]]*TAB_OFICINAS[[#This Row],[Qtd pçs Enviadas]]," ")</f>
        <v>480</v>
      </c>
      <c r="W177" s="17">
        <v>46066</v>
      </c>
      <c r="X177" s="5" t="s">
        <v>6251</v>
      </c>
      <c r="Y177" s="27"/>
      <c r="Z1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8" spans="3:26" hidden="1">
      <c r="C178" s="28" t="s">
        <v>20</v>
      </c>
      <c r="D178" s="5">
        <v>2345</v>
      </c>
      <c r="E178" s="5">
        <v>22856</v>
      </c>
      <c r="F178" s="28" t="str">
        <f>IFERROR(VLOOKUP(TAB_OFICINAS[[#This Row],[Cliente]],LISTA_DE_CLIENTES[[Código]:[Nome Fantasia]],2,FALSE),"")</f>
        <v>CHATEAU CAMPOS DO JORDAO SERVICOS HOTELEIROS LTDA</v>
      </c>
      <c r="G178" s="5" t="str">
        <f>IFERROR(VLOOKUP(TAB_OFICINAS[[#This Row],[Cliente]],LISTA_DE_CLIENTES[[Código]:[Nome Fantasia]],3,FALSE),"")</f>
        <v>HOTEL CHATEAU</v>
      </c>
      <c r="H178" s="51">
        <v>2102502655</v>
      </c>
      <c r="I178" s="28" t="s">
        <v>20376</v>
      </c>
      <c r="J178" s="91">
        <v>12</v>
      </c>
      <c r="K178" s="86">
        <v>46078</v>
      </c>
      <c r="L178" s="10">
        <v>12</v>
      </c>
      <c r="M178" s="6">
        <v>46083</v>
      </c>
      <c r="N178" s="6">
        <v>46083</v>
      </c>
      <c r="O178" s="19">
        <f>TAB_OFICINAS[[#This Row],[Data Retorno Produção]]-TAB_OFICINAS[[#This Row],[Data Prometida  Entrega]]</f>
        <v>0</v>
      </c>
      <c r="P178" s="40" t="str">
        <f>IF(TAB_OFICINAS[[#This Row],[Dias Para Entrega]]&lt;=0,"Em dia","Dia de Atrasado")</f>
        <v>Em dia</v>
      </c>
      <c r="Q178" s="10">
        <f>IFERROR(TAB_OFICINAS[[#This Row],[Qtd pçs Enviadas]]-TAB_OFICINAS[[#This Row],[Qtd pçs Retornadas ]],"N/D ")</f>
        <v>0</v>
      </c>
      <c r="R178" s="10">
        <v>0</v>
      </c>
      <c r="S178" s="5">
        <v>630</v>
      </c>
      <c r="T178" s="5">
        <v>79</v>
      </c>
      <c r="U178" s="52">
        <v>5</v>
      </c>
      <c r="V178" s="44">
        <f>IFERROR(TAB_OFICINAS[[#This Row],[Valor Unit]]*TAB_OFICINAS[[#This Row],[Qtd pçs Enviadas]]," ")</f>
        <v>60</v>
      </c>
      <c r="W178" s="17">
        <v>46092</v>
      </c>
      <c r="X178" s="5" t="s">
        <v>6251</v>
      </c>
      <c r="Y178" s="27"/>
      <c r="Z17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79" spans="3:26" ht="42.75" hidden="1">
      <c r="C179" s="28" t="s">
        <v>15</v>
      </c>
      <c r="D179" s="5">
        <v>526</v>
      </c>
      <c r="E179" s="5">
        <v>22578</v>
      </c>
      <c r="F179" s="28" t="str">
        <f>IFERROR(VLOOKUP(TAB_OFICINAS[[#This Row],[Cliente]],LISTA_DE_CLIENTES[[Código]:[Nome Fantasia]],2,FALSE),"")</f>
        <v>ATMOSFERA GESTAO E HIGIENIZACAO DE TEXTEIS S.A.</v>
      </c>
      <c r="G179" s="5" t="str">
        <f>IFERROR(VLOOKUP(TAB_OFICINAS[[#This Row],[Cliente]],LISTA_DE_CLIENTES[[Código]:[Nome Fantasia]],3,FALSE),"")</f>
        <v>ATMOSFERA ST BARBARA</v>
      </c>
      <c r="H179" s="51">
        <v>92104156036</v>
      </c>
      <c r="I179" s="28" t="s">
        <v>20398</v>
      </c>
      <c r="J179" s="91">
        <v>100</v>
      </c>
      <c r="K179" s="86">
        <v>46045</v>
      </c>
      <c r="L179" s="10">
        <v>100</v>
      </c>
      <c r="M179" s="6">
        <v>46064</v>
      </c>
      <c r="N179" s="6">
        <v>46064</v>
      </c>
      <c r="O179" s="19">
        <f>TAB_OFICINAS[[#This Row],[Data Retorno Produção]]-TAB_OFICINAS[[#This Row],[Data Prometida  Entrega]]</f>
        <v>0</v>
      </c>
      <c r="P179" s="40" t="str">
        <f>IF(TAB_OFICINAS[[#This Row],[Dias Para Entrega]]&lt;=0,"Em dia","Dia de Atrasado")</f>
        <v>Em dia</v>
      </c>
      <c r="Q179" s="10">
        <f>IFERROR(TAB_OFICINAS[[#This Row],[Qtd pçs Enviadas]]-TAB_OFICINAS[[#This Row],[Qtd pçs Retornadas ]]," ")</f>
        <v>0</v>
      </c>
      <c r="R179" s="10">
        <v>2</v>
      </c>
      <c r="S179" s="5">
        <v>3090</v>
      </c>
      <c r="T179" s="5">
        <v>16925</v>
      </c>
      <c r="U179" s="52">
        <v>15</v>
      </c>
      <c r="V179" s="44">
        <f>IFERROR(TAB_OFICINAS[[#This Row],[Valor Unit]]*TAB_OFICINAS[[#This Row],[Qtd pçs Enviadas]]," ")</f>
        <v>1500</v>
      </c>
      <c r="W179" s="17">
        <v>46074</v>
      </c>
      <c r="X179" s="5" t="s">
        <v>6251</v>
      </c>
      <c r="Y179" s="27" t="s">
        <v>20399</v>
      </c>
      <c r="Z1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0" spans="3:26" hidden="1">
      <c r="C180" s="28" t="s">
        <v>1</v>
      </c>
      <c r="D180" s="5">
        <v>5350</v>
      </c>
      <c r="E180" s="5">
        <v>22574</v>
      </c>
      <c r="F180" s="28" t="str">
        <f>IFERROR(VLOOKUP(TAB_OFICINAS[[#This Row],[Cliente]],LISTA_DE_CLIENTES[[Código]:[Nome Fantasia]],2,FALSE),"")</f>
        <v>TEREZINHA STODOLNI SALDANHA LTDA</v>
      </c>
      <c r="G180" s="5" t="str">
        <f>IFERROR(VLOOKUP(TAB_OFICINAS[[#This Row],[Cliente]],LISTA_DE_CLIENTES[[Código]:[Nome Fantasia]],3,FALSE),"")</f>
        <v>POUSADA MARILUZ</v>
      </c>
      <c r="H180" s="51">
        <v>92102868562</v>
      </c>
      <c r="I180" s="28" t="s">
        <v>21030</v>
      </c>
      <c r="J180" s="91">
        <v>3</v>
      </c>
      <c r="K180" s="86">
        <v>46051</v>
      </c>
      <c r="L180" s="10">
        <v>3</v>
      </c>
      <c r="M180" s="6">
        <v>46057</v>
      </c>
      <c r="N180" s="6">
        <v>46055</v>
      </c>
      <c r="O180" s="19">
        <f>TAB_OFICINAS[[#This Row],[Data Retorno Produção]]-TAB_OFICINAS[[#This Row],[Data Prometida  Entrega]]</f>
        <v>-2</v>
      </c>
      <c r="P180" s="40" t="str">
        <f>IF(TAB_OFICINAS[[#This Row],[Dias Para Entrega]]&lt;=0,"Em dia","Dia de Atrasado")</f>
        <v>Em dia</v>
      </c>
      <c r="Q180" s="10">
        <f>IFERROR(TAB_OFICINAS[[#This Row],[Qtd pçs Enviadas]]-TAB_OFICINAS[[#This Row],[Qtd pçs Retornadas ]],"N/D ")</f>
        <v>0</v>
      </c>
      <c r="R180" s="10">
        <v>0</v>
      </c>
      <c r="S180" s="5">
        <v>564</v>
      </c>
      <c r="T180" s="5">
        <v>35</v>
      </c>
      <c r="U180" s="52">
        <v>8.5</v>
      </c>
      <c r="V180" s="44">
        <f>IFERROR(TAB_OFICINAS[[#This Row],[Valor Unit]]*TAB_OFICINAS[[#This Row],[Qtd pçs Enviadas]]," ")</f>
        <v>25.5</v>
      </c>
      <c r="W180" s="17">
        <v>46064</v>
      </c>
      <c r="X180" s="5" t="s">
        <v>6251</v>
      </c>
      <c r="Y180" s="27"/>
      <c r="Z1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1" spans="3:26" hidden="1">
      <c r="C181" s="28" t="s">
        <v>3</v>
      </c>
      <c r="D181" s="5">
        <v>2933</v>
      </c>
      <c r="E181" s="5">
        <v>22277</v>
      </c>
      <c r="F181" s="28" t="str">
        <f>IFERROR(VLOOKUP(TAB_OFICINAS[[#This Row],[Cliente]],LISTA_DE_CLIENTES[[Código]:[Nome Fantasia]],2,FALSE),"")</f>
        <v>J.F. GOMES POUSADA EIRELI</v>
      </c>
      <c r="G181" s="5" t="str">
        <f>IFERROR(VLOOKUP(TAB_OFICINAS[[#This Row],[Cliente]],LISTA_DE_CLIENTES[[Código]:[Nome Fantasia]],3,FALSE),"")</f>
        <v>POUSADA APPLE HOUSE</v>
      </c>
      <c r="H181" s="51">
        <v>2101083077</v>
      </c>
      <c r="I181" s="28" t="s">
        <v>20921</v>
      </c>
      <c r="J181" s="91">
        <v>100</v>
      </c>
      <c r="K181" s="86">
        <v>46051</v>
      </c>
      <c r="L181" s="10">
        <v>100</v>
      </c>
      <c r="M181" s="6">
        <v>46058</v>
      </c>
      <c r="N181" s="6">
        <v>46056</v>
      </c>
      <c r="O181" s="19">
        <f>TAB_OFICINAS[[#This Row],[Data Retorno Produção]]-TAB_OFICINAS[[#This Row],[Data Prometida  Entrega]]</f>
        <v>-2</v>
      </c>
      <c r="P181" s="40" t="str">
        <f>IF(TAB_OFICINAS[[#This Row],[Dias Para Entrega]]&lt;=0,"Em dia","Dia de Atrasado")</f>
        <v>Em dia</v>
      </c>
      <c r="Q181" s="10">
        <f>IFERROR(TAB_OFICINAS[[#This Row],[Qtd pçs Enviadas]]-TAB_OFICINAS[[#This Row],[Qtd pçs Retornadas ]]," ")</f>
        <v>0</v>
      </c>
      <c r="R181" s="10">
        <v>0</v>
      </c>
      <c r="S181" s="5">
        <v>563</v>
      </c>
      <c r="T181" s="5">
        <v>90</v>
      </c>
      <c r="U181" s="52">
        <v>4.3</v>
      </c>
      <c r="V181" s="44">
        <f>IFERROR(TAB_OFICINAS[[#This Row],[Valor Unit]]*TAB_OFICINAS[[#This Row],[Qtd pçs Enviadas]]," ")</f>
        <v>430</v>
      </c>
      <c r="W181" s="17">
        <v>46065</v>
      </c>
      <c r="X181" s="5" t="s">
        <v>6251</v>
      </c>
      <c r="Y181" s="27"/>
      <c r="Z1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2" spans="3:26" hidden="1">
      <c r="C182" s="28" t="s">
        <v>3</v>
      </c>
      <c r="D182" s="5">
        <v>2933</v>
      </c>
      <c r="E182" s="5">
        <v>22277</v>
      </c>
      <c r="F182" s="28" t="str">
        <f>IFERROR(VLOOKUP(TAB_OFICINAS[[#This Row],[Cliente]],LISTA_DE_CLIENTES[[Código]:[Nome Fantasia]],2,FALSE),"")</f>
        <v>J.F. GOMES POUSADA EIRELI</v>
      </c>
      <c r="G182" s="5" t="str">
        <f>IFERROR(VLOOKUP(TAB_OFICINAS[[#This Row],[Cliente]],LISTA_DE_CLIENTES[[Código]:[Nome Fantasia]],3,FALSE),"")</f>
        <v>POUSADA APPLE HOUSE</v>
      </c>
      <c r="H182" s="51">
        <v>3301072701</v>
      </c>
      <c r="I182" s="28" t="s">
        <v>20907</v>
      </c>
      <c r="J182" s="91">
        <v>100</v>
      </c>
      <c r="K182" s="86">
        <v>46051</v>
      </c>
      <c r="L182" s="10">
        <v>100</v>
      </c>
      <c r="M182" s="6">
        <v>46058</v>
      </c>
      <c r="N182" s="6">
        <v>46056</v>
      </c>
      <c r="O182" s="19">
        <f>TAB_OFICINAS[[#This Row],[Data Retorno Produção]]-TAB_OFICINAS[[#This Row],[Data Prometida  Entrega]]</f>
        <v>-2</v>
      </c>
      <c r="P182" s="40" t="str">
        <f>IF(TAB_OFICINAS[[#This Row],[Dias Para Entrega]]&lt;=0,"Em dia","Dia de Atrasado")</f>
        <v>Em dia</v>
      </c>
      <c r="Q182" s="10">
        <f>IFERROR(TAB_OFICINAS[[#This Row],[Qtd pçs Enviadas]]-TAB_OFICINAS[[#This Row],[Qtd pçs Retornadas ]]," ")</f>
        <v>0</v>
      </c>
      <c r="R182" s="10">
        <v>0</v>
      </c>
      <c r="S182" s="5">
        <v>563</v>
      </c>
      <c r="T182" s="5">
        <v>90</v>
      </c>
      <c r="U182" s="52">
        <v>4</v>
      </c>
      <c r="V182" s="44">
        <f>IFERROR(TAB_OFICINAS[[#This Row],[Valor Unit]]*TAB_OFICINAS[[#This Row],[Qtd pçs Enviadas]]," ")</f>
        <v>400</v>
      </c>
      <c r="W182" s="17">
        <v>46065</v>
      </c>
      <c r="X182" s="5" t="s">
        <v>6251</v>
      </c>
      <c r="Y182" s="27"/>
      <c r="Z1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3" spans="3:26" hidden="1">
      <c r="C183" s="28" t="s">
        <v>3</v>
      </c>
      <c r="D183" s="5">
        <v>3107</v>
      </c>
      <c r="E183" s="5">
        <v>22529</v>
      </c>
      <c r="F183" s="28" t="str">
        <f>IFERROR(VLOOKUP(TAB_OFICINAS[[#This Row],[Cliente]],LISTA_DE_CLIENTES[[Código]:[Nome Fantasia]],2,FALSE),"")</f>
        <v>HCC HOTELS GESTAO HOTELEIRA LTDA.</v>
      </c>
      <c r="G183" s="5" t="str">
        <f>IFERROR(VLOOKUP(TAB_OFICINAS[[#This Row],[Cliente]],LISTA_DE_CLIENTES[[Código]:[Nome Fantasia]],3,FALSE),"")</f>
        <v>QOYA SP</v>
      </c>
      <c r="H183" s="51">
        <v>92105225860</v>
      </c>
      <c r="I183" s="28" t="s">
        <v>20927</v>
      </c>
      <c r="J183" s="91">
        <v>100</v>
      </c>
      <c r="K183" s="86">
        <v>46056</v>
      </c>
      <c r="L183" s="10">
        <v>100</v>
      </c>
      <c r="M183" s="6">
        <v>46058</v>
      </c>
      <c r="N183" s="6">
        <v>46058</v>
      </c>
      <c r="O183" s="19">
        <f>TAB_OFICINAS[[#This Row],[Data Retorno Produção]]-TAB_OFICINAS[[#This Row],[Data Prometida  Entrega]]</f>
        <v>0</v>
      </c>
      <c r="P183" s="40" t="str">
        <f>IF(TAB_OFICINAS[[#This Row],[Dias Para Entrega]]&lt;=0,"Em dia","Dia de Atrasado")</f>
        <v>Em dia</v>
      </c>
      <c r="Q183" s="10">
        <f>IFERROR(TAB_OFICINAS[[#This Row],[Qtd pçs Enviadas]]-TAB_OFICINAS[[#This Row],[Qtd pçs Retornadas ]]," ")</f>
        <v>0</v>
      </c>
      <c r="R183" s="10">
        <v>0</v>
      </c>
      <c r="S183" s="5">
        <v>567</v>
      </c>
      <c r="T183" s="5">
        <v>91</v>
      </c>
      <c r="U183" s="52">
        <v>4.9000000000000004</v>
      </c>
      <c r="V183" s="44">
        <f>IFERROR(TAB_OFICINAS[[#This Row],[Valor Unit]]*TAB_OFICINAS[[#This Row],[Qtd pçs Enviadas]]," ")</f>
        <v>490.00000000000006</v>
      </c>
      <c r="W183" s="17">
        <v>46071</v>
      </c>
      <c r="X183" s="5" t="s">
        <v>6251</v>
      </c>
      <c r="Y183" s="27"/>
      <c r="Z1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4" spans="3:26" hidden="1">
      <c r="C184" s="28" t="s">
        <v>16</v>
      </c>
      <c r="D184" s="5">
        <v>3107</v>
      </c>
      <c r="E184" s="5">
        <v>22529</v>
      </c>
      <c r="F184" s="28" t="str">
        <f>IFERROR(VLOOKUP(TAB_OFICINAS[[#This Row],[Cliente]],LISTA_DE_CLIENTES[[Código]:[Nome Fantasia]],2,FALSE),"")</f>
        <v>HCC HOTELS GESTAO HOTELEIRA LTDA.</v>
      </c>
      <c r="G184" s="5" t="str">
        <f>IFERROR(VLOOKUP(TAB_OFICINAS[[#This Row],[Cliente]],LISTA_DE_CLIENTES[[Código]:[Nome Fantasia]],3,FALSE),"")</f>
        <v>QOYA SP</v>
      </c>
      <c r="H184" s="51">
        <v>92015225860</v>
      </c>
      <c r="I184" s="28" t="s">
        <v>20292</v>
      </c>
      <c r="J184" s="91">
        <v>100</v>
      </c>
      <c r="K184" s="86">
        <v>46056</v>
      </c>
      <c r="L184" s="10">
        <v>100</v>
      </c>
      <c r="M184" s="6">
        <v>46058</v>
      </c>
      <c r="N184" s="6">
        <v>46058</v>
      </c>
      <c r="O184" s="19">
        <f>TAB_OFICINAS[[#This Row],[Data Retorno Produção]]-TAB_OFICINAS[[#This Row],[Data Prometida  Entrega]]</f>
        <v>0</v>
      </c>
      <c r="P184" s="40" t="str">
        <f>IF(TAB_OFICINAS[[#This Row],[Dias Para Entrega]]&lt;=0,"Em dia","Dia de Atrasado")</f>
        <v>Em dia</v>
      </c>
      <c r="Q184" s="10">
        <f>IFERROR(TAB_OFICINAS[[#This Row],[Qtd pçs Enviadas]]-TAB_OFICINAS[[#This Row],[Qtd pçs Retornadas ]]," ")</f>
        <v>0</v>
      </c>
      <c r="R184" s="10">
        <v>0</v>
      </c>
      <c r="S184" s="5">
        <v>569</v>
      </c>
      <c r="T184" s="5">
        <v>34</v>
      </c>
      <c r="U184" s="52">
        <v>4.9000000000000004</v>
      </c>
      <c r="V184" s="44">
        <f>IFERROR(TAB_OFICINAS[[#This Row],[Valor Unit]]*TAB_OFICINAS[[#This Row],[Qtd pçs Enviadas]]," ")</f>
        <v>490.00000000000006</v>
      </c>
      <c r="W184" s="17">
        <v>46066</v>
      </c>
      <c r="X184" s="5" t="s">
        <v>6251</v>
      </c>
      <c r="Y184" s="27"/>
      <c r="Z1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5" spans="3:26" hidden="1">
      <c r="C185" s="28" t="s">
        <v>20</v>
      </c>
      <c r="D185" s="5">
        <v>2345</v>
      </c>
      <c r="E185" s="5">
        <v>22856</v>
      </c>
      <c r="F185" s="28" t="str">
        <f>IFERROR(VLOOKUP(TAB_OFICINAS[[#This Row],[Cliente]],LISTA_DE_CLIENTES[[Código]:[Nome Fantasia]],2,FALSE),"")</f>
        <v>CHATEAU CAMPOS DO JORDAO SERVICOS HOTELEIROS LTDA</v>
      </c>
      <c r="G185" s="5" t="str">
        <f>IFERROR(VLOOKUP(TAB_OFICINAS[[#This Row],[Cliente]],LISTA_DE_CLIENTES[[Código]:[Nome Fantasia]],3,FALSE),"")</f>
        <v>HOTEL CHATEAU</v>
      </c>
      <c r="H185" s="51">
        <v>2101112654</v>
      </c>
      <c r="I185" s="28" t="s">
        <v>20375</v>
      </c>
      <c r="J185" s="91">
        <v>11</v>
      </c>
      <c r="K185" s="86">
        <v>46078</v>
      </c>
      <c r="L185" s="10">
        <v>11</v>
      </c>
      <c r="M185" s="6">
        <v>46083</v>
      </c>
      <c r="N185" s="6">
        <v>46083</v>
      </c>
      <c r="O185" s="19">
        <f>TAB_OFICINAS[[#This Row],[Data Retorno Produção]]-TAB_OFICINAS[[#This Row],[Data Prometida  Entrega]]</f>
        <v>0</v>
      </c>
      <c r="P185" s="40" t="str">
        <f>IF(TAB_OFICINAS[[#This Row],[Dias Para Entrega]]&lt;=0,"Em dia","Dia de Atrasado")</f>
        <v>Em dia</v>
      </c>
      <c r="Q185" s="10">
        <f>IFERROR(TAB_OFICINAS[[#This Row],[Qtd pçs Enviadas]]-TAB_OFICINAS[[#This Row],[Qtd pçs Retornadas ]],"N/D ")</f>
        <v>0</v>
      </c>
      <c r="R185" s="10">
        <v>0</v>
      </c>
      <c r="S185" s="5">
        <v>630</v>
      </c>
      <c r="T185" s="5">
        <v>79</v>
      </c>
      <c r="U185" s="52">
        <v>5</v>
      </c>
      <c r="V185" s="44">
        <f>IFERROR(TAB_OFICINAS[[#This Row],[Valor Unit]]*TAB_OFICINAS[[#This Row],[Qtd pçs Enviadas]]," ")</f>
        <v>55</v>
      </c>
      <c r="W185" s="17">
        <v>46092</v>
      </c>
      <c r="X185" s="5" t="s">
        <v>6251</v>
      </c>
      <c r="Y185" s="27"/>
      <c r="Z1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6" spans="3:26" hidden="1">
      <c r="C186" s="28" t="s">
        <v>15</v>
      </c>
      <c r="D186" s="5">
        <v>5391</v>
      </c>
      <c r="E186" s="5">
        <v>22892</v>
      </c>
      <c r="F186" s="28" t="str">
        <f>IFERROR(VLOOKUP(TAB_OFICINAS[[#This Row],[Cliente]],LISTA_DE_CLIENTES[[Código]:[Nome Fantasia]],2,FALSE),"")</f>
        <v>PACIFICO OPERACOES HOSPITALARES S.A</v>
      </c>
      <c r="G186" s="5" t="str">
        <f>IFERROR(VLOOKUP(TAB_OFICINAS[[#This Row],[Cliente]],LISTA_DE_CLIENTES[[Código]:[Nome Fantasia]],3,FALSE),"")</f>
        <v>MATERNIDADE SAO LUIZ</v>
      </c>
      <c r="H186" s="63">
        <v>2101107948</v>
      </c>
      <c r="I186" s="28" t="s">
        <v>21372</v>
      </c>
      <c r="J186" s="91">
        <v>100</v>
      </c>
      <c r="K186" s="86">
        <v>46114</v>
      </c>
      <c r="L186" s="10">
        <v>100</v>
      </c>
      <c r="M186" s="6">
        <v>46118</v>
      </c>
      <c r="N186" s="6">
        <v>46119</v>
      </c>
      <c r="O186" s="19">
        <f>TAB_OFICINAS[[#This Row],[Data Retorno Produção]]-TAB_OFICINAS[[#This Row],[Data Prometida  Entrega]]</f>
        <v>1</v>
      </c>
      <c r="P186" s="40" t="str">
        <f>IF(TAB_OFICINAS[[#This Row],[Dias Para Entrega]]&lt;=0,"Em dia","Dia de Atrasado")</f>
        <v>Dia de Atrasado</v>
      </c>
      <c r="Q186" s="10">
        <f>IFERROR(TAB_OFICINAS[[#This Row],[Qtd pçs Enviadas]]-TAB_OFICINAS[[#This Row],[Qtd pçs Retornadas ]]," ")</f>
        <v>0</v>
      </c>
      <c r="R186" s="10"/>
      <c r="S186" s="5">
        <v>727</v>
      </c>
      <c r="T186" s="5">
        <v>17076</v>
      </c>
      <c r="U186" s="52">
        <v>3.85</v>
      </c>
      <c r="V186" s="44">
        <f>IFERROR(TAB_OFICINAS[[#This Row],[Valor Unit]]*TAB_OFICINAS[[#This Row],[Qtd pçs Enviadas]]," ")</f>
        <v>385</v>
      </c>
      <c r="W186" s="17">
        <v>46126</v>
      </c>
      <c r="X186" s="5" t="s">
        <v>6251</v>
      </c>
      <c r="Y186" s="27" t="s">
        <v>21341</v>
      </c>
      <c r="Z1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7" spans="3:26" hidden="1">
      <c r="C187" s="28" t="s">
        <v>18</v>
      </c>
      <c r="D187" s="5">
        <v>3593</v>
      </c>
      <c r="E187" s="5">
        <v>22065</v>
      </c>
      <c r="F187" s="28" t="str">
        <f>IFERROR(VLOOKUP(TAB_OFICINAS[[#This Row],[Cliente]],LISTA_DE_CLIENTES[[Código]:[Nome Fantasia]],2,FALSE),"")</f>
        <v>DIAGNOSTICOS DA AMERICA S.A.</v>
      </c>
      <c r="G187" s="5" t="str">
        <f>IFERROR(VLOOKUP(TAB_OFICINAS[[#This Row],[Cliente]],LISTA_DE_CLIENTES[[Código]:[Nome Fantasia]],3,FALSE),"")</f>
        <v>DASA PINHEIROS</v>
      </c>
      <c r="H187" s="51">
        <v>3301092628</v>
      </c>
      <c r="I187" s="28" t="s">
        <v>20359</v>
      </c>
      <c r="J187" s="91">
        <v>10</v>
      </c>
      <c r="K187" s="86">
        <v>46028</v>
      </c>
      <c r="L187" s="10">
        <v>10</v>
      </c>
      <c r="M187" s="6">
        <v>46042</v>
      </c>
      <c r="N187" s="6">
        <v>46043</v>
      </c>
      <c r="O187" s="19">
        <f>TAB_OFICINAS[[#This Row],[Data Retorno Produção]]-TAB_OFICINAS[[#This Row],[Data Prometida  Entrega]]</f>
        <v>1</v>
      </c>
      <c r="P187" s="40" t="str">
        <f>IF(TAB_OFICINAS[[#This Row],[Dias Para Entrega]]&lt;=0,"Em dia","Dia de Atrasado")</f>
        <v>Dia de Atrasado</v>
      </c>
      <c r="Q187" s="10">
        <f>IFERROR(TAB_OFICINAS[[#This Row],[Qtd pçs Enviadas]]-TAB_OFICINAS[[#This Row],[Qtd pçs Retornadas ]],"N/D ")</f>
        <v>0</v>
      </c>
      <c r="R187" s="10">
        <v>0</v>
      </c>
      <c r="S187" s="5">
        <v>4301</v>
      </c>
      <c r="T187" s="5">
        <v>30</v>
      </c>
      <c r="U187" s="52">
        <v>16</v>
      </c>
      <c r="V187" s="44">
        <f>IFERROR(TAB_OFICINAS[[#This Row],[Valor Unit]]*TAB_OFICINAS[[#This Row],[Qtd pçs Enviadas]]," ")</f>
        <v>160</v>
      </c>
      <c r="W187" s="17">
        <v>46055</v>
      </c>
      <c r="X187" s="5" t="s">
        <v>6251</v>
      </c>
      <c r="Y187" s="27"/>
      <c r="Z1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8" spans="3:26" hidden="1">
      <c r="C188" s="28" t="s">
        <v>15</v>
      </c>
      <c r="D188" s="5">
        <v>943</v>
      </c>
      <c r="E188" s="5">
        <v>22882</v>
      </c>
      <c r="F188" s="28" t="str">
        <f>IFERROR(VLOOKUP(TAB_OFICINAS[[#This Row],[Cliente]],LISTA_DE_CLIENTES[[Código]:[Nome Fantasia]],2,FALSE),"")</f>
        <v>REDE DOR SAO LUIZ S.A.</v>
      </c>
      <c r="G188" s="5" t="str">
        <f>IFERROR(VLOOKUP(TAB_OFICINAS[[#This Row],[Cliente]],LISTA_DE_CLIENTES[[Código]:[Nome Fantasia]],3,FALSE),"")</f>
        <v>HOSPITAL COPA STAR</v>
      </c>
      <c r="H188" s="63">
        <v>3301084129</v>
      </c>
      <c r="I188" s="28" t="s">
        <v>21238</v>
      </c>
      <c r="J188" s="91">
        <v>100</v>
      </c>
      <c r="K188" s="86">
        <v>46111</v>
      </c>
      <c r="L188" s="10">
        <v>100</v>
      </c>
      <c r="M188" s="6">
        <v>46114</v>
      </c>
      <c r="N188" s="6">
        <v>46113</v>
      </c>
      <c r="O188" s="19">
        <f>TAB_OFICINAS[[#This Row],[Data Retorno Produção]]-TAB_OFICINAS[[#This Row],[Data Prometida  Entrega]]</f>
        <v>-1</v>
      </c>
      <c r="P188" s="40" t="str">
        <f>IF(TAB_OFICINAS[[#This Row],[Dias Para Entrega]]&lt;=0,"Em dia","Dia de Atrasado")</f>
        <v>Em dia</v>
      </c>
      <c r="Q188" s="10">
        <f>IFERROR(TAB_OFICINAS[[#This Row],[Qtd pçs Enviadas]]-TAB_OFICINAS[[#This Row],[Qtd pçs Retornadas ]]," ")</f>
        <v>0</v>
      </c>
      <c r="R188" s="10">
        <v>0</v>
      </c>
      <c r="S188" s="5">
        <v>718</v>
      </c>
      <c r="T188" s="5">
        <v>17072</v>
      </c>
      <c r="U188" s="52">
        <v>3.85</v>
      </c>
      <c r="V188" s="44">
        <f>IFERROR(TAB_OFICINAS[[#This Row],[Valor Unit]]*TAB_OFICINAS[[#This Row],[Qtd pçs Enviadas]]," ")</f>
        <v>385</v>
      </c>
      <c r="W188" s="17">
        <v>46120</v>
      </c>
      <c r="X188" s="5" t="s">
        <v>6251</v>
      </c>
      <c r="Y188" s="27" t="s">
        <v>21461</v>
      </c>
      <c r="Z1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89" spans="3:26" hidden="1">
      <c r="C189" s="28" t="s">
        <v>15</v>
      </c>
      <c r="D189" s="5">
        <v>1942</v>
      </c>
      <c r="E189" s="5">
        <v>22995</v>
      </c>
      <c r="F189" s="28" t="str">
        <f>IFERROR(VLOOKUP(TAB_OFICINAS[[#This Row],[Cliente]],LISTA_DE_CLIENTES[[Código]:[Nome Fantasia]],2,FALSE),"")</f>
        <v>ONCO STAR SP ONCOLOGIA LTDA (REDE D´OR)</v>
      </c>
      <c r="G189" s="5" t="str">
        <f>IFERROR(VLOOKUP(TAB_OFICINAS[[#This Row],[Cliente]],LISTA_DE_CLIENTES[[Código]:[Nome Fantasia]],3,FALSE),"")</f>
        <v>R DOR VILA NOVA STAR</v>
      </c>
      <c r="H189" s="63">
        <v>3301084129</v>
      </c>
      <c r="I189" s="28" t="s">
        <v>21238</v>
      </c>
      <c r="J189" s="91">
        <v>100</v>
      </c>
      <c r="K189" s="86">
        <v>46125</v>
      </c>
      <c r="L189" s="10">
        <v>100</v>
      </c>
      <c r="M189" s="6">
        <v>46136</v>
      </c>
      <c r="N189" s="6">
        <v>46128</v>
      </c>
      <c r="O189" s="19">
        <f>TAB_OFICINAS[[#This Row],[Data Retorno Produção]]-TAB_OFICINAS[[#This Row],[Data Prometida  Entrega]]</f>
        <v>-8</v>
      </c>
      <c r="P189" s="40" t="str">
        <f>IF(TAB_OFICINAS[[#This Row],[Dias Para Entrega]]&lt;=0,"Em dia","Dia de Atrasado")</f>
        <v>Em dia</v>
      </c>
      <c r="Q189" s="10">
        <f>IFERROR(TAB_OFICINAS[[#This Row],[Qtd pçs Enviadas]]-TAB_OFICINAS[[#This Row],[Qtd pçs Retornadas ]]," ")</f>
        <v>0</v>
      </c>
      <c r="R189" s="10">
        <v>0</v>
      </c>
      <c r="S189" s="5">
        <v>746</v>
      </c>
      <c r="T189" s="5">
        <v>17106</v>
      </c>
      <c r="U189" s="52">
        <v>3.85</v>
      </c>
      <c r="V189" s="44">
        <f>IFERROR(TAB_OFICINAS[[#This Row],[Valor Unit]]*TAB_OFICINAS[[#This Row],[Qtd pçs Enviadas]]," ")</f>
        <v>385</v>
      </c>
      <c r="W189" s="17">
        <v>46134</v>
      </c>
      <c r="X189" s="5" t="s">
        <v>6251</v>
      </c>
      <c r="Y189" s="27" t="s">
        <v>21341</v>
      </c>
      <c r="Z1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0" spans="3:26" hidden="1">
      <c r="C190" s="28" t="s">
        <v>19</v>
      </c>
      <c r="D190" s="5">
        <v>2575</v>
      </c>
      <c r="E190" s="5">
        <v>22390</v>
      </c>
      <c r="F190" s="28" t="str">
        <f>IFERROR(VLOOKUP(TAB_OFICINAS[[#This Row],[Cliente]],LISTA_DE_CLIENTES[[Código]:[Nome Fantasia]],2,FALSE),"")</f>
        <v>DIAGNOSTICOS DA AMERICA S.A .</v>
      </c>
      <c r="G190" s="5" t="str">
        <f>IFERROR(VLOOKUP(TAB_OFICINAS[[#This Row],[Cliente]],LISTA_DE_CLIENTES[[Código]:[Nome Fantasia]],3,FALSE),"")</f>
        <v>DASA HIGIENÓPOLIS</v>
      </c>
      <c r="H190" s="51">
        <v>3301093025</v>
      </c>
      <c r="I190" s="28" t="s">
        <v>20343</v>
      </c>
      <c r="J190" s="91">
        <v>21</v>
      </c>
      <c r="K190" s="86">
        <v>46042</v>
      </c>
      <c r="L190" s="10">
        <v>21</v>
      </c>
      <c r="M190" s="6">
        <v>46063</v>
      </c>
      <c r="N190" s="6">
        <v>46059</v>
      </c>
      <c r="O190" s="19">
        <f>TAB_OFICINAS[[#This Row],[Data Retorno Produção]]-TAB_OFICINAS[[#This Row],[Data Prometida  Entrega]]</f>
        <v>-4</v>
      </c>
      <c r="P190" s="40" t="str">
        <f>IF(TAB_OFICINAS[[#This Row],[Dias Para Entrega]]&lt;=0,"Em dia","Dia de Atrasado")</f>
        <v>Em dia</v>
      </c>
      <c r="Q190" s="10">
        <f>IFERROR(TAB_OFICINAS[[#This Row],[Qtd pçs Enviadas]]-TAB_OFICINAS[[#This Row],[Qtd pçs Retornadas ]],"N/D ")</f>
        <v>0</v>
      </c>
      <c r="R190" s="10">
        <v>0</v>
      </c>
      <c r="S190" s="5">
        <v>4322</v>
      </c>
      <c r="T190" s="5">
        <v>41</v>
      </c>
      <c r="U190" s="52">
        <v>16</v>
      </c>
      <c r="V190" s="44">
        <f>IFERROR(TAB_OFICINAS[[#This Row],[Valor Unit]]*TAB_OFICINAS[[#This Row],[Qtd pçs Enviadas]]," ")</f>
        <v>336</v>
      </c>
      <c r="W190" s="17">
        <v>46066</v>
      </c>
      <c r="X190" s="5" t="s">
        <v>6251</v>
      </c>
      <c r="Y190" s="27"/>
      <c r="Z1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1" spans="3:26" hidden="1">
      <c r="C191" s="28" t="s">
        <v>3</v>
      </c>
      <c r="D191" s="5">
        <v>2913</v>
      </c>
      <c r="E191" s="5">
        <v>23358</v>
      </c>
      <c r="F191" s="28" t="str">
        <f>IFERROR(VLOOKUP(TAB_OFICINAS[[#This Row],[Cliente]],LISTA_DE_CLIENTES[[Código]:[Nome Fantasia]],2,FALSE),"")</f>
        <v>EDIFICIO QUEEN VICTORIA</v>
      </c>
      <c r="G191" s="5" t="str">
        <f>IFERROR(VLOOKUP(TAB_OFICINAS[[#This Row],[Cliente]],LISTA_DE_CLIENTES[[Código]:[Nome Fantasia]],3,FALSE),"")</f>
        <v>QUEEN VICTORIA</v>
      </c>
      <c r="H191" s="63">
        <v>3302302215</v>
      </c>
      <c r="I191" s="28" t="s">
        <v>22682</v>
      </c>
      <c r="J191" s="91">
        <v>100</v>
      </c>
      <c r="K191" s="86">
        <v>46161</v>
      </c>
      <c r="L191" s="10">
        <v>100</v>
      </c>
      <c r="M191" s="6">
        <v>46166</v>
      </c>
      <c r="N191" s="6">
        <v>46161</v>
      </c>
      <c r="O191" s="19">
        <f>TAB_OFICINAS[[#This Row],[Data Retorno Produção]]-TAB_OFICINAS[[#This Row],[Data Prometida  Entrega]]</f>
        <v>-5</v>
      </c>
      <c r="P191" s="40" t="str">
        <f>IF(TAB_OFICINAS[[#This Row],[Dias Para Entrega]]&lt;=0,"Em dia","Dia de Atrasado")</f>
        <v>Em dia</v>
      </c>
      <c r="Q191" s="10">
        <f>IFERROR(TAB_OFICINAS[[#This Row],[Qtd pçs Enviadas]]-TAB_OFICINAS[[#This Row],[Qtd pçs Retornadas ]]," ")</f>
        <v>0</v>
      </c>
      <c r="R191" s="10"/>
      <c r="S191" s="5">
        <v>847</v>
      </c>
      <c r="T191" s="5">
        <v>107</v>
      </c>
      <c r="U191" s="52">
        <v>4</v>
      </c>
      <c r="V191" s="44">
        <f>TAB_OFICINAS[[#This Row],[Valor Unit]]*TAB_OFICINAS[[#This Row],[Qtd pçs Retornadas ]]</f>
        <v>400</v>
      </c>
      <c r="W191" s="17">
        <v>46171</v>
      </c>
      <c r="X191" s="5" t="s">
        <v>6251</v>
      </c>
      <c r="Y191" s="27"/>
      <c r="Z1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2" spans="3:26" hidden="1">
      <c r="C192" s="28" t="s">
        <v>15</v>
      </c>
      <c r="D192" s="5">
        <v>2522</v>
      </c>
      <c r="E192" s="5">
        <v>23344</v>
      </c>
      <c r="F192" s="28" t="str">
        <f>IFERROR(VLOOKUP(TAB_OFICINAS[[#This Row],[Cliente]],LISTA_DE_CLIENTES[[Código]:[Nome Fantasia]],2,FALSE),"")</f>
        <v>HYPE ILHABELA ADMINISTRACAO E PARTICIPACOES LTDA.</v>
      </c>
      <c r="G192" s="28" t="str">
        <f>IFERROR(VLOOKUP(TAB_OFICINAS[[#This Row],[Cliente]],LISTA_DE_CLIENTES[[Código]:[Nome Fantasia]],3,FALSE),"")</f>
        <v>CASA DI SIRENA</v>
      </c>
      <c r="H192" s="63">
        <v>2111269708</v>
      </c>
      <c r="I192" s="28" t="s">
        <v>20821</v>
      </c>
      <c r="J192" s="95">
        <v>100</v>
      </c>
      <c r="K192" s="86">
        <v>46161</v>
      </c>
      <c r="L192" s="29">
        <v>100</v>
      </c>
      <c r="M192" s="6">
        <v>46176</v>
      </c>
      <c r="N192" s="6">
        <v>46175</v>
      </c>
      <c r="O192" s="19">
        <f>TAB_OFICINAS[[#This Row],[Data Retorno Produção]]-TAB_OFICINAS[[#This Row],[Data Prometida  Entrega]]</f>
        <v>-1</v>
      </c>
      <c r="P192" s="40" t="str">
        <f>IF(TAB_OFICINAS[[#This Row],[Dias Para Entrega]]&lt;=0,"Em dia","Dia de Atrasado")</f>
        <v>Em dia</v>
      </c>
      <c r="Q192" s="10">
        <f>IFERROR(TAB_OFICINAS[[#This Row],[Qtd pçs Enviadas]]-TAB_OFICINAS[[#This Row],[Qtd pçs Retornadas ]]," ")</f>
        <v>0</v>
      </c>
      <c r="R192" s="29">
        <v>0</v>
      </c>
      <c r="S192" s="28">
        <v>3218</v>
      </c>
      <c r="T192" s="28">
        <v>17275</v>
      </c>
      <c r="U192" s="30">
        <v>5.5</v>
      </c>
      <c r="V192" s="31">
        <f>IFERROR(TAB_OFICINAS[[#This Row],[Valor Unit]]*TAB_OFICINAS[[#This Row],[Qtd pçs Enviadas]]," ")</f>
        <v>550</v>
      </c>
      <c r="W192" s="70">
        <v>46185</v>
      </c>
      <c r="X192" s="28" t="s">
        <v>6251</v>
      </c>
      <c r="Y192" s="69" t="s">
        <v>21381</v>
      </c>
      <c r="Z1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3" spans="3:26" hidden="1">
      <c r="C193" s="28" t="s">
        <v>7</v>
      </c>
      <c r="D193" s="5">
        <v>526</v>
      </c>
      <c r="E193" s="5">
        <v>22842</v>
      </c>
      <c r="F193" s="28" t="str">
        <f>IFERROR(VLOOKUP(TAB_OFICINAS[[#This Row],[Cliente]],LISTA_DE_CLIENTES[[Código]:[Nome Fantasia]],2,FALSE),"")</f>
        <v>ATMOSFERA GESTAO E HIGIENIZACAO DE TEXTEIS S.A.</v>
      </c>
      <c r="G193" s="5" t="str">
        <f>IFERROR(VLOOKUP(TAB_OFICINAS[[#This Row],[Cliente]],LISTA_DE_CLIENTES[[Código]:[Nome Fantasia]],3,FALSE),"")</f>
        <v>ATMOSFERA ST BARBARA</v>
      </c>
      <c r="H193" s="51">
        <v>92102156032</v>
      </c>
      <c r="I193" s="28" t="s">
        <v>20321</v>
      </c>
      <c r="J193" s="91">
        <v>25</v>
      </c>
      <c r="K193" s="86">
        <v>46073</v>
      </c>
      <c r="L193" s="10">
        <v>25</v>
      </c>
      <c r="M193" s="6">
        <v>46078</v>
      </c>
      <c r="N193" s="6">
        <v>46078</v>
      </c>
      <c r="O193" s="19">
        <f>TAB_OFICINAS[[#This Row],[Data Retorno Produção]]-TAB_OFICINAS[[#This Row],[Data Prometida  Entrega]]</f>
        <v>0</v>
      </c>
      <c r="P193" s="40" t="str">
        <f>IF(TAB_OFICINAS[[#This Row],[Dias Para Entrega]]&lt;=0,"Em dia","Dia de Atrasado")</f>
        <v>Em dia</v>
      </c>
      <c r="Q193" s="10">
        <f>IFERROR(TAB_OFICINAS[[#This Row],[Qtd pçs Enviadas]]-TAB_OFICINAS[[#This Row],[Qtd pçs Retornadas ]],"N/D ")</f>
        <v>0</v>
      </c>
      <c r="R193" s="10">
        <v>0</v>
      </c>
      <c r="S193" s="5">
        <v>609</v>
      </c>
      <c r="T193" s="5">
        <v>24</v>
      </c>
      <c r="U193" s="52">
        <v>14</v>
      </c>
      <c r="V193" s="44">
        <f>IFERROR(TAB_OFICINAS[[#This Row],[Valor Unit]]*TAB_OFICINAS[[#This Row],[Qtd pçs Enviadas]]," ")</f>
        <v>350</v>
      </c>
      <c r="W193" s="17">
        <v>46087</v>
      </c>
      <c r="X193" s="5" t="s">
        <v>6251</v>
      </c>
      <c r="Y193" s="27"/>
      <c r="Z1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4" spans="3:26" hidden="1">
      <c r="C194" s="28" t="s">
        <v>15</v>
      </c>
      <c r="D194" s="5">
        <v>1942</v>
      </c>
      <c r="E194" s="5">
        <v>23100</v>
      </c>
      <c r="F194" s="28" t="str">
        <f>IFERROR(VLOOKUP(TAB_OFICINAS[[#This Row],[Cliente]],LISTA_DE_CLIENTES[[Código]:[Nome Fantasia]],2,FALSE),"")</f>
        <v>ONCO STAR SP ONCOLOGIA LTDA (REDE D´OR)</v>
      </c>
      <c r="G194" s="2" t="str">
        <f>IFERROR(VLOOKUP(TAB_OFICINAS[[#This Row],[Cliente]],LISTA_DE_CLIENTES[[Código]:[Nome Fantasia]],3,FALSE),"")</f>
        <v>R DOR VILA NOVA STAR</v>
      </c>
      <c r="H194" s="51">
        <v>3301084164</v>
      </c>
      <c r="I194" s="28" t="s">
        <v>23447</v>
      </c>
      <c r="J194" s="91">
        <v>100</v>
      </c>
      <c r="K194" s="88">
        <v>46205</v>
      </c>
      <c r="L194" s="9">
        <v>100</v>
      </c>
      <c r="M194" s="6">
        <v>46210</v>
      </c>
      <c r="N194" s="6">
        <v>46209</v>
      </c>
      <c r="O194" s="23">
        <f>TAB_OFICINAS[[#This Row],[Data Retorno Produção]]-TAB_OFICINAS[[#This Row],[Data Prometida  Entrega]]</f>
        <v>-1</v>
      </c>
      <c r="P194" s="98" t="str">
        <f>IF(TAB_OFICINAS[[#This Row],[Dias Para Entrega]]&lt;=0,"Em dia","Dia de Atrasado")</f>
        <v>Em dia</v>
      </c>
      <c r="Q194" s="10">
        <f>IFERROR(TAB_OFICINAS[[#This Row],[Qtd pçs Enviadas]]-TAB_OFICINAS[[#This Row],[Qtd pçs Retornadas ]]," ")</f>
        <v>0</v>
      </c>
      <c r="R194" s="24"/>
      <c r="S194" s="5">
        <v>908</v>
      </c>
      <c r="U194" s="11">
        <v>3.85</v>
      </c>
      <c r="V194" s="25">
        <f>IFERROR(TAB_OFICINAS[[#This Row],[Valor Unit]]*TAB_OFICINAS[[#This Row],[Qtd pçs Enviadas]]," ")</f>
        <v>385</v>
      </c>
      <c r="W194" s="26"/>
      <c r="X194" s="17" t="s">
        <v>6251</v>
      </c>
      <c r="Y194" s="27" t="s">
        <v>21341</v>
      </c>
      <c r="Z1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5" spans="3:26" hidden="1">
      <c r="C195" s="28" t="s">
        <v>7</v>
      </c>
      <c r="D195" s="5">
        <v>526</v>
      </c>
      <c r="E195" s="5">
        <v>22842</v>
      </c>
      <c r="F195" s="28" t="str">
        <f>IFERROR(VLOOKUP(TAB_OFICINAS[[#This Row],[Cliente]],LISTA_DE_CLIENTES[[Código]:[Nome Fantasia]],2,FALSE),"")</f>
        <v>ATMOSFERA GESTAO E HIGIENIZACAO DE TEXTEIS S.A.</v>
      </c>
      <c r="G195" s="5" t="str">
        <f>IFERROR(VLOOKUP(TAB_OFICINAS[[#This Row],[Cliente]],LISTA_DE_CLIENTES[[Código]:[Nome Fantasia]],3,FALSE),"")</f>
        <v>ATMOSFERA ST BARBARA</v>
      </c>
      <c r="H195" s="51">
        <v>92102156030</v>
      </c>
      <c r="I195" s="28" t="s">
        <v>20322</v>
      </c>
      <c r="J195" s="91">
        <v>25</v>
      </c>
      <c r="K195" s="86">
        <v>46073</v>
      </c>
      <c r="L195" s="10">
        <v>25</v>
      </c>
      <c r="M195" s="6">
        <v>46078</v>
      </c>
      <c r="N195" s="6">
        <v>46078</v>
      </c>
      <c r="O195" s="19">
        <f>TAB_OFICINAS[[#This Row],[Data Retorno Produção]]-TAB_OFICINAS[[#This Row],[Data Prometida  Entrega]]</f>
        <v>0</v>
      </c>
      <c r="P195" s="40" t="str">
        <f>IF(TAB_OFICINAS[[#This Row],[Dias Para Entrega]]&lt;=0,"Em dia","Dia de Atrasado")</f>
        <v>Em dia</v>
      </c>
      <c r="Q195" s="10">
        <f>IFERROR(TAB_OFICINAS[[#This Row],[Qtd pçs Enviadas]]-TAB_OFICINAS[[#This Row],[Qtd pçs Retornadas ]],"N/D ")</f>
        <v>0</v>
      </c>
      <c r="R195" s="10">
        <v>0</v>
      </c>
      <c r="S195" s="5">
        <v>609</v>
      </c>
      <c r="T195" s="5">
        <v>24</v>
      </c>
      <c r="U195" s="52">
        <v>10.3</v>
      </c>
      <c r="V195" s="44">
        <f>IFERROR(TAB_OFICINAS[[#This Row],[Valor Unit]]*TAB_OFICINAS[[#This Row],[Qtd pçs Enviadas]]," ")</f>
        <v>257.5</v>
      </c>
      <c r="W195" s="17">
        <v>46087</v>
      </c>
      <c r="X195" s="5" t="s">
        <v>6251</v>
      </c>
      <c r="Y195" s="27"/>
      <c r="Z1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6" spans="3:26" hidden="1">
      <c r="C196" s="28" t="s">
        <v>15</v>
      </c>
      <c r="D196" s="5">
        <v>1942</v>
      </c>
      <c r="E196" s="5">
        <v>22842</v>
      </c>
      <c r="F196" s="28" t="str">
        <f>IFERROR(VLOOKUP(TAB_OFICINAS[[#This Row],[Cliente]],LISTA_DE_CLIENTES[[Código]:[Nome Fantasia]],2,FALSE),"")</f>
        <v>ONCO STAR SP ONCOLOGIA LTDA (REDE D´OR)</v>
      </c>
      <c r="G196" s="5" t="str">
        <f>IFERROR(VLOOKUP(TAB_OFICINAS[[#This Row],[Cliente]],LISTA_DE_CLIENTES[[Código]:[Nome Fantasia]],3,FALSE),"")</f>
        <v>R DOR VILA NOVA STAR</v>
      </c>
      <c r="H196" s="63">
        <v>3301084129</v>
      </c>
      <c r="I196" s="28" t="s">
        <v>21238</v>
      </c>
      <c r="J196" s="91">
        <v>93</v>
      </c>
      <c r="K196" s="86">
        <v>46080</v>
      </c>
      <c r="L196" s="10">
        <v>93</v>
      </c>
      <c r="M196" s="6">
        <v>46083</v>
      </c>
      <c r="N196" s="6">
        <v>46083</v>
      </c>
      <c r="O196" s="19">
        <f>TAB_OFICINAS[[#This Row],[Data Retorno Produção]]-TAB_OFICINAS[[#This Row],[Data Prometida  Entrega]]</f>
        <v>0</v>
      </c>
      <c r="P196" s="40" t="str">
        <f>IF(TAB_OFICINAS[[#This Row],[Dias Para Entrega]]&lt;=0,"Em dia","Dia de Atrasado")</f>
        <v>Em dia</v>
      </c>
      <c r="Q196" s="10">
        <f>IFERROR(TAB_OFICINAS[[#This Row],[Qtd pçs Enviadas]]-TAB_OFICINAS[[#This Row],[Qtd pçs Retornadas ]]," ")</f>
        <v>0</v>
      </c>
      <c r="R196" s="10">
        <v>0</v>
      </c>
      <c r="S196" s="5">
        <v>640</v>
      </c>
      <c r="T196" s="5">
        <v>16977</v>
      </c>
      <c r="U196" s="52">
        <v>3.85</v>
      </c>
      <c r="V196" s="44">
        <f>IFERROR(TAB_OFICINAS[[#This Row],[Valor Unit]]*TAB_OFICINAS[[#This Row],[Qtd pçs Enviadas]]," ")</f>
        <v>358.05</v>
      </c>
      <c r="W196" s="17">
        <v>46091</v>
      </c>
      <c r="X196" s="5" t="s">
        <v>6251</v>
      </c>
      <c r="Y196" s="27" t="s">
        <v>21341</v>
      </c>
      <c r="Z1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7" spans="3:26" hidden="1">
      <c r="C197" s="28" t="s">
        <v>18</v>
      </c>
      <c r="D197" s="5">
        <v>3593</v>
      </c>
      <c r="E197" s="5">
        <v>22065</v>
      </c>
      <c r="F197" s="28" t="str">
        <f>IFERROR(VLOOKUP(TAB_OFICINAS[[#This Row],[Cliente]],LISTA_DE_CLIENTES[[Código]:[Nome Fantasia]],2,FALSE),"")</f>
        <v>DIAGNOSTICOS DA AMERICA S.A.</v>
      </c>
      <c r="G197" s="5" t="str">
        <f>IFERROR(VLOOKUP(TAB_OFICINAS[[#This Row],[Cliente]],LISTA_DE_CLIENTES[[Código]:[Nome Fantasia]],3,FALSE),"")</f>
        <v>DASA PINHEIROS</v>
      </c>
      <c r="H197" s="51">
        <v>3301093026</v>
      </c>
      <c r="I197" s="28" t="s">
        <v>20361</v>
      </c>
      <c r="J197" s="91">
        <v>10</v>
      </c>
      <c r="K197" s="86">
        <v>46028</v>
      </c>
      <c r="L197" s="10">
        <v>10</v>
      </c>
      <c r="M197" s="6">
        <v>46042</v>
      </c>
      <c r="N197" s="6">
        <v>46043</v>
      </c>
      <c r="O197" s="19">
        <f>TAB_OFICINAS[[#This Row],[Data Retorno Produção]]-TAB_OFICINAS[[#This Row],[Data Prometida  Entrega]]</f>
        <v>1</v>
      </c>
      <c r="P197" s="40" t="str">
        <f>IF(TAB_OFICINAS[[#This Row],[Dias Para Entrega]]&lt;=0,"Em dia","Dia de Atrasado")</f>
        <v>Dia de Atrasado</v>
      </c>
      <c r="Q197" s="10">
        <f>IFERROR(TAB_OFICINAS[[#This Row],[Qtd pçs Enviadas]]-TAB_OFICINAS[[#This Row],[Qtd pçs Retornadas ]],"N/D ")</f>
        <v>0</v>
      </c>
      <c r="R197" s="10">
        <v>0</v>
      </c>
      <c r="S197" s="5">
        <v>4301</v>
      </c>
      <c r="T197" s="5">
        <v>30</v>
      </c>
      <c r="U197" s="52">
        <v>16</v>
      </c>
      <c r="V197" s="44">
        <f>IFERROR(TAB_OFICINAS[[#This Row],[Valor Unit]]*TAB_OFICINAS[[#This Row],[Qtd pçs Enviadas]]," ")</f>
        <v>160</v>
      </c>
      <c r="W197" s="17">
        <v>46055</v>
      </c>
      <c r="X197" s="5" t="s">
        <v>6251</v>
      </c>
      <c r="Y197" s="27"/>
      <c r="Z1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8" spans="3:26" hidden="1">
      <c r="C198" s="28" t="s">
        <v>3</v>
      </c>
      <c r="D198" s="5">
        <v>5572</v>
      </c>
      <c r="E198" s="5">
        <v>23053</v>
      </c>
      <c r="F198" s="28" t="str">
        <f>IFERROR(VLOOKUP(TAB_OFICINAS[[#This Row],[Cliente]],LISTA_DE_CLIENTES[[Código]:[Nome Fantasia]],2,FALSE),"")</f>
        <v>TAUÁ HOTEL E CONVENTION JOÃO PESSOA LTDA</v>
      </c>
      <c r="G198" s="5" t="str">
        <f>IFERROR(VLOOKUP(TAB_OFICINAS[[#This Row],[Cliente]],LISTA_DE_CLIENTES[[Código]:[Nome Fantasia]],3,FALSE),"")</f>
        <v>TAUÁ HOTEL E CONVENT</v>
      </c>
      <c r="H198" s="63">
        <v>3404116158</v>
      </c>
      <c r="I198" s="28" t="s">
        <v>20847</v>
      </c>
      <c r="J198" s="91">
        <v>91</v>
      </c>
      <c r="K198" s="86">
        <v>46176</v>
      </c>
      <c r="L198" s="34">
        <v>91</v>
      </c>
      <c r="M198" s="6">
        <v>46185</v>
      </c>
      <c r="N198" s="6">
        <v>46183</v>
      </c>
      <c r="O198" s="19">
        <f>TAB_OFICINAS[[#This Row],[Data Retorno Produção]]-TAB_OFICINAS[[#This Row],[Data Prometida  Entrega]]</f>
        <v>-2</v>
      </c>
      <c r="P198" s="40" t="str">
        <f>IF(TAB_OFICINAS[[#This Row],[Dias Para Entrega]]&lt;=0,"Em dia","Dia de Atrasado")</f>
        <v>Em dia</v>
      </c>
      <c r="Q198" s="10">
        <f>IFERROR(TAB_OFICINAS[[#This Row],[Qtd pçs Enviadas]]-TAB_OFICINAS[[#This Row],[Qtd pçs Retornadas ]]," ")</f>
        <v>0</v>
      </c>
      <c r="R198" s="10"/>
      <c r="S198" s="5">
        <v>3247</v>
      </c>
      <c r="T198" s="5">
        <v>114</v>
      </c>
      <c r="U198" s="52">
        <v>6.15</v>
      </c>
      <c r="V198" s="44">
        <f>IFERROR(TAB_OFICINAS[[#This Row],[Valor Unit]]*TAB_OFICINAS[[#This Row],[Qtd pçs Enviadas]]," ")</f>
        <v>559.65</v>
      </c>
      <c r="W198" s="17">
        <v>46196</v>
      </c>
      <c r="X198" s="5" t="s">
        <v>6251</v>
      </c>
      <c r="Y198" s="27"/>
      <c r="Z1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99" spans="3:26" hidden="1">
      <c r="C199" s="28" t="s">
        <v>7</v>
      </c>
      <c r="D199" s="5">
        <v>526</v>
      </c>
      <c r="E199" s="5">
        <v>22842</v>
      </c>
      <c r="F199" s="28" t="str">
        <f>IFERROR(VLOOKUP(TAB_OFICINAS[[#This Row],[Cliente]],LISTA_DE_CLIENTES[[Código]:[Nome Fantasia]],2,FALSE),"")</f>
        <v>ATMOSFERA GESTAO E HIGIENIZACAO DE TEXTEIS S.A.</v>
      </c>
      <c r="G199" s="5" t="str">
        <f>IFERROR(VLOOKUP(TAB_OFICINAS[[#This Row],[Cliente]],LISTA_DE_CLIENTES[[Código]:[Nome Fantasia]],3,FALSE),"")</f>
        <v>ATMOSFERA ST BARBARA</v>
      </c>
      <c r="H199" s="51">
        <v>92101472178</v>
      </c>
      <c r="I199" s="28" t="s">
        <v>20323</v>
      </c>
      <c r="J199" s="91">
        <v>25</v>
      </c>
      <c r="K199" s="86">
        <v>46073</v>
      </c>
      <c r="L199" s="10">
        <v>25</v>
      </c>
      <c r="M199" s="6">
        <v>46078</v>
      </c>
      <c r="N199" s="6">
        <v>46078</v>
      </c>
      <c r="O199" s="19">
        <f>TAB_OFICINAS[[#This Row],[Data Retorno Produção]]-TAB_OFICINAS[[#This Row],[Data Prometida  Entrega]]</f>
        <v>0</v>
      </c>
      <c r="P199" s="40" t="str">
        <f>IF(TAB_OFICINAS[[#This Row],[Dias Para Entrega]]&lt;=0,"Em dia","Dia de Atrasado")</f>
        <v>Em dia</v>
      </c>
      <c r="Q199" s="10">
        <f>IFERROR(TAB_OFICINAS[[#This Row],[Qtd pçs Enviadas]]-TAB_OFICINAS[[#This Row],[Qtd pçs Retornadas ]],"N/D ")</f>
        <v>0</v>
      </c>
      <c r="R199" s="10">
        <v>0</v>
      </c>
      <c r="S199" s="5">
        <v>609</v>
      </c>
      <c r="T199" s="5">
        <v>24</v>
      </c>
      <c r="U199" s="52">
        <v>12</v>
      </c>
      <c r="V199" s="44">
        <f>IFERROR(TAB_OFICINAS[[#This Row],[Valor Unit]]*TAB_OFICINAS[[#This Row],[Qtd pçs Enviadas]]," ")</f>
        <v>300</v>
      </c>
      <c r="W199" s="17">
        <v>46087</v>
      </c>
      <c r="X199" s="5" t="s">
        <v>6251</v>
      </c>
      <c r="Y199" s="27"/>
      <c r="Z1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0" spans="3:26" hidden="1">
      <c r="C200" s="28" t="s">
        <v>20</v>
      </c>
      <c r="D200" s="5">
        <v>1942</v>
      </c>
      <c r="E200" s="5">
        <v>22842</v>
      </c>
      <c r="F200" s="28" t="str">
        <f>IFERROR(VLOOKUP(TAB_OFICINAS[[#This Row],[Cliente]],LISTA_DE_CLIENTES[[Código]:[Nome Fantasia]],2,FALSE),"")</f>
        <v>ONCO STAR SP ONCOLOGIA LTDA (REDE D´OR)</v>
      </c>
      <c r="G200" s="5" t="str">
        <f>IFERROR(VLOOKUP(TAB_OFICINAS[[#This Row],[Cliente]],LISTA_DE_CLIENTES[[Código]:[Nome Fantasia]],3,FALSE),"")</f>
        <v>R DOR VILA NOVA STAR</v>
      </c>
      <c r="H200" s="51">
        <v>2101102487</v>
      </c>
      <c r="I200" s="28" t="s">
        <v>20379</v>
      </c>
      <c r="J200" s="91">
        <v>85</v>
      </c>
      <c r="K200" s="86">
        <v>46083</v>
      </c>
      <c r="L200" s="10">
        <v>85</v>
      </c>
      <c r="M200" s="6">
        <v>46087</v>
      </c>
      <c r="N200" s="6">
        <v>46086</v>
      </c>
      <c r="O200" s="19">
        <f>TAB_OFICINAS[[#This Row],[Data Retorno Produção]]-TAB_OFICINAS[[#This Row],[Data Prometida  Entrega]]</f>
        <v>-1</v>
      </c>
      <c r="P200" s="40" t="str">
        <f>IF(TAB_OFICINAS[[#This Row],[Dias Para Entrega]]&lt;=0,"Em dia","Dia de Atrasado")</f>
        <v>Em dia</v>
      </c>
      <c r="Q200" s="10">
        <f>IFERROR(TAB_OFICINAS[[#This Row],[Qtd pçs Enviadas]]-TAB_OFICINAS[[#This Row],[Qtd pçs Retornadas ]]," ")</f>
        <v>0</v>
      </c>
      <c r="R200" s="10">
        <v>0</v>
      </c>
      <c r="S200" s="5">
        <v>649</v>
      </c>
      <c r="T200" s="5">
        <v>80</v>
      </c>
      <c r="U200" s="52">
        <v>4.5</v>
      </c>
      <c r="V200" s="44">
        <f>IFERROR(TAB_OFICINAS[[#This Row],[Valor Unit]]*TAB_OFICINAS[[#This Row],[Qtd pçs Enviadas]]," ")</f>
        <v>382.5</v>
      </c>
      <c r="W200" s="17">
        <v>46066</v>
      </c>
      <c r="X200" s="5" t="s">
        <v>6251</v>
      </c>
      <c r="Y200" s="27"/>
      <c r="Z2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1" spans="3:26" ht="99.75" hidden="1">
      <c r="C201" s="28" t="s">
        <v>8</v>
      </c>
      <c r="D201" s="5">
        <v>4451</v>
      </c>
      <c r="E201" s="5">
        <v>22240</v>
      </c>
      <c r="F201" s="28" t="str">
        <f>IFERROR(VLOOKUP(TAB_OFICINAS[[#This Row],[Cliente]],LISTA_DE_CLIENTES[[Código]:[Nome Fantasia]],2,FALSE),"")</f>
        <v>ASSOCIAÇÃO CLUBE WAVE 1</v>
      </c>
      <c r="G201" s="5" t="str">
        <f>IFERROR(VLOOKUP(TAB_OFICINAS[[#This Row],[Cliente]],LISTA_DE_CLIENTES[[Código]:[Nome Fantasia]],3,FALSE),"")</f>
        <v>BEYOND SP</v>
      </c>
      <c r="H201" s="51">
        <v>3301098696</v>
      </c>
      <c r="I201" s="28" t="s">
        <v>20335</v>
      </c>
      <c r="J201" s="91">
        <v>110</v>
      </c>
      <c r="K201" s="86">
        <v>46059</v>
      </c>
      <c r="L201" s="10">
        <v>110</v>
      </c>
      <c r="M201" s="6">
        <v>46077</v>
      </c>
      <c r="N201" s="6">
        <v>46083</v>
      </c>
      <c r="O201" s="19">
        <f>TAB_OFICINAS[[#This Row],[Data Retorno Produção]]-TAB_OFICINAS[[#This Row],[Data Prometida  Entrega]]</f>
        <v>6</v>
      </c>
      <c r="P201" s="40" t="str">
        <f>IF(TAB_OFICINAS[[#This Row],[Dias Para Entrega]]&lt;=0,"Em dia","Dia de Atrasado")</f>
        <v>Dia de Atrasado</v>
      </c>
      <c r="Q201" s="10">
        <f>IFERROR(TAB_OFICINAS[[#This Row],[Qtd pçs Enviadas]]-TAB_OFICINAS[[#This Row],[Qtd pçs Retornadas ]]," ")</f>
        <v>0</v>
      </c>
      <c r="R201" s="10">
        <v>0</v>
      </c>
      <c r="S201" s="5">
        <v>577</v>
      </c>
      <c r="T201" s="5">
        <v>21</v>
      </c>
      <c r="U201" s="52">
        <v>14</v>
      </c>
      <c r="V201" s="44">
        <f>IFERROR(TAB_OFICINAS[[#This Row],[Valor Unit]]*TAB_OFICINAS[[#This Row],[Qtd pçs Enviadas]]," ")</f>
        <v>1540</v>
      </c>
      <c r="W201" s="17">
        <f>TAB_OFICINAS[[#This Row],[Data Retorno Produção]]+10</f>
        <v>46093</v>
      </c>
      <c r="X201" s="5" t="s">
        <v>6251</v>
      </c>
      <c r="Y201" s="27" t="s">
        <v>21325</v>
      </c>
      <c r="Z2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2" spans="3:26" hidden="1">
      <c r="C202" s="28" t="s">
        <v>3</v>
      </c>
      <c r="D202" s="5">
        <v>161</v>
      </c>
      <c r="E202" s="5">
        <v>22331</v>
      </c>
      <c r="F202" s="28" t="str">
        <f>IFERROR(VLOOKUP(TAB_OFICINAS[[#This Row],[Cliente]],LISTA_DE_CLIENTES[[Código]:[Nome Fantasia]],2,FALSE),"")</f>
        <v>HOTEL COLINAS</v>
      </c>
      <c r="G202" s="5" t="str">
        <f>IFERROR(VLOOKUP(TAB_OFICINAS[[#This Row],[Cliente]],LISTA_DE_CLIENTES[[Código]:[Nome Fantasia]],3,FALSE),"")</f>
        <v>COLINAS-GOLDEN TULIP</v>
      </c>
      <c r="H202" s="51">
        <v>2104035087</v>
      </c>
      <c r="I202" s="28" t="s">
        <v>20739</v>
      </c>
      <c r="J202" s="91">
        <v>80</v>
      </c>
      <c r="K202" s="86">
        <v>46010</v>
      </c>
      <c r="L202" s="10">
        <v>80</v>
      </c>
      <c r="M202" s="6">
        <v>46028</v>
      </c>
      <c r="N202" s="6">
        <v>46027</v>
      </c>
      <c r="O202" s="19">
        <f>TAB_OFICINAS[[#This Row],[Data Retorno Produção]]-TAB_OFICINAS[[#This Row],[Data Prometida  Entrega]]</f>
        <v>-1</v>
      </c>
      <c r="P202" s="40" t="str">
        <f>IF(TAB_OFICINAS[[#This Row],[Dias Para Entrega]]&lt;=0,"Em dia","Dia de Atrasado")</f>
        <v>Em dia</v>
      </c>
      <c r="Q202" s="10">
        <f>IFERROR(TAB_OFICINAS[[#This Row],[Qtd pçs Enviadas]]-TAB_OFICINAS[[#This Row],[Qtd pçs Retornadas ]]," ")</f>
        <v>0</v>
      </c>
      <c r="R202" s="10">
        <v>0</v>
      </c>
      <c r="S202" s="5">
        <v>3059</v>
      </c>
      <c r="T202" s="5">
        <v>86</v>
      </c>
      <c r="U202" s="52">
        <v>4.3</v>
      </c>
      <c r="V202" s="44">
        <f>IFERROR(TAB_OFICINAS[[#This Row],[Valor Unit]]*TAB_OFICINAS[[#This Row],[Qtd pçs Enviadas]]," ")</f>
        <v>344</v>
      </c>
      <c r="W202" s="17">
        <v>46034</v>
      </c>
      <c r="X202" s="5" t="s">
        <v>6251</v>
      </c>
      <c r="Y202" s="27"/>
      <c r="Z2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3" spans="3:26" hidden="1">
      <c r="C203" s="28" t="s">
        <v>16</v>
      </c>
      <c r="D203" s="5">
        <v>161</v>
      </c>
      <c r="E203" s="5">
        <v>22331</v>
      </c>
      <c r="F203" s="28" t="str">
        <f>IFERROR(VLOOKUP(TAB_OFICINAS[[#This Row],[Cliente]],LISTA_DE_CLIENTES[[Código]:[Nome Fantasia]],2,FALSE),"")</f>
        <v>HOTEL COLINAS</v>
      </c>
      <c r="G203" s="5" t="str">
        <f>IFERROR(VLOOKUP(TAB_OFICINAS[[#This Row],[Cliente]],LISTA_DE_CLIENTES[[Código]:[Nome Fantasia]],3,FALSE),"")</f>
        <v>COLINAS-GOLDEN TULIP</v>
      </c>
      <c r="H203" s="51">
        <v>2102856822</v>
      </c>
      <c r="I203" s="28" t="s">
        <v>20337</v>
      </c>
      <c r="J203" s="91">
        <v>80</v>
      </c>
      <c r="K203" s="86">
        <v>46029</v>
      </c>
      <c r="L203" s="10">
        <v>80</v>
      </c>
      <c r="M203" s="6">
        <v>46038</v>
      </c>
      <c r="N203" s="6">
        <v>46038</v>
      </c>
      <c r="O203" s="19">
        <f>TAB_OFICINAS[[#This Row],[Data Retorno Produção]]-TAB_OFICINAS[[#This Row],[Data Prometida  Entrega]]</f>
        <v>0</v>
      </c>
      <c r="P203" s="40" t="str">
        <f>IF(TAB_OFICINAS[[#This Row],[Dias Para Entrega]]&lt;=0,"Em dia","Dia de Atrasado")</f>
        <v>Em dia</v>
      </c>
      <c r="Q203" s="10">
        <f>IFERROR(TAB_OFICINAS[[#This Row],[Qtd pçs Enviadas]]-TAB_OFICINAS[[#This Row],[Qtd pçs Retornadas ]]," ")</f>
        <v>0</v>
      </c>
      <c r="R203" s="10">
        <v>0</v>
      </c>
      <c r="S203" s="5">
        <v>3068</v>
      </c>
      <c r="T203" s="5">
        <v>30</v>
      </c>
      <c r="U203" s="52">
        <v>12</v>
      </c>
      <c r="V203" s="44">
        <f>IFERROR(TAB_OFICINAS[[#This Row],[Valor Unit]]*TAB_OFICINAS[[#This Row],[Qtd pçs Enviadas]]," ")</f>
        <v>960</v>
      </c>
      <c r="W203" s="17">
        <v>46050</v>
      </c>
      <c r="X203" s="5" t="s">
        <v>6251</v>
      </c>
      <c r="Y203" s="27"/>
      <c r="Z2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4" spans="3:26" hidden="1">
      <c r="C204" s="28" t="s">
        <v>15</v>
      </c>
      <c r="D204" s="5">
        <v>943</v>
      </c>
      <c r="E204" s="5">
        <v>22882</v>
      </c>
      <c r="F204" s="28" t="str">
        <f>IFERROR(VLOOKUP(TAB_OFICINAS[[#This Row],[Cliente]],LISTA_DE_CLIENTES[[Código]:[Nome Fantasia]],2,FALSE),"")</f>
        <v>REDE DOR SAO LUIZ S.A.</v>
      </c>
      <c r="G204" s="5" t="str">
        <f>IFERROR(VLOOKUP(TAB_OFICINAS[[#This Row],[Cliente]],LISTA_DE_CLIENTES[[Código]:[Nome Fantasia]],3,FALSE),"")</f>
        <v>HOSPITAL COPA STAR</v>
      </c>
      <c r="H204" s="63">
        <v>3301084127</v>
      </c>
      <c r="I204" s="28" t="s">
        <v>21238</v>
      </c>
      <c r="J204" s="91">
        <v>80</v>
      </c>
      <c r="K204" s="86">
        <v>46111</v>
      </c>
      <c r="L204" s="10">
        <v>80</v>
      </c>
      <c r="M204" s="6">
        <v>46114</v>
      </c>
      <c r="N204" s="6">
        <f ca="1">TODAY()</f>
        <v>46315</v>
      </c>
      <c r="O204" s="19">
        <f ca="1">TAB_OFICINAS[[#This Row],[Data Retorno Produção]]-TAB_OFICINAS[[#This Row],[Data Prometida  Entrega]]</f>
        <v>201</v>
      </c>
      <c r="P204" s="40" t="str">
        <f ca="1">IF(TAB_OFICINAS[[#This Row],[Dias Para Entrega]]&lt;=0,"Em dia","Dia de Atrasado")</f>
        <v>Dia de Atrasado</v>
      </c>
      <c r="Q204" s="10">
        <f>IFERROR(TAB_OFICINAS[[#This Row],[Qtd pçs Enviadas]]-TAB_OFICINAS[[#This Row],[Qtd pçs Retornadas ]]," ")</f>
        <v>0</v>
      </c>
      <c r="R204" s="10">
        <v>0</v>
      </c>
      <c r="S204" s="5">
        <v>718</v>
      </c>
      <c r="T204" s="5">
        <v>17072</v>
      </c>
      <c r="U204" s="52">
        <v>3.85</v>
      </c>
      <c r="V204" s="44">
        <f>IFERROR(TAB_OFICINAS[[#This Row],[Valor Unit]]*TAB_OFICINAS[[#This Row],[Qtd pçs Enviadas]]," ")</f>
        <v>308</v>
      </c>
      <c r="W204" s="17">
        <v>46120</v>
      </c>
      <c r="X204" s="5" t="s">
        <v>6251</v>
      </c>
      <c r="Y204" s="27" t="s">
        <v>21463</v>
      </c>
      <c r="Z2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5" spans="3:26" ht="85.5" hidden="1">
      <c r="C205" s="28" t="s">
        <v>17</v>
      </c>
      <c r="D205" s="5">
        <v>943</v>
      </c>
      <c r="E205" s="5">
        <v>22882</v>
      </c>
      <c r="F205" s="28" t="str">
        <f>IFERROR(VLOOKUP(TAB_OFICINAS[[#This Row],[Cliente]],LISTA_DE_CLIENTES[[Código]:[Nome Fantasia]],2,FALSE),"")</f>
        <v>REDE DOR SAO LUIZ S.A.</v>
      </c>
      <c r="G205" s="5" t="str">
        <f>IFERROR(VLOOKUP(TAB_OFICINAS[[#This Row],[Cliente]],LISTA_DE_CLIENTES[[Código]:[Nome Fantasia]],3,FALSE),"")</f>
        <v>HOSPITAL COPA STAR</v>
      </c>
      <c r="H205" s="63">
        <v>3301084127</v>
      </c>
      <c r="I205" s="28" t="s">
        <v>21238</v>
      </c>
      <c r="J205" s="91">
        <v>80</v>
      </c>
      <c r="K205" s="86">
        <v>46114</v>
      </c>
      <c r="L205" s="10">
        <v>80</v>
      </c>
      <c r="M205" s="6">
        <v>46128</v>
      </c>
      <c r="N205" s="6">
        <v>46125</v>
      </c>
      <c r="O205" s="19">
        <f>TAB_OFICINAS[[#This Row],[Data Retorno Produção]]-TAB_OFICINAS[[#This Row],[Data Prometida  Entrega]]</f>
        <v>-3</v>
      </c>
      <c r="P205" s="40" t="str">
        <f>IF(TAB_OFICINAS[[#This Row],[Dias Para Entrega]]&lt;=0,"Em dia","Dia de Atrasado")</f>
        <v>Em dia</v>
      </c>
      <c r="Q205" s="10">
        <f>IFERROR(TAB_OFICINAS[[#This Row],[Qtd pçs Enviadas]]-TAB_OFICINAS[[#This Row],[Qtd pçs Retornadas ]]," ")</f>
        <v>0</v>
      </c>
      <c r="R205" s="10">
        <v>38</v>
      </c>
      <c r="S205" s="5">
        <v>728</v>
      </c>
      <c r="T205" s="5">
        <v>50</v>
      </c>
      <c r="U205" s="52">
        <v>14</v>
      </c>
      <c r="V205" s="44">
        <f>IFERROR(TAB_OFICINAS[[#This Row],[Valor Unit]]*TAB_OFICINAS[[#This Row],[Qtd pçs Enviadas]]," ")</f>
        <v>1120</v>
      </c>
      <c r="W205" s="17">
        <v>46135</v>
      </c>
      <c r="X205" s="5" t="s">
        <v>6251</v>
      </c>
      <c r="Y205" s="27" t="s">
        <v>21573</v>
      </c>
      <c r="Z2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6" spans="3:26" hidden="1">
      <c r="C206" s="28" t="s">
        <v>7</v>
      </c>
      <c r="D206" s="5">
        <v>526</v>
      </c>
      <c r="E206" s="5">
        <v>22713</v>
      </c>
      <c r="F206" s="28" t="str">
        <f>IFERROR(VLOOKUP(TAB_OFICINAS[[#This Row],[Cliente]],LISTA_DE_CLIENTES[[Código]:[Nome Fantasia]],2,FALSE),"")</f>
        <v>ATMOSFERA GESTAO E HIGIENIZACAO DE TEXTEIS S.A.</v>
      </c>
      <c r="G206" s="5" t="str">
        <f>IFERROR(VLOOKUP(TAB_OFICINAS[[#This Row],[Cliente]],LISTA_DE_CLIENTES[[Código]:[Nome Fantasia]],3,FALSE),"")</f>
        <v>ATMOSFERA ST BARBARA</v>
      </c>
      <c r="H206" s="51">
        <v>92115476413</v>
      </c>
      <c r="I206" s="28" t="s">
        <v>20320</v>
      </c>
      <c r="J206" s="91">
        <v>10</v>
      </c>
      <c r="K206" s="86">
        <v>46073</v>
      </c>
      <c r="L206" s="10">
        <v>10</v>
      </c>
      <c r="M206" s="6">
        <v>46078</v>
      </c>
      <c r="N206" s="6">
        <v>46078</v>
      </c>
      <c r="O206" s="19">
        <f>TAB_OFICINAS[[#This Row],[Data Retorno Produção]]-TAB_OFICINAS[[#This Row],[Data Prometida  Entrega]]</f>
        <v>0</v>
      </c>
      <c r="P206" s="40" t="str">
        <f>IF(TAB_OFICINAS[[#This Row],[Dias Para Entrega]]&lt;=0,"Em dia","Dia de Atrasado")</f>
        <v>Em dia</v>
      </c>
      <c r="Q206" s="10">
        <f>IFERROR(TAB_OFICINAS[[#This Row],[Qtd pçs Enviadas]]-TAB_OFICINAS[[#This Row],[Qtd pçs Retornadas ]],"N/D ")</f>
        <v>0</v>
      </c>
      <c r="R206" s="10">
        <v>0</v>
      </c>
      <c r="S206" s="5">
        <v>609</v>
      </c>
      <c r="T206" s="5">
        <v>24</v>
      </c>
      <c r="U206" s="52">
        <v>15</v>
      </c>
      <c r="V206" s="44">
        <f>IFERROR(TAB_OFICINAS[[#This Row],[Valor Unit]]*TAB_OFICINAS[[#This Row],[Qtd pçs Enviadas]]," ")</f>
        <v>150</v>
      </c>
      <c r="W206" s="17">
        <v>46087</v>
      </c>
      <c r="X206" s="5" t="s">
        <v>6251</v>
      </c>
      <c r="Y206" s="27"/>
      <c r="Z2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7" spans="3:26" hidden="1">
      <c r="C207" s="28" t="s">
        <v>8</v>
      </c>
      <c r="D207" s="5">
        <v>943</v>
      </c>
      <c r="E207" s="5">
        <v>22133</v>
      </c>
      <c r="F207" s="28" t="str">
        <f>IFERROR(VLOOKUP(TAB_OFICINAS[[#This Row],[Cliente]],LISTA_DE_CLIENTES[[Código]:[Nome Fantasia]],2,FALSE),"")</f>
        <v>REDE DOR SAO LUIZ S.A.</v>
      </c>
      <c r="G207" s="5" t="str">
        <f>IFERROR(VLOOKUP(TAB_OFICINAS[[#This Row],[Cliente]],LISTA_DE_CLIENTES[[Código]:[Nome Fantasia]],3,FALSE),"")</f>
        <v>HOSPITAL COPA STAR</v>
      </c>
      <c r="H207" s="51">
        <v>2101105264</v>
      </c>
      <c r="I207" s="28" t="s">
        <v>20332</v>
      </c>
      <c r="J207" s="91">
        <v>75</v>
      </c>
      <c r="K207" s="86">
        <v>46048</v>
      </c>
      <c r="L207" s="10">
        <v>75</v>
      </c>
      <c r="M207" s="6">
        <v>46052</v>
      </c>
      <c r="N207" s="6">
        <v>46050</v>
      </c>
      <c r="O207" s="19">
        <f>TAB_OFICINAS[[#This Row],[Data Retorno Produção]]-TAB_OFICINAS[[#This Row],[Data Prometida  Entrega]]</f>
        <v>-2</v>
      </c>
      <c r="P207" s="40" t="str">
        <f>IF(TAB_OFICINAS[[#This Row],[Dias Para Entrega]]&lt;=0,"Em dia","Dia de Atrasado")</f>
        <v>Em dia</v>
      </c>
      <c r="Q207" s="10">
        <f>IFERROR(TAB_OFICINAS[[#This Row],[Qtd pçs Enviadas]]-TAB_OFICINAS[[#This Row],[Qtd pçs Retornadas ]]," ")</f>
        <v>0</v>
      </c>
      <c r="R207" s="10">
        <v>0</v>
      </c>
      <c r="S207" s="5">
        <v>554</v>
      </c>
      <c r="T207" s="5">
        <v>18</v>
      </c>
      <c r="U207" s="52">
        <v>6</v>
      </c>
      <c r="V207" s="44">
        <f>IFERROR(TAB_OFICINAS[[#This Row],[Valor Unit]]*TAB_OFICINAS[[#This Row],[Qtd pçs Enviadas]]," ")</f>
        <v>450</v>
      </c>
      <c r="W207" s="17">
        <f>TAB_OFICINAS[[#This Row],[Data Retorno Produção]]+10</f>
        <v>46060</v>
      </c>
      <c r="X207" s="5" t="s">
        <v>6251</v>
      </c>
      <c r="Y207" s="27"/>
      <c r="Z2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8" spans="3:26" hidden="1">
      <c r="C208" s="28" t="s">
        <v>20</v>
      </c>
      <c r="D208" s="5">
        <v>526</v>
      </c>
      <c r="E208" s="5">
        <v>22919</v>
      </c>
      <c r="F208" s="28" t="str">
        <f>IFERROR(VLOOKUP(TAB_OFICINAS[[#This Row],[Cliente]],LISTA_DE_CLIENTES[[Código]:[Nome Fantasia]],2,FALSE),"")</f>
        <v>ATMOSFERA GESTAO E HIGIENIZACAO DE TEXTEIS S.A.</v>
      </c>
      <c r="G208" s="5" t="str">
        <f>IFERROR(VLOOKUP(TAB_OFICINAS[[#This Row],[Cliente]],LISTA_DE_CLIENTES[[Código]:[Nome Fantasia]],3,FALSE),"")</f>
        <v>ATMOSFERA ST BARBARA</v>
      </c>
      <c r="H208" s="63">
        <v>92101047359</v>
      </c>
      <c r="I208" s="28" t="s">
        <v>21019</v>
      </c>
      <c r="J208" s="91">
        <v>149</v>
      </c>
      <c r="K208" s="86">
        <v>46090</v>
      </c>
      <c r="L208" s="10">
        <v>149</v>
      </c>
      <c r="M208" s="6">
        <v>46101</v>
      </c>
      <c r="N208" s="6">
        <v>46094</v>
      </c>
      <c r="O208" s="19">
        <f>TAB_OFICINAS[[#This Row],[Data Retorno Produção]]-TAB_OFICINAS[[#This Row],[Data Prometida  Entrega]]</f>
        <v>-7</v>
      </c>
      <c r="P208" s="40" t="str">
        <f>IF(TAB_OFICINAS[[#This Row],[Dias Para Entrega]]&lt;=0,"Em dia","Dia de Atrasado")</f>
        <v>Em dia</v>
      </c>
      <c r="Q208" s="10">
        <f>IFERROR(TAB_OFICINAS[[#This Row],[Qtd pçs Enviadas]]-TAB_OFICINAS[[#This Row],[Qtd pçs Retornadas ]]," ")</f>
        <v>0</v>
      </c>
      <c r="R208" s="10">
        <v>0</v>
      </c>
      <c r="S208" s="5">
        <v>665</v>
      </c>
      <c r="T208" s="5">
        <v>82</v>
      </c>
      <c r="U208" s="52">
        <v>4.5</v>
      </c>
      <c r="V208" s="44">
        <f>IFERROR(TAB_OFICINAS[[#This Row],[Valor Unit]]*TAB_OFICINAS[[#This Row],[Qtd pçs Enviadas]]," ")</f>
        <v>670.5</v>
      </c>
      <c r="W208" s="17">
        <v>46104</v>
      </c>
      <c r="X208" s="5" t="s">
        <v>6251</v>
      </c>
      <c r="Y208" s="27"/>
      <c r="Z2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09" spans="3:26" hidden="1">
      <c r="C209" s="28" t="s">
        <v>7</v>
      </c>
      <c r="D209" s="5">
        <v>526</v>
      </c>
      <c r="E209" s="5">
        <v>22842</v>
      </c>
      <c r="F209" s="28" t="str">
        <f>IFERROR(VLOOKUP(TAB_OFICINAS[[#This Row],[Cliente]],LISTA_DE_CLIENTES[[Código]:[Nome Fantasia]],2,FALSE),"")</f>
        <v>ATMOSFERA GESTAO E HIGIENIZACAO DE TEXTEIS S.A.</v>
      </c>
      <c r="G209" s="5" t="str">
        <f>IFERROR(VLOOKUP(TAB_OFICINAS[[#This Row],[Cliente]],LISTA_DE_CLIENTES[[Código]:[Nome Fantasia]],3,FALSE),"")</f>
        <v>ATMOSFERA ST BARBARA</v>
      </c>
      <c r="H209" s="51">
        <v>92101042462</v>
      </c>
      <c r="I209" s="28" t="s">
        <v>20324</v>
      </c>
      <c r="J209" s="91">
        <v>10</v>
      </c>
      <c r="K209" s="86">
        <v>46073</v>
      </c>
      <c r="L209" s="10">
        <v>10</v>
      </c>
      <c r="M209" s="6">
        <v>46078</v>
      </c>
      <c r="N209" s="6">
        <v>46078</v>
      </c>
      <c r="O209" s="19">
        <f>TAB_OFICINAS[[#This Row],[Data Retorno Produção]]-TAB_OFICINAS[[#This Row],[Data Prometida  Entrega]]</f>
        <v>0</v>
      </c>
      <c r="P209" s="40" t="str">
        <f>IF(TAB_OFICINAS[[#This Row],[Dias Para Entrega]]&lt;=0,"Em dia","Dia de Atrasado")</f>
        <v>Em dia</v>
      </c>
      <c r="Q209" s="10">
        <f>IFERROR(TAB_OFICINAS[[#This Row],[Qtd pçs Enviadas]]-TAB_OFICINAS[[#This Row],[Qtd pçs Retornadas ]],"N/D ")</f>
        <v>0</v>
      </c>
      <c r="R209" s="10">
        <v>0</v>
      </c>
      <c r="S209" s="5">
        <v>609</v>
      </c>
      <c r="T209" s="5">
        <v>24</v>
      </c>
      <c r="U209" s="52">
        <v>8</v>
      </c>
      <c r="V209" s="44">
        <f>IFERROR(TAB_OFICINAS[[#This Row],[Valor Unit]]*TAB_OFICINAS[[#This Row],[Qtd pçs Enviadas]]," ")</f>
        <v>80</v>
      </c>
      <c r="W209" s="17">
        <v>46087</v>
      </c>
      <c r="X209" s="5" t="s">
        <v>6251</v>
      </c>
      <c r="Y209" s="27"/>
      <c r="Z2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0" spans="3:26" hidden="1">
      <c r="C210" s="28" t="s">
        <v>16</v>
      </c>
      <c r="D210" s="5">
        <v>5549</v>
      </c>
      <c r="E210" s="5">
        <v>23429</v>
      </c>
      <c r="F210" s="28" t="str">
        <f>IFERROR(VLOOKUP(TAB_OFICINAS[[#This Row],[Cliente]],LISTA_DE_CLIENTES[[Código]:[Nome Fantasia]],2,FALSE),"")</f>
        <v>ROZZANNE PATTRIZZIA JATAHY ALVES</v>
      </c>
      <c r="G210" s="2" t="str">
        <f>IFERROR(VLOOKUP(TAB_OFICINAS[[#This Row],[Cliente]],LISTA_DE_CLIENTES[[Código]:[Nome Fantasia]],3,FALSE),"")</f>
        <v>ROZZANNE PATTRIZZIA</v>
      </c>
      <c r="H210" s="63">
        <v>2101051871</v>
      </c>
      <c r="I210" s="28" t="s">
        <v>22639</v>
      </c>
      <c r="J210" s="91">
        <v>74</v>
      </c>
      <c r="K210" s="86">
        <v>46175</v>
      </c>
      <c r="L210" s="34">
        <v>74</v>
      </c>
      <c r="M210" s="6">
        <v>46186</v>
      </c>
      <c r="N210" s="6">
        <v>46184</v>
      </c>
      <c r="O210" s="19">
        <f>TAB_OFICINAS[[#This Row],[Data Retorno Produção]]-TAB_OFICINAS[[#This Row],[Data Prometida  Entrega]]</f>
        <v>-2</v>
      </c>
      <c r="P210" s="40" t="str">
        <f>IF(TAB_OFICINAS[[#This Row],[Dias Para Entrega]]&lt;=0,"Em dia","Dia de Atrasado")</f>
        <v>Em dia</v>
      </c>
      <c r="Q210" s="10">
        <f>IFERROR(TAB_OFICINAS[[#This Row],[Qtd pçs Enviadas]]-TAB_OFICINAS[[#This Row],[Qtd pçs Retornadas ]]," ")</f>
        <v>0</v>
      </c>
      <c r="R210" s="10">
        <v>0</v>
      </c>
      <c r="S210" s="5">
        <v>868</v>
      </c>
      <c r="T210" s="5">
        <v>51</v>
      </c>
      <c r="U210" s="1">
        <v>4.9000000000000004</v>
      </c>
      <c r="V210" s="3">
        <f>IFERROR(TAB_OFICINAS[[#This Row],[Valor Unit]]*TAB_OFICINAS[[#This Row],[Qtd pçs Enviadas]]," ")</f>
        <v>362.6</v>
      </c>
      <c r="W210" s="17">
        <v>46195</v>
      </c>
      <c r="X210" s="5" t="s">
        <v>6251</v>
      </c>
      <c r="Y210" s="4"/>
      <c r="Z2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1" spans="3:26" hidden="1">
      <c r="C211" s="28" t="s">
        <v>16</v>
      </c>
      <c r="D211" s="5">
        <v>161</v>
      </c>
      <c r="E211" s="5">
        <v>22331</v>
      </c>
      <c r="F211" s="28" t="str">
        <f>IFERROR(VLOOKUP(TAB_OFICINAS[[#This Row],[Cliente]],LISTA_DE_CLIENTES[[Código]:[Nome Fantasia]],2,FALSE),"")</f>
        <v>HOTEL COLINAS</v>
      </c>
      <c r="G211" s="5" t="str">
        <f>IFERROR(VLOOKUP(TAB_OFICINAS[[#This Row],[Cliente]],LISTA_DE_CLIENTES[[Código]:[Nome Fantasia]],3,FALSE),"")</f>
        <v>COLINAS-GOLDEN TULIP</v>
      </c>
      <c r="H211" s="51">
        <v>2102856822</v>
      </c>
      <c r="I211" s="28" t="s">
        <v>20338</v>
      </c>
      <c r="J211" s="91">
        <v>70</v>
      </c>
      <c r="K211" s="86">
        <v>46029</v>
      </c>
      <c r="L211" s="10">
        <v>70</v>
      </c>
      <c r="M211" s="6">
        <v>46038</v>
      </c>
      <c r="N211" s="6">
        <v>46038</v>
      </c>
      <c r="O211" s="19">
        <f>TAB_OFICINAS[[#This Row],[Data Retorno Produção]]-TAB_OFICINAS[[#This Row],[Data Prometida  Entrega]]</f>
        <v>0</v>
      </c>
      <c r="P211" s="40" t="str">
        <f>IF(TAB_OFICINAS[[#This Row],[Dias Para Entrega]]&lt;=0,"Em dia","Dia de Atrasado")</f>
        <v>Em dia</v>
      </c>
      <c r="Q211" s="10">
        <f>IFERROR(TAB_OFICINAS[[#This Row],[Qtd pçs Enviadas]]-TAB_OFICINAS[[#This Row],[Qtd pçs Retornadas ]]," ")</f>
        <v>0</v>
      </c>
      <c r="R211" s="10">
        <v>0</v>
      </c>
      <c r="S211" s="5">
        <v>3068</v>
      </c>
      <c r="T211" s="5">
        <v>30</v>
      </c>
      <c r="U211" s="52">
        <v>9</v>
      </c>
      <c r="V211" s="44">
        <f>IFERROR(TAB_OFICINAS[[#This Row],[Valor Unit]]*TAB_OFICINAS[[#This Row],[Qtd pçs Enviadas]]," ")</f>
        <v>630</v>
      </c>
      <c r="W211" s="17">
        <v>46050</v>
      </c>
      <c r="X211" s="5" t="s">
        <v>6251</v>
      </c>
      <c r="Y211" s="27"/>
      <c r="Z2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2" spans="3:26" hidden="1">
      <c r="C212" s="28" t="s">
        <v>19</v>
      </c>
      <c r="D212" s="5">
        <v>2575</v>
      </c>
      <c r="E212" s="5">
        <v>22390</v>
      </c>
      <c r="F212" s="28" t="str">
        <f>IFERROR(VLOOKUP(TAB_OFICINAS[[#This Row],[Cliente]],LISTA_DE_CLIENTES[[Código]:[Nome Fantasia]],2,FALSE),"")</f>
        <v>DIAGNOSTICOS DA AMERICA S.A .</v>
      </c>
      <c r="G212" s="5" t="str">
        <f>IFERROR(VLOOKUP(TAB_OFICINAS[[#This Row],[Cliente]],LISTA_DE_CLIENTES[[Código]:[Nome Fantasia]],3,FALSE),"")</f>
        <v>DASA HIGIENÓPOLIS</v>
      </c>
      <c r="H212" s="51">
        <v>3301092598</v>
      </c>
      <c r="I212" s="28" t="s">
        <v>20360</v>
      </c>
      <c r="J212" s="91">
        <v>10</v>
      </c>
      <c r="K212" s="86">
        <v>46042</v>
      </c>
      <c r="L212" s="10">
        <v>10</v>
      </c>
      <c r="M212" s="6">
        <v>46063</v>
      </c>
      <c r="N212" s="6">
        <v>46059</v>
      </c>
      <c r="O212" s="19">
        <f>TAB_OFICINAS[[#This Row],[Data Retorno Produção]]-TAB_OFICINAS[[#This Row],[Data Prometida  Entrega]]</f>
        <v>-4</v>
      </c>
      <c r="P212" s="40" t="str">
        <f>IF(TAB_OFICINAS[[#This Row],[Dias Para Entrega]]&lt;=0,"Em dia","Dia de Atrasado")</f>
        <v>Em dia</v>
      </c>
      <c r="Q212" s="10">
        <f>IFERROR(TAB_OFICINAS[[#This Row],[Qtd pçs Enviadas]]-TAB_OFICINAS[[#This Row],[Qtd pçs Retornadas ]],"N/D ")</f>
        <v>0</v>
      </c>
      <c r="R212" s="10">
        <v>0</v>
      </c>
      <c r="S212" s="5">
        <v>4322</v>
      </c>
      <c r="T212" s="5">
        <v>41</v>
      </c>
      <c r="U212" s="52">
        <v>16</v>
      </c>
      <c r="V212" s="44">
        <f>IFERROR(TAB_OFICINAS[[#This Row],[Valor Unit]]*TAB_OFICINAS[[#This Row],[Qtd pçs Enviadas]]," ")</f>
        <v>160</v>
      </c>
      <c r="W212" s="17">
        <v>46066</v>
      </c>
      <c r="X212" s="5" t="s">
        <v>6251</v>
      </c>
      <c r="Y212" s="27"/>
      <c r="Z2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3" spans="3:26" hidden="1">
      <c r="C213" s="28" t="s">
        <v>16</v>
      </c>
      <c r="D213" s="5">
        <v>164</v>
      </c>
      <c r="E213" s="5">
        <v>23220</v>
      </c>
      <c r="F213" s="28" t="str">
        <f>IFERROR(VLOOKUP(TAB_OFICINAS[[#This Row],[Cliente]],LISTA_DE_CLIENTES[[Código]:[Nome Fantasia]],2,FALSE),"")</f>
        <v>HOTEL CURITIBA CAPITAL S/A</v>
      </c>
      <c r="G213" s="5" t="str">
        <f>IFERROR(VLOOKUP(TAB_OFICINAS[[#This Row],[Cliente]],LISTA_DE_CLIENTES[[Código]:[Nome Fantasia]],3,FALSE),"")</f>
        <v>RADISSON CURITIBA</v>
      </c>
      <c r="H213" s="63">
        <v>92108305867</v>
      </c>
      <c r="I213" s="75" t="s">
        <v>22769</v>
      </c>
      <c r="J213" s="91">
        <v>66</v>
      </c>
      <c r="K213" s="86">
        <v>46156</v>
      </c>
      <c r="L213" s="10">
        <v>66</v>
      </c>
      <c r="M213" s="6">
        <v>46164</v>
      </c>
      <c r="N213" s="6">
        <v>46162</v>
      </c>
      <c r="O213" s="19">
        <f>TAB_OFICINAS[[#This Row],[Data Retorno Produção]]-TAB_OFICINAS[[#This Row],[Data Prometida  Entrega]]</f>
        <v>-2</v>
      </c>
      <c r="P213" s="40" t="str">
        <f>IF(TAB_OFICINAS[[#This Row],[Dias Para Entrega]]&lt;=0,"Em dia","Dia de Atrasado")</f>
        <v>Em dia</v>
      </c>
      <c r="Q213" s="10">
        <f>IFERROR(TAB_OFICINAS[[#This Row],[Qtd pçs Enviadas]]-TAB_OFICINAS[[#This Row],[Qtd pçs Retornadas ]]," ")</f>
        <v>0</v>
      </c>
      <c r="R213" s="10">
        <v>0</v>
      </c>
      <c r="S213" s="5">
        <v>3209</v>
      </c>
      <c r="T213" s="5">
        <v>48</v>
      </c>
      <c r="U213" s="52">
        <v>4.1500000000000004</v>
      </c>
      <c r="V213" s="44">
        <f>IFERROR(TAB_OFICINAS[[#This Row],[Valor Unit]]*TAB_OFICINAS[[#This Row],[Qtd pçs Enviadas]]," ")</f>
        <v>273.90000000000003</v>
      </c>
      <c r="W213" s="17">
        <v>46171</v>
      </c>
      <c r="X213" s="5" t="s">
        <v>6251</v>
      </c>
      <c r="Y213" s="27"/>
      <c r="Z2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4" spans="3:26" hidden="1">
      <c r="C214" s="28" t="s">
        <v>16</v>
      </c>
      <c r="D214" s="5">
        <v>164</v>
      </c>
      <c r="E214" s="5">
        <v>23220</v>
      </c>
      <c r="F214" s="28" t="str">
        <f>IFERROR(VLOOKUP(TAB_OFICINAS[[#This Row],[Cliente]],LISTA_DE_CLIENTES[[Código]:[Nome Fantasia]],2,FALSE),"")</f>
        <v>HOTEL CURITIBA CAPITAL S/A</v>
      </c>
      <c r="G214" s="5" t="str">
        <f>IFERROR(VLOOKUP(TAB_OFICINAS[[#This Row],[Cliente]],LISTA_DE_CLIENTES[[Código]:[Nome Fantasia]],3,FALSE),"")</f>
        <v>RADISSON CURITIBA</v>
      </c>
      <c r="H214" s="63">
        <v>92101051870</v>
      </c>
      <c r="I214" s="75" t="s">
        <v>22770</v>
      </c>
      <c r="J214" s="91">
        <v>66</v>
      </c>
      <c r="K214" s="86">
        <v>46156</v>
      </c>
      <c r="L214" s="10">
        <v>66</v>
      </c>
      <c r="M214" s="6">
        <v>46164</v>
      </c>
      <c r="N214" s="6">
        <v>46162</v>
      </c>
      <c r="O214" s="19">
        <f>TAB_OFICINAS[[#This Row],[Data Retorno Produção]]-TAB_OFICINAS[[#This Row],[Data Prometida  Entrega]]</f>
        <v>-2</v>
      </c>
      <c r="P214" s="40" t="str">
        <f>IF(TAB_OFICINAS[[#This Row],[Dias Para Entrega]]&lt;=0,"Em dia","Dia de Atrasado")</f>
        <v>Em dia</v>
      </c>
      <c r="Q214" s="10">
        <f>IFERROR(TAB_OFICINAS[[#This Row],[Qtd pçs Enviadas]]-TAB_OFICINAS[[#This Row],[Qtd pçs Retornadas ]]," ")</f>
        <v>0</v>
      </c>
      <c r="R214" s="10">
        <v>0</v>
      </c>
      <c r="S214" s="5">
        <v>3209</v>
      </c>
      <c r="T214" s="5">
        <v>48</v>
      </c>
      <c r="U214" s="52">
        <v>4.9000000000000004</v>
      </c>
      <c r="V214" s="44">
        <f>IFERROR(TAB_OFICINAS[[#This Row],[Valor Unit]]*TAB_OFICINAS[[#This Row],[Qtd pçs Enviadas]]," ")</f>
        <v>323.40000000000003</v>
      </c>
      <c r="W214" s="17">
        <v>46171</v>
      </c>
      <c r="X214" s="5" t="s">
        <v>6251</v>
      </c>
      <c r="Y214" s="27"/>
      <c r="Z2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5" spans="3:26" hidden="1">
      <c r="C215" s="28" t="s">
        <v>16</v>
      </c>
      <c r="D215" s="5">
        <v>164</v>
      </c>
      <c r="E215" s="5">
        <v>23220</v>
      </c>
      <c r="F215" s="28" t="str">
        <f>IFERROR(VLOOKUP(TAB_OFICINAS[[#This Row],[Cliente]],LISTA_DE_CLIENTES[[Código]:[Nome Fantasia]],2,FALSE),"")</f>
        <v>HOTEL CURITIBA CAPITAL S/A</v>
      </c>
      <c r="G215" s="5" t="str">
        <f>IFERROR(VLOOKUP(TAB_OFICINAS[[#This Row],[Cliente]],LISTA_DE_CLIENTES[[Código]:[Nome Fantasia]],3,FALSE),"")</f>
        <v>RADISSON CURITIBA</v>
      </c>
      <c r="H215" s="63">
        <v>92101068570</v>
      </c>
      <c r="I215" s="75" t="s">
        <v>22771</v>
      </c>
      <c r="J215" s="91">
        <v>66</v>
      </c>
      <c r="K215" s="86">
        <v>46156</v>
      </c>
      <c r="L215" s="10">
        <v>66</v>
      </c>
      <c r="M215" s="6">
        <v>46164</v>
      </c>
      <c r="N215" s="6">
        <v>46162</v>
      </c>
      <c r="O215" s="19">
        <f>TAB_OFICINAS[[#This Row],[Data Retorno Produção]]-TAB_OFICINAS[[#This Row],[Data Prometida  Entrega]]</f>
        <v>-2</v>
      </c>
      <c r="P215" s="40" t="str">
        <f>IF(TAB_OFICINAS[[#This Row],[Dias Para Entrega]]&lt;=0,"Em dia","Dia de Atrasado")</f>
        <v>Em dia</v>
      </c>
      <c r="Q215" s="10">
        <f>IFERROR(TAB_OFICINAS[[#This Row],[Qtd pçs Enviadas]]-TAB_OFICINAS[[#This Row],[Qtd pçs Retornadas ]]," ")</f>
        <v>0</v>
      </c>
      <c r="R215" s="10">
        <v>0</v>
      </c>
      <c r="S215" s="5">
        <v>3209</v>
      </c>
      <c r="T215" s="5">
        <v>48</v>
      </c>
      <c r="U215" s="52">
        <v>4.9000000000000004</v>
      </c>
      <c r="V215" s="44">
        <f>IFERROR(TAB_OFICINAS[[#This Row],[Valor Unit]]*TAB_OFICINAS[[#This Row],[Qtd pçs Enviadas]]," ")</f>
        <v>323.40000000000003</v>
      </c>
      <c r="W215" s="17">
        <v>46171</v>
      </c>
      <c r="X215" s="5" t="s">
        <v>6251</v>
      </c>
      <c r="Y215" s="27"/>
      <c r="Z2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6" spans="3:26" hidden="1">
      <c r="C216" s="28" t="s">
        <v>1</v>
      </c>
      <c r="D216" s="5">
        <v>5337</v>
      </c>
      <c r="E216" s="5">
        <v>22678</v>
      </c>
      <c r="F216" s="28" t="str">
        <f>IFERROR(VLOOKUP(TAB_OFICINAS[[#This Row],[Cliente]],LISTA_DE_CLIENTES[[Código]:[Nome Fantasia]],2,FALSE),"")</f>
        <v>COOLTIVE COMERCIO DE PLANTAS LTDA</v>
      </c>
      <c r="G216" s="5" t="str">
        <f>IFERROR(VLOOKUP(TAB_OFICINAS[[#This Row],[Cliente]],LISTA_DE_CLIENTES[[Código]:[Nome Fantasia]],3,FALSE),"")</f>
        <v>COOLTIVE</v>
      </c>
      <c r="H216" s="51">
        <v>2115108588</v>
      </c>
      <c r="I216" s="28" t="s">
        <v>21052</v>
      </c>
      <c r="J216" s="91">
        <v>3</v>
      </c>
      <c r="K216" s="86">
        <v>46051</v>
      </c>
      <c r="L216" s="10">
        <v>3</v>
      </c>
      <c r="M216" s="6">
        <v>46057</v>
      </c>
      <c r="N216" s="6">
        <v>46055</v>
      </c>
      <c r="O216" s="19">
        <f>TAB_OFICINAS[[#This Row],[Data Retorno Produção]]-TAB_OFICINAS[[#This Row],[Data Prometida  Entrega]]</f>
        <v>-2</v>
      </c>
      <c r="P216" s="40" t="str">
        <f>IF(TAB_OFICINAS[[#This Row],[Dias Para Entrega]]&lt;=0,"Em dia","Dia de Atrasado")</f>
        <v>Em dia</v>
      </c>
      <c r="Q216" s="10">
        <f>IFERROR(TAB_OFICINAS[[#This Row],[Qtd pçs Enviadas]]-TAB_OFICINAS[[#This Row],[Qtd pçs Retornadas ]],"N/D ")</f>
        <v>0</v>
      </c>
      <c r="R216" s="10">
        <v>0</v>
      </c>
      <c r="S216" s="5">
        <v>564</v>
      </c>
      <c r="T216" s="5">
        <v>35</v>
      </c>
      <c r="U216" s="52">
        <v>11</v>
      </c>
      <c r="V216" s="44">
        <f>IFERROR(TAB_OFICINAS[[#This Row],[Valor Unit]]*TAB_OFICINAS[[#This Row],[Qtd pçs Enviadas]]," ")</f>
        <v>33</v>
      </c>
      <c r="W216" s="17">
        <v>46064</v>
      </c>
      <c r="X216" s="5" t="s">
        <v>6251</v>
      </c>
      <c r="Y216" s="27"/>
      <c r="Z2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7" spans="3:26" hidden="1">
      <c r="C217" s="28" t="s">
        <v>16</v>
      </c>
      <c r="D217" s="5">
        <v>3107</v>
      </c>
      <c r="E217" s="5">
        <v>22529</v>
      </c>
      <c r="F217" s="28" t="str">
        <f>IFERROR(VLOOKUP(TAB_OFICINAS[[#This Row],[Cliente]],LISTA_DE_CLIENTES[[Código]:[Nome Fantasia]],2,FALSE),"")</f>
        <v>HCC HOTELS GESTAO HOTELEIRA LTDA.</v>
      </c>
      <c r="G217" s="5" t="str">
        <f>IFERROR(VLOOKUP(TAB_OFICINAS[[#This Row],[Cliente]],LISTA_DE_CLIENTES[[Código]:[Nome Fantasia]],3,FALSE),"")</f>
        <v>QOYA SP</v>
      </c>
      <c r="H217" s="51">
        <v>92102224401</v>
      </c>
      <c r="I217" s="28" t="s">
        <v>20291</v>
      </c>
      <c r="J217" s="91">
        <v>65</v>
      </c>
      <c r="K217" s="86">
        <v>46063</v>
      </c>
      <c r="L217" s="10">
        <v>65</v>
      </c>
      <c r="M217" s="6">
        <v>46066</v>
      </c>
      <c r="N217" s="6">
        <v>46066</v>
      </c>
      <c r="O217" s="19">
        <f>TAB_OFICINAS[[#This Row],[Data Retorno Produção]]-TAB_OFICINAS[[#This Row],[Data Prometida  Entrega]]</f>
        <v>0</v>
      </c>
      <c r="P217" s="40" t="str">
        <f>IF(TAB_OFICINAS[[#This Row],[Dias Para Entrega]]&lt;=0,"Em dia","Dia de Atrasado")</f>
        <v>Em dia</v>
      </c>
      <c r="Q217" s="10">
        <f>IFERROR(TAB_OFICINAS[[#This Row],[Qtd pçs Enviadas]]-TAB_OFICINAS[[#This Row],[Qtd pçs Retornadas ]],"N/D ")</f>
        <v>0</v>
      </c>
      <c r="R217" s="10">
        <v>0</v>
      </c>
      <c r="S217" s="5">
        <v>583</v>
      </c>
      <c r="T217" s="5">
        <v>36</v>
      </c>
      <c r="U217" s="52">
        <v>7.5</v>
      </c>
      <c r="V217" s="44">
        <f>IFERROR(TAB_OFICINAS[[#This Row],[Valor Unit]]*TAB_OFICINAS[[#This Row],[Qtd pçs Enviadas]]," ")</f>
        <v>487.5</v>
      </c>
      <c r="W217" s="17">
        <v>46076</v>
      </c>
      <c r="X217" s="5" t="s">
        <v>6251</v>
      </c>
      <c r="Y217" s="27"/>
      <c r="Z2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8" spans="3:26" ht="28.5" hidden="1">
      <c r="C218" s="28" t="s">
        <v>7</v>
      </c>
      <c r="D218" s="5">
        <v>1942</v>
      </c>
      <c r="E218" s="5">
        <v>22842</v>
      </c>
      <c r="F218" s="28" t="str">
        <f>IFERROR(VLOOKUP(TAB_OFICINAS[[#This Row],[Cliente]],LISTA_DE_CLIENTES[[Código]:[Nome Fantasia]],2,FALSE),"")</f>
        <v>ONCO STAR SP ONCOLOGIA LTDA (REDE D´OR)</v>
      </c>
      <c r="G218" s="5" t="str">
        <f>IFERROR(VLOOKUP(TAB_OFICINAS[[#This Row],[Cliente]],LISTA_DE_CLIENTES[[Código]:[Nome Fantasia]],3,FALSE),"")</f>
        <v>R DOR VILA NOVA STAR</v>
      </c>
      <c r="H218" s="51">
        <v>2101107032</v>
      </c>
      <c r="I218" s="28" t="s">
        <v>20325</v>
      </c>
      <c r="J218" s="91">
        <v>243</v>
      </c>
      <c r="K218" s="86">
        <v>46079</v>
      </c>
      <c r="L218" s="10">
        <v>243</v>
      </c>
      <c r="M218" s="6">
        <v>46092</v>
      </c>
      <c r="N218" s="6">
        <v>46087</v>
      </c>
      <c r="O218" s="19">
        <f>TAB_OFICINAS[[#This Row],[Data Retorno Produção]]-TAB_OFICINAS[[#This Row],[Data Prometida  Entrega]]</f>
        <v>-5</v>
      </c>
      <c r="P218" s="40" t="str">
        <f>IF(TAB_OFICINAS[[#This Row],[Dias Para Entrega]]&lt;=0,"Em dia","Dia de Atrasado")</f>
        <v>Em dia</v>
      </c>
      <c r="Q218" s="10">
        <f>IFERROR(TAB_OFICINAS[[#This Row],[Qtd pçs Enviadas]]-TAB_OFICINAS[[#This Row],[Qtd pçs Retornadas ]]," ")</f>
        <v>0</v>
      </c>
      <c r="R218" s="10">
        <v>0</v>
      </c>
      <c r="S218" s="5">
        <v>639</v>
      </c>
      <c r="T218" s="5">
        <v>25</v>
      </c>
      <c r="U218" s="52">
        <v>8</v>
      </c>
      <c r="V218" s="44">
        <f>IFERROR(TAB_OFICINAS[[#This Row],[Valor Unit]]*TAB_OFICINAS[[#This Row],[Qtd pçs Enviadas]]," ")</f>
        <v>1944</v>
      </c>
      <c r="W218" s="17">
        <v>46097</v>
      </c>
      <c r="X218" s="5" t="s">
        <v>6251</v>
      </c>
      <c r="Y218" s="27" t="s">
        <v>20326</v>
      </c>
      <c r="Z2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19" spans="3:26" hidden="1">
      <c r="C219" s="28" t="s">
        <v>3</v>
      </c>
      <c r="D219" s="5">
        <v>5572</v>
      </c>
      <c r="E219" s="5">
        <v>23053</v>
      </c>
      <c r="F219" s="28" t="str">
        <f>IFERROR(VLOOKUP(TAB_OFICINAS[[#This Row],[Cliente]],LISTA_DE_CLIENTES[[Código]:[Nome Fantasia]],2,FALSE),"")</f>
        <v>TAUÁ HOTEL E CONVENTION JOÃO PESSOA LTDA</v>
      </c>
      <c r="G219" s="5" t="str">
        <f>IFERROR(VLOOKUP(TAB_OFICINAS[[#This Row],[Cliente]],LISTA_DE_CLIENTES[[Código]:[Nome Fantasia]],3,FALSE),"")</f>
        <v>TAUÁ HOTEL E CONVENT</v>
      </c>
      <c r="H219" s="63">
        <v>2112585219</v>
      </c>
      <c r="I219" s="28" t="s">
        <v>20845</v>
      </c>
      <c r="J219" s="91">
        <v>65</v>
      </c>
      <c r="K219" s="86">
        <v>46176</v>
      </c>
      <c r="L219" s="34">
        <v>65</v>
      </c>
      <c r="M219" s="6">
        <v>46185</v>
      </c>
      <c r="N219" s="6">
        <v>46183</v>
      </c>
      <c r="O219" s="19">
        <f>TAB_OFICINAS[[#This Row],[Data Retorno Produção]]-TAB_OFICINAS[[#This Row],[Data Prometida  Entrega]]</f>
        <v>-2</v>
      </c>
      <c r="P219" s="40" t="str">
        <f>IF(TAB_OFICINAS[[#This Row],[Dias Para Entrega]]&lt;=0,"Em dia","Dia de Atrasado")</f>
        <v>Em dia</v>
      </c>
      <c r="Q219" s="10">
        <f>IFERROR(TAB_OFICINAS[[#This Row],[Qtd pçs Enviadas]]-TAB_OFICINAS[[#This Row],[Qtd pçs Retornadas ]]," ")</f>
        <v>0</v>
      </c>
      <c r="R219" s="10"/>
      <c r="S219" s="5">
        <v>3247</v>
      </c>
      <c r="T219" s="5">
        <v>114</v>
      </c>
      <c r="U219" s="52">
        <v>7.5</v>
      </c>
      <c r="V219" s="44">
        <f>IFERROR(TAB_OFICINAS[[#This Row],[Valor Unit]]*TAB_OFICINAS[[#This Row],[Qtd pçs Enviadas]]," ")</f>
        <v>487.5</v>
      </c>
      <c r="W219" s="17">
        <v>46196</v>
      </c>
      <c r="X219" s="5" t="s">
        <v>6251</v>
      </c>
      <c r="Y219" s="27"/>
      <c r="Z2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0" spans="3:26" hidden="1">
      <c r="C220" s="28" t="s">
        <v>3</v>
      </c>
      <c r="D220" s="5">
        <v>161</v>
      </c>
      <c r="E220" s="5">
        <v>22331</v>
      </c>
      <c r="F220" s="28" t="str">
        <f>IFERROR(VLOOKUP(TAB_OFICINAS[[#This Row],[Cliente]],LISTA_DE_CLIENTES[[Código]:[Nome Fantasia]],2,FALSE),"")</f>
        <v>HOTEL COLINAS</v>
      </c>
      <c r="G220" s="5" t="str">
        <f>IFERROR(VLOOKUP(TAB_OFICINAS[[#This Row],[Cliente]],LISTA_DE_CLIENTES[[Código]:[Nome Fantasia]],3,FALSE),"")</f>
        <v>COLINAS-GOLDEN TULIP</v>
      </c>
      <c r="H220" s="51">
        <v>2104035086</v>
      </c>
      <c r="I220" s="28" t="s">
        <v>20741</v>
      </c>
      <c r="J220" s="91">
        <v>60</v>
      </c>
      <c r="K220" s="86">
        <v>46010</v>
      </c>
      <c r="L220" s="10">
        <v>60</v>
      </c>
      <c r="M220" s="6">
        <v>46028</v>
      </c>
      <c r="N220" s="6">
        <v>46027</v>
      </c>
      <c r="O220" s="19">
        <f>TAB_OFICINAS[[#This Row],[Data Retorno Produção]]-TAB_OFICINAS[[#This Row],[Data Prometida  Entrega]]</f>
        <v>-1</v>
      </c>
      <c r="P220" s="40" t="str">
        <f>IF(TAB_OFICINAS[[#This Row],[Dias Para Entrega]]&lt;=0,"Em dia","Dia de Atrasado")</f>
        <v>Em dia</v>
      </c>
      <c r="Q220" s="10">
        <f>IFERROR(TAB_OFICINAS[[#This Row],[Qtd pçs Enviadas]]-TAB_OFICINAS[[#This Row],[Qtd pçs Retornadas ]],"N/D ")</f>
        <v>0</v>
      </c>
      <c r="R220" s="10">
        <v>0</v>
      </c>
      <c r="S220" s="5">
        <v>3059</v>
      </c>
      <c r="T220" s="5">
        <v>86</v>
      </c>
      <c r="U220" s="52">
        <v>4</v>
      </c>
      <c r="V220" s="44">
        <f>IFERROR(TAB_OFICINAS[[#This Row],[Valor Unit]]*TAB_OFICINAS[[#This Row],[Qtd pçs Enviadas]]," ")</f>
        <v>240</v>
      </c>
      <c r="W220" s="17">
        <v>46034</v>
      </c>
      <c r="X220" s="5" t="s">
        <v>6251</v>
      </c>
      <c r="Y220" s="27"/>
      <c r="Z2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1" spans="3:26" hidden="1">
      <c r="C221" s="28" t="s">
        <v>16</v>
      </c>
      <c r="D221" s="5">
        <v>2933</v>
      </c>
      <c r="E221" s="5">
        <v>22277</v>
      </c>
      <c r="F221" s="28" t="str">
        <f>IFERROR(VLOOKUP(TAB_OFICINAS[[#This Row],[Cliente]],LISTA_DE_CLIENTES[[Código]:[Nome Fantasia]],2,FALSE),"")</f>
        <v>J.F. GOMES POUSADA EIRELI</v>
      </c>
      <c r="G221" s="5" t="str">
        <f>IFERROR(VLOOKUP(TAB_OFICINAS[[#This Row],[Cliente]],LISTA_DE_CLIENTES[[Código]:[Nome Fantasia]],3,FALSE),"")</f>
        <v>POUSADA APPLE HOUSE</v>
      </c>
      <c r="H221" s="51">
        <v>2101066054</v>
      </c>
      <c r="I221" s="28" t="s">
        <v>20339</v>
      </c>
      <c r="J221" s="91">
        <v>60</v>
      </c>
      <c r="K221" s="86">
        <v>46050</v>
      </c>
      <c r="L221" s="10">
        <v>60</v>
      </c>
      <c r="M221" s="6">
        <v>46056</v>
      </c>
      <c r="N221" s="6">
        <v>46056</v>
      </c>
      <c r="O221" s="19">
        <f>TAB_OFICINAS[[#This Row],[Data Retorno Produção]]-TAB_OFICINAS[[#This Row],[Data Prometida  Entrega]]</f>
        <v>0</v>
      </c>
      <c r="P221" s="40" t="str">
        <f>IF(TAB_OFICINAS[[#This Row],[Dias Para Entrega]]&lt;=0,"Em dia","Dia de Atrasado")</f>
        <v>Em dia</v>
      </c>
      <c r="Q221" s="10">
        <f>IFERROR(TAB_OFICINAS[[#This Row],[Qtd pçs Enviadas]]-TAB_OFICINAS[[#This Row],[Qtd pçs Retornadas ]],"N/D ")</f>
        <v>0</v>
      </c>
      <c r="R221" s="10">
        <v>0</v>
      </c>
      <c r="S221" s="5">
        <v>559</v>
      </c>
      <c r="T221" s="5">
        <v>33</v>
      </c>
      <c r="U221" s="52">
        <v>9.5</v>
      </c>
      <c r="V221" s="44">
        <f>IFERROR(TAB_OFICINAS[[#This Row],[Valor Unit]]*TAB_OFICINAS[[#This Row],[Qtd pçs Enviadas]]," ")</f>
        <v>570</v>
      </c>
      <c r="W221" s="17">
        <v>46066</v>
      </c>
      <c r="X221" s="5" t="s">
        <v>6251</v>
      </c>
      <c r="Y221" s="27"/>
      <c r="Z2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2" spans="3:26" hidden="1">
      <c r="C222" s="28" t="s">
        <v>8</v>
      </c>
      <c r="D222" s="5">
        <v>2933</v>
      </c>
      <c r="E222" s="5">
        <v>22277</v>
      </c>
      <c r="F222" s="28" t="str">
        <f>IFERROR(VLOOKUP(TAB_OFICINAS[[#This Row],[Cliente]],LISTA_DE_CLIENTES[[Código]:[Nome Fantasia]],2,FALSE),"")</f>
        <v>J.F. GOMES POUSADA EIRELI</v>
      </c>
      <c r="G222" s="5" t="str">
        <f>IFERROR(VLOOKUP(TAB_OFICINAS[[#This Row],[Cliente]],LISTA_DE_CLIENTES[[Código]:[Nome Fantasia]],3,FALSE),"")</f>
        <v>POUSADA APPLE HOUSE</v>
      </c>
      <c r="H222" s="51">
        <v>2101063053</v>
      </c>
      <c r="I222" s="28" t="s">
        <v>20333</v>
      </c>
      <c r="J222" s="91">
        <v>60</v>
      </c>
      <c r="K222" s="86">
        <v>46050</v>
      </c>
      <c r="L222" s="10">
        <v>60</v>
      </c>
      <c r="M222" s="6">
        <v>46058</v>
      </c>
      <c r="N222" s="6">
        <v>46058</v>
      </c>
      <c r="O222" s="19">
        <f>TAB_OFICINAS[[#This Row],[Data Retorno Produção]]-TAB_OFICINAS[[#This Row],[Data Prometida  Entrega]]</f>
        <v>0</v>
      </c>
      <c r="P222" s="40" t="str">
        <f>IF(TAB_OFICINAS[[#This Row],[Dias Para Entrega]]&lt;=0,"Em dia","Dia de Atrasado")</f>
        <v>Em dia</v>
      </c>
      <c r="Q222" s="10">
        <f>IFERROR(TAB_OFICINAS[[#This Row],[Qtd pçs Enviadas]]-TAB_OFICINAS[[#This Row],[Qtd pçs Retornadas ]],"N/D ")</f>
        <v>0</v>
      </c>
      <c r="R222" s="10">
        <v>0</v>
      </c>
      <c r="S222" s="5">
        <v>561</v>
      </c>
      <c r="T222" s="5">
        <v>19</v>
      </c>
      <c r="U222" s="52">
        <v>6</v>
      </c>
      <c r="V222" s="44">
        <f>IFERROR(TAB_OFICINAS[[#This Row],[Valor Unit]]*TAB_OFICINAS[[#This Row],[Qtd pçs Enviadas]]," ")</f>
        <v>360</v>
      </c>
      <c r="W222" s="17">
        <f>TAB_OFICINAS[[#This Row],[Data Retorno Produção]]+10</f>
        <v>46068</v>
      </c>
      <c r="X222" s="5" t="s">
        <v>6251</v>
      </c>
      <c r="Y222" s="27"/>
      <c r="Z2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3" spans="3:26" hidden="1">
      <c r="C223" s="28" t="s">
        <v>20</v>
      </c>
      <c r="D223" s="5">
        <v>5391</v>
      </c>
      <c r="E223" s="5">
        <v>22892</v>
      </c>
      <c r="F223" s="28" t="str">
        <f>IFERROR(VLOOKUP(TAB_OFICINAS[[#This Row],[Cliente]],LISTA_DE_CLIENTES[[Código]:[Nome Fantasia]],2,FALSE),"")</f>
        <v>PACIFICO OPERACOES HOSPITALARES S.A</v>
      </c>
      <c r="G223" s="5" t="str">
        <f>IFERROR(VLOOKUP(TAB_OFICINAS[[#This Row],[Cliente]],LISTA_DE_CLIENTES[[Código]:[Nome Fantasia]],3,FALSE),"")</f>
        <v>MATERNIDADE SAO LUIZ</v>
      </c>
      <c r="H223" s="63">
        <v>2101107948</v>
      </c>
      <c r="I223" s="28" t="s">
        <v>21327</v>
      </c>
      <c r="J223" s="91">
        <v>500</v>
      </c>
      <c r="K223" s="86">
        <v>46097</v>
      </c>
      <c r="L223" s="10">
        <v>500</v>
      </c>
      <c r="M223" s="6">
        <v>46106</v>
      </c>
      <c r="N223" s="6">
        <v>46105</v>
      </c>
      <c r="O223" s="19">
        <f>TAB_OFICINAS[[#This Row],[Data Retorno Produção]]-TAB_OFICINAS[[#This Row],[Data Prometida  Entrega]]</f>
        <v>-1</v>
      </c>
      <c r="P223" s="40" t="str">
        <f>IF(TAB_OFICINAS[[#This Row],[Dias Para Entrega]]&lt;=0,"Em dia","Dia de Atrasado")</f>
        <v>Em dia</v>
      </c>
      <c r="Q223" s="10">
        <f>IFERROR(TAB_OFICINAS[[#This Row],[Qtd pçs Enviadas]]-TAB_OFICINAS[[#This Row],[Qtd pçs Retornadas ]]," ")</f>
        <v>0</v>
      </c>
      <c r="R223" s="10">
        <v>0</v>
      </c>
      <c r="S223" s="5">
        <v>687</v>
      </c>
      <c r="T223" s="5">
        <v>83</v>
      </c>
      <c r="U223" s="52">
        <v>5</v>
      </c>
      <c r="V223" s="44">
        <f>IFERROR(TAB_OFICINAS[[#This Row],[Valor Unit]]*TAB_OFICINAS[[#This Row],[Qtd pçs Enviadas]]," ")</f>
        <v>2500</v>
      </c>
      <c r="W223" s="17">
        <v>46115</v>
      </c>
      <c r="X223" s="5" t="s">
        <v>6251</v>
      </c>
      <c r="Y223" s="27"/>
      <c r="Z2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4" spans="3:26" hidden="1">
      <c r="C224" s="28" t="s">
        <v>15</v>
      </c>
      <c r="D224" s="5">
        <v>943</v>
      </c>
      <c r="E224" s="5">
        <v>22882</v>
      </c>
      <c r="F224" s="28" t="str">
        <f>IFERROR(VLOOKUP(TAB_OFICINAS[[#This Row],[Cliente]],LISTA_DE_CLIENTES[[Código]:[Nome Fantasia]],2,FALSE),"")</f>
        <v>REDE DOR SAO LUIZ S.A.</v>
      </c>
      <c r="G224" s="5" t="str">
        <f>IFERROR(VLOOKUP(TAB_OFICINAS[[#This Row],[Cliente]],LISTA_DE_CLIENTES[[Código]:[Nome Fantasia]],3,FALSE),"")</f>
        <v>HOSPITAL COPA STAR</v>
      </c>
      <c r="H224" s="63">
        <v>3301084128</v>
      </c>
      <c r="I224" s="28" t="s">
        <v>21239</v>
      </c>
      <c r="J224" s="91">
        <v>60</v>
      </c>
      <c r="K224" s="86">
        <v>46111</v>
      </c>
      <c r="L224" s="10">
        <v>60</v>
      </c>
      <c r="M224" s="6">
        <v>46114</v>
      </c>
      <c r="N224" s="6">
        <f ca="1">TODAY()</f>
        <v>46315</v>
      </c>
      <c r="O224" s="19">
        <f ca="1">TAB_OFICINAS[[#This Row],[Data Retorno Produção]]-TAB_OFICINAS[[#This Row],[Data Prometida  Entrega]]</f>
        <v>201</v>
      </c>
      <c r="P224" s="40" t="str">
        <f ca="1">IF(TAB_OFICINAS[[#This Row],[Dias Para Entrega]]&lt;=0,"Em dia","Dia de Atrasado")</f>
        <v>Dia de Atrasado</v>
      </c>
      <c r="Q224" s="10">
        <f>IFERROR(TAB_OFICINAS[[#This Row],[Qtd pçs Enviadas]]-TAB_OFICINAS[[#This Row],[Qtd pçs Retornadas ]]," ")</f>
        <v>0</v>
      </c>
      <c r="R224" s="10">
        <v>0</v>
      </c>
      <c r="S224" s="5">
        <v>718</v>
      </c>
      <c r="T224" s="5">
        <v>17072</v>
      </c>
      <c r="U224" s="52">
        <v>3.85</v>
      </c>
      <c r="V224" s="44">
        <f>IFERROR(TAB_OFICINAS[[#This Row],[Valor Unit]]*TAB_OFICINAS[[#This Row],[Qtd pçs Enviadas]]," ")</f>
        <v>231</v>
      </c>
      <c r="W224" s="17">
        <v>46120</v>
      </c>
      <c r="X224" s="5" t="s">
        <v>6251</v>
      </c>
      <c r="Y224" s="27" t="s">
        <v>21462</v>
      </c>
      <c r="Z2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5" spans="3:26" hidden="1">
      <c r="C225" s="28" t="s">
        <v>19</v>
      </c>
      <c r="D225" s="5">
        <v>2575</v>
      </c>
      <c r="E225" s="5">
        <v>22390</v>
      </c>
      <c r="F225" s="28" t="str">
        <f>IFERROR(VLOOKUP(TAB_OFICINAS[[#This Row],[Cliente]],LISTA_DE_CLIENTES[[Código]:[Nome Fantasia]],2,FALSE),"")</f>
        <v>DIAGNOSTICOS DA AMERICA S.A .</v>
      </c>
      <c r="G225" s="5" t="str">
        <f>IFERROR(VLOOKUP(TAB_OFICINAS[[#This Row],[Cliente]],LISTA_DE_CLIENTES[[Código]:[Nome Fantasia]],3,FALSE),"")</f>
        <v>DASA HIGIENÓPOLIS</v>
      </c>
      <c r="H225" s="51">
        <v>3301095929</v>
      </c>
      <c r="I225" s="28" t="s">
        <v>20362</v>
      </c>
      <c r="J225" s="91">
        <v>10</v>
      </c>
      <c r="K225" s="86">
        <v>46042</v>
      </c>
      <c r="L225" s="10">
        <v>10</v>
      </c>
      <c r="M225" s="6">
        <v>46063</v>
      </c>
      <c r="N225" s="6">
        <v>46059</v>
      </c>
      <c r="O225" s="19">
        <f>TAB_OFICINAS[[#This Row],[Data Retorno Produção]]-TAB_OFICINAS[[#This Row],[Data Prometida  Entrega]]</f>
        <v>-4</v>
      </c>
      <c r="P225" s="40" t="str">
        <f>IF(TAB_OFICINAS[[#This Row],[Dias Para Entrega]]&lt;=0,"Em dia","Dia de Atrasado")</f>
        <v>Em dia</v>
      </c>
      <c r="Q225" s="10">
        <f>IFERROR(TAB_OFICINAS[[#This Row],[Qtd pçs Enviadas]]-TAB_OFICINAS[[#This Row],[Qtd pçs Retornadas ]],"N/D ")</f>
        <v>0</v>
      </c>
      <c r="R225" s="10">
        <v>0</v>
      </c>
      <c r="S225" s="5">
        <v>4322</v>
      </c>
      <c r="T225" s="5">
        <v>41</v>
      </c>
      <c r="U225" s="52">
        <v>16</v>
      </c>
      <c r="V225" s="44">
        <f>IFERROR(TAB_OFICINAS[[#This Row],[Valor Unit]]*TAB_OFICINAS[[#This Row],[Qtd pçs Enviadas]]," ")</f>
        <v>160</v>
      </c>
      <c r="W225" s="17">
        <v>46066</v>
      </c>
      <c r="X225" s="5" t="s">
        <v>6251</v>
      </c>
      <c r="Y225" s="27"/>
      <c r="Z2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6" spans="3:26" hidden="1">
      <c r="C226" s="28" t="s">
        <v>17</v>
      </c>
      <c r="D226" s="5">
        <v>331</v>
      </c>
      <c r="E226" s="5">
        <v>23156</v>
      </c>
      <c r="F226" s="28" t="str">
        <f>IFERROR(VLOOKUP(TAB_OFICINAS[[#This Row],[Cliente]],LISTA_DE_CLIENTES[[Código]:[Nome Fantasia]],2,FALSE),"")</f>
        <v>SERVICO NACIONAL DE APRENDIZAGEM COMERCIAL SENAC</v>
      </c>
      <c r="G226" s="5" t="str">
        <f>IFERROR(VLOOKUP(TAB_OFICINAS[[#This Row],[Cliente]],LISTA_DE_CLIENTES[[Código]:[Nome Fantasia]],3,FALSE),"")</f>
        <v>GRANDE HOTEL S PEDRO</v>
      </c>
      <c r="H226" s="63">
        <v>3301095750</v>
      </c>
      <c r="I226" s="28" t="s">
        <v>20939</v>
      </c>
      <c r="J226" s="91">
        <v>60</v>
      </c>
      <c r="K226" s="86">
        <v>46139</v>
      </c>
      <c r="L226" s="10">
        <v>60</v>
      </c>
      <c r="M226" s="6">
        <v>46155</v>
      </c>
      <c r="N226" s="6">
        <v>46150</v>
      </c>
      <c r="O226" s="19">
        <f>TAB_OFICINAS[[#This Row],[Data Retorno Produção]]-TAB_OFICINAS[[#This Row],[Data Prometida  Entrega]]</f>
        <v>-5</v>
      </c>
      <c r="P226" s="40" t="str">
        <f>IF(TAB_OFICINAS[[#This Row],[Dias Para Entrega]]&lt;=0,"Em dia","Dia de Atrasado")</f>
        <v>Em dia</v>
      </c>
      <c r="Q226" s="10">
        <f>IFERROR(TAB_OFICINAS[[#This Row],[Qtd pçs Enviadas]]-TAB_OFICINAS[[#This Row],[Qtd pçs Retornadas ]]," ")</f>
        <v>0</v>
      </c>
      <c r="R226" s="10"/>
      <c r="S226" s="5">
        <v>790</v>
      </c>
      <c r="T226" s="5">
        <v>52</v>
      </c>
      <c r="U226" s="52">
        <v>14</v>
      </c>
      <c r="V226" s="44">
        <f>IFERROR(TAB_OFICINAS[[#This Row],[Valor Unit]]*TAB_OFICINAS[[#This Row],[Qtd pçs Enviadas]]," ")</f>
        <v>840</v>
      </c>
      <c r="W226" s="17">
        <v>46164</v>
      </c>
      <c r="X226" s="5" t="s">
        <v>6251</v>
      </c>
      <c r="Y226" s="27"/>
      <c r="Z2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7" spans="3:26" hidden="1">
      <c r="C227" s="28" t="s">
        <v>7</v>
      </c>
      <c r="D227" s="5">
        <v>245</v>
      </c>
      <c r="E227" s="5">
        <v>22718</v>
      </c>
      <c r="F227" s="28" t="str">
        <f>IFERROR(VLOOKUP(TAB_OFICINAS[[#This Row],[Cliente]],LISTA_DE_CLIENTES[[Código]:[Nome Fantasia]],2,FALSE),"")</f>
        <v>MELIA BRASIL ADMINISTRACAO HOTELEIRA E COMERCIAL L</v>
      </c>
      <c r="G227" s="5" t="str">
        <f>IFERROR(VLOOKUP(TAB_OFICINAS[[#This Row],[Cliente]],LISTA_DE_CLIENTES[[Código]:[Nome Fantasia]],3,FALSE),"")</f>
        <v>MELIA PAULISTA</v>
      </c>
      <c r="H227" s="53">
        <v>92101041103</v>
      </c>
      <c r="I227" s="28" t="s">
        <v>21390</v>
      </c>
      <c r="J227" s="91">
        <v>500</v>
      </c>
      <c r="K227" s="86">
        <v>46091</v>
      </c>
      <c r="L227" s="10">
        <v>500</v>
      </c>
      <c r="M227" s="6">
        <v>46111</v>
      </c>
      <c r="N227" s="6">
        <v>46101</v>
      </c>
      <c r="O227" s="19">
        <f>TAB_OFICINAS[[#This Row],[Data Retorno Produção]]-TAB_OFICINAS[[#This Row],[Data Prometida  Entrega]]</f>
        <v>-10</v>
      </c>
      <c r="P227" s="54" t="str">
        <f>IF(TAB_OFICINAS[[#This Row],[Dias Para Entrega]]&lt;=0,"Em dia","Dia de Atrasado")</f>
        <v>Em dia</v>
      </c>
      <c r="Q227" s="10">
        <f>IFERROR(TAB_OFICINAS[[#This Row],[Qtd pçs Enviadas]]-TAB_OFICINAS[[#This Row],[Qtd pçs Retornadas ]]," ")</f>
        <v>0</v>
      </c>
      <c r="R227" s="10">
        <v>0</v>
      </c>
      <c r="S227" s="5">
        <v>677</v>
      </c>
      <c r="T227" s="5">
        <v>26</v>
      </c>
      <c r="U227" s="52">
        <v>7.5</v>
      </c>
      <c r="V227" s="44">
        <f>IFERROR(TAB_OFICINAS[[#This Row],[Valor Unit]]*TAB_OFICINAS[[#This Row],[Qtd pçs Enviadas]]," ")</f>
        <v>3750</v>
      </c>
      <c r="W227" s="17">
        <v>46111</v>
      </c>
      <c r="X227" s="5" t="s">
        <v>6251</v>
      </c>
      <c r="Y227" s="27"/>
      <c r="Z2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8" spans="3:26" hidden="1">
      <c r="C228" s="28" t="s">
        <v>3</v>
      </c>
      <c r="D228" s="5">
        <v>5572</v>
      </c>
      <c r="E228" s="5">
        <v>23053</v>
      </c>
      <c r="F228" s="28" t="str">
        <f>IFERROR(VLOOKUP(TAB_OFICINAS[[#This Row],[Cliente]],LISTA_DE_CLIENTES[[Código]:[Nome Fantasia]],2,FALSE),"")</f>
        <v>TAUÁ HOTEL E CONVENTION JOÃO PESSOA LTDA</v>
      </c>
      <c r="G228" s="5" t="str">
        <f>IFERROR(VLOOKUP(TAB_OFICINAS[[#This Row],[Cliente]],LISTA_DE_CLIENTES[[Código]:[Nome Fantasia]],3,FALSE),"")</f>
        <v>TAUÁ HOTEL E CONVENT</v>
      </c>
      <c r="H228" s="63">
        <v>3105019931</v>
      </c>
      <c r="I228" s="28" t="s">
        <v>22965</v>
      </c>
      <c r="J228" s="91">
        <v>57</v>
      </c>
      <c r="K228" s="86">
        <v>46174</v>
      </c>
      <c r="L228" s="34">
        <v>57</v>
      </c>
      <c r="M228" s="6">
        <v>46195</v>
      </c>
      <c r="N228" s="6">
        <v>46192</v>
      </c>
      <c r="O228" s="19">
        <f>TAB_OFICINAS[[#This Row],[Data Retorno Produção]]-TAB_OFICINAS[[#This Row],[Data Prometida  Entrega]]</f>
        <v>-3</v>
      </c>
      <c r="P228" s="40" t="str">
        <f>IF(TAB_OFICINAS[[#This Row],[Dias Para Entrega]]&lt;=0,"Em dia","Dia de Atrasado")</f>
        <v>Em dia</v>
      </c>
      <c r="Q228" s="10">
        <f>IFERROR(TAB_OFICINAS[[#This Row],[Qtd pçs Enviadas]]-TAB_OFICINAS[[#This Row],[Qtd pçs Retornadas ]]," ")</f>
        <v>0</v>
      </c>
      <c r="R228" s="10"/>
      <c r="S228" s="5">
        <v>677</v>
      </c>
      <c r="T228" s="5">
        <v>110</v>
      </c>
      <c r="U228" s="52">
        <v>3.25</v>
      </c>
      <c r="V228" s="44">
        <f>IFERROR(TAB_OFICINAS[[#This Row],[Valor Unit]]*TAB_OFICINAS[[#This Row],[Qtd pçs Enviadas]]," ")</f>
        <v>185.25</v>
      </c>
      <c r="W228" s="17">
        <v>46196</v>
      </c>
      <c r="X228" s="5" t="s">
        <v>6251</v>
      </c>
      <c r="Y228" s="27"/>
      <c r="Z2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29" spans="3:26" hidden="1">
      <c r="C229" s="28" t="s">
        <v>15</v>
      </c>
      <c r="D229" s="5">
        <v>5572</v>
      </c>
      <c r="E229" s="5">
        <v>23503</v>
      </c>
      <c r="F229" s="28" t="str">
        <f>IFERROR(VLOOKUP(TAB_OFICINAS[[#This Row],[Cliente]],LISTA_DE_CLIENTES[[Código]:[Nome Fantasia]],2,FALSE),"")</f>
        <v>TAUÁ HOTEL E CONVENTION JOÃO PESSOA LTDA</v>
      </c>
      <c r="G229" s="2" t="str">
        <f>IFERROR(VLOOKUP(TAB_OFICINAS[[#This Row],[Cliente]],LISTA_DE_CLIENTES[[Código]:[Nome Fantasia]],3,FALSE),"")</f>
        <v>TAUÁ HOTEL E CONVENT</v>
      </c>
      <c r="H229" s="63">
        <v>3105018388</v>
      </c>
      <c r="I229" s="28" t="s">
        <v>22963</v>
      </c>
      <c r="J229" s="91">
        <v>57</v>
      </c>
      <c r="K229" s="86">
        <v>46178</v>
      </c>
      <c r="L229" s="34">
        <v>57</v>
      </c>
      <c r="M229" s="6">
        <v>46189</v>
      </c>
      <c r="N229" s="6">
        <v>46189</v>
      </c>
      <c r="O229" s="19">
        <f>TAB_OFICINAS[[#This Row],[Data Retorno Produção]]-TAB_OFICINAS[[#This Row],[Data Prometida  Entrega]]</f>
        <v>0</v>
      </c>
      <c r="P229" s="40" t="str">
        <f>IF(TAB_OFICINAS[[#This Row],[Dias Para Entrega]]&lt;=0,"Em dia","Dia de Atrasado")</f>
        <v>Em dia</v>
      </c>
      <c r="Q229" s="10">
        <f>IFERROR(TAB_OFICINAS[[#This Row],[Qtd pçs Enviadas]]-TAB_OFICINAS[[#This Row],[Qtd pçs Retornadas ]]," ")</f>
        <v>0</v>
      </c>
      <c r="R229" s="10">
        <v>0</v>
      </c>
      <c r="S229" s="5">
        <v>677</v>
      </c>
      <c r="T229" s="5">
        <v>17347</v>
      </c>
      <c r="U229" s="1">
        <v>3.2</v>
      </c>
      <c r="V229" s="3">
        <f>IFERROR(TAB_OFICINAS[[#This Row],[Valor Unit]]*TAB_OFICINAS[[#This Row],[Qtd pçs Enviadas]]," ")</f>
        <v>182.4</v>
      </c>
      <c r="W229" s="17">
        <v>46198</v>
      </c>
      <c r="X229" s="5" t="s">
        <v>6251</v>
      </c>
      <c r="Y229" s="4" t="s">
        <v>23180</v>
      </c>
      <c r="Z2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0" spans="3:26" hidden="1">
      <c r="C230" s="28" t="s">
        <v>1</v>
      </c>
      <c r="D230" s="5">
        <v>3107</v>
      </c>
      <c r="E230" s="5">
        <v>22529</v>
      </c>
      <c r="F230" s="28" t="str">
        <f>IFERROR(VLOOKUP(TAB_OFICINAS[[#This Row],[Cliente]],LISTA_DE_CLIENTES[[Código]:[Nome Fantasia]],2,FALSE),"")</f>
        <v>HCC HOTELS GESTAO HOTELEIRA LTDA.</v>
      </c>
      <c r="G230" s="5" t="str">
        <f>IFERROR(VLOOKUP(TAB_OFICINAS[[#This Row],[Cliente]],LISTA_DE_CLIENTES[[Código]:[Nome Fantasia]],3,FALSE),"")</f>
        <v>QOYA SP</v>
      </c>
      <c r="H230" s="51">
        <v>92102224401</v>
      </c>
      <c r="I230" s="28" t="s">
        <v>20925</v>
      </c>
      <c r="J230" s="91">
        <v>65</v>
      </c>
      <c r="K230" s="86">
        <v>46056</v>
      </c>
      <c r="L230" s="10">
        <v>65</v>
      </c>
      <c r="M230" s="6">
        <v>46062</v>
      </c>
      <c r="N230" s="6">
        <v>46058</v>
      </c>
      <c r="O230" s="19">
        <f>TAB_OFICINAS[[#This Row],[Data Retorno Produção]]-TAB_OFICINAS[[#This Row],[Data Prometida  Entrega]]</f>
        <v>-4</v>
      </c>
      <c r="P230" s="40" t="str">
        <f>IF(TAB_OFICINAS[[#This Row],[Dias Para Entrega]]&lt;=0,"Em dia","Dia de Atrasado")</f>
        <v>Em dia</v>
      </c>
      <c r="Q230" s="10">
        <f>IFERROR(TAB_OFICINAS[[#This Row],[Qtd pçs Enviadas]]-TAB_OFICINAS[[#This Row],[Qtd pçs Retornadas ]],"N/D ")</f>
        <v>0</v>
      </c>
      <c r="R230" s="10"/>
      <c r="S230" s="5">
        <v>570</v>
      </c>
      <c r="T230" s="5">
        <v>36</v>
      </c>
      <c r="U230" s="52">
        <v>8.5</v>
      </c>
      <c r="V230" s="44">
        <f>IFERROR(TAB_OFICINAS[[#This Row],[Valor Unit]]*TAB_OFICINAS[[#This Row],[Qtd pçs Enviadas]]," ")</f>
        <v>552.5</v>
      </c>
      <c r="W230" s="17">
        <v>46066</v>
      </c>
      <c r="X230" s="5" t="s">
        <v>6251</v>
      </c>
      <c r="Y230" s="27"/>
      <c r="Z230" s="40"/>
    </row>
    <row r="231" spans="3:26" hidden="1">
      <c r="C231" s="28" t="s">
        <v>19</v>
      </c>
      <c r="D231" s="5">
        <v>2575</v>
      </c>
      <c r="E231" s="5">
        <v>22390</v>
      </c>
      <c r="F231" s="28" t="str">
        <f>IFERROR(VLOOKUP(TAB_OFICINAS[[#This Row],[Cliente]],LISTA_DE_CLIENTES[[Código]:[Nome Fantasia]],2,FALSE),"")</f>
        <v>DIAGNOSTICOS DA AMERICA S.A .</v>
      </c>
      <c r="G231" s="5" t="str">
        <f>IFERROR(VLOOKUP(TAB_OFICINAS[[#This Row],[Cliente]],LISTA_DE_CLIENTES[[Código]:[Nome Fantasia]],3,FALSE),"")</f>
        <v>DASA HIGIENÓPOLIS</v>
      </c>
      <c r="H231" s="51">
        <v>3301092628</v>
      </c>
      <c r="I231" s="28" t="s">
        <v>20359</v>
      </c>
      <c r="J231" s="91">
        <v>8</v>
      </c>
      <c r="K231" s="86">
        <v>46042</v>
      </c>
      <c r="L231" s="10">
        <v>8</v>
      </c>
      <c r="M231" s="6">
        <v>46063</v>
      </c>
      <c r="N231" s="6">
        <v>46059</v>
      </c>
      <c r="O231" s="19">
        <f>TAB_OFICINAS[[#This Row],[Data Retorno Produção]]-TAB_OFICINAS[[#This Row],[Data Prometida  Entrega]]</f>
        <v>-4</v>
      </c>
      <c r="P231" s="40" t="str">
        <f>IF(TAB_OFICINAS[[#This Row],[Dias Para Entrega]]&lt;=0,"Em dia","Dia de Atrasado")</f>
        <v>Em dia</v>
      </c>
      <c r="Q231" s="10">
        <f>IFERROR(TAB_OFICINAS[[#This Row],[Qtd pçs Enviadas]]-TAB_OFICINAS[[#This Row],[Qtd pçs Retornadas ]],"N/D ")</f>
        <v>0</v>
      </c>
      <c r="R231" s="10">
        <v>0</v>
      </c>
      <c r="S231" s="5">
        <v>4322</v>
      </c>
      <c r="T231" s="5">
        <v>41</v>
      </c>
      <c r="U231" s="52">
        <v>16</v>
      </c>
      <c r="V231" s="44">
        <f>IFERROR(TAB_OFICINAS[[#This Row],[Valor Unit]]*TAB_OFICINAS[[#This Row],[Qtd pçs Enviadas]]," ")</f>
        <v>128</v>
      </c>
      <c r="W231" s="17">
        <v>46066</v>
      </c>
      <c r="X231" s="5" t="s">
        <v>6251</v>
      </c>
      <c r="Y231" s="27"/>
      <c r="Z2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2" spans="3:26" hidden="1">
      <c r="C232" s="28" t="s">
        <v>17</v>
      </c>
      <c r="D232" s="5">
        <v>4451</v>
      </c>
      <c r="E232" s="5">
        <v>22240</v>
      </c>
      <c r="F232" s="28" t="str">
        <f>IFERROR(VLOOKUP(TAB_OFICINAS[[#This Row],[Cliente]],LISTA_DE_CLIENTES[[Código]:[Nome Fantasia]],2,FALSE),"")</f>
        <v>ASSOCIAÇÃO CLUBE WAVE 1</v>
      </c>
      <c r="G232" s="5" t="str">
        <f>IFERROR(VLOOKUP(TAB_OFICINAS[[#This Row],[Cliente]],LISTA_DE_CLIENTES[[Código]:[Nome Fantasia]],3,FALSE),"")</f>
        <v>BEYOND SP</v>
      </c>
      <c r="H232" s="51" t="s">
        <v>23962</v>
      </c>
      <c r="I232" s="28" t="s">
        <v>20355</v>
      </c>
      <c r="J232" s="91">
        <v>53</v>
      </c>
      <c r="K232" s="86">
        <v>46080</v>
      </c>
      <c r="L232" s="10">
        <v>53</v>
      </c>
      <c r="M232" s="6">
        <v>46085</v>
      </c>
      <c r="N232" s="6">
        <v>46085</v>
      </c>
      <c r="O232" s="19">
        <f>TAB_OFICINAS[[#This Row],[Data Retorno Produção]]-TAB_OFICINAS[[#This Row],[Data Prometida  Entrega]]</f>
        <v>0</v>
      </c>
      <c r="P232" s="40" t="str">
        <f>IF(TAB_OFICINAS[[#This Row],[Dias Para Entrega]]&lt;=0,"Em dia","Dia de Atrasado")</f>
        <v>Em dia</v>
      </c>
      <c r="Q232" s="10">
        <f>IFERROR(TAB_OFICINAS[[#This Row],[Qtd pçs Enviadas]]-TAB_OFICINAS[[#This Row],[Qtd pçs Retornadas ]],"N/D ")</f>
        <v>0</v>
      </c>
      <c r="R232" s="10">
        <v>0</v>
      </c>
      <c r="S232" s="5">
        <v>677</v>
      </c>
      <c r="T232" s="5">
        <v>46</v>
      </c>
      <c r="U232" s="52">
        <v>3</v>
      </c>
      <c r="V232" s="44">
        <f>IFERROR(TAB_OFICINAS[[#This Row],[Valor Unit]]*TAB_OFICINAS[[#This Row],[Qtd pçs Enviadas]]," ")</f>
        <v>159</v>
      </c>
      <c r="W232" s="17">
        <v>46094</v>
      </c>
      <c r="X232" s="5" t="s">
        <v>6251</v>
      </c>
      <c r="Y232" s="27"/>
      <c r="Z2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3" spans="3:26" hidden="1">
      <c r="C233" s="28" t="s">
        <v>15</v>
      </c>
      <c r="D233" s="5">
        <v>2913</v>
      </c>
      <c r="E233" s="5">
        <v>23358</v>
      </c>
      <c r="F233" s="28" t="str">
        <f>IFERROR(VLOOKUP(TAB_OFICINAS[[#This Row],[Cliente]],LISTA_DE_CLIENTES[[Código]:[Nome Fantasia]],2,FALSE),"")</f>
        <v>EDIFICIO QUEEN VICTORIA</v>
      </c>
      <c r="G233" s="2" t="str">
        <f>IFERROR(VLOOKUP(TAB_OFICINAS[[#This Row],[Cliente]],LISTA_DE_CLIENTES[[Código]:[Nome Fantasia]],3,FALSE),"")</f>
        <v>QUEEN VICTORIA</v>
      </c>
      <c r="H233" s="63">
        <v>3103071629</v>
      </c>
      <c r="I233" s="28" t="s">
        <v>22660</v>
      </c>
      <c r="J233" s="91">
        <v>52</v>
      </c>
      <c r="K233" s="86">
        <v>46169</v>
      </c>
      <c r="L233" s="34">
        <v>52</v>
      </c>
      <c r="M233" s="6">
        <v>46181</v>
      </c>
      <c r="N233" s="6">
        <v>46175</v>
      </c>
      <c r="O233" s="19">
        <f>TAB_OFICINAS[[#This Row],[Data Retorno Produção]]-TAB_OFICINAS[[#This Row],[Data Prometida  Entrega]]</f>
        <v>-6</v>
      </c>
      <c r="P233" s="40" t="str">
        <f>IF(TAB_OFICINAS[[#This Row],[Dias Para Entrega]]&lt;=0,"Em dia","Dia de Atrasado")</f>
        <v>Em dia</v>
      </c>
      <c r="Q233" s="10">
        <f>IFERROR(TAB_OFICINAS[[#This Row],[Qtd pçs Enviadas]]-TAB_OFICINAS[[#This Row],[Qtd pçs Retornadas ]]," ")</f>
        <v>0</v>
      </c>
      <c r="R233" s="10"/>
      <c r="S233" s="5">
        <v>677</v>
      </c>
      <c r="T233" s="5">
        <v>17274</v>
      </c>
      <c r="U233" s="1">
        <v>5.6</v>
      </c>
      <c r="V233" s="3">
        <f>IFERROR(TAB_OFICINAS[[#This Row],[Valor Unit]]*TAB_OFICINAS[[#This Row],[Qtd pçs Enviadas]]," ")</f>
        <v>291.2</v>
      </c>
      <c r="W233" s="17">
        <v>46185</v>
      </c>
      <c r="X233" s="5" t="s">
        <v>6251</v>
      </c>
      <c r="Y233" s="4" t="s">
        <v>22913</v>
      </c>
      <c r="Z2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4" spans="3:26" hidden="1">
      <c r="C234" s="28" t="s">
        <v>5</v>
      </c>
      <c r="D234" s="5">
        <v>943</v>
      </c>
      <c r="E234" s="5">
        <v>22133</v>
      </c>
      <c r="F234" s="28" t="str">
        <f>IFERROR(VLOOKUP(TAB_OFICINAS[[#This Row],[Cliente]],LISTA_DE_CLIENTES[[Código]:[Nome Fantasia]],2,FALSE),"")</f>
        <v>REDE DOR SAO LUIZ S.A.</v>
      </c>
      <c r="G234" s="5" t="str">
        <f>IFERROR(VLOOKUP(TAB_OFICINAS[[#This Row],[Cliente]],LISTA_DE_CLIENTES[[Código]:[Nome Fantasia]],3,FALSE),"")</f>
        <v>HOSPITAL COPA STAR</v>
      </c>
      <c r="H234" s="51">
        <v>3301084128</v>
      </c>
      <c r="I234" s="28" t="s">
        <v>20297</v>
      </c>
      <c r="J234" s="91">
        <v>50</v>
      </c>
      <c r="K234" s="86">
        <v>46006</v>
      </c>
      <c r="L234" s="10">
        <v>50</v>
      </c>
      <c r="M234" s="6">
        <v>46037</v>
      </c>
      <c r="N234" s="6">
        <v>46036</v>
      </c>
      <c r="O234" s="19">
        <f>TAB_OFICINAS[[#This Row],[Data Retorno Produção]]-TAB_OFICINAS[[#This Row],[Data Prometida  Entrega]]</f>
        <v>-1</v>
      </c>
      <c r="P234" s="40" t="str">
        <f>IF(TAB_OFICINAS[[#This Row],[Dias Para Entrega]]&lt;=0,"Em dia","Dia de Atrasado")</f>
        <v>Em dia</v>
      </c>
      <c r="Q234" s="10">
        <f>IFERROR(TAB_OFICINAS[[#This Row],[Qtd pçs Enviadas]]-TAB_OFICINAS[[#This Row],[Qtd pçs Retornadas ]],"N/D ")</f>
        <v>0</v>
      </c>
      <c r="R234" s="10">
        <v>0</v>
      </c>
      <c r="S234" s="5">
        <v>677</v>
      </c>
      <c r="T234" s="5">
        <v>2593</v>
      </c>
      <c r="U234" s="52">
        <v>16</v>
      </c>
      <c r="V234" s="44">
        <f>IFERROR(TAB_OFICINAS[[#This Row],[Valor Unit]]*TAB_OFICINAS[[#This Row],[Qtd pçs Enviadas]]," ")</f>
        <v>800</v>
      </c>
      <c r="W234" s="17">
        <v>46059</v>
      </c>
      <c r="X234" s="5" t="s">
        <v>6251</v>
      </c>
      <c r="Y234" s="27"/>
      <c r="Z2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5" spans="3:26" hidden="1">
      <c r="C235" s="28" t="s">
        <v>7</v>
      </c>
      <c r="D235" s="5">
        <v>5424</v>
      </c>
      <c r="E235" s="5">
        <v>22965</v>
      </c>
      <c r="F235" s="28" t="str">
        <f>IFERROR(VLOOKUP(TAB_OFICINAS[[#This Row],[Cliente]],LISTA_DE_CLIENTES[[Código]:[Nome Fantasia]],2,FALSE),"")</f>
        <v>DAMARES DA SILVA DIAS MILHIM</v>
      </c>
      <c r="G235" s="5" t="str">
        <f>IFERROR(VLOOKUP(TAB_OFICINAS[[#This Row],[Cliente]],LISTA_DE_CLIENTES[[Código]:[Nome Fantasia]],3,FALSE),"")</f>
        <v>DAMARES DA SILVA DIA</v>
      </c>
      <c r="H235" s="53">
        <v>3913019682</v>
      </c>
      <c r="I235" s="28" t="s">
        <v>21391</v>
      </c>
      <c r="J235" s="91">
        <v>1</v>
      </c>
      <c r="K235" s="86">
        <v>46093</v>
      </c>
      <c r="L235" s="10">
        <v>1</v>
      </c>
      <c r="M235" s="6">
        <v>46093</v>
      </c>
      <c r="N235" s="6">
        <v>46093</v>
      </c>
      <c r="O235" s="19">
        <f>TAB_OFICINAS[[#This Row],[Data Retorno Produção]]-TAB_OFICINAS[[#This Row],[Data Prometida  Entrega]]</f>
        <v>0</v>
      </c>
      <c r="P235" s="54" t="str">
        <f>IF(TAB_OFICINAS[[#This Row],[Dias Para Entrega]]&lt;=0,"Em dia","Dia de Atrasado")</f>
        <v>Em dia</v>
      </c>
      <c r="Q235" s="10">
        <f>IFERROR(TAB_OFICINAS[[#This Row],[Qtd pçs Enviadas]]-TAB_OFICINAS[[#This Row],[Qtd pçs Retornadas ]],"N/D ")</f>
        <v>0</v>
      </c>
      <c r="R235" s="10">
        <v>0</v>
      </c>
      <c r="S235" s="5">
        <v>677</v>
      </c>
      <c r="T235" s="5">
        <v>26</v>
      </c>
      <c r="U235" s="52">
        <v>6</v>
      </c>
      <c r="V235" s="44">
        <f>IFERROR(TAB_OFICINAS[[#This Row],[Valor Unit]]*TAB_OFICINAS[[#This Row],[Qtd pçs Enviadas]]," ")</f>
        <v>6</v>
      </c>
      <c r="W235" s="17">
        <v>46111</v>
      </c>
      <c r="X235" s="5" t="s">
        <v>6251</v>
      </c>
      <c r="Y235" s="27"/>
      <c r="Z2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6" spans="3:26" hidden="1">
      <c r="C236" s="28" t="s">
        <v>1</v>
      </c>
      <c r="D236" s="5">
        <v>526</v>
      </c>
      <c r="E236" s="5">
        <v>22578</v>
      </c>
      <c r="F236" s="28" t="str">
        <f>IFERROR(VLOOKUP(TAB_OFICINAS[[#This Row],[Cliente]],LISTA_DE_CLIENTES[[Código]:[Nome Fantasia]],2,FALSE),"")</f>
        <v>ATMOSFERA GESTAO E HIGIENIZACAO DE TEXTEIS S.A.</v>
      </c>
      <c r="G236" s="5" t="str">
        <f>IFERROR(VLOOKUP(TAB_OFICINAS[[#This Row],[Cliente]],LISTA_DE_CLIENTES[[Código]:[Nome Fantasia]],3,FALSE),"")</f>
        <v>ATMOSFERA ST BARBARA</v>
      </c>
      <c r="H236" s="51">
        <v>92104156036</v>
      </c>
      <c r="I236" s="28" t="s">
        <v>20517</v>
      </c>
      <c r="J236" s="91">
        <v>100</v>
      </c>
      <c r="K236" s="86">
        <v>46049</v>
      </c>
      <c r="L236" s="10">
        <v>100</v>
      </c>
      <c r="M236" s="6">
        <v>46080</v>
      </c>
      <c r="N236" s="6">
        <v>46071</v>
      </c>
      <c r="O236" s="19">
        <f>TAB_OFICINAS[[#This Row],[Data Retorno Produção]]-TAB_OFICINAS[[#This Row],[Data Prometida  Entrega]]</f>
        <v>-9</v>
      </c>
      <c r="P236" s="40" t="str">
        <f>IF(TAB_OFICINAS[[#This Row],[Dias Para Entrega]]&lt;=0,"Em dia","Dia de Atrasado")</f>
        <v>Em dia</v>
      </c>
      <c r="Q236" s="10">
        <f>IFERROR(TAB_OFICINAS[[#This Row],[Qtd pçs Enviadas]]-TAB_OFICINAS[[#This Row],[Qtd pçs Retornadas ]]," ")</f>
        <v>0</v>
      </c>
      <c r="R236" s="10">
        <v>0</v>
      </c>
      <c r="S236" s="5">
        <v>3097</v>
      </c>
      <c r="T236" s="5">
        <v>37</v>
      </c>
      <c r="U236" s="52">
        <v>4</v>
      </c>
      <c r="V236" s="44">
        <f>IFERROR(TAB_OFICINAS[[#This Row],[Valor Unit]]*TAB_OFICINAS[[#This Row],[Qtd pçs Enviadas]]," ")</f>
        <v>400</v>
      </c>
      <c r="W236" s="17">
        <v>46080</v>
      </c>
      <c r="X236" s="5" t="s">
        <v>6251</v>
      </c>
      <c r="Y236" s="27"/>
      <c r="Z2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7" spans="3:26" hidden="1">
      <c r="C237" s="28" t="s">
        <v>7</v>
      </c>
      <c r="D237" s="5">
        <v>5426</v>
      </c>
      <c r="E237" s="5">
        <v>22967</v>
      </c>
      <c r="F237" s="28" t="str">
        <f>IFERROR(VLOOKUP(TAB_OFICINAS[[#This Row],[Cliente]],LISTA_DE_CLIENTES[[Código]:[Nome Fantasia]],2,FALSE),"")</f>
        <v>CRISTIANE FERNANDA MAIA FERNANDES</v>
      </c>
      <c r="G237" s="5" t="str">
        <f>IFERROR(VLOOKUP(TAB_OFICINAS[[#This Row],[Cliente]],LISTA_DE_CLIENTES[[Código]:[Nome Fantasia]],3,FALSE),"")</f>
        <v>CRISTIANE FERNANDA M</v>
      </c>
      <c r="H237" s="53">
        <v>3913019684</v>
      </c>
      <c r="I237" s="28" t="s">
        <v>21392</v>
      </c>
      <c r="J237" s="91">
        <v>1</v>
      </c>
      <c r="K237" s="86">
        <v>46095</v>
      </c>
      <c r="L237" s="10">
        <v>1</v>
      </c>
      <c r="M237" s="6">
        <v>46095</v>
      </c>
      <c r="N237" s="6">
        <v>46095</v>
      </c>
      <c r="O237" s="19">
        <f>TAB_OFICINAS[[#This Row],[Data Retorno Produção]]-TAB_OFICINAS[[#This Row],[Data Prometida  Entrega]]</f>
        <v>0</v>
      </c>
      <c r="P237" s="54" t="str">
        <f>IF(TAB_OFICINAS[[#This Row],[Dias Para Entrega]]&lt;=0,"Em dia","Dia de Atrasado")</f>
        <v>Em dia</v>
      </c>
      <c r="Q237" s="10">
        <f>IFERROR(TAB_OFICINAS[[#This Row],[Qtd pçs Enviadas]]-TAB_OFICINAS[[#This Row],[Qtd pçs Retornadas ]],"N/D ")</f>
        <v>0</v>
      </c>
      <c r="R237" s="10">
        <v>0</v>
      </c>
      <c r="S237" s="5">
        <v>677</v>
      </c>
      <c r="T237" s="5">
        <v>26</v>
      </c>
      <c r="U237" s="52">
        <v>6</v>
      </c>
      <c r="V237" s="44">
        <f>IFERROR(TAB_OFICINAS[[#This Row],[Valor Unit]]*TAB_OFICINAS[[#This Row],[Qtd pçs Enviadas]]," ")</f>
        <v>6</v>
      </c>
      <c r="W237" s="17">
        <v>46111</v>
      </c>
      <c r="X237" s="5" t="s">
        <v>6251</v>
      </c>
      <c r="Y237" s="27"/>
      <c r="Z2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8" spans="3:26" hidden="1">
      <c r="C238" s="28" t="s">
        <v>20</v>
      </c>
      <c r="D238" s="5">
        <v>188</v>
      </c>
      <c r="E238" s="5">
        <v>23044</v>
      </c>
      <c r="F238" s="28" t="str">
        <f>IFERROR(VLOOKUP(TAB_OFICINAS[[#This Row],[Cliente]],LISTA_DE_CLIENTES[[Código]:[Nome Fantasia]],2,FALSE),"")</f>
        <v>IHC SAO PAULO HOTELARIA LTDA.</v>
      </c>
      <c r="G238" s="5" t="str">
        <f>IFERROR(VLOOKUP(TAB_OFICINAS[[#This Row],[Cliente]],LISTA_DE_CLIENTES[[Código]:[Nome Fantasia]],3,FALSE),"")</f>
        <v>INTERCONTINENTAL SP</v>
      </c>
      <c r="H238" s="63">
        <v>92101066000</v>
      </c>
      <c r="I238" s="28" t="s">
        <v>21420</v>
      </c>
      <c r="J238" s="91">
        <v>149</v>
      </c>
      <c r="K238" s="86">
        <v>46106</v>
      </c>
      <c r="L238" s="10">
        <v>149</v>
      </c>
      <c r="M238" s="6">
        <v>46114</v>
      </c>
      <c r="N238" s="6">
        <v>46112</v>
      </c>
      <c r="O238" s="19">
        <f>TAB_OFICINAS[[#This Row],[Data Retorno Produção]]-TAB_OFICINAS[[#This Row],[Data Prometida  Entrega]]</f>
        <v>-2</v>
      </c>
      <c r="P238" s="40" t="str">
        <f>IF(TAB_OFICINAS[[#This Row],[Dias Para Entrega]]&lt;=0,"Em dia","Dia de Atrasado")</f>
        <v>Em dia</v>
      </c>
      <c r="Q238" s="10">
        <f>IFERROR(TAB_OFICINAS[[#This Row],[Qtd pçs Enviadas]]-TAB_OFICINAS[[#This Row],[Qtd pçs Retornadas ]]," ")</f>
        <v>0</v>
      </c>
      <c r="R238" s="10">
        <v>0</v>
      </c>
      <c r="S238" s="5">
        <v>710</v>
      </c>
      <c r="T238" s="5">
        <v>84</v>
      </c>
      <c r="U238" s="52">
        <v>6.5</v>
      </c>
      <c r="V238" s="44">
        <f>IFERROR(TAB_OFICINAS[[#This Row],[Valor Unit]]*TAB_OFICINAS[[#This Row],[Qtd pçs Enviadas]]," ")</f>
        <v>968.5</v>
      </c>
      <c r="W238" s="17">
        <v>46122</v>
      </c>
      <c r="X238" s="5" t="s">
        <v>6251</v>
      </c>
      <c r="Y238" s="27"/>
      <c r="Z2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39" spans="3:26" hidden="1">
      <c r="C239" s="79" t="s">
        <v>3</v>
      </c>
      <c r="D239" s="46">
        <v>5338</v>
      </c>
      <c r="E239" s="46">
        <v>22740</v>
      </c>
      <c r="F239" s="28" t="str">
        <f>IFERROR(VLOOKUP(TAB_OFICINAS[[#This Row],[Cliente]],LISTA_DE_CLIENTES[[Código]:[Nome Fantasia]],2,FALSE),"")</f>
        <v>MAISON CARMELO INCORPORACOES SPE LTDA</v>
      </c>
      <c r="G239" s="5" t="str">
        <f>IFERROR(VLOOKUP(TAB_OFICINAS[[#This Row],[Cliente]],LISTA_DE_CLIENTES[[Código]:[Nome Fantasia]],3,FALSE),"")</f>
        <v>SAN REMO</v>
      </c>
      <c r="H239" s="47">
        <v>3302038592</v>
      </c>
      <c r="I239" s="73" t="s">
        <v>21060</v>
      </c>
      <c r="J239" s="93">
        <v>50</v>
      </c>
      <c r="K239" s="84">
        <v>46077</v>
      </c>
      <c r="L239" s="48">
        <v>50</v>
      </c>
      <c r="M239" s="84">
        <v>46084</v>
      </c>
      <c r="N239" s="84">
        <v>46079</v>
      </c>
      <c r="O239" s="39">
        <v>-5</v>
      </c>
      <c r="P239" s="40" t="str">
        <f>IF(TAB_OFICINAS[[#This Row],[Dias Para Entrega]]&lt;=0,"Em dia","Dia de Atrasado")</f>
        <v>Em dia</v>
      </c>
      <c r="Q239" s="41">
        <v>0</v>
      </c>
      <c r="R239" s="48">
        <v>0</v>
      </c>
      <c r="S239" s="5">
        <v>677</v>
      </c>
      <c r="T239" s="46">
        <v>97</v>
      </c>
      <c r="U239" s="43">
        <v>4.9000000000000004</v>
      </c>
      <c r="V239" s="44">
        <f>IFERROR(TAB_OFICINAS[[#This Row],[Valor Unit]]*TAB_OFICINAS[[#This Row],[Qtd pçs Enviadas]]," ")</f>
        <v>245.00000000000003</v>
      </c>
      <c r="W239" s="49">
        <v>46089</v>
      </c>
      <c r="X239" s="46" t="s">
        <v>6251</v>
      </c>
      <c r="Y239" s="50"/>
      <c r="Z2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0" spans="3:26" hidden="1">
      <c r="C240" s="28" t="s">
        <v>3</v>
      </c>
      <c r="D240" s="5">
        <v>2913</v>
      </c>
      <c r="E240" s="5">
        <v>22843</v>
      </c>
      <c r="F240" s="28" t="str">
        <f>IFERROR(VLOOKUP(TAB_OFICINAS[[#This Row],[Cliente]],LISTA_DE_CLIENTES[[Código]:[Nome Fantasia]],2,FALSE),"")</f>
        <v>EDIFICIO QUEEN VICTORIA</v>
      </c>
      <c r="G240" s="5" t="str">
        <f>IFERROR(VLOOKUP(TAB_OFICINAS[[#This Row],[Cliente]],LISTA_DE_CLIENTES[[Código]:[Nome Fantasia]],3,FALSE),"")</f>
        <v>QUEEN VICTORIA</v>
      </c>
      <c r="H240" s="51">
        <v>3302028621</v>
      </c>
      <c r="I240" s="28" t="s">
        <v>20893</v>
      </c>
      <c r="J240" s="91">
        <v>50</v>
      </c>
      <c r="K240" s="86">
        <v>46077</v>
      </c>
      <c r="L240" s="10">
        <v>50</v>
      </c>
      <c r="M240" s="6">
        <v>46086</v>
      </c>
      <c r="N240" s="6">
        <v>46080</v>
      </c>
      <c r="O240" s="19">
        <f>TAB_OFICINAS[[#This Row],[Data Retorno Produção]]-TAB_OFICINAS[[#This Row],[Data Prometida  Entrega]]</f>
        <v>-6</v>
      </c>
      <c r="P240" s="40" t="str">
        <f>IF(TAB_OFICINAS[[#This Row],[Dias Para Entrega]]&lt;=0,"Em dia","Dia de Atrasado")</f>
        <v>Em dia</v>
      </c>
      <c r="Q240" s="10">
        <f>IFERROR(TAB_OFICINAS[[#This Row],[Qtd pçs Enviadas]]-TAB_OFICINAS[[#This Row],[Qtd pçs Retornadas ]],"N/D ")</f>
        <v>0</v>
      </c>
      <c r="R240" s="48">
        <v>0</v>
      </c>
      <c r="S240" s="5">
        <v>677</v>
      </c>
      <c r="T240" s="5">
        <v>98</v>
      </c>
      <c r="U240" s="52">
        <v>4.5</v>
      </c>
      <c r="V240" s="44">
        <f>IFERROR(TAB_OFICINAS[[#This Row],[Valor Unit]]*TAB_OFICINAS[[#This Row],[Qtd pçs Enviadas]]," ")</f>
        <v>225</v>
      </c>
      <c r="W240" s="17">
        <v>46090</v>
      </c>
      <c r="X240" s="5" t="s">
        <v>6251</v>
      </c>
      <c r="Y240" s="27"/>
      <c r="Z2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1" spans="3:26" hidden="1">
      <c r="C241" s="28" t="s">
        <v>3</v>
      </c>
      <c r="D241" s="5">
        <v>2913</v>
      </c>
      <c r="E241" s="5">
        <v>22843</v>
      </c>
      <c r="F241" s="28" t="str">
        <f>IFERROR(VLOOKUP(TAB_OFICINAS[[#This Row],[Cliente]],LISTA_DE_CLIENTES[[Código]:[Nome Fantasia]],2,FALSE),"")</f>
        <v>EDIFICIO QUEEN VICTORIA</v>
      </c>
      <c r="G241" s="5" t="str">
        <f>IFERROR(VLOOKUP(TAB_OFICINAS[[#This Row],[Cliente]],LISTA_DE_CLIENTES[[Código]:[Nome Fantasia]],3,FALSE),"")</f>
        <v>QUEEN VICTORIA</v>
      </c>
      <c r="H241" s="51">
        <v>3302068622</v>
      </c>
      <c r="I241" s="28" t="s">
        <v>20895</v>
      </c>
      <c r="J241" s="91">
        <v>50</v>
      </c>
      <c r="K241" s="86">
        <v>46077</v>
      </c>
      <c r="L241" s="10">
        <v>50</v>
      </c>
      <c r="M241" s="6">
        <v>46086</v>
      </c>
      <c r="N241" s="6">
        <v>46080</v>
      </c>
      <c r="O241" s="19">
        <f>TAB_OFICINAS[[#This Row],[Data Retorno Produção]]-TAB_OFICINAS[[#This Row],[Data Prometida  Entrega]]</f>
        <v>-6</v>
      </c>
      <c r="P241" s="40" t="str">
        <f>IF(TAB_OFICINAS[[#This Row],[Dias Para Entrega]]&lt;=0,"Em dia","Dia de Atrasado")</f>
        <v>Em dia</v>
      </c>
      <c r="Q241" s="10">
        <f>IFERROR(TAB_OFICINAS[[#This Row],[Qtd pçs Enviadas]]-TAB_OFICINAS[[#This Row],[Qtd pçs Retornadas ]],"N/D ")</f>
        <v>0</v>
      </c>
      <c r="R241" s="48">
        <v>0</v>
      </c>
      <c r="S241" s="5">
        <v>677</v>
      </c>
      <c r="T241" s="5">
        <v>98</v>
      </c>
      <c r="U241" s="52">
        <v>4</v>
      </c>
      <c r="V241" s="44">
        <f>IFERROR(TAB_OFICINAS[[#This Row],[Valor Unit]]*TAB_OFICINAS[[#This Row],[Qtd pçs Enviadas]]," ")</f>
        <v>200</v>
      </c>
      <c r="W241" s="17">
        <v>46090</v>
      </c>
      <c r="X241" s="5" t="s">
        <v>6251</v>
      </c>
      <c r="Y241" s="27"/>
      <c r="Z2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2" spans="3:26" hidden="1">
      <c r="C242" s="28" t="s">
        <v>3</v>
      </c>
      <c r="D242" s="5">
        <v>2913</v>
      </c>
      <c r="E242" s="5">
        <v>22843</v>
      </c>
      <c r="F242" s="28" t="str">
        <f>IFERROR(VLOOKUP(TAB_OFICINAS[[#This Row],[Cliente]],LISTA_DE_CLIENTES[[Código]:[Nome Fantasia]],2,FALSE),"")</f>
        <v>EDIFICIO QUEEN VICTORIA</v>
      </c>
      <c r="G242" s="5" t="str">
        <f>IFERROR(VLOOKUP(TAB_OFICINAS[[#This Row],[Cliente]],LISTA_DE_CLIENTES[[Código]:[Nome Fantasia]],3,FALSE),"")</f>
        <v>QUEEN VICTORIA</v>
      </c>
      <c r="H242" s="51">
        <v>3302028290</v>
      </c>
      <c r="I242" s="28" t="s">
        <v>20897</v>
      </c>
      <c r="J242" s="91">
        <v>50</v>
      </c>
      <c r="K242" s="86">
        <v>46077</v>
      </c>
      <c r="L242" s="10">
        <v>50</v>
      </c>
      <c r="M242" s="6">
        <v>46086</v>
      </c>
      <c r="N242" s="6">
        <v>46080</v>
      </c>
      <c r="O242" s="19">
        <f>TAB_OFICINAS[[#This Row],[Data Retorno Produção]]-TAB_OFICINAS[[#This Row],[Data Prometida  Entrega]]</f>
        <v>-6</v>
      </c>
      <c r="P242" s="40" t="str">
        <f>IF(TAB_OFICINAS[[#This Row],[Dias Para Entrega]]&lt;=0,"Em dia","Dia de Atrasado")</f>
        <v>Em dia</v>
      </c>
      <c r="Q242" s="10">
        <f>IFERROR(TAB_OFICINAS[[#This Row],[Qtd pçs Enviadas]]-TAB_OFICINAS[[#This Row],[Qtd pçs Retornadas ]],"N/D ")</f>
        <v>0</v>
      </c>
      <c r="R242" s="48">
        <v>0</v>
      </c>
      <c r="S242" s="5">
        <v>677</v>
      </c>
      <c r="T242" s="5">
        <v>98</v>
      </c>
      <c r="U242" s="52">
        <v>4.5</v>
      </c>
      <c r="V242" s="44">
        <f>IFERROR(TAB_OFICINAS[[#This Row],[Valor Unit]]*TAB_OFICINAS[[#This Row],[Qtd pçs Enviadas]]," ")</f>
        <v>225</v>
      </c>
      <c r="W242" s="17">
        <v>46090</v>
      </c>
      <c r="X242" s="5" t="s">
        <v>6251</v>
      </c>
      <c r="Y242" s="27"/>
      <c r="Z2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3" spans="3:26" hidden="1">
      <c r="C243" s="28" t="s">
        <v>3</v>
      </c>
      <c r="D243" s="5">
        <v>2913</v>
      </c>
      <c r="E243" s="5">
        <v>22843</v>
      </c>
      <c r="F243" s="28" t="str">
        <f>IFERROR(VLOOKUP(TAB_OFICINAS[[#This Row],[Cliente]],LISTA_DE_CLIENTES[[Código]:[Nome Fantasia]],2,FALSE),"")</f>
        <v>EDIFICIO QUEEN VICTORIA</v>
      </c>
      <c r="G243" s="5" t="str">
        <f>IFERROR(VLOOKUP(TAB_OFICINAS[[#This Row],[Cliente]],LISTA_DE_CLIENTES[[Código]:[Nome Fantasia]],3,FALSE),"")</f>
        <v>QUEEN VICTORIA</v>
      </c>
      <c r="H243" s="51">
        <v>3302068889</v>
      </c>
      <c r="I243" s="28" t="s">
        <v>20899</v>
      </c>
      <c r="J243" s="91">
        <v>50</v>
      </c>
      <c r="K243" s="86">
        <v>46077</v>
      </c>
      <c r="L243" s="10">
        <v>50</v>
      </c>
      <c r="M243" s="6">
        <v>46086</v>
      </c>
      <c r="N243" s="6">
        <v>46080</v>
      </c>
      <c r="O243" s="19">
        <f>TAB_OFICINAS[[#This Row],[Data Retorno Produção]]-TAB_OFICINAS[[#This Row],[Data Prometida  Entrega]]</f>
        <v>-6</v>
      </c>
      <c r="P243" s="40" t="str">
        <f>IF(TAB_OFICINAS[[#This Row],[Dias Para Entrega]]&lt;=0,"Em dia","Dia de Atrasado")</f>
        <v>Em dia</v>
      </c>
      <c r="Q243" s="10">
        <f>IFERROR(TAB_OFICINAS[[#This Row],[Qtd pçs Enviadas]]-TAB_OFICINAS[[#This Row],[Qtd pçs Retornadas ]],"N/D ")</f>
        <v>0</v>
      </c>
      <c r="R243" s="48">
        <v>0</v>
      </c>
      <c r="S243" s="5">
        <v>677</v>
      </c>
      <c r="T243" s="5">
        <v>98</v>
      </c>
      <c r="U243" s="52">
        <v>4</v>
      </c>
      <c r="V243" s="44">
        <f>IFERROR(TAB_OFICINAS[[#This Row],[Valor Unit]]*TAB_OFICINAS[[#This Row],[Qtd pçs Enviadas]]," ")</f>
        <v>200</v>
      </c>
      <c r="W243" s="17">
        <v>46090</v>
      </c>
      <c r="X243" s="5" t="s">
        <v>6251</v>
      </c>
      <c r="Y243" s="27"/>
      <c r="Z2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4" spans="3:26" hidden="1">
      <c r="C244" s="28" t="s">
        <v>15</v>
      </c>
      <c r="D244" s="5">
        <v>5338</v>
      </c>
      <c r="E244" s="5">
        <v>22740</v>
      </c>
      <c r="F244" s="28" t="str">
        <f>IFERROR(VLOOKUP(TAB_OFICINAS[[#This Row],[Cliente]],LISTA_DE_CLIENTES[[Código]:[Nome Fantasia]],2,FALSE),"")</f>
        <v>MAISON CARMELO INCORPORACOES SPE LTDA</v>
      </c>
      <c r="G244" s="5" t="str">
        <f>IFERROR(VLOOKUP(TAB_OFICINAS[[#This Row],[Cliente]],LISTA_DE_CLIENTES[[Código]:[Nome Fantasia]],3,FALSE),"")</f>
        <v>SAN REMO</v>
      </c>
      <c r="H244" s="63">
        <v>3302038592</v>
      </c>
      <c r="I244" s="28" t="s">
        <v>21060</v>
      </c>
      <c r="J244" s="91">
        <v>50</v>
      </c>
      <c r="K244" s="86">
        <v>46080</v>
      </c>
      <c r="L244" s="10">
        <v>50</v>
      </c>
      <c r="M244" s="6">
        <v>46083</v>
      </c>
      <c r="N244" s="6">
        <v>46083</v>
      </c>
      <c r="O244" s="19">
        <f>TAB_OFICINAS[[#This Row],[Data Retorno Produção]]-TAB_OFICINAS[[#This Row],[Data Prometida  Entrega]]</f>
        <v>0</v>
      </c>
      <c r="P244" s="40"/>
      <c r="Q244" s="10">
        <f>IFERROR(TAB_OFICINAS[[#This Row],[Qtd pçs Enviadas]]-TAB_OFICINAS[[#This Row],[Qtd pçs Retornadas ]]," ")</f>
        <v>0</v>
      </c>
      <c r="R244" s="10">
        <v>0</v>
      </c>
      <c r="S244" s="5">
        <v>677</v>
      </c>
      <c r="T244" s="5">
        <v>16977</v>
      </c>
      <c r="U244" s="52">
        <v>4.8</v>
      </c>
      <c r="V244" s="44">
        <f>IFERROR(TAB_OFICINAS[[#This Row],[Valor Unit]]*TAB_OFICINAS[[#This Row],[Qtd pçs Enviadas]]," ")</f>
        <v>240</v>
      </c>
      <c r="W244" s="17">
        <v>46091</v>
      </c>
      <c r="X244" s="5" t="s">
        <v>6251</v>
      </c>
      <c r="Y244" s="27" t="s">
        <v>21334</v>
      </c>
      <c r="Z2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5" spans="3:26" hidden="1">
      <c r="C245" s="28" t="s">
        <v>15</v>
      </c>
      <c r="D245" s="5">
        <v>1942</v>
      </c>
      <c r="E245" s="5">
        <v>22842</v>
      </c>
      <c r="F245" s="28" t="str">
        <f>IFERROR(VLOOKUP(TAB_OFICINAS[[#This Row],[Cliente]],LISTA_DE_CLIENTES[[Código]:[Nome Fantasia]],2,FALSE),"")</f>
        <v>ONCO STAR SP ONCOLOGIA LTDA (REDE D´OR)</v>
      </c>
      <c r="G245" s="5" t="str">
        <f>IFERROR(VLOOKUP(TAB_OFICINAS[[#This Row],[Cliente]],LISTA_DE_CLIENTES[[Código]:[Nome Fantasia]],3,FALSE),"")</f>
        <v>R DOR VILA NOVA STAR</v>
      </c>
      <c r="H245" s="63">
        <v>3301085795</v>
      </c>
      <c r="I245" s="28" t="s">
        <v>21239</v>
      </c>
      <c r="J245" s="91">
        <v>50</v>
      </c>
      <c r="K245" s="86">
        <v>46080</v>
      </c>
      <c r="L245" s="10">
        <v>50</v>
      </c>
      <c r="M245" s="6">
        <v>46083</v>
      </c>
      <c r="N245" s="6">
        <v>46083</v>
      </c>
      <c r="O245" s="19">
        <f>TAB_OFICINAS[[#This Row],[Data Retorno Produção]]-TAB_OFICINAS[[#This Row],[Data Prometida  Entrega]]</f>
        <v>0</v>
      </c>
      <c r="P245" s="40" t="str">
        <f>IF(TAB_OFICINAS[[#This Row],[Dias Para Entrega]]&lt;=0,"Em dia","Dia de Atrasado")</f>
        <v>Em dia</v>
      </c>
      <c r="Q245" s="10">
        <f>IFERROR(TAB_OFICINAS[[#This Row],[Qtd pçs Enviadas]]-TAB_OFICINAS[[#This Row],[Qtd pçs Retornadas ]]," ")</f>
        <v>0</v>
      </c>
      <c r="R245" s="10">
        <v>0</v>
      </c>
      <c r="S245" s="5">
        <v>677</v>
      </c>
      <c r="T245" s="5">
        <v>16977</v>
      </c>
      <c r="U245" s="52">
        <v>3.85</v>
      </c>
      <c r="V245" s="44">
        <f>IFERROR(TAB_OFICINAS[[#This Row],[Valor Unit]]*TAB_OFICINAS[[#This Row],[Qtd pçs Enviadas]]," ")</f>
        <v>192.5</v>
      </c>
      <c r="W245" s="17">
        <v>46091</v>
      </c>
      <c r="X245" s="5" t="s">
        <v>6251</v>
      </c>
      <c r="Y245" s="27" t="s">
        <v>21341</v>
      </c>
      <c r="Z2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6" spans="3:26" ht="71.25" hidden="1">
      <c r="C246" s="28" t="s">
        <v>19</v>
      </c>
      <c r="D246" s="5">
        <v>2575</v>
      </c>
      <c r="E246" s="5">
        <v>22567</v>
      </c>
      <c r="F246" s="28" t="str">
        <f>IFERROR(VLOOKUP(TAB_OFICINAS[[#This Row],[Cliente]],LISTA_DE_CLIENTES[[Código]:[Nome Fantasia]],2,FALSE),"")</f>
        <v>DIAGNOSTICOS DA AMERICA S.A .</v>
      </c>
      <c r="G246" s="5" t="str">
        <f>IFERROR(VLOOKUP(TAB_OFICINAS[[#This Row],[Cliente]],LISTA_DE_CLIENTES[[Código]:[Nome Fantasia]],3,FALSE),"")</f>
        <v>DASA HIGIENÓPOLIS</v>
      </c>
      <c r="H246" s="51">
        <v>3301093025</v>
      </c>
      <c r="I246" s="28" t="s">
        <v>20343</v>
      </c>
      <c r="J246" s="91">
        <v>35</v>
      </c>
      <c r="K246" s="86">
        <v>46065</v>
      </c>
      <c r="L246" s="10">
        <v>35</v>
      </c>
      <c r="M246" s="6">
        <v>46078</v>
      </c>
      <c r="N246" s="6">
        <v>46076</v>
      </c>
      <c r="O246" s="19">
        <f>TAB_OFICINAS[[#This Row],[Data Retorno Produção]]-TAB_OFICINAS[[#This Row],[Data Prometida  Entrega]]</f>
        <v>-2</v>
      </c>
      <c r="P246" s="40" t="str">
        <f>IF(TAB_OFICINAS[[#This Row],[Dias Para Entrega]]&lt;=0,"Em dia","Dia de Atrasado")</f>
        <v>Em dia</v>
      </c>
      <c r="Q246" s="10">
        <f>IFERROR(TAB_OFICINAS[[#This Row],[Qtd pçs Enviadas]]-TAB_OFICINAS[[#This Row],[Qtd pçs Retornadas ]],"N/D ")</f>
        <v>0</v>
      </c>
      <c r="R246" s="10">
        <v>35</v>
      </c>
      <c r="S246" s="5">
        <v>587</v>
      </c>
      <c r="T246" s="5">
        <v>43</v>
      </c>
      <c r="U246" s="52">
        <v>16</v>
      </c>
      <c r="V246" s="44">
        <f>IFERROR(TAB_OFICINAS[[#This Row],[Valor Unit]]*TAB_OFICINAS[[#This Row],[Qtd pçs Enviadas]]," ")</f>
        <v>560</v>
      </c>
      <c r="W246" s="17">
        <v>46085</v>
      </c>
      <c r="X246" s="5" t="s">
        <v>6251</v>
      </c>
      <c r="Y246" s="27" t="s">
        <v>20363</v>
      </c>
      <c r="Z2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7" spans="3:26" hidden="1">
      <c r="C247" s="28" t="s">
        <v>15</v>
      </c>
      <c r="D247" s="5">
        <v>2913</v>
      </c>
      <c r="E247" s="5">
        <v>22843</v>
      </c>
      <c r="F247" s="28" t="str">
        <f>IFERROR(VLOOKUP(TAB_OFICINAS[[#This Row],[Cliente]],LISTA_DE_CLIENTES[[Código]:[Nome Fantasia]],2,FALSE),"")</f>
        <v>EDIFICIO QUEEN VICTORIA</v>
      </c>
      <c r="G247" s="5" t="str">
        <f>IFERROR(VLOOKUP(TAB_OFICINAS[[#This Row],[Cliente]],LISTA_DE_CLIENTES[[Código]:[Nome Fantasia]],3,FALSE),"")</f>
        <v>QUEEN VICTORIA</v>
      </c>
      <c r="H247" s="63">
        <v>3302068889</v>
      </c>
      <c r="I247" s="28" t="s">
        <v>20899</v>
      </c>
      <c r="J247" s="91">
        <v>50</v>
      </c>
      <c r="K247" s="86">
        <v>46083</v>
      </c>
      <c r="L247" s="10">
        <v>50</v>
      </c>
      <c r="M247" s="6">
        <v>46085</v>
      </c>
      <c r="N247" s="6">
        <v>46085</v>
      </c>
      <c r="O247" s="19">
        <f>TAB_OFICINAS[[#This Row],[Data Retorno Produção]]-TAB_OFICINAS[[#This Row],[Data Prometida  Entrega]]</f>
        <v>0</v>
      </c>
      <c r="P247" s="40" t="str">
        <f>IF(TAB_OFICINAS[[#This Row],[Dias Para Entrega]]&lt;=0,"Em dia","Dia de Atrasado")</f>
        <v>Em dia</v>
      </c>
      <c r="Q247" s="10">
        <f>IFERROR(TAB_OFICINAS[[#This Row],[Qtd pçs Enviadas]]-TAB_OFICINAS[[#This Row],[Qtd pçs Retornadas ]]," ")</f>
        <v>0</v>
      </c>
      <c r="R247" s="10">
        <v>0</v>
      </c>
      <c r="S247" s="5">
        <v>677</v>
      </c>
      <c r="T247" s="5">
        <v>16980</v>
      </c>
      <c r="U247" s="52">
        <v>5.6</v>
      </c>
      <c r="V247" s="44">
        <f>IFERROR(TAB_OFICINAS[[#This Row],[Valor Unit]]*TAB_OFICINAS[[#This Row],[Qtd pçs Enviadas]]," ")</f>
        <v>280</v>
      </c>
      <c r="W247" s="17">
        <v>46094</v>
      </c>
      <c r="X247" s="5" t="s">
        <v>6251</v>
      </c>
      <c r="Y247" s="27" t="s">
        <v>21328</v>
      </c>
      <c r="Z2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8" spans="3:26" hidden="1">
      <c r="C248" s="28" t="s">
        <v>15</v>
      </c>
      <c r="D248" s="5">
        <v>2913</v>
      </c>
      <c r="E248" s="5">
        <v>22843</v>
      </c>
      <c r="F248" s="28" t="str">
        <f>IFERROR(VLOOKUP(TAB_OFICINAS[[#This Row],[Cliente]],LISTA_DE_CLIENTES[[Código]:[Nome Fantasia]],2,FALSE),"")</f>
        <v>EDIFICIO QUEEN VICTORIA</v>
      </c>
      <c r="G248" s="5" t="str">
        <f>IFERROR(VLOOKUP(TAB_OFICINAS[[#This Row],[Cliente]],LISTA_DE_CLIENTES[[Código]:[Nome Fantasia]],3,FALSE),"")</f>
        <v>QUEEN VICTORIA</v>
      </c>
      <c r="H248" s="63">
        <v>3302068622</v>
      </c>
      <c r="I248" s="28" t="s">
        <v>20895</v>
      </c>
      <c r="J248" s="91">
        <v>50</v>
      </c>
      <c r="K248" s="86">
        <v>46083</v>
      </c>
      <c r="L248" s="10">
        <v>50</v>
      </c>
      <c r="M248" s="6">
        <v>46085</v>
      </c>
      <c r="N248" s="6">
        <v>46085</v>
      </c>
      <c r="O248" s="19">
        <f>TAB_OFICINAS[[#This Row],[Data Retorno Produção]]-TAB_OFICINAS[[#This Row],[Data Prometida  Entrega]]</f>
        <v>0</v>
      </c>
      <c r="P248" s="40" t="str">
        <f>IF(TAB_OFICINAS[[#This Row],[Dias Para Entrega]]&lt;=0,"Em dia","Dia de Atrasado")</f>
        <v>Em dia</v>
      </c>
      <c r="Q248" s="10">
        <f>IFERROR(TAB_OFICINAS[[#This Row],[Qtd pçs Enviadas]]-TAB_OFICINAS[[#This Row],[Qtd pçs Retornadas ]]," ")</f>
        <v>0</v>
      </c>
      <c r="R248" s="10">
        <v>0</v>
      </c>
      <c r="S248" s="5">
        <v>677</v>
      </c>
      <c r="T248" s="5">
        <v>16980</v>
      </c>
      <c r="U248" s="52">
        <v>5.6</v>
      </c>
      <c r="V248" s="44">
        <f>IFERROR(TAB_OFICINAS[[#This Row],[Valor Unit]]*TAB_OFICINAS[[#This Row],[Qtd pçs Enviadas]]," ")</f>
        <v>280</v>
      </c>
      <c r="W248" s="17">
        <v>46094</v>
      </c>
      <c r="X248" s="5" t="s">
        <v>6251</v>
      </c>
      <c r="Y248" s="27" t="s">
        <v>21328</v>
      </c>
      <c r="Z2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49" spans="3:26" hidden="1">
      <c r="C249" s="28" t="s">
        <v>15</v>
      </c>
      <c r="D249" s="5">
        <v>2913</v>
      </c>
      <c r="E249" s="5">
        <v>22843</v>
      </c>
      <c r="F249" s="28" t="str">
        <f>IFERROR(VLOOKUP(TAB_OFICINAS[[#This Row],[Cliente]],LISTA_DE_CLIENTES[[Código]:[Nome Fantasia]],2,FALSE),"")</f>
        <v>EDIFICIO QUEEN VICTORIA</v>
      </c>
      <c r="G249" s="5" t="str">
        <f>IFERROR(VLOOKUP(TAB_OFICINAS[[#This Row],[Cliente]],LISTA_DE_CLIENTES[[Código]:[Nome Fantasia]],3,FALSE),"")</f>
        <v>QUEEN VICTORIA</v>
      </c>
      <c r="H249" s="63">
        <v>3302028621</v>
      </c>
      <c r="I249" s="28" t="s">
        <v>20893</v>
      </c>
      <c r="J249" s="91">
        <v>50</v>
      </c>
      <c r="K249" s="86">
        <v>46083</v>
      </c>
      <c r="L249" s="10">
        <v>50</v>
      </c>
      <c r="M249" s="6">
        <v>46085</v>
      </c>
      <c r="N249" s="6">
        <v>46085</v>
      </c>
      <c r="O249" s="19">
        <f>TAB_OFICINAS[[#This Row],[Data Retorno Produção]]-TAB_OFICINAS[[#This Row],[Data Prometida  Entrega]]</f>
        <v>0</v>
      </c>
      <c r="P249" s="40" t="str">
        <f>IF(TAB_OFICINAS[[#This Row],[Dias Para Entrega]]&lt;=0,"Em dia","Dia de Atrasado")</f>
        <v>Em dia</v>
      </c>
      <c r="Q249" s="10">
        <f>IFERROR(TAB_OFICINAS[[#This Row],[Qtd pçs Enviadas]]-TAB_OFICINAS[[#This Row],[Qtd pçs Retornadas ]]," ")</f>
        <v>0</v>
      </c>
      <c r="R249" s="10">
        <v>0</v>
      </c>
      <c r="S249" s="5">
        <v>677</v>
      </c>
      <c r="T249" s="5">
        <v>16980</v>
      </c>
      <c r="U249" s="52">
        <v>5.6</v>
      </c>
      <c r="V249" s="44">
        <f>IFERROR(TAB_OFICINAS[[#This Row],[Valor Unit]]*TAB_OFICINAS[[#This Row],[Qtd pçs Enviadas]]," ")</f>
        <v>280</v>
      </c>
      <c r="W249" s="17">
        <v>46094</v>
      </c>
      <c r="X249" s="5" t="s">
        <v>6251</v>
      </c>
      <c r="Y249" s="27" t="s">
        <v>21328</v>
      </c>
      <c r="Z2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0" spans="3:26" hidden="1">
      <c r="C250" s="28" t="s">
        <v>15</v>
      </c>
      <c r="D250" s="5">
        <v>2913</v>
      </c>
      <c r="E250" s="5">
        <v>22843</v>
      </c>
      <c r="F250" s="28" t="str">
        <f>IFERROR(VLOOKUP(TAB_OFICINAS[[#This Row],[Cliente]],LISTA_DE_CLIENTES[[Código]:[Nome Fantasia]],2,FALSE),"")</f>
        <v>EDIFICIO QUEEN VICTORIA</v>
      </c>
      <c r="G250" s="5" t="str">
        <f>IFERROR(VLOOKUP(TAB_OFICINAS[[#This Row],[Cliente]],LISTA_DE_CLIENTES[[Código]:[Nome Fantasia]],3,FALSE),"")</f>
        <v>QUEEN VICTORIA</v>
      </c>
      <c r="H250" s="63">
        <v>3302028290</v>
      </c>
      <c r="I250" s="28" t="s">
        <v>20897</v>
      </c>
      <c r="J250" s="91">
        <v>50</v>
      </c>
      <c r="K250" s="86">
        <v>46083</v>
      </c>
      <c r="L250" s="10">
        <v>50</v>
      </c>
      <c r="M250" s="6">
        <v>46085</v>
      </c>
      <c r="N250" s="6">
        <v>46085</v>
      </c>
      <c r="O250" s="19">
        <f>TAB_OFICINAS[[#This Row],[Data Retorno Produção]]-TAB_OFICINAS[[#This Row],[Data Prometida  Entrega]]</f>
        <v>0</v>
      </c>
      <c r="P250" s="40" t="str">
        <f>IF(TAB_OFICINAS[[#This Row],[Dias Para Entrega]]&lt;=0,"Em dia","Dia de Atrasado")</f>
        <v>Em dia</v>
      </c>
      <c r="Q250" s="10">
        <f>IFERROR(TAB_OFICINAS[[#This Row],[Qtd pçs Enviadas]]-TAB_OFICINAS[[#This Row],[Qtd pçs Retornadas ]]," ")</f>
        <v>0</v>
      </c>
      <c r="R250" s="10">
        <v>0</v>
      </c>
      <c r="S250" s="5">
        <v>677</v>
      </c>
      <c r="T250" s="5">
        <v>16980</v>
      </c>
      <c r="U250" s="52">
        <v>5.6</v>
      </c>
      <c r="V250" s="44">
        <f>IFERROR(TAB_OFICINAS[[#This Row],[Valor Unit]]*TAB_OFICINAS[[#This Row],[Qtd pçs Enviadas]]," ")</f>
        <v>280</v>
      </c>
      <c r="W250" s="17">
        <v>46094</v>
      </c>
      <c r="X250" s="5" t="s">
        <v>6251</v>
      </c>
      <c r="Y250" s="27" t="s">
        <v>21328</v>
      </c>
      <c r="Z2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1" spans="3:26" hidden="1">
      <c r="C251" s="28" t="s">
        <v>15</v>
      </c>
      <c r="D251" s="5">
        <v>1942</v>
      </c>
      <c r="E251" s="5">
        <v>22995</v>
      </c>
      <c r="F251" s="28" t="str">
        <f>IFERROR(VLOOKUP(TAB_OFICINAS[[#This Row],[Cliente]],LISTA_DE_CLIENTES[[Código]:[Nome Fantasia]],2,FALSE),"")</f>
        <v>ONCO STAR SP ONCOLOGIA LTDA (REDE D´OR)</v>
      </c>
      <c r="G251" s="5" t="str">
        <f>IFERROR(VLOOKUP(TAB_OFICINAS[[#This Row],[Cliente]],LISTA_DE_CLIENTES[[Código]:[Nome Fantasia]],3,FALSE),"")</f>
        <v>R DOR VILA NOVA STAR</v>
      </c>
      <c r="H251" s="63">
        <v>3301085795</v>
      </c>
      <c r="I251" s="28" t="s">
        <v>21239</v>
      </c>
      <c r="J251" s="91">
        <v>50</v>
      </c>
      <c r="K251" s="86">
        <v>46125</v>
      </c>
      <c r="L251" s="10">
        <v>50</v>
      </c>
      <c r="M251" s="6">
        <v>46133</v>
      </c>
      <c r="N251" s="6">
        <v>46133</v>
      </c>
      <c r="O251" s="19">
        <f>TAB_OFICINAS[[#This Row],[Data Retorno Produção]]-TAB_OFICINAS[[#This Row],[Data Prometida  Entrega]]</f>
        <v>0</v>
      </c>
      <c r="P251" s="40" t="str">
        <f>IF(TAB_OFICINAS[[#This Row],[Dias Para Entrega]]&lt;=0,"Em dia","Dia de Atrasado")</f>
        <v>Em dia</v>
      </c>
      <c r="Q251" s="10">
        <f>IFERROR(TAB_OFICINAS[[#This Row],[Qtd pçs Enviadas]]-TAB_OFICINAS[[#This Row],[Qtd pçs Retornadas ]]," ")</f>
        <v>0</v>
      </c>
      <c r="R251" s="10">
        <v>0</v>
      </c>
      <c r="S251" s="5">
        <v>677</v>
      </c>
      <c r="T251" s="5">
        <v>17106</v>
      </c>
      <c r="U251" s="52">
        <v>3.85</v>
      </c>
      <c r="V251" s="44">
        <f>IFERROR(TAB_OFICINAS[[#This Row],[Valor Unit]]*TAB_OFICINAS[[#This Row],[Qtd pçs Enviadas]]," ")</f>
        <v>192.5</v>
      </c>
      <c r="W251" s="17">
        <v>46134</v>
      </c>
      <c r="X251" s="5" t="s">
        <v>6251</v>
      </c>
      <c r="Y251" s="27" t="s">
        <v>21341</v>
      </c>
      <c r="Z2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2" spans="3:26" ht="189.75" hidden="1">
      <c r="C252" s="28" t="s">
        <v>17</v>
      </c>
      <c r="D252" s="5">
        <v>1942</v>
      </c>
      <c r="E252" s="5">
        <v>22995</v>
      </c>
      <c r="F252" s="28" t="str">
        <f>IFERROR(VLOOKUP(TAB_OFICINAS[[#This Row],[Cliente]],LISTA_DE_CLIENTES[[Código]:[Nome Fantasia]],2,FALSE),"")</f>
        <v>ONCO STAR SP ONCOLOGIA LTDA (REDE D´OR)</v>
      </c>
      <c r="G252" s="5" t="str">
        <f>IFERROR(VLOOKUP(TAB_OFICINAS[[#This Row],[Cliente]],LISTA_DE_CLIENTES[[Código]:[Nome Fantasia]],3,FALSE),"")</f>
        <v>R DOR VILA NOVA STAR</v>
      </c>
      <c r="H252" s="63">
        <v>3301085795</v>
      </c>
      <c r="I252" s="28" t="s">
        <v>21239</v>
      </c>
      <c r="J252" s="91">
        <v>50</v>
      </c>
      <c r="K252" s="86">
        <v>46125</v>
      </c>
      <c r="L252" s="10">
        <v>50</v>
      </c>
      <c r="M252" s="6">
        <v>46134</v>
      </c>
      <c r="N252" s="6">
        <v>46136</v>
      </c>
      <c r="O252" s="19">
        <f>TAB_OFICINAS[[#This Row],[Data Retorno Produção]]-TAB_OFICINAS[[#This Row],[Data Prometida  Entrega]]</f>
        <v>2</v>
      </c>
      <c r="P252" s="40" t="str">
        <f>IF(TAB_OFICINAS[[#This Row],[Dias Para Entrega]]&lt;=0,"Em dia","Dia de Atrasado")</f>
        <v>Dia de Atrasado</v>
      </c>
      <c r="Q252" s="10">
        <f>IFERROR(TAB_OFICINAS[[#This Row],[Qtd pçs Enviadas]]-TAB_OFICINAS[[#This Row],[Qtd pçs Retornadas ]]," ")</f>
        <v>0</v>
      </c>
      <c r="R252" s="10">
        <v>2</v>
      </c>
      <c r="S252" s="5">
        <v>677</v>
      </c>
      <c r="T252" s="5">
        <v>51</v>
      </c>
      <c r="U252" s="52">
        <v>14</v>
      </c>
      <c r="V252" s="44">
        <f>IFERROR(TAB_OFICINAS[[#This Row],[Valor Unit]]*TAB_OFICINAS[[#This Row],[Qtd pçs Enviadas]]," ")</f>
        <v>700</v>
      </c>
      <c r="W252" s="17">
        <v>46146</v>
      </c>
      <c r="X252" s="5" t="s">
        <v>6251</v>
      </c>
      <c r="Y252" s="27" t="s">
        <v>22444</v>
      </c>
      <c r="Z2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3" spans="3:26" hidden="1">
      <c r="C253" s="28" t="s">
        <v>20</v>
      </c>
      <c r="D253" s="5">
        <v>943</v>
      </c>
      <c r="E253" s="5">
        <v>22882</v>
      </c>
      <c r="F253" s="28" t="str">
        <f>IFERROR(VLOOKUP(TAB_OFICINAS[[#This Row],[Cliente]],LISTA_DE_CLIENTES[[Código]:[Nome Fantasia]],2,FALSE),"")</f>
        <v>REDE DOR SAO LUIZ S.A.</v>
      </c>
      <c r="G253" s="5" t="str">
        <f>IFERROR(VLOOKUP(TAB_OFICINAS[[#This Row],[Cliente]],LISTA_DE_CLIENTES[[Código]:[Nome Fantasia]],3,FALSE),"")</f>
        <v>HOSPITAL COPA STAR</v>
      </c>
      <c r="H253" s="63">
        <v>2101109332</v>
      </c>
      <c r="I253" s="28" t="s">
        <v>21471</v>
      </c>
      <c r="J253" s="91">
        <v>550</v>
      </c>
      <c r="K253" s="86">
        <v>46113</v>
      </c>
      <c r="L253" s="10">
        <v>550</v>
      </c>
      <c r="M253" s="6">
        <v>46132</v>
      </c>
      <c r="N253" s="6">
        <v>46126</v>
      </c>
      <c r="O253" s="19">
        <f>TAB_OFICINAS[[#This Row],[Data Retorno Produção]]-TAB_OFICINAS[[#This Row],[Data Prometida  Entrega]]</f>
        <v>-6</v>
      </c>
      <c r="P253" s="40" t="str">
        <f>IF(TAB_OFICINAS[[#This Row],[Dias Para Entrega]]&lt;=0,"Em dia","Dia de Atrasado")</f>
        <v>Em dia</v>
      </c>
      <c r="Q253" s="10">
        <f>IFERROR(TAB_OFICINAS[[#This Row],[Qtd pçs Enviadas]]-TAB_OFICINAS[[#This Row],[Qtd pçs Retornadas ]]," ")</f>
        <v>0</v>
      </c>
      <c r="R253" s="10">
        <v>0</v>
      </c>
      <c r="S253" s="5">
        <v>725</v>
      </c>
      <c r="T253" s="5">
        <v>85</v>
      </c>
      <c r="U253" s="52">
        <v>5</v>
      </c>
      <c r="V253" s="44">
        <f>IFERROR(TAB_OFICINAS[[#This Row],[Valor Unit]]*TAB_OFICINAS[[#This Row],[Qtd pçs Enviadas]]," ")</f>
        <v>2750</v>
      </c>
      <c r="W253" s="17">
        <v>46136</v>
      </c>
      <c r="X253" s="5" t="s">
        <v>6251</v>
      </c>
      <c r="Y253" s="27"/>
      <c r="Z2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4" spans="3:26" hidden="1">
      <c r="C254" s="28" t="s">
        <v>18</v>
      </c>
      <c r="D254" s="5">
        <v>2575</v>
      </c>
      <c r="E254" s="5">
        <v>22116</v>
      </c>
      <c r="F254" s="28" t="str">
        <f>IFERROR(VLOOKUP(TAB_OFICINAS[[#This Row],[Cliente]],LISTA_DE_CLIENTES[[Código]:[Nome Fantasia]],2,FALSE),"")</f>
        <v>DIAGNOSTICOS DA AMERICA S.A .</v>
      </c>
      <c r="G254" s="5" t="str">
        <f>IFERROR(VLOOKUP(TAB_OFICINAS[[#This Row],[Cliente]],LISTA_DE_CLIENTES[[Código]:[Nome Fantasia]],3,FALSE),"")</f>
        <v>DASA HIGIENÓPOLIS</v>
      </c>
      <c r="H254" s="51">
        <v>3301093026</v>
      </c>
      <c r="I254" s="28" t="s">
        <v>20361</v>
      </c>
      <c r="J254" s="91">
        <v>40</v>
      </c>
      <c r="K254" s="86">
        <v>46042</v>
      </c>
      <c r="L254" s="10">
        <v>40</v>
      </c>
      <c r="M254" s="6">
        <v>46063</v>
      </c>
      <c r="N254" s="6">
        <v>46065</v>
      </c>
      <c r="O254" s="19">
        <f>TAB_OFICINAS[[#This Row],[Data Retorno Produção]]-TAB_OFICINAS[[#This Row],[Data Prometida  Entrega]]</f>
        <v>2</v>
      </c>
      <c r="P254" s="40" t="str">
        <f>IF(TAB_OFICINAS[[#This Row],[Dias Para Entrega]]&lt;=0,"Em dia","Dia de Atrasado")</f>
        <v>Dia de Atrasado</v>
      </c>
      <c r="Q254" s="10">
        <f>IFERROR(TAB_OFICINAS[[#This Row],[Qtd pçs Enviadas]]-TAB_OFICINAS[[#This Row],[Qtd pçs Retornadas ]],"N/D ")</f>
        <v>0</v>
      </c>
      <c r="R254" s="10">
        <v>0</v>
      </c>
      <c r="S254" s="5">
        <v>677</v>
      </c>
      <c r="T254" s="5">
        <v>32</v>
      </c>
      <c r="U254" s="52">
        <v>16</v>
      </c>
      <c r="V254" s="44">
        <f>IFERROR(TAB_OFICINAS[[#This Row],[Valor Unit]]*TAB_OFICINAS[[#This Row],[Qtd pçs Enviadas]]," ")</f>
        <v>640</v>
      </c>
      <c r="W254" s="17">
        <v>46076</v>
      </c>
      <c r="X254" s="5" t="s">
        <v>6251</v>
      </c>
      <c r="Y254" s="27"/>
      <c r="Z2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5" spans="3:26" hidden="1">
      <c r="C255" s="28" t="s">
        <v>3</v>
      </c>
      <c r="D255" s="5">
        <v>2913</v>
      </c>
      <c r="E255" s="5">
        <v>23258</v>
      </c>
      <c r="F255" s="28" t="str">
        <f>IFERROR(VLOOKUP(TAB_OFICINAS[[#This Row],[Cliente]],LISTA_DE_CLIENTES[[Código]:[Nome Fantasia]],2,FALSE),"")</f>
        <v>EDIFICIO QUEEN VICTORIA</v>
      </c>
      <c r="G255" s="5" t="str">
        <f>IFERROR(VLOOKUP(TAB_OFICINAS[[#This Row],[Cliente]],LISTA_DE_CLIENTES[[Código]:[Nome Fantasia]],3,FALSE),"")</f>
        <v>QUEEN VICTORIA</v>
      </c>
      <c r="H255" s="63">
        <v>3103071629</v>
      </c>
      <c r="I255" s="28" t="s">
        <v>22660</v>
      </c>
      <c r="J255" s="91">
        <v>50</v>
      </c>
      <c r="K255" s="86">
        <v>46161</v>
      </c>
      <c r="L255" s="10">
        <v>50</v>
      </c>
      <c r="M255" s="6">
        <v>46166</v>
      </c>
      <c r="N255" s="6">
        <v>46161</v>
      </c>
      <c r="O255" s="19">
        <f>TAB_OFICINAS[[#This Row],[Data Retorno Produção]]-TAB_OFICINAS[[#This Row],[Data Prometida  Entrega]]</f>
        <v>-5</v>
      </c>
      <c r="P255" s="40" t="str">
        <f>IF(TAB_OFICINAS[[#This Row],[Dias Para Entrega]]&lt;=0,"Em dia","Dia de Atrasado")</f>
        <v>Em dia</v>
      </c>
      <c r="Q255" s="10">
        <f>IFERROR(TAB_OFICINAS[[#This Row],[Qtd pçs Enviadas]]-TAB_OFICINAS[[#This Row],[Qtd pçs Retornadas ]]," ")</f>
        <v>0</v>
      </c>
      <c r="R255" s="10"/>
      <c r="S255" s="5">
        <v>677</v>
      </c>
      <c r="T255" s="5">
        <v>107</v>
      </c>
      <c r="U255" s="52">
        <v>4.9000000000000004</v>
      </c>
      <c r="V255" s="44">
        <f>IFERROR(TAB_OFICINAS[[#This Row],[Valor Unit]]*TAB_OFICINAS[[#This Row],[Qtd pçs Enviadas]]," ")</f>
        <v>245.00000000000003</v>
      </c>
      <c r="W255" s="17">
        <v>46171</v>
      </c>
      <c r="X255" s="5" t="s">
        <v>6251</v>
      </c>
      <c r="Y255" s="27"/>
      <c r="Z2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6" spans="3:26" hidden="1">
      <c r="C256" s="28" t="s">
        <v>16</v>
      </c>
      <c r="D256" s="5">
        <v>1565</v>
      </c>
      <c r="E256" s="5">
        <v>23275</v>
      </c>
      <c r="F256" s="28" t="str">
        <f>IFERROR(VLOOKUP(TAB_OFICINAS[[#This Row],[Cliente]],LISTA_DE_CLIENTES[[Código]:[Nome Fantasia]],2,FALSE),"")</f>
        <v>MAVSA RESORT CONVENTION SPA EIRELI</v>
      </c>
      <c r="G256" s="2" t="str">
        <f>IFERROR(VLOOKUP(TAB_OFICINAS[[#This Row],[Cliente]],LISTA_DE_CLIENTES[[Código]:[Nome Fantasia]],3,FALSE),"")</f>
        <v>MAVSA RESORT</v>
      </c>
      <c r="H256" s="51" t="s">
        <v>23962</v>
      </c>
      <c r="I256" s="28" t="s">
        <v>22845</v>
      </c>
      <c r="J256" s="91">
        <v>50</v>
      </c>
      <c r="K256" s="86">
        <v>46162</v>
      </c>
      <c r="L256" s="34">
        <v>50</v>
      </c>
      <c r="M256" s="6">
        <v>46168</v>
      </c>
      <c r="N256" s="6">
        <v>46168</v>
      </c>
      <c r="O256" s="19">
        <f>TAB_OFICINAS[[#This Row],[Data Retorno Produção]]-TAB_OFICINAS[[#This Row],[Data Prometida  Entrega]]</f>
        <v>0</v>
      </c>
      <c r="P256" s="40" t="str">
        <f>IF(TAB_OFICINAS[[#This Row],[Dias Para Entrega]]&lt;=0,"Em dia","Dia de Atrasado")</f>
        <v>Em dia</v>
      </c>
      <c r="Q256" s="10">
        <f>IFERROR(TAB_OFICINAS[[#This Row],[Qtd pçs Enviadas]]-TAB_OFICINAS[[#This Row],[Qtd pçs Retornadas ]]," ")</f>
        <v>0</v>
      </c>
      <c r="R256" s="10">
        <v>0</v>
      </c>
      <c r="S256" s="5">
        <v>677</v>
      </c>
      <c r="T256" s="5">
        <v>49</v>
      </c>
      <c r="U256" s="1">
        <v>6.9</v>
      </c>
      <c r="V256" s="3">
        <f>IFERROR(TAB_OFICINAS[[#This Row],[Valor Unit]]*TAB_OFICINAS[[#This Row],[Qtd pçs Enviadas]]," ")</f>
        <v>345</v>
      </c>
      <c r="W256" s="17">
        <v>46178</v>
      </c>
      <c r="X256" s="5" t="s">
        <v>6251</v>
      </c>
      <c r="Y256" s="4"/>
      <c r="Z2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7" spans="3:26" hidden="1">
      <c r="C257" s="28" t="s">
        <v>16</v>
      </c>
      <c r="D257" s="5">
        <v>1565</v>
      </c>
      <c r="E257" s="5">
        <v>23275</v>
      </c>
      <c r="F257" s="28" t="str">
        <f>IFERROR(VLOOKUP(TAB_OFICINAS[[#This Row],[Cliente]],LISTA_DE_CLIENTES[[Código]:[Nome Fantasia]],2,FALSE),"")</f>
        <v>MAVSA RESORT CONVENTION SPA EIRELI</v>
      </c>
      <c r="G257" s="5" t="str">
        <f>IFERROR(VLOOKUP(TAB_OFICINAS[[#This Row],[Cliente]],LISTA_DE_CLIENTES[[Código]:[Nome Fantasia]],3,FALSE),"")</f>
        <v>MAVSA RESORT</v>
      </c>
      <c r="H257" s="63">
        <v>92109289836</v>
      </c>
      <c r="I257" s="28" t="s">
        <v>22845</v>
      </c>
      <c r="J257" s="91">
        <v>50</v>
      </c>
      <c r="K257" s="86">
        <v>46167</v>
      </c>
      <c r="L257" s="10">
        <v>50</v>
      </c>
      <c r="M257" s="6">
        <v>46174</v>
      </c>
      <c r="N257" s="6">
        <v>46171</v>
      </c>
      <c r="O257" s="19">
        <f>TAB_OFICINAS[[#This Row],[Data Retorno Produção]]-TAB_OFICINAS[[#This Row],[Data Prometida  Entrega]]</f>
        <v>-3</v>
      </c>
      <c r="P257" s="40" t="str">
        <f>IF(TAB_OFICINAS[[#This Row],[Dias Para Entrega]]&lt;=0,"Em dia","Dia de Atrasado")</f>
        <v>Em dia</v>
      </c>
      <c r="Q257" s="10">
        <f>IFERROR(TAB_OFICINAS[[#This Row],[Qtd pçs Enviadas]]-TAB_OFICINAS[[#This Row],[Qtd pçs Retornadas ]]," ")</f>
        <v>0</v>
      </c>
      <c r="R257" s="10">
        <v>0</v>
      </c>
      <c r="S257" s="5">
        <v>677</v>
      </c>
      <c r="T257" s="5">
        <v>50</v>
      </c>
      <c r="U257" s="52">
        <v>9</v>
      </c>
      <c r="V257" s="44">
        <f>IFERROR(TAB_OFICINAS[[#This Row],[Valor Unit]]*TAB_OFICINAS[[#This Row],[Qtd pçs Enviadas]]," ")</f>
        <v>450</v>
      </c>
      <c r="W257" s="17">
        <v>46181</v>
      </c>
      <c r="X257" s="5" t="s">
        <v>6251</v>
      </c>
      <c r="Y257" s="27"/>
      <c r="Z2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8" spans="3:26" hidden="1">
      <c r="C258" s="28" t="s">
        <v>15</v>
      </c>
      <c r="D258" s="5">
        <v>5572</v>
      </c>
      <c r="E258" s="5">
        <v>23503</v>
      </c>
      <c r="F258" s="28" t="str">
        <f>IFERROR(VLOOKUP(TAB_OFICINAS[[#This Row],[Cliente]],LISTA_DE_CLIENTES[[Código]:[Nome Fantasia]],2,FALSE),"")</f>
        <v>TAUÁ HOTEL E CONVENTION JOÃO PESSOA LTDA</v>
      </c>
      <c r="G258" s="2" t="str">
        <f>IFERROR(VLOOKUP(TAB_OFICINAS[[#This Row],[Cliente]],LISTA_DE_CLIENTES[[Código]:[Nome Fantasia]],3,FALSE),"")</f>
        <v>TAUÁ HOTEL E CONVENT</v>
      </c>
      <c r="H258" s="63">
        <v>3404119933</v>
      </c>
      <c r="I258" s="28" t="s">
        <v>22984</v>
      </c>
      <c r="J258" s="91">
        <v>50</v>
      </c>
      <c r="K258" s="86">
        <v>46178</v>
      </c>
      <c r="L258" s="34">
        <v>50</v>
      </c>
      <c r="M258" s="6">
        <v>46189</v>
      </c>
      <c r="N258" s="6">
        <v>46189</v>
      </c>
      <c r="O258" s="19">
        <f>TAB_OFICINAS[[#This Row],[Data Retorno Produção]]-TAB_OFICINAS[[#This Row],[Data Prometida  Entrega]]</f>
        <v>0</v>
      </c>
      <c r="P258" s="40" t="str">
        <f>IF(TAB_OFICINAS[[#This Row],[Dias Para Entrega]]&lt;=0,"Em dia","Dia de Atrasado")</f>
        <v>Em dia</v>
      </c>
      <c r="Q258" s="10">
        <f>IFERROR(TAB_OFICINAS[[#This Row],[Qtd pçs Enviadas]]-TAB_OFICINAS[[#This Row],[Qtd pçs Retornadas ]]," ")</f>
        <v>0</v>
      </c>
      <c r="R258" s="10">
        <v>0</v>
      </c>
      <c r="S258" s="5">
        <v>677</v>
      </c>
      <c r="T258" s="5">
        <v>17347</v>
      </c>
      <c r="U258" s="1">
        <v>4.8</v>
      </c>
      <c r="V258" s="3">
        <f>IFERROR(TAB_OFICINAS[[#This Row],[Valor Unit]]*TAB_OFICINAS[[#This Row],[Qtd pçs Enviadas]]," ")</f>
        <v>240</v>
      </c>
      <c r="W258" s="17">
        <v>46198</v>
      </c>
      <c r="X258" s="5" t="s">
        <v>6251</v>
      </c>
      <c r="Y258" s="4" t="s">
        <v>23179</v>
      </c>
      <c r="Z2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59" spans="3:26" hidden="1">
      <c r="C259" s="28" t="s">
        <v>16</v>
      </c>
      <c r="D259" s="5">
        <v>5502</v>
      </c>
      <c r="E259" s="5">
        <v>23288</v>
      </c>
      <c r="F259" s="28" t="str">
        <f>IFERROR(VLOOKUP(TAB_OFICINAS[[#This Row],[Cliente]],LISTA_DE_CLIENTES[[Código]:[Nome Fantasia]],2,FALSE),"")</f>
        <v>LOPATA HOTEL LTDA</v>
      </c>
      <c r="G259" s="2" t="str">
        <f>IFERROR(VLOOKUP(TAB_OFICINAS[[#This Row],[Cliente]],LISTA_DE_CLIENTES[[Código]:[Nome Fantasia]],3,FALSE),"")</f>
        <v>BELLA VITA HOTEL</v>
      </c>
      <c r="H259" s="51">
        <v>2111269756</v>
      </c>
      <c r="I259" s="28" t="str">
        <f>IFERROR(VLOOKUP(TAB_OFICINAS[[#This Row],[Codigo Produto ]],_000___PEDIDOS_DE_CLIENTES[[Data.Column2]:[Descrição Produto]],2,FALSE)," ")</f>
        <v>CAPA ALMOFADA SEM ABA ACABAMENTO CORDONE  FECHAMENTO COM ZÍPER</v>
      </c>
      <c r="J259" s="91">
        <v>50</v>
      </c>
      <c r="K259" s="88">
        <v>46184</v>
      </c>
      <c r="L259" s="9">
        <v>50</v>
      </c>
      <c r="M259" s="6">
        <v>46188</v>
      </c>
      <c r="N259" s="6">
        <v>46188</v>
      </c>
      <c r="O259" s="23">
        <f>TAB_OFICINAS[[#This Row],[Data Retorno Produção]]-TAB_OFICINAS[[#This Row],[Data Prometida  Entrega]]</f>
        <v>0</v>
      </c>
      <c r="P259" s="98" t="str">
        <f>IF(TAB_OFICINAS[[#This Row],[Dias Para Entrega]]&lt;=0,"Em dia","Dia de Atrasado")</f>
        <v>Em dia</v>
      </c>
      <c r="Q259" s="24">
        <f>IFERROR(TAB_OFICINAS[[#This Row],[Qtd pçs Enviadas]]-TAB_OFICINAS[[#This Row],[Qtd pçs Retornadas ]],"N/D ")</f>
        <v>0</v>
      </c>
      <c r="R259" s="24"/>
      <c r="S259" s="5">
        <v>677</v>
      </c>
      <c r="T259" s="5">
        <v>52</v>
      </c>
      <c r="U259" s="11">
        <v>6</v>
      </c>
      <c r="V259" s="25">
        <f>IFERROR(TAB_OFICINAS[[#This Row],[Valor Unit]]*TAB_OFICINAS[[#This Row],[Qtd pçs Enviadas]]," ")</f>
        <v>300</v>
      </c>
      <c r="W259" s="26">
        <v>46202</v>
      </c>
      <c r="X259" s="17" t="s">
        <v>6251</v>
      </c>
      <c r="Y259" s="27"/>
      <c r="Z2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0" spans="3:26" hidden="1">
      <c r="C260" s="28" t="s">
        <v>1</v>
      </c>
      <c r="D260" s="5">
        <v>526</v>
      </c>
      <c r="E260" s="5">
        <v>22578</v>
      </c>
      <c r="F260" s="28" t="str">
        <f>IFERROR(VLOOKUP(TAB_OFICINAS[[#This Row],[Cliente]],LISTA_DE_CLIENTES[[Código]:[Nome Fantasia]],2,FALSE),"")</f>
        <v>ATMOSFERA GESTAO E HIGIENIZACAO DE TEXTEIS S.A.</v>
      </c>
      <c r="G260" s="5" t="str">
        <f>IFERROR(VLOOKUP(TAB_OFICINAS[[#This Row],[Cliente]],LISTA_DE_CLIENTES[[Código]:[Nome Fantasia]],3,FALSE),"")</f>
        <v>ATMOSFERA ST BARBARA</v>
      </c>
      <c r="H260" s="51">
        <v>92115476413</v>
      </c>
      <c r="I260" s="28" t="s">
        <v>20505</v>
      </c>
      <c r="J260" s="91">
        <v>10</v>
      </c>
      <c r="K260" s="86">
        <v>46049</v>
      </c>
      <c r="L260" s="10">
        <v>10</v>
      </c>
      <c r="M260" s="6">
        <v>46080</v>
      </c>
      <c r="N260" s="6">
        <v>46071</v>
      </c>
      <c r="O260" s="19">
        <f>TAB_OFICINAS[[#This Row],[Data Retorno Produção]]-TAB_OFICINAS[[#This Row],[Data Prometida  Entrega]]</f>
        <v>-9</v>
      </c>
      <c r="P260" s="40" t="str">
        <f>IF(TAB_OFICINAS[[#This Row],[Dias Para Entrega]]&lt;=0,"Em dia","Dia de Atrasado")</f>
        <v>Em dia</v>
      </c>
      <c r="Q260" s="10">
        <f>IFERROR(TAB_OFICINAS[[#This Row],[Qtd pçs Enviadas]]-TAB_OFICINAS[[#This Row],[Qtd pçs Retornadas ]],"N/D ")</f>
        <v>0</v>
      </c>
      <c r="R260" s="10">
        <v>0</v>
      </c>
      <c r="S260" s="5">
        <v>3097</v>
      </c>
      <c r="T260" s="5">
        <v>37</v>
      </c>
      <c r="U260" s="52">
        <v>15</v>
      </c>
      <c r="V260" s="44">
        <f>IFERROR(TAB_OFICINAS[[#This Row],[Valor Unit]]*TAB_OFICINAS[[#This Row],[Qtd pçs Enviadas]]," ")</f>
        <v>150</v>
      </c>
      <c r="W260" s="17">
        <f>TAB_OFICINAS[[#This Row],[Data Retorno Produção]]+9</f>
        <v>46080</v>
      </c>
      <c r="X260" s="5" t="s">
        <v>6251</v>
      </c>
      <c r="Y260" s="27"/>
      <c r="Z2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1" spans="3:26" hidden="1">
      <c r="C261" s="28" t="s">
        <v>7</v>
      </c>
      <c r="D261" s="5">
        <v>5428</v>
      </c>
      <c r="E261" s="5">
        <v>22969</v>
      </c>
      <c r="F261" s="28" t="str">
        <f>IFERROR(VLOOKUP(TAB_OFICINAS[[#This Row],[Cliente]],LISTA_DE_CLIENTES[[Código]:[Nome Fantasia]],2,FALSE),"")</f>
        <v>JULIA MANTOVANI</v>
      </c>
      <c r="G261" s="5" t="str">
        <f>IFERROR(VLOOKUP(TAB_OFICINAS[[#This Row],[Cliente]],LISTA_DE_CLIENTES[[Código]:[Nome Fantasia]],3,FALSE),"")</f>
        <v>JULIA MANTOVANI</v>
      </c>
      <c r="H261" s="53">
        <v>3913019685</v>
      </c>
      <c r="I261" s="28" t="s">
        <v>21393</v>
      </c>
      <c r="J261" s="91">
        <v>1</v>
      </c>
      <c r="K261" s="86">
        <v>46095</v>
      </c>
      <c r="L261" s="10">
        <v>1</v>
      </c>
      <c r="M261" s="6">
        <v>46095</v>
      </c>
      <c r="N261" s="6">
        <v>46095</v>
      </c>
      <c r="O261" s="19">
        <f>TAB_OFICINAS[[#This Row],[Data Retorno Produção]]-TAB_OFICINAS[[#This Row],[Data Prometida  Entrega]]</f>
        <v>0</v>
      </c>
      <c r="P261" s="54" t="str">
        <f>IF(TAB_OFICINAS[[#This Row],[Dias Para Entrega]]&lt;=0,"Em dia","Dia de Atrasado")</f>
        <v>Em dia</v>
      </c>
      <c r="Q261" s="10">
        <f>IFERROR(TAB_OFICINAS[[#This Row],[Qtd pçs Enviadas]]-TAB_OFICINAS[[#This Row],[Qtd pçs Retornadas ]],"N/D ")</f>
        <v>0</v>
      </c>
      <c r="R261" s="10">
        <v>0</v>
      </c>
      <c r="S261" s="5">
        <v>677</v>
      </c>
      <c r="T261" s="5">
        <v>26</v>
      </c>
      <c r="U261" s="52">
        <v>6</v>
      </c>
      <c r="V261" s="44">
        <f>IFERROR(TAB_OFICINAS[[#This Row],[Valor Unit]]*TAB_OFICINAS[[#This Row],[Qtd pçs Enviadas]]," ")</f>
        <v>6</v>
      </c>
      <c r="W261" s="17">
        <v>46111</v>
      </c>
      <c r="X261" s="5" t="s">
        <v>6251</v>
      </c>
      <c r="Y261" s="27"/>
      <c r="Z2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2" spans="3:26" hidden="1">
      <c r="C262" s="28" t="s">
        <v>20</v>
      </c>
      <c r="D262" s="5">
        <v>2933</v>
      </c>
      <c r="E262" s="5">
        <v>23078</v>
      </c>
      <c r="F262" s="28" t="str">
        <f>IFERROR(VLOOKUP(TAB_OFICINAS[[#This Row],[Cliente]],LISTA_DE_CLIENTES[[Código]:[Nome Fantasia]],2,FALSE),"")</f>
        <v>J.F. GOMES POUSADA EIRELI</v>
      </c>
      <c r="G262" s="5" t="str">
        <f>IFERROR(VLOOKUP(TAB_OFICINAS[[#This Row],[Cliente]],LISTA_DE_CLIENTES[[Código]:[Nome Fantasia]],3,FALSE),"")</f>
        <v>POUSADA APPLE HOUSE</v>
      </c>
      <c r="H262" s="63">
        <v>2101068585</v>
      </c>
      <c r="I262" s="28" t="s">
        <v>20915</v>
      </c>
      <c r="J262" s="91">
        <v>50</v>
      </c>
      <c r="K262" s="86">
        <v>46139</v>
      </c>
      <c r="L262" s="10">
        <v>50</v>
      </c>
      <c r="M262" s="6">
        <v>46142</v>
      </c>
      <c r="N262" s="6">
        <v>46142</v>
      </c>
      <c r="O262" s="19">
        <f>TAB_OFICINAS[[#This Row],[Data Retorno Produção]]-TAB_OFICINAS[[#This Row],[Data Prometida  Entrega]]</f>
        <v>0</v>
      </c>
      <c r="P262" s="40" t="str">
        <f>IF(TAB_OFICINAS[[#This Row],[Dias Para Entrega]]&lt;=0,"Em dia","Dia de Atrasado")</f>
        <v>Em dia</v>
      </c>
      <c r="Q262" s="10">
        <f>IFERROR(TAB_OFICINAS[[#This Row],[Qtd pçs Enviadas]]-TAB_OFICINAS[[#This Row],[Qtd pçs Retornadas ]]," ")</f>
        <v>0</v>
      </c>
      <c r="R262" s="10"/>
      <c r="S262" s="5">
        <v>677</v>
      </c>
      <c r="T262" s="5">
        <v>86</v>
      </c>
      <c r="U262" s="52">
        <v>6</v>
      </c>
      <c r="V262" s="44">
        <f>IFERROR(TAB_OFICINAS[[#This Row],[Valor Unit]]*TAB_OFICINAS[[#This Row],[Qtd pçs Enviadas]]," ")</f>
        <v>300</v>
      </c>
      <c r="W262" s="17">
        <v>46153</v>
      </c>
      <c r="X262" s="5" t="s">
        <v>6251</v>
      </c>
      <c r="Y262" s="27"/>
      <c r="Z2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3" spans="3:26" hidden="1">
      <c r="C263" s="28" t="s">
        <v>18</v>
      </c>
      <c r="D263" s="5">
        <v>2575</v>
      </c>
      <c r="E263" s="5">
        <v>22116</v>
      </c>
      <c r="F263" s="28" t="str">
        <f>IFERROR(VLOOKUP(TAB_OFICINAS[[#This Row],[Cliente]],LISTA_DE_CLIENTES[[Código]:[Nome Fantasia]],2,FALSE),"")</f>
        <v>DIAGNOSTICOS DA AMERICA S.A .</v>
      </c>
      <c r="G263" s="5" t="str">
        <f>IFERROR(VLOOKUP(TAB_OFICINAS[[#This Row],[Cliente]],LISTA_DE_CLIENTES[[Código]:[Nome Fantasia]],3,FALSE),"")</f>
        <v>DASA HIGIENÓPOLIS</v>
      </c>
      <c r="H263" s="51">
        <v>3301095929</v>
      </c>
      <c r="I263" s="28" t="s">
        <v>20362</v>
      </c>
      <c r="J263" s="91">
        <v>40</v>
      </c>
      <c r="K263" s="86">
        <v>46042</v>
      </c>
      <c r="L263" s="10">
        <v>40</v>
      </c>
      <c r="M263" s="6">
        <v>46063</v>
      </c>
      <c r="N263" s="6">
        <v>46065</v>
      </c>
      <c r="O263" s="19">
        <f>TAB_OFICINAS[[#This Row],[Data Retorno Produção]]-TAB_OFICINAS[[#This Row],[Data Prometida  Entrega]]</f>
        <v>2</v>
      </c>
      <c r="P263" s="40" t="str">
        <f>IF(TAB_OFICINAS[[#This Row],[Dias Para Entrega]]&lt;=0,"Em dia","Dia de Atrasado")</f>
        <v>Dia de Atrasado</v>
      </c>
      <c r="Q263" s="10">
        <f>IFERROR(TAB_OFICINAS[[#This Row],[Qtd pçs Enviadas]]-TAB_OFICINAS[[#This Row],[Qtd pçs Retornadas ]],"N/D ")</f>
        <v>0</v>
      </c>
      <c r="R263" s="10">
        <v>0</v>
      </c>
      <c r="S263" s="5">
        <v>677</v>
      </c>
      <c r="T263" s="5">
        <v>32</v>
      </c>
      <c r="U263" s="52">
        <v>16</v>
      </c>
      <c r="V263" s="44">
        <f>IFERROR(TAB_OFICINAS[[#This Row],[Valor Unit]]*TAB_OFICINAS[[#This Row],[Qtd pçs Enviadas]]," ")</f>
        <v>640</v>
      </c>
      <c r="W263" s="17">
        <v>46076</v>
      </c>
      <c r="X263" s="5" t="s">
        <v>6251</v>
      </c>
      <c r="Y263" s="27"/>
      <c r="Z2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4" spans="3:26" ht="57" hidden="1">
      <c r="C264" s="28" t="s">
        <v>19</v>
      </c>
      <c r="D264" s="5">
        <v>2575</v>
      </c>
      <c r="E264" s="5">
        <v>22567</v>
      </c>
      <c r="F264" s="28" t="str">
        <f>IFERROR(VLOOKUP(TAB_OFICINAS[[#This Row],[Cliente]],LISTA_DE_CLIENTES[[Código]:[Nome Fantasia]],2,FALSE),"")</f>
        <v>DIAGNOSTICOS DA AMERICA S.A .</v>
      </c>
      <c r="G264" s="5" t="str">
        <f>IFERROR(VLOOKUP(TAB_OFICINAS[[#This Row],[Cliente]],LISTA_DE_CLIENTES[[Código]:[Nome Fantasia]],3,FALSE),"")</f>
        <v>DASA HIGIENÓPOLIS</v>
      </c>
      <c r="H264" s="51">
        <v>3301093026</v>
      </c>
      <c r="I264" s="28" t="s">
        <v>20361</v>
      </c>
      <c r="J264" s="91">
        <v>10</v>
      </c>
      <c r="K264" s="86">
        <v>46065</v>
      </c>
      <c r="L264" s="10">
        <v>10</v>
      </c>
      <c r="M264" s="6">
        <v>46078</v>
      </c>
      <c r="N264" s="6">
        <v>46076</v>
      </c>
      <c r="O264" s="19">
        <f>TAB_OFICINAS[[#This Row],[Data Retorno Produção]]-TAB_OFICINAS[[#This Row],[Data Prometida  Entrega]]</f>
        <v>-2</v>
      </c>
      <c r="P264" s="40" t="str">
        <f>IF(TAB_OFICINAS[[#This Row],[Dias Para Entrega]]&lt;=0,"Em dia","Dia de Atrasado")</f>
        <v>Em dia</v>
      </c>
      <c r="Q264" s="10">
        <f>IFERROR(TAB_OFICINAS[[#This Row],[Qtd pçs Enviadas]]-TAB_OFICINAS[[#This Row],[Qtd pçs Retornadas ]],"N/D ")</f>
        <v>0</v>
      </c>
      <c r="R264" s="10">
        <v>10</v>
      </c>
      <c r="S264" s="5">
        <v>587</v>
      </c>
      <c r="T264" s="5">
        <v>43</v>
      </c>
      <c r="U264" s="52">
        <v>16</v>
      </c>
      <c r="V264" s="44">
        <f>IFERROR(TAB_OFICINAS[[#This Row],[Valor Unit]]*TAB_OFICINAS[[#This Row],[Qtd pçs Enviadas]]," ")</f>
        <v>160</v>
      </c>
      <c r="W264" s="17">
        <v>46085</v>
      </c>
      <c r="X264" s="5" t="s">
        <v>6251</v>
      </c>
      <c r="Y264" s="27" t="s">
        <v>23456</v>
      </c>
      <c r="Z2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5" spans="3:26" hidden="1">
      <c r="C265" s="28" t="s">
        <v>15</v>
      </c>
      <c r="D265" s="5">
        <v>5502</v>
      </c>
      <c r="E265" s="5">
        <v>23288</v>
      </c>
      <c r="F265" s="28" t="str">
        <f>IFERROR(VLOOKUP(TAB_OFICINAS[[#This Row],[Cliente]],LISTA_DE_CLIENTES[[Código]:[Nome Fantasia]],2,FALSE),"")</f>
        <v>LOPATA HOTEL LTDA</v>
      </c>
      <c r="G265" s="2" t="str">
        <f>IFERROR(VLOOKUP(TAB_OFICINAS[[#This Row],[Cliente]],LISTA_DE_CLIENTES[[Código]:[Nome Fantasia]],3,FALSE),"")</f>
        <v>BELLA VITA HOTEL</v>
      </c>
      <c r="H265" s="63">
        <v>2111269756</v>
      </c>
      <c r="I265" s="28" t="s">
        <v>22362</v>
      </c>
      <c r="J265" s="91">
        <v>49</v>
      </c>
      <c r="K265" s="86">
        <v>46163</v>
      </c>
      <c r="L265" s="32">
        <v>49</v>
      </c>
      <c r="M265" s="6">
        <v>46178</v>
      </c>
      <c r="N265" s="6">
        <v>46178</v>
      </c>
      <c r="O265" s="19">
        <f>TAB_OFICINAS[[#This Row],[Data Retorno Produção]]-TAB_OFICINAS[[#This Row],[Data Prometida  Entrega]]</f>
        <v>0</v>
      </c>
      <c r="P265" s="40" t="str">
        <f>IF(TAB_OFICINAS[[#This Row],[Dias Para Entrega]]&lt;=0,"Em dia","Dia de Atrasado")</f>
        <v>Em dia</v>
      </c>
      <c r="Q265" s="10">
        <f>IFERROR(TAB_OFICINAS[[#This Row],[Qtd pçs Enviadas]]-TAB_OFICINAS[[#This Row],[Qtd pçs Retornadas ]]," ")</f>
        <v>0</v>
      </c>
      <c r="R265" s="10">
        <v>0</v>
      </c>
      <c r="S265" s="5">
        <v>677</v>
      </c>
      <c r="T265" s="7">
        <v>17276</v>
      </c>
      <c r="U265" s="30">
        <v>4</v>
      </c>
      <c r="V265" s="31">
        <f>IFERROR(TAB_OFICINAS[[#This Row],[Valor Unit]]*TAB_OFICINAS[[#This Row],[Qtd pçs Enviadas]]," ")</f>
        <v>196</v>
      </c>
      <c r="W265" s="70">
        <v>46185</v>
      </c>
      <c r="X265" s="28" t="s">
        <v>6251</v>
      </c>
      <c r="Y265" s="4" t="s">
        <v>22767</v>
      </c>
      <c r="Z2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6" spans="3:26" hidden="1">
      <c r="C266" s="28" t="s">
        <v>3</v>
      </c>
      <c r="D266" s="5">
        <v>5572</v>
      </c>
      <c r="E266" s="5">
        <v>23053</v>
      </c>
      <c r="F266" s="28" t="str">
        <f>IFERROR(VLOOKUP(TAB_OFICINAS[[#This Row],[Cliente]],LISTA_DE_CLIENTES[[Código]:[Nome Fantasia]],2,FALSE),"")</f>
        <v>TAUÁ HOTEL E CONVENTION JOÃO PESSOA LTDA</v>
      </c>
      <c r="G266" s="5" t="str">
        <f>IFERROR(VLOOKUP(TAB_OFICINAS[[#This Row],[Cliente]],LISTA_DE_CLIENTES[[Código]:[Nome Fantasia]],3,FALSE),"")</f>
        <v>TAUÁ HOTEL E CONVENT</v>
      </c>
      <c r="H266" s="63">
        <v>3404119933</v>
      </c>
      <c r="I266" s="28" t="s">
        <v>22984</v>
      </c>
      <c r="J266" s="91">
        <v>49</v>
      </c>
      <c r="K266" s="86">
        <v>46176</v>
      </c>
      <c r="L266" s="34">
        <v>49</v>
      </c>
      <c r="M266" s="6">
        <v>46195</v>
      </c>
      <c r="N266" s="6">
        <f ca="1">TODAY()</f>
        <v>46315</v>
      </c>
      <c r="O266" s="19">
        <f ca="1">TAB_OFICINAS[[#This Row],[Data Retorno Produção]]-TAB_OFICINAS[[#This Row],[Data Prometida  Entrega]]</f>
        <v>120</v>
      </c>
      <c r="P266" s="40" t="str">
        <f ca="1">IF(TAB_OFICINAS[[#This Row],[Dias Para Entrega]]&lt;=0,"Em dia","Dia de Atrasado")</f>
        <v>Dia de Atrasado</v>
      </c>
      <c r="Q266" s="10">
        <f>IFERROR(TAB_OFICINAS[[#This Row],[Qtd pçs Enviadas]]-TAB_OFICINAS[[#This Row],[Qtd pçs Retornadas ]]," ")</f>
        <v>0</v>
      </c>
      <c r="R266" s="10"/>
      <c r="S266" s="5">
        <v>677</v>
      </c>
      <c r="T266" s="5">
        <v>114</v>
      </c>
      <c r="U266" s="52">
        <v>6.15</v>
      </c>
      <c r="V266" s="44">
        <f>IFERROR(TAB_OFICINAS[[#This Row],[Valor Unit]]*TAB_OFICINAS[[#This Row],[Qtd pçs Enviadas]]," ")</f>
        <v>301.35000000000002</v>
      </c>
      <c r="W266" s="17">
        <v>46196</v>
      </c>
      <c r="X266" s="5" t="s">
        <v>6251</v>
      </c>
      <c r="Y266" s="27"/>
      <c r="Z2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7" spans="3:26" hidden="1">
      <c r="C267" s="28" t="s">
        <v>3</v>
      </c>
      <c r="D267" s="5">
        <v>1475</v>
      </c>
      <c r="E267" s="5">
        <v>22655</v>
      </c>
      <c r="F267" s="28" t="str">
        <f>IFERROR(VLOOKUP(TAB_OFICINAS[[#This Row],[Cliente]],LISTA_DE_CLIENTES[[Código]:[Nome Fantasia]],2,FALSE),"")</f>
        <v>LASSO EMPREENDIMENTOS TURISTICOS LTDA</v>
      </c>
      <c r="G267" s="5" t="str">
        <f>IFERROR(VLOOKUP(TAB_OFICINAS[[#This Row],[Cliente]],LISTA_DE_CLIENTES[[Código]:[Nome Fantasia]],3,FALSE),"")</f>
        <v>POUSADA MI SECRETO</v>
      </c>
      <c r="H267" s="51">
        <v>3302112336</v>
      </c>
      <c r="I267" s="28" t="s">
        <v>20680</v>
      </c>
      <c r="J267" s="91">
        <v>48</v>
      </c>
      <c r="K267" s="86">
        <v>46059</v>
      </c>
      <c r="L267" s="10">
        <v>48</v>
      </c>
      <c r="M267" s="6">
        <v>46072</v>
      </c>
      <c r="N267" s="6">
        <v>46065</v>
      </c>
      <c r="O267" s="19">
        <f>TAB_OFICINAS[[#This Row],[Data Retorno Produção]]-TAB_OFICINAS[[#This Row],[Data Prometida  Entrega]]</f>
        <v>-7</v>
      </c>
      <c r="P267" s="40" t="str">
        <f>IF(TAB_OFICINAS[[#This Row],[Dias Para Entrega]]&lt;=0,"Em dia","Dia de Atrasado")</f>
        <v>Em dia</v>
      </c>
      <c r="Q267" s="10">
        <f>IFERROR(TAB_OFICINAS[[#This Row],[Qtd pçs Enviadas]]-TAB_OFICINAS[[#This Row],[Qtd pçs Retornadas ]],"N/D ")</f>
        <v>0</v>
      </c>
      <c r="R267" s="10">
        <v>0</v>
      </c>
      <c r="S267" s="5">
        <v>677</v>
      </c>
      <c r="T267" s="5">
        <v>93</v>
      </c>
      <c r="U267" s="52">
        <v>5</v>
      </c>
      <c r="V267" s="44">
        <f>IFERROR(TAB_OFICINAS[[#This Row],[Valor Unit]]*TAB_OFICINAS[[#This Row],[Qtd pçs Enviadas]]," ")</f>
        <v>240</v>
      </c>
      <c r="W267" s="17">
        <v>46075</v>
      </c>
      <c r="X267" s="5" t="s">
        <v>6251</v>
      </c>
      <c r="Y267" s="27"/>
      <c r="Z2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8" spans="3:26" hidden="1">
      <c r="C268" s="28" t="s">
        <v>3</v>
      </c>
      <c r="D268" s="5">
        <v>1475</v>
      </c>
      <c r="E268" s="5">
        <v>22655</v>
      </c>
      <c r="F268" s="28" t="str">
        <f>IFERROR(VLOOKUP(TAB_OFICINAS[[#This Row],[Cliente]],LISTA_DE_CLIENTES[[Código]:[Nome Fantasia]],2,FALSE),"")</f>
        <v>LASSO EMPREENDIMENTOS TURISTICOS LTDA</v>
      </c>
      <c r="G268" s="5" t="str">
        <f>IFERROR(VLOOKUP(TAB_OFICINAS[[#This Row],[Cliente]],LISTA_DE_CLIENTES[[Código]:[Nome Fantasia]],3,FALSE),"")</f>
        <v>POUSADA MI SECRETO</v>
      </c>
      <c r="H268" s="51">
        <v>3302128462</v>
      </c>
      <c r="I268" s="28" t="s">
        <v>20682</v>
      </c>
      <c r="J268" s="91">
        <v>48</v>
      </c>
      <c r="K268" s="86">
        <v>46059</v>
      </c>
      <c r="L268" s="10">
        <v>48</v>
      </c>
      <c r="M268" s="6">
        <v>46072</v>
      </c>
      <c r="N268" s="6">
        <v>46065</v>
      </c>
      <c r="O268" s="19">
        <f>TAB_OFICINAS[[#This Row],[Data Retorno Produção]]-TAB_OFICINAS[[#This Row],[Data Prometida  Entrega]]</f>
        <v>-7</v>
      </c>
      <c r="P268" s="40" t="str">
        <f>IF(TAB_OFICINAS[[#This Row],[Dias Para Entrega]]&lt;=0,"Em dia","Dia de Atrasado")</f>
        <v>Em dia</v>
      </c>
      <c r="Q268" s="10">
        <f>IFERROR(TAB_OFICINAS[[#This Row],[Qtd pçs Enviadas]]-TAB_OFICINAS[[#This Row],[Qtd pçs Retornadas ]],"N/D ")</f>
        <v>0</v>
      </c>
      <c r="R268" s="10">
        <v>0</v>
      </c>
      <c r="S268" s="5">
        <v>677</v>
      </c>
      <c r="T268" s="5">
        <v>93</v>
      </c>
      <c r="U268" s="52">
        <v>4.5</v>
      </c>
      <c r="V268" s="44">
        <f>IFERROR(TAB_OFICINAS[[#This Row],[Valor Unit]]*TAB_OFICINAS[[#This Row],[Qtd pçs Enviadas]]," ")</f>
        <v>216</v>
      </c>
      <c r="W268" s="17">
        <v>46075</v>
      </c>
      <c r="X268" s="5" t="s">
        <v>6251</v>
      </c>
      <c r="Y268" s="27"/>
      <c r="Z2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69" spans="3:26" hidden="1">
      <c r="C269" s="28" t="s">
        <v>18</v>
      </c>
      <c r="D269" s="5">
        <v>2575</v>
      </c>
      <c r="E269" s="5">
        <v>22116</v>
      </c>
      <c r="F269" s="28" t="str">
        <f>IFERROR(VLOOKUP(TAB_OFICINAS[[#This Row],[Cliente]],LISTA_DE_CLIENTES[[Código]:[Nome Fantasia]],2,FALSE),"")</f>
        <v>DIAGNOSTICOS DA AMERICA S.A .</v>
      </c>
      <c r="G269" s="5" t="str">
        <f>IFERROR(VLOOKUP(TAB_OFICINAS[[#This Row],[Cliente]],LISTA_DE_CLIENTES[[Código]:[Nome Fantasia]],3,FALSE),"")</f>
        <v>DASA HIGIENÓPOLIS</v>
      </c>
      <c r="H269" s="51">
        <v>3301095930</v>
      </c>
      <c r="I269" s="28" t="s">
        <v>20342</v>
      </c>
      <c r="J269" s="91">
        <v>30</v>
      </c>
      <c r="K269" s="86">
        <v>46042</v>
      </c>
      <c r="L269" s="10">
        <v>30</v>
      </c>
      <c r="M269" s="6">
        <v>46063</v>
      </c>
      <c r="N269" s="6">
        <v>46065</v>
      </c>
      <c r="O269" s="19">
        <f>TAB_OFICINAS[[#This Row],[Data Retorno Produção]]-TAB_OFICINAS[[#This Row],[Data Prometida  Entrega]]</f>
        <v>2</v>
      </c>
      <c r="P269" s="40" t="str">
        <f>IF(TAB_OFICINAS[[#This Row],[Dias Para Entrega]]&lt;=0,"Em dia","Dia de Atrasado")</f>
        <v>Dia de Atrasado</v>
      </c>
      <c r="Q269" s="10">
        <f>IFERROR(TAB_OFICINAS[[#This Row],[Qtd pçs Enviadas]]-TAB_OFICINAS[[#This Row],[Qtd pçs Retornadas ]],"N/D ")</f>
        <v>0</v>
      </c>
      <c r="R269" s="10">
        <v>0</v>
      </c>
      <c r="S269" s="5">
        <v>4324</v>
      </c>
      <c r="T269" s="5">
        <v>32</v>
      </c>
      <c r="U269" s="52">
        <v>16</v>
      </c>
      <c r="V269" s="44">
        <f>IFERROR(TAB_OFICINAS[[#This Row],[Valor Unit]]*TAB_OFICINAS[[#This Row],[Qtd pçs Enviadas]]," ")</f>
        <v>480</v>
      </c>
      <c r="W269" s="17">
        <v>46076</v>
      </c>
      <c r="X269" s="5" t="s">
        <v>6251</v>
      </c>
      <c r="Y269" s="27"/>
      <c r="Z2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0" spans="3:26" hidden="1">
      <c r="C270" s="28" t="s">
        <v>21607</v>
      </c>
      <c r="D270" s="5">
        <v>3041</v>
      </c>
      <c r="E270" s="5">
        <v>23138</v>
      </c>
      <c r="F270" s="28" t="str">
        <f>IFERROR(VLOOKUP(TAB_OFICINAS[[#This Row],[Cliente]],LISTA_DE_CLIENTES[[Código]:[Nome Fantasia]],2,FALSE),"")</f>
        <v>ZISSOU ASSESSORIA E COSULTORIA EM ARTIGOS DO SONO</v>
      </c>
      <c r="G270" s="5" t="str">
        <f>IFERROR(VLOOKUP(TAB_OFICINAS[[#This Row],[Cliente]],LISTA_DE_CLIENTES[[Código]:[Nome Fantasia]],3,FALSE),"")</f>
        <v>ZISSOU</v>
      </c>
      <c r="H270" s="63">
        <v>4407129611</v>
      </c>
      <c r="I270" s="28" t="s">
        <v>21498</v>
      </c>
      <c r="J270" s="91">
        <v>46</v>
      </c>
      <c r="K270" s="86">
        <v>46128</v>
      </c>
      <c r="L270" s="10">
        <v>46</v>
      </c>
      <c r="M270" s="6">
        <v>46139</v>
      </c>
      <c r="N270" s="6">
        <v>46139</v>
      </c>
      <c r="O270" s="19">
        <f>TAB_OFICINAS[[#This Row],[Data Retorno Produção]]-TAB_OFICINAS[[#This Row],[Data Prometida  Entrega]]</f>
        <v>0</v>
      </c>
      <c r="P270" s="40" t="str">
        <f>IF(TAB_OFICINAS[[#This Row],[Dias Para Entrega]]&lt;=0,"Em dia","Dia de Atrasado")</f>
        <v>Em dia</v>
      </c>
      <c r="Q270" s="10">
        <f>IFERROR(TAB_OFICINAS[[#This Row],[Qtd pçs Enviadas]]-TAB_OFICINAS[[#This Row],[Qtd pçs Retornadas ]]," ")</f>
        <v>0</v>
      </c>
      <c r="R270" s="10">
        <v>0</v>
      </c>
      <c r="S270" s="5">
        <v>677</v>
      </c>
      <c r="T270" s="5">
        <v>2038</v>
      </c>
      <c r="U270" s="52">
        <v>7.5</v>
      </c>
      <c r="V270" s="44">
        <f>IFERROR(TAB_OFICINAS[[#This Row],[Valor Unit]]*TAB_OFICINAS[[#This Row],[Qtd pçs Enviadas]]," ")</f>
        <v>345</v>
      </c>
      <c r="W270" s="17">
        <v>46136</v>
      </c>
      <c r="X270" s="5" t="s">
        <v>6251</v>
      </c>
      <c r="Y270" s="27"/>
      <c r="Z2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1" spans="3:26" hidden="1">
      <c r="C271" s="28" t="s">
        <v>15</v>
      </c>
      <c r="D271" s="5">
        <v>1942</v>
      </c>
      <c r="E271" s="5">
        <v>22842</v>
      </c>
      <c r="F271" s="28" t="str">
        <f>IFERROR(VLOOKUP(TAB_OFICINAS[[#This Row],[Cliente]],LISTA_DE_CLIENTES[[Código]:[Nome Fantasia]],2,FALSE),"")</f>
        <v>ONCO STAR SP ONCOLOGIA LTDA (REDE D´OR)</v>
      </c>
      <c r="G271" s="5" t="str">
        <f>IFERROR(VLOOKUP(TAB_OFICINAS[[#This Row],[Cliente]],LISTA_DE_CLIENTES[[Código]:[Nome Fantasia]],3,FALSE),"")</f>
        <v>R DOR VILA NOVA STAR</v>
      </c>
      <c r="H271" s="63">
        <v>2101102488</v>
      </c>
      <c r="I271" s="28" t="s">
        <v>21402</v>
      </c>
      <c r="J271" s="91">
        <v>46</v>
      </c>
      <c r="K271" s="86">
        <v>46136</v>
      </c>
      <c r="L271" s="10">
        <v>46</v>
      </c>
      <c r="M271" s="6">
        <v>46143</v>
      </c>
      <c r="N271" s="6">
        <v>46140</v>
      </c>
      <c r="O271" s="19">
        <f>TAB_OFICINAS[[#This Row],[Data Retorno Produção]]-TAB_OFICINAS[[#This Row],[Data Prometida  Entrega]]</f>
        <v>-3</v>
      </c>
      <c r="P271" s="40" t="str">
        <f>IF(TAB_OFICINAS[[#This Row],[Dias Para Entrega]]&lt;=0,"Em dia","Dia de Atrasado")</f>
        <v>Em dia</v>
      </c>
      <c r="Q271" s="10">
        <f>IFERROR(TAB_OFICINAS[[#This Row],[Qtd pçs Enviadas]]-TAB_OFICINAS[[#This Row],[Qtd pçs Retornadas ]]," ")</f>
        <v>0</v>
      </c>
      <c r="R271" s="10"/>
      <c r="S271" s="5">
        <v>677</v>
      </c>
      <c r="T271" s="5">
        <v>17156</v>
      </c>
      <c r="U271" s="52">
        <v>3.85</v>
      </c>
      <c r="V271" s="44">
        <f>IFERROR(TAB_OFICINAS[[#This Row],[Valor Unit]]*TAB_OFICINAS[[#This Row],[Qtd pçs Enviadas]]," ")</f>
        <v>177.1</v>
      </c>
      <c r="W271" s="17">
        <v>46147</v>
      </c>
      <c r="X271" s="5" t="s">
        <v>6251</v>
      </c>
      <c r="Y271" s="27"/>
      <c r="Z2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2" spans="3:26" hidden="1">
      <c r="C272" s="28" t="s">
        <v>5</v>
      </c>
      <c r="D272" s="5">
        <v>4451</v>
      </c>
      <c r="E272" s="5">
        <v>22442</v>
      </c>
      <c r="F272" s="28" t="str">
        <f>IFERROR(VLOOKUP(TAB_OFICINAS[[#This Row],[Cliente]],LISTA_DE_CLIENTES[[Código]:[Nome Fantasia]],2,FALSE),"")</f>
        <v>ASSOCIAÇÃO CLUBE WAVE 1</v>
      </c>
      <c r="G272" s="5" t="str">
        <f>IFERROR(VLOOKUP(TAB_OFICINAS[[#This Row],[Cliente]],LISTA_DE_CLIENTES[[Código]:[Nome Fantasia]],3,FALSE),"")</f>
        <v>BEYOND SP</v>
      </c>
      <c r="H272" s="51">
        <v>92102088509</v>
      </c>
      <c r="I272" s="28" t="s">
        <v>20308</v>
      </c>
      <c r="J272" s="91">
        <v>45</v>
      </c>
      <c r="K272" s="86">
        <v>46041</v>
      </c>
      <c r="L272" s="10">
        <v>45</v>
      </c>
      <c r="M272" s="6">
        <v>46069</v>
      </c>
      <c r="N272" s="6">
        <v>46050</v>
      </c>
      <c r="O272" s="19">
        <f>TAB_OFICINAS[[#This Row],[Data Retorno Produção]]-TAB_OFICINAS[[#This Row],[Data Prometida  Entrega]]</f>
        <v>-19</v>
      </c>
      <c r="P272" s="40" t="str">
        <f>IF(TAB_OFICINAS[[#This Row],[Dias Para Entrega]]&lt;=0,"Em dia","Dia de Atrasado")</f>
        <v>Em dia</v>
      </c>
      <c r="Q272" s="10">
        <f>IFERROR(TAB_OFICINAS[[#This Row],[Qtd pçs Enviadas]]-TAB_OFICINAS[[#This Row],[Qtd pçs Retornadas ]],"N/D ")</f>
        <v>0</v>
      </c>
      <c r="R272" s="10">
        <v>0</v>
      </c>
      <c r="S272" s="5">
        <v>677</v>
      </c>
      <c r="T272" s="5">
        <v>2599</v>
      </c>
      <c r="U272" s="52">
        <v>4.5</v>
      </c>
      <c r="V272" s="44">
        <f>IFERROR(TAB_OFICINAS[[#This Row],[Valor Unit]]*TAB_OFICINAS[[#This Row],[Qtd pçs Enviadas]]," ")</f>
        <v>202.5</v>
      </c>
      <c r="W272" s="17">
        <v>46059</v>
      </c>
      <c r="X272" s="5" t="s">
        <v>6251</v>
      </c>
      <c r="Y272" s="27"/>
      <c r="Z2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3" spans="3:26" hidden="1">
      <c r="C273" s="28" t="s">
        <v>8</v>
      </c>
      <c r="D273" s="5">
        <v>4451</v>
      </c>
      <c r="E273" s="5">
        <v>22240</v>
      </c>
      <c r="F273" s="28" t="str">
        <f>IFERROR(VLOOKUP(TAB_OFICINAS[[#This Row],[Cliente]],LISTA_DE_CLIENTES[[Código]:[Nome Fantasia]],2,FALSE),"")</f>
        <v>ASSOCIAÇÃO CLUBE WAVE 1</v>
      </c>
      <c r="G273" s="5" t="str">
        <f>IFERROR(VLOOKUP(TAB_OFICINAS[[#This Row],[Cliente]],LISTA_DE_CLIENTES[[Código]:[Nome Fantasia]],3,FALSE),"")</f>
        <v>BEYOND SP</v>
      </c>
      <c r="H273" s="51">
        <v>92105268543</v>
      </c>
      <c r="I273" s="28" t="s">
        <v>20334</v>
      </c>
      <c r="J273" s="91">
        <v>45</v>
      </c>
      <c r="K273" s="86">
        <v>46057</v>
      </c>
      <c r="L273" s="10">
        <v>45</v>
      </c>
      <c r="M273" s="6">
        <v>46059</v>
      </c>
      <c r="N273" s="6">
        <v>46059</v>
      </c>
      <c r="O273" s="19">
        <f>TAB_OFICINAS[[#This Row],[Data Retorno Produção]]-TAB_OFICINAS[[#This Row],[Data Prometida  Entrega]]</f>
        <v>0</v>
      </c>
      <c r="P273" s="40" t="str">
        <f>IF(TAB_OFICINAS[[#This Row],[Dias Para Entrega]]&lt;=0,"Em dia","Dia de Atrasado")</f>
        <v>Em dia</v>
      </c>
      <c r="Q273" s="10">
        <f>IFERROR(TAB_OFICINAS[[#This Row],[Qtd pçs Enviadas]]-TAB_OFICINAS[[#This Row],[Qtd pçs Retornadas ]],"N/D ")</f>
        <v>0</v>
      </c>
      <c r="R273" s="10">
        <v>0</v>
      </c>
      <c r="S273" s="5">
        <v>677</v>
      </c>
      <c r="T273" s="5">
        <v>20</v>
      </c>
      <c r="U273" s="52">
        <v>2.5</v>
      </c>
      <c r="V273" s="44">
        <f>IFERROR(TAB_OFICINAS[[#This Row],[Valor Unit]]*TAB_OFICINAS[[#This Row],[Qtd pçs Enviadas]]," ")</f>
        <v>112.5</v>
      </c>
      <c r="W273" s="17">
        <f>TAB_OFICINAS[[#This Row],[Data Retorno Produção]]+10</f>
        <v>46069</v>
      </c>
      <c r="X273" s="5" t="s">
        <v>6251</v>
      </c>
      <c r="Y273" s="27"/>
      <c r="Z2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4" spans="3:26" hidden="1">
      <c r="C274" s="28" t="s">
        <v>15</v>
      </c>
      <c r="D274" s="5">
        <v>1941</v>
      </c>
      <c r="E274" s="5">
        <v>22893</v>
      </c>
      <c r="F274" s="28" t="str">
        <f>IFERROR(VLOOKUP(TAB_OFICINAS[[#This Row],[Cliente]],LISTA_DE_CLIENTES[[Código]:[Nome Fantasia]],2,FALSE),"")</f>
        <v>HOSPITAIS INTEGRADOS DA GAVEA S/A</v>
      </c>
      <c r="G274" s="5" t="str">
        <f>IFERROR(VLOOKUP(TAB_OFICINAS[[#This Row],[Cliente]],LISTA_DE_CLIENTES[[Código]:[Nome Fantasia]],3,FALSE),"")</f>
        <v>REDE D´OR - DF STAR</v>
      </c>
      <c r="H274" s="63">
        <v>2101102488</v>
      </c>
      <c r="I274" s="28" t="s">
        <v>21402</v>
      </c>
      <c r="J274" s="91">
        <v>45</v>
      </c>
      <c r="K274" s="86">
        <v>46127</v>
      </c>
      <c r="L274" s="10">
        <v>45</v>
      </c>
      <c r="M274" s="6">
        <v>46128</v>
      </c>
      <c r="N274" s="6">
        <v>46128</v>
      </c>
      <c r="O274" s="19">
        <f>TAB_OFICINAS[[#This Row],[Data Retorno Produção]]-TAB_OFICINAS[[#This Row],[Data Prometida  Entrega]]</f>
        <v>0</v>
      </c>
      <c r="P274" s="40" t="str">
        <f>IF(TAB_OFICINAS[[#This Row],[Dias Para Entrega]]&lt;=0,"Em dia","Dia de Atrasado")</f>
        <v>Em dia</v>
      </c>
      <c r="Q274" s="10">
        <f>IFERROR(TAB_OFICINAS[[#This Row],[Qtd pçs Enviadas]]-TAB_OFICINAS[[#This Row],[Qtd pçs Retornadas ]]," ")</f>
        <v>0</v>
      </c>
      <c r="R274" s="10">
        <v>0</v>
      </c>
      <c r="S274" s="5">
        <v>677</v>
      </c>
      <c r="T274" s="5">
        <v>17105</v>
      </c>
      <c r="U274" s="52">
        <v>3.85</v>
      </c>
      <c r="V274" s="44">
        <f>IFERROR(TAB_OFICINAS[[#This Row],[Valor Unit]]*TAB_OFICINAS[[#This Row],[Qtd pçs Enviadas]]," ")</f>
        <v>173.25</v>
      </c>
      <c r="W274" s="17">
        <v>46134</v>
      </c>
      <c r="X274" s="5" t="s">
        <v>6251</v>
      </c>
      <c r="Y274" s="27" t="s">
        <v>21341</v>
      </c>
      <c r="Z2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5" spans="3:26" ht="28.5" hidden="1">
      <c r="C275" s="28" t="s">
        <v>15</v>
      </c>
      <c r="D275" s="5">
        <v>526</v>
      </c>
      <c r="E275" s="5">
        <v>23230</v>
      </c>
      <c r="F275" s="28" t="str">
        <f>IFERROR(VLOOKUP(TAB_OFICINAS[[#This Row],[Cliente]],LISTA_DE_CLIENTES[[Código]:[Nome Fantasia]],2,FALSE),"")</f>
        <v>ATMOSFERA GESTAO E HIGIENIZACAO DE TEXTEIS S.A.</v>
      </c>
      <c r="G275" s="5" t="str">
        <f>IFERROR(VLOOKUP(TAB_OFICINAS[[#This Row],[Cliente]],LISTA_DE_CLIENTES[[Código]:[Nome Fantasia]],3,FALSE),"")</f>
        <v>ATMOSFERA ST BARBARA</v>
      </c>
      <c r="H275" s="63">
        <v>92102156032</v>
      </c>
      <c r="I275" s="28" t="s">
        <v>20511</v>
      </c>
      <c r="J275" s="91">
        <v>45</v>
      </c>
      <c r="K275" s="86">
        <v>46148</v>
      </c>
      <c r="L275" s="10">
        <v>45</v>
      </c>
      <c r="M275" s="6">
        <v>46153</v>
      </c>
      <c r="N275" s="6">
        <v>46150</v>
      </c>
      <c r="O275" s="19">
        <f>TAB_OFICINAS[[#This Row],[Data Retorno Produção]]-TAB_OFICINAS[[#This Row],[Data Prometida  Entrega]]</f>
        <v>-3</v>
      </c>
      <c r="P275" s="40" t="str">
        <f>IF(TAB_OFICINAS[[#This Row],[Dias Para Entrega]]&lt;=0,"Em dia","Dia de Atrasado")</f>
        <v>Em dia</v>
      </c>
      <c r="Q275" s="10">
        <f>IFERROR(TAB_OFICINAS[[#This Row],[Qtd pçs Enviadas]]-TAB_OFICINAS[[#This Row],[Qtd pçs Retornadas ]]," ")</f>
        <v>0</v>
      </c>
      <c r="R275" s="10">
        <v>6</v>
      </c>
      <c r="S275" s="5">
        <v>677</v>
      </c>
      <c r="T275" s="5">
        <v>17191</v>
      </c>
      <c r="U275" s="52">
        <v>15</v>
      </c>
      <c r="V275" s="44">
        <f>IFERROR(TAB_OFICINAS[[#This Row],[Valor Unit]]*TAB_OFICINAS[[#This Row],[Qtd pçs Enviadas]]," ")</f>
        <v>675</v>
      </c>
      <c r="W275" s="17">
        <v>46160</v>
      </c>
      <c r="X275" s="5" t="s">
        <v>6251</v>
      </c>
      <c r="Y275" s="27" t="s">
        <v>22635</v>
      </c>
      <c r="Z2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6" spans="3:26" ht="42.75" hidden="1">
      <c r="C276" s="28" t="s">
        <v>15</v>
      </c>
      <c r="D276" s="5">
        <v>2522</v>
      </c>
      <c r="E276" s="5">
        <v>23343</v>
      </c>
      <c r="F276" s="28" t="str">
        <f>IFERROR(VLOOKUP(TAB_OFICINAS[[#This Row],[Cliente]],LISTA_DE_CLIENTES[[Código]:[Nome Fantasia]],2,FALSE),"")</f>
        <v>HYPE ILHABELA ADMINISTRACAO E PARTICIPACOES LTDA.</v>
      </c>
      <c r="G276" s="28" t="str">
        <f>IFERROR(VLOOKUP(TAB_OFICINAS[[#This Row],[Cliente]],LISTA_DE_CLIENTES[[Código]:[Nome Fantasia]],3,FALSE),"")</f>
        <v>CASA DI SIRENA</v>
      </c>
      <c r="H276" s="63">
        <v>2111269708</v>
      </c>
      <c r="I276" s="28" t="s">
        <v>20821</v>
      </c>
      <c r="J276" s="95">
        <v>44</v>
      </c>
      <c r="K276" s="86">
        <v>46161</v>
      </c>
      <c r="L276" s="29">
        <v>44</v>
      </c>
      <c r="M276" s="6">
        <v>46176</v>
      </c>
      <c r="N276" s="6">
        <v>46175</v>
      </c>
      <c r="O276" s="19">
        <f>TAB_OFICINAS[[#This Row],[Data Retorno Produção]]-TAB_OFICINAS[[#This Row],[Data Prometida  Entrega]]</f>
        <v>-1</v>
      </c>
      <c r="P276" s="40" t="str">
        <f>IF(TAB_OFICINAS[[#This Row],[Dias Para Entrega]]&lt;=0,"Em dia","Dia de Atrasado")</f>
        <v>Em dia</v>
      </c>
      <c r="Q276" s="29">
        <f>IFERROR(TAB_OFICINAS[[#This Row],[Qtd pçs Enviadas]]-TAB_OFICINAS[[#This Row],[Qtd pçs Retornadas ]]," ")</f>
        <v>0</v>
      </c>
      <c r="R276" s="29">
        <v>1</v>
      </c>
      <c r="S276" s="5">
        <v>677</v>
      </c>
      <c r="T276" s="28">
        <v>17275</v>
      </c>
      <c r="U276" s="30">
        <v>5.5</v>
      </c>
      <c r="V276" s="31">
        <v>236.5</v>
      </c>
      <c r="W276" s="70">
        <v>46185</v>
      </c>
      <c r="X276" s="28" t="s">
        <v>6251</v>
      </c>
      <c r="Y276" s="69" t="s">
        <v>23134</v>
      </c>
      <c r="Z2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7" spans="3:26" ht="114" hidden="1">
      <c r="C277" s="28" t="s">
        <v>19</v>
      </c>
      <c r="D277" s="5">
        <v>1942</v>
      </c>
      <c r="E277" s="5">
        <v>22842</v>
      </c>
      <c r="F277" s="28" t="str">
        <f>IFERROR(VLOOKUP(TAB_OFICINAS[[#This Row],[Cliente]],LISTA_DE_CLIENTES[[Código]:[Nome Fantasia]],2,FALSE),"")</f>
        <v>ONCO STAR SP ONCOLOGIA LTDA (REDE D´OR)</v>
      </c>
      <c r="G277" s="5" t="str">
        <f>IFERROR(VLOOKUP(TAB_OFICINAS[[#This Row],[Cliente]],LISTA_DE_CLIENTES[[Código]:[Nome Fantasia]],3,FALSE),"")</f>
        <v>R DOR VILA NOVA STAR</v>
      </c>
      <c r="H277" s="51">
        <v>3301085795</v>
      </c>
      <c r="I277" s="28" t="s">
        <v>20364</v>
      </c>
      <c r="J277" s="91">
        <v>50</v>
      </c>
      <c r="K277" s="86">
        <v>46080</v>
      </c>
      <c r="L277" s="10">
        <v>50</v>
      </c>
      <c r="M277" s="6">
        <v>46097</v>
      </c>
      <c r="N277" s="6">
        <v>46091</v>
      </c>
      <c r="O277" s="19">
        <f>TAB_OFICINAS[[#This Row],[Data Retorno Produção]]-TAB_OFICINAS[[#This Row],[Data Prometida  Entrega]]</f>
        <v>-6</v>
      </c>
      <c r="P277" s="40" t="str">
        <f>IF(TAB_OFICINAS[[#This Row],[Dias Para Entrega]]&lt;=0,"Em dia","Dia de Atrasado")</f>
        <v>Em dia</v>
      </c>
      <c r="Q277" s="10">
        <f>IFERROR(TAB_OFICINAS[[#This Row],[Qtd pçs Enviadas]]-TAB_OFICINAS[[#This Row],[Qtd pçs Retornadas ]],"N/D ")</f>
        <v>0</v>
      </c>
      <c r="R277" s="10">
        <v>0</v>
      </c>
      <c r="S277" s="5">
        <v>677</v>
      </c>
      <c r="T277" s="5">
        <v>44</v>
      </c>
      <c r="U277" s="52">
        <v>14</v>
      </c>
      <c r="V277" s="44">
        <f>IFERROR(TAB_OFICINAS[[#This Row],[Valor Unit]]*TAB_OFICINAS[[#This Row],[Qtd pçs Enviadas]]," ")</f>
        <v>700</v>
      </c>
      <c r="W277" s="17">
        <v>46101</v>
      </c>
      <c r="X277" s="5" t="s">
        <v>6251</v>
      </c>
      <c r="Y277" s="27" t="s">
        <v>23457</v>
      </c>
      <c r="Z2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8" spans="3:26" hidden="1">
      <c r="C278" s="28" t="s">
        <v>16</v>
      </c>
      <c r="D278" s="5">
        <v>2522</v>
      </c>
      <c r="E278" s="5">
        <v>23343</v>
      </c>
      <c r="F278" s="28" t="str">
        <f>IFERROR(VLOOKUP(TAB_OFICINAS[[#This Row],[Cliente]],LISTA_DE_CLIENTES[[Código]:[Nome Fantasia]],2,FALSE),"")</f>
        <v>HYPE ILHABELA ADMINISTRACAO E PARTICIPACOES LTDA.</v>
      </c>
      <c r="G278" s="2" t="str">
        <f>IFERROR(VLOOKUP(TAB_OFICINAS[[#This Row],[Cliente]],LISTA_DE_CLIENTES[[Código]:[Nome Fantasia]],3,FALSE),"")</f>
        <v>CASA DI SIRENA</v>
      </c>
      <c r="H278" s="51">
        <v>2111269708</v>
      </c>
      <c r="I278" s="28" t="str">
        <f>IFERROR(VLOOKUP(TAB_OFICINAS[[#This Row],[Codigo Produto ]],_000___PEDIDOS_DE_CLIENTES[[Data.Column2]:[Descrição Produto]],2,FALSE)," ")</f>
        <v>CAPA ALMOFADA SEM ABA ACABAMENTO CORDONÊ - FECHAMENTO COM ZÍPER TECIDO 186093 BOHEMIAN COR AZUL - 0,30 X 0,40</v>
      </c>
      <c r="J278" s="91">
        <v>43</v>
      </c>
      <c r="K278" s="88">
        <v>46184</v>
      </c>
      <c r="L278" s="9">
        <v>43</v>
      </c>
      <c r="M278" s="6">
        <v>46191</v>
      </c>
      <c r="N278" s="6">
        <v>46191</v>
      </c>
      <c r="O278" s="23">
        <f>TAB_OFICINAS[[#This Row],[Data Retorno Produção]]-TAB_OFICINAS[[#This Row],[Data Prometida  Entrega]]</f>
        <v>0</v>
      </c>
      <c r="P278" s="98" t="str">
        <f>IF(TAB_OFICINAS[[#This Row],[Dias Para Entrega]]&lt;=0,"Em dia","Dia de Atrasado")</f>
        <v>Em dia</v>
      </c>
      <c r="Q278" s="24">
        <f>IFERROR(TAB_OFICINAS[[#This Row],[Qtd pçs Enviadas]]-TAB_OFICINAS[[#This Row],[Qtd pçs Retornadas ]],"N/D ")</f>
        <v>0</v>
      </c>
      <c r="R278" s="24"/>
      <c r="S278" s="5">
        <v>677</v>
      </c>
      <c r="T278" s="5">
        <v>53</v>
      </c>
      <c r="U278" s="11">
        <v>6</v>
      </c>
      <c r="V278" s="25">
        <f>IFERROR(TAB_OFICINAS[[#This Row],[Valor Unit]]*TAB_OFICINAS[[#This Row],[Qtd pçs Enviadas]]," ")</f>
        <v>258</v>
      </c>
      <c r="W278" s="26">
        <v>46202</v>
      </c>
      <c r="X278" s="17" t="s">
        <v>6251</v>
      </c>
      <c r="Y278" s="27"/>
      <c r="Z2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79" spans="3:26" hidden="1">
      <c r="C279" s="28" t="s">
        <v>8</v>
      </c>
      <c r="D279" s="5">
        <v>2153</v>
      </c>
      <c r="E279" s="5">
        <v>21976</v>
      </c>
      <c r="F279" s="28" t="str">
        <f>IFERROR(VLOOKUP(TAB_OFICINAS[[#This Row],[Cliente]],LISTA_DE_CLIENTES[[Código]:[Nome Fantasia]],2,FALSE),"")</f>
        <v>CLINICA MEDICA LINTZ LTDA</v>
      </c>
      <c r="G279" s="5" t="str">
        <f>IFERROR(VLOOKUP(TAB_OFICINAS[[#This Row],[Cliente]],LISTA_DE_CLIENTES[[Código]:[Nome Fantasia]],3,FALSE),"")</f>
        <v>CLINICA MEDICA LINTZ</v>
      </c>
      <c r="H279" s="51">
        <v>2101042397</v>
      </c>
      <c r="I279" s="28" t="s">
        <v>20327</v>
      </c>
      <c r="J279" s="91">
        <v>40</v>
      </c>
      <c r="K279" s="86">
        <v>46008</v>
      </c>
      <c r="L279" s="10">
        <v>40</v>
      </c>
      <c r="M279" s="6">
        <v>46028</v>
      </c>
      <c r="N279" s="6">
        <v>46029</v>
      </c>
      <c r="O279" s="19">
        <f>TAB_OFICINAS[[#This Row],[Data Retorno Produção]]-TAB_OFICINAS[[#This Row],[Data Prometida  Entrega]]</f>
        <v>1</v>
      </c>
      <c r="P279" s="40" t="str">
        <f>IF(TAB_OFICINAS[[#This Row],[Dias Para Entrega]]&lt;=0,"Em dia","Dia de Atrasado")</f>
        <v>Dia de Atrasado</v>
      </c>
      <c r="Q279" s="10">
        <f>IFERROR(TAB_OFICINAS[[#This Row],[Qtd pçs Enviadas]]-TAB_OFICINAS[[#This Row],[Qtd pçs Retornadas ]],"N/D ")</f>
        <v>0</v>
      </c>
      <c r="R279" s="10">
        <v>0</v>
      </c>
      <c r="S279" s="5">
        <v>677</v>
      </c>
      <c r="T279" s="5">
        <v>12</v>
      </c>
      <c r="U279" s="52">
        <v>4.5</v>
      </c>
      <c r="V279" s="44">
        <f>IFERROR(TAB_OFICINAS[[#This Row],[Valor Unit]]*TAB_OFICINAS[[#This Row],[Qtd pçs Enviadas]]," ")</f>
        <v>180</v>
      </c>
      <c r="W279" s="17">
        <v>46038</v>
      </c>
      <c r="X279" s="5" t="s">
        <v>6251</v>
      </c>
      <c r="Y279" s="27"/>
      <c r="Z2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0" spans="3:26" hidden="1">
      <c r="C280" s="28" t="s">
        <v>18</v>
      </c>
      <c r="D280" s="5">
        <v>2575</v>
      </c>
      <c r="E280" s="5">
        <v>22116</v>
      </c>
      <c r="F280" s="28" t="str">
        <f>IFERROR(VLOOKUP(TAB_OFICINAS[[#This Row],[Cliente]],LISTA_DE_CLIENTES[[Código]:[Nome Fantasia]],2,FALSE),"")</f>
        <v>DIAGNOSTICOS DA AMERICA S.A .</v>
      </c>
      <c r="G280" s="5" t="str">
        <f>IFERROR(VLOOKUP(TAB_OFICINAS[[#This Row],[Cliente]],LISTA_DE_CLIENTES[[Código]:[Nome Fantasia]],3,FALSE),"")</f>
        <v>DASA HIGIENÓPOLIS</v>
      </c>
      <c r="H280" s="51">
        <v>3301093025</v>
      </c>
      <c r="I280" s="28" t="s">
        <v>20343</v>
      </c>
      <c r="J280" s="91">
        <v>30</v>
      </c>
      <c r="K280" s="86">
        <v>46042</v>
      </c>
      <c r="L280" s="10">
        <v>30</v>
      </c>
      <c r="M280" s="6">
        <v>46063</v>
      </c>
      <c r="N280" s="6">
        <v>46065</v>
      </c>
      <c r="O280" s="19">
        <f>TAB_OFICINAS[[#This Row],[Data Retorno Produção]]-TAB_OFICINAS[[#This Row],[Data Prometida  Entrega]]</f>
        <v>2</v>
      </c>
      <c r="P280" s="40" t="str">
        <f>IF(TAB_OFICINAS[[#This Row],[Dias Para Entrega]]&lt;=0,"Em dia","Dia de Atrasado")</f>
        <v>Dia de Atrasado</v>
      </c>
      <c r="Q280" s="10">
        <f>IFERROR(TAB_OFICINAS[[#This Row],[Qtd pçs Enviadas]]-TAB_OFICINAS[[#This Row],[Qtd pçs Retornadas ]],"N/D ")</f>
        <v>0</v>
      </c>
      <c r="R280" s="10">
        <v>0</v>
      </c>
      <c r="S280" s="5">
        <v>4324</v>
      </c>
      <c r="T280" s="5">
        <v>32</v>
      </c>
      <c r="U280" s="52">
        <v>16</v>
      </c>
      <c r="V280" s="44">
        <f>IFERROR(TAB_OFICINAS[[#This Row],[Valor Unit]]*TAB_OFICINAS[[#This Row],[Qtd pçs Enviadas]]," ")</f>
        <v>480</v>
      </c>
      <c r="W280" s="17">
        <v>46076</v>
      </c>
      <c r="X280" s="5" t="s">
        <v>6251</v>
      </c>
      <c r="Y280" s="27"/>
      <c r="Z2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1" spans="3:26" hidden="1">
      <c r="C281" s="28" t="s">
        <v>18</v>
      </c>
      <c r="D281" s="5">
        <v>2575</v>
      </c>
      <c r="E281" s="5">
        <v>22116</v>
      </c>
      <c r="F281" s="28" t="str">
        <f>IFERROR(VLOOKUP(TAB_OFICINAS[[#This Row],[Cliente]],LISTA_DE_CLIENTES[[Código]:[Nome Fantasia]],2,FALSE),"")</f>
        <v>DIAGNOSTICOS DA AMERICA S.A .</v>
      </c>
      <c r="G281" s="5" t="str">
        <f>IFERROR(VLOOKUP(TAB_OFICINAS[[#This Row],[Cliente]],LISTA_DE_CLIENTES[[Código]:[Nome Fantasia]],3,FALSE),"")</f>
        <v>DASA HIGIENÓPOLIS</v>
      </c>
      <c r="H281" s="51">
        <v>3301092628</v>
      </c>
      <c r="I281" s="28" t="s">
        <v>20359</v>
      </c>
      <c r="J281" s="91">
        <v>10</v>
      </c>
      <c r="K281" s="86">
        <v>46042</v>
      </c>
      <c r="L281" s="10">
        <v>10</v>
      </c>
      <c r="M281" s="6">
        <v>46063</v>
      </c>
      <c r="N281" s="6">
        <v>46065</v>
      </c>
      <c r="O281" s="19">
        <f>TAB_OFICINAS[[#This Row],[Data Retorno Produção]]-TAB_OFICINAS[[#This Row],[Data Prometida  Entrega]]</f>
        <v>2</v>
      </c>
      <c r="P281" s="40" t="str">
        <f>IF(TAB_OFICINAS[[#This Row],[Dias Para Entrega]]&lt;=0,"Em dia","Dia de Atrasado")</f>
        <v>Dia de Atrasado</v>
      </c>
      <c r="Q281" s="10">
        <f>IFERROR(TAB_OFICINAS[[#This Row],[Qtd pçs Enviadas]]-TAB_OFICINAS[[#This Row],[Qtd pçs Retornadas ]],"N/D ")</f>
        <v>0</v>
      </c>
      <c r="R281" s="10">
        <v>0</v>
      </c>
      <c r="S281" s="5">
        <v>4324</v>
      </c>
      <c r="T281" s="5">
        <v>32</v>
      </c>
      <c r="U281" s="52">
        <v>16</v>
      </c>
      <c r="V281" s="44">
        <f>IFERROR(TAB_OFICINAS[[#This Row],[Valor Unit]]*TAB_OFICINAS[[#This Row],[Qtd pçs Enviadas]]," ")</f>
        <v>160</v>
      </c>
      <c r="W281" s="17">
        <v>46076</v>
      </c>
      <c r="X281" s="5" t="s">
        <v>6251</v>
      </c>
      <c r="Y281" s="27"/>
      <c r="Z2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2" spans="3:26" hidden="1">
      <c r="C282" s="28" t="s">
        <v>7</v>
      </c>
      <c r="D282" s="5">
        <v>5450</v>
      </c>
      <c r="E282" s="5">
        <v>23043</v>
      </c>
      <c r="F282" s="28" t="str">
        <f>IFERROR(VLOOKUP(TAB_OFICINAS[[#This Row],[Cliente]],LISTA_DE_CLIENTES[[Código]:[Nome Fantasia]],2,FALSE),"")</f>
        <v>VANESSA PARANAIBA GERVASIO REZENDE</v>
      </c>
      <c r="G282" s="5" t="str">
        <f>IFERROR(VLOOKUP(TAB_OFICINAS[[#This Row],[Cliente]],LISTA_DE_CLIENTES[[Código]:[Nome Fantasia]],3,FALSE),"")</f>
        <v>VANESSA PARANAIBA GE</v>
      </c>
      <c r="H282" s="53">
        <v>3913019733</v>
      </c>
      <c r="I282" s="28" t="s">
        <v>21392</v>
      </c>
      <c r="J282" s="91">
        <v>1</v>
      </c>
      <c r="K282" s="86">
        <v>46095</v>
      </c>
      <c r="L282" s="10">
        <v>1</v>
      </c>
      <c r="M282" s="6">
        <v>46095</v>
      </c>
      <c r="N282" s="6">
        <v>46095</v>
      </c>
      <c r="O282" s="19">
        <f>TAB_OFICINAS[[#This Row],[Data Retorno Produção]]-TAB_OFICINAS[[#This Row],[Data Prometida  Entrega]]</f>
        <v>0</v>
      </c>
      <c r="P282" s="54" t="str">
        <f>IF(TAB_OFICINAS[[#This Row],[Dias Para Entrega]]&lt;=0,"Em dia","Dia de Atrasado")</f>
        <v>Em dia</v>
      </c>
      <c r="Q282" s="10">
        <f>IFERROR(TAB_OFICINAS[[#This Row],[Qtd pçs Enviadas]]-TAB_OFICINAS[[#This Row],[Qtd pçs Retornadas ]],"N/D ")</f>
        <v>0</v>
      </c>
      <c r="R282" s="10">
        <v>0</v>
      </c>
      <c r="S282" s="5">
        <v>677</v>
      </c>
      <c r="T282" s="5">
        <v>26</v>
      </c>
      <c r="U282" s="52">
        <v>6</v>
      </c>
      <c r="V282" s="44">
        <f>IFERROR(TAB_OFICINAS[[#This Row],[Valor Unit]]*TAB_OFICINAS[[#This Row],[Qtd pçs Enviadas]]," ")</f>
        <v>6</v>
      </c>
      <c r="W282" s="17">
        <v>46111</v>
      </c>
      <c r="X282" s="5" t="s">
        <v>6251</v>
      </c>
      <c r="Y282" s="27"/>
      <c r="Z2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3" spans="3:26" ht="28.5" hidden="1">
      <c r="C283" s="28" t="s">
        <v>15</v>
      </c>
      <c r="D283" s="5">
        <v>526</v>
      </c>
      <c r="E283" s="5">
        <v>22950</v>
      </c>
      <c r="F283" s="28" t="str">
        <f>IFERROR(VLOOKUP(TAB_OFICINAS[[#This Row],[Cliente]],LISTA_DE_CLIENTES[[Código]:[Nome Fantasia]],2,FALSE),"")</f>
        <v>ATMOSFERA GESTAO E HIGIENIZACAO DE TEXTEIS S.A.</v>
      </c>
      <c r="G283" s="5" t="str">
        <f>IFERROR(VLOOKUP(TAB_OFICINAS[[#This Row],[Cliente]],LISTA_DE_CLIENTES[[Código]:[Nome Fantasia]],3,FALSE),"")</f>
        <v>ATMOSFERA ST BARBARA</v>
      </c>
      <c r="H283" s="63">
        <v>92102156030</v>
      </c>
      <c r="I283" s="28" t="s">
        <v>21017</v>
      </c>
      <c r="J283" s="91">
        <v>40</v>
      </c>
      <c r="K283" s="86">
        <v>46091</v>
      </c>
      <c r="L283" s="10">
        <v>40</v>
      </c>
      <c r="M283" s="6">
        <v>46097</v>
      </c>
      <c r="N283" s="6">
        <v>46097</v>
      </c>
      <c r="O283" s="19">
        <f>TAB_OFICINAS[[#This Row],[Data Retorno Produção]]-TAB_OFICINAS[[#This Row],[Data Prometida  Entrega]]</f>
        <v>0</v>
      </c>
      <c r="P283" s="40" t="str">
        <f>IF(TAB_OFICINAS[[#This Row],[Dias Para Entrega]]&lt;=0,"Em dia","Dia de Atrasado")</f>
        <v>Em dia</v>
      </c>
      <c r="Q283" s="10">
        <f>IFERROR(TAB_OFICINAS[[#This Row],[Qtd pçs Enviadas]]-TAB_OFICINAS[[#This Row],[Qtd pçs Retornadas ]]," ")</f>
        <v>0</v>
      </c>
      <c r="R283" s="10">
        <v>1</v>
      </c>
      <c r="S283" s="5">
        <v>677</v>
      </c>
      <c r="T283" s="5">
        <v>16991</v>
      </c>
      <c r="U283" s="52">
        <v>15</v>
      </c>
      <c r="V283" s="44">
        <f>IFERROR(TAB_OFICINAS[[#This Row],[Valor Unit]]*TAB_OFICINAS[[#This Row],[Qtd pçs Enviadas]]," ")</f>
        <v>600</v>
      </c>
      <c r="W283" s="17">
        <v>46104</v>
      </c>
      <c r="X283" s="5" t="s">
        <v>6251</v>
      </c>
      <c r="Y283" s="27" t="s">
        <v>21379</v>
      </c>
      <c r="Z2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4" spans="3:26" hidden="1">
      <c r="C284" s="28" t="s">
        <v>15</v>
      </c>
      <c r="D284" s="5">
        <v>1620</v>
      </c>
      <c r="E284" s="5">
        <v>23365</v>
      </c>
      <c r="F284" s="28" t="str">
        <f>IFERROR(VLOOKUP(TAB_OFICINAS[[#This Row],[Cliente]],LISTA_DE_CLIENTES[[Código]:[Nome Fantasia]],2,FALSE),"")</f>
        <v>LFA AGENCIA DE VIAGENS E TURISMO LTDA - EPP</v>
      </c>
      <c r="G284" s="5" t="str">
        <f>IFERROR(VLOOKUP(TAB_OFICINAS[[#This Row],[Cliente]],LISTA_DE_CLIENTES[[Código]:[Nome Fantasia]],3,FALSE),"")</f>
        <v>QUEEN AMAZONIA</v>
      </c>
      <c r="H284" s="51" t="s">
        <v>21342</v>
      </c>
      <c r="I284" s="28" t="s">
        <v>22530</v>
      </c>
      <c r="J284" s="91">
        <v>40</v>
      </c>
      <c r="K284" s="86">
        <v>46147</v>
      </c>
      <c r="L284" s="10">
        <v>40</v>
      </c>
      <c r="M284" s="6">
        <v>46155</v>
      </c>
      <c r="N284" s="6">
        <v>46156</v>
      </c>
      <c r="O284" s="19">
        <f>TAB_OFICINAS[[#This Row],[Data Retorno Produção]]-TAB_OFICINAS[[#This Row],[Data Prometida  Entrega]]</f>
        <v>1</v>
      </c>
      <c r="P284" s="40" t="str">
        <f>IF(TAB_OFICINAS[[#This Row],[Dias Para Entrega]]&lt;=0,"Em dia","Dia de Atrasado")</f>
        <v>Dia de Atrasado</v>
      </c>
      <c r="Q284" s="10">
        <f>IFERROR(TAB_OFICINAS[[#This Row],[Qtd pçs Enviadas]]-TAB_OFICINAS[[#This Row],[Qtd pçs Retornadas ]]," ")</f>
        <v>0</v>
      </c>
      <c r="R284" s="10">
        <v>0</v>
      </c>
      <c r="S284" s="5">
        <v>677</v>
      </c>
      <c r="T284" s="5">
        <v>17195</v>
      </c>
      <c r="U284" s="52">
        <v>5.4</v>
      </c>
      <c r="V284" s="44">
        <f>IFERROR(TAB_OFICINAS[[#This Row],[Valor Unit]]*TAB_OFICINAS[[#This Row],[Qtd pçs Enviadas]]," ")</f>
        <v>216</v>
      </c>
      <c r="W284" s="17">
        <v>46163</v>
      </c>
      <c r="X284" s="5" t="s">
        <v>6251</v>
      </c>
      <c r="Y284" s="27" t="s">
        <v>22531</v>
      </c>
      <c r="Z2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5" spans="3:26" hidden="1">
      <c r="C285" s="28" t="s">
        <v>7</v>
      </c>
      <c r="F285" s="28" t="str">
        <f>IFERROR(VLOOKUP(TAB_OFICINAS[[#This Row],[Cliente]],LISTA_DE_CLIENTES[[Código]:[Nome Fantasia]],2,FALSE),"")</f>
        <v/>
      </c>
      <c r="G285" s="5" t="str">
        <f>IFERROR(VLOOKUP(TAB_OFICINAS[[#This Row],[Cliente]],LISTA_DE_CLIENTES[[Código]:[Nome Fantasia]],3,FALSE),"")</f>
        <v/>
      </c>
      <c r="H285" s="51" t="s">
        <v>23962</v>
      </c>
      <c r="I285" s="28" t="s">
        <v>21394</v>
      </c>
      <c r="J285" s="91">
        <v>1</v>
      </c>
      <c r="K285" s="86">
        <v>46095</v>
      </c>
      <c r="L285" s="10">
        <v>1</v>
      </c>
      <c r="M285" s="6">
        <v>46095</v>
      </c>
      <c r="N285" s="6">
        <v>46095</v>
      </c>
      <c r="O285" s="19">
        <f>TAB_OFICINAS[[#This Row],[Data Retorno Produção]]-TAB_OFICINAS[[#This Row],[Data Prometida  Entrega]]</f>
        <v>0</v>
      </c>
      <c r="P285" s="54" t="str">
        <f>IF(TAB_OFICINAS[[#This Row],[Dias Para Entrega]]&lt;=0,"Em dia","Dia de Atrasado")</f>
        <v>Em dia</v>
      </c>
      <c r="Q285" s="10">
        <f>IFERROR(TAB_OFICINAS[[#This Row],[Qtd pçs Enviadas]]-TAB_OFICINAS[[#This Row],[Qtd pçs Retornadas ]],"N/D ")</f>
        <v>0</v>
      </c>
      <c r="R285" s="10">
        <v>0</v>
      </c>
      <c r="S285" s="5">
        <v>677</v>
      </c>
      <c r="T285" s="5">
        <v>26</v>
      </c>
      <c r="U285" s="52">
        <v>7</v>
      </c>
      <c r="V285" s="44">
        <f>IFERROR(TAB_OFICINAS[[#This Row],[Valor Unit]]*TAB_OFICINAS[[#This Row],[Qtd pçs Enviadas]]," ")</f>
        <v>7</v>
      </c>
      <c r="W285" s="17">
        <v>46111</v>
      </c>
      <c r="X285" s="5" t="s">
        <v>6251</v>
      </c>
      <c r="Y285" s="27"/>
      <c r="Z2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6" spans="3:26" hidden="1">
      <c r="C286" s="28" t="s">
        <v>7</v>
      </c>
      <c r="D286" s="5">
        <v>526</v>
      </c>
      <c r="E286" s="5">
        <v>22950</v>
      </c>
      <c r="F286" s="28" t="str">
        <f>IFERROR(VLOOKUP(TAB_OFICINAS[[#This Row],[Cliente]],LISTA_DE_CLIENTES[[Código]:[Nome Fantasia]],2,FALSE),"")</f>
        <v>ATMOSFERA GESTAO E HIGIENIZACAO DE TEXTEIS S.A.</v>
      </c>
      <c r="G286" s="5" t="str">
        <f>IFERROR(VLOOKUP(TAB_OFICINAS[[#This Row],[Cliente]],LISTA_DE_CLIENTES[[Código]:[Nome Fantasia]],3,FALSE),"")</f>
        <v>ATMOSFERA ST BARBARA</v>
      </c>
      <c r="H286" s="63">
        <v>92102156030</v>
      </c>
      <c r="I286" s="28" t="s">
        <v>21017</v>
      </c>
      <c r="J286" s="91">
        <v>40</v>
      </c>
      <c r="K286" s="86">
        <v>46090</v>
      </c>
      <c r="L286" s="10">
        <v>40</v>
      </c>
      <c r="M286" s="6">
        <v>46104</v>
      </c>
      <c r="N286" s="6">
        <v>46098</v>
      </c>
      <c r="O286" s="19">
        <f>TAB_OFICINAS[[#This Row],[Data Retorno Produção]]-TAB_OFICINAS[[#This Row],[Data Prometida  Entrega]]</f>
        <v>-6</v>
      </c>
      <c r="P286" s="40" t="str">
        <f>IF(TAB_OFICINAS[[#This Row],[Dias Para Entrega]]&lt;=0,"Em dia","Dia de Atrasado")</f>
        <v>Em dia</v>
      </c>
      <c r="Q286" s="10">
        <f>IFERROR(TAB_OFICINAS[[#This Row],[Qtd pçs Enviadas]]-TAB_OFICINAS[[#This Row],[Qtd pçs Retornadas ]]," ")</f>
        <v>0</v>
      </c>
      <c r="R286" s="10"/>
      <c r="S286" s="5">
        <v>664</v>
      </c>
      <c r="T286" s="5">
        <v>27</v>
      </c>
      <c r="U286" s="52">
        <v>10.3</v>
      </c>
      <c r="V286" s="44">
        <f>IFERROR(TAB_OFICINAS[[#This Row],[Valor Unit]]*TAB_OFICINAS[[#This Row],[Qtd pçs Enviadas]]," ")</f>
        <v>412</v>
      </c>
      <c r="W286" s="17"/>
      <c r="X286" s="5" t="s">
        <v>6251</v>
      </c>
      <c r="Y286" s="27"/>
      <c r="Z2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7" spans="3:26" hidden="1">
      <c r="C287" s="28" t="s">
        <v>3</v>
      </c>
      <c r="D287" s="5">
        <v>5198</v>
      </c>
      <c r="E287" s="5">
        <v>22347</v>
      </c>
      <c r="F287" s="28" t="str">
        <f>IFERROR(VLOOKUP(TAB_OFICINAS[[#This Row],[Cliente]],LISTA_DE_CLIENTES[[Código]:[Nome Fantasia]],2,FALSE),"")</f>
        <v>ACQUA LAVANDERIA E LOCACAO DE ARTIGOS TEXTEIS LTDA</v>
      </c>
      <c r="G287" s="5" t="str">
        <f>IFERROR(VLOOKUP(TAB_OFICINAS[[#This Row],[Cliente]],LISTA_DE_CLIENTES[[Código]:[Nome Fantasia]],3,FALSE),"")</f>
        <v>MAX CLEAN</v>
      </c>
      <c r="H287" s="51">
        <v>92111062460</v>
      </c>
      <c r="I287" s="28" t="s">
        <v>20996</v>
      </c>
      <c r="J287" s="91">
        <v>38</v>
      </c>
      <c r="K287" s="86">
        <v>46034</v>
      </c>
      <c r="L287" s="10">
        <v>38</v>
      </c>
      <c r="M287" s="6">
        <v>46044</v>
      </c>
      <c r="N287" s="6">
        <v>46040</v>
      </c>
      <c r="O287" s="19">
        <f>TAB_OFICINAS[[#This Row],[Data Retorno Produção]]-TAB_OFICINAS[[#This Row],[Data Prometida  Entrega]]</f>
        <v>-4</v>
      </c>
      <c r="P287" s="40" t="str">
        <f>IF(TAB_OFICINAS[[#This Row],[Dias Para Entrega]]&lt;=0,"Em dia","Dia de Atrasado")</f>
        <v>Em dia</v>
      </c>
      <c r="Q287" s="10">
        <f>IFERROR(TAB_OFICINAS[[#This Row],[Qtd pçs Enviadas]]-TAB_OFICINAS[[#This Row],[Qtd pçs Retornadas ]],"N/D ")</f>
        <v>0</v>
      </c>
      <c r="R287" s="10">
        <v>0</v>
      </c>
      <c r="S287" s="5">
        <v>540</v>
      </c>
      <c r="T287" s="5">
        <v>87</v>
      </c>
      <c r="U287" s="52">
        <v>4.5</v>
      </c>
      <c r="V287" s="44">
        <f>IFERROR(TAB_OFICINAS[[#This Row],[Valor Unit]]*TAB_OFICINAS[[#This Row],[Qtd pçs Enviadas]]," ")</f>
        <v>171</v>
      </c>
      <c r="W287" s="17">
        <v>46050</v>
      </c>
      <c r="X287" s="5" t="s">
        <v>6251</v>
      </c>
      <c r="Y287" s="27"/>
      <c r="Z2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8" spans="3:26" ht="42.75" hidden="1">
      <c r="C288" s="28" t="s">
        <v>7</v>
      </c>
      <c r="D288" s="5">
        <v>526</v>
      </c>
      <c r="E288" s="5">
        <v>22950</v>
      </c>
      <c r="F288" s="28" t="str">
        <f>IFERROR(VLOOKUP(TAB_OFICINAS[[#This Row],[Cliente]],LISTA_DE_CLIENTES[[Código]:[Nome Fantasia]],2,FALSE),"")</f>
        <v>ATMOSFERA GESTAO E HIGIENIZACAO DE TEXTEIS S.A.</v>
      </c>
      <c r="G288" s="5" t="str">
        <f>IFERROR(VLOOKUP(TAB_OFICINAS[[#This Row],[Cliente]],LISTA_DE_CLIENTES[[Código]:[Nome Fantasia]],3,FALSE),"")</f>
        <v>ATMOSFERA ST BARBARA</v>
      </c>
      <c r="H288" s="63">
        <v>92115472176</v>
      </c>
      <c r="I288" s="28" t="s">
        <v>20503</v>
      </c>
      <c r="J288" s="91">
        <v>30</v>
      </c>
      <c r="K288" s="86">
        <v>46090</v>
      </c>
      <c r="L288" s="10">
        <v>30</v>
      </c>
      <c r="M288" s="6">
        <v>46104</v>
      </c>
      <c r="N288" s="6">
        <v>46098</v>
      </c>
      <c r="O288" s="19">
        <f>TAB_OFICINAS[[#This Row],[Data Retorno Produção]]-TAB_OFICINAS[[#This Row],[Data Prometida  Entrega]]</f>
        <v>-6</v>
      </c>
      <c r="P288" s="40" t="str">
        <f>IF(TAB_OFICINAS[[#This Row],[Dias Para Entrega]]&lt;=0,"Em dia","Dia de Atrasado")</f>
        <v>Em dia</v>
      </c>
      <c r="Q288" s="10">
        <f>IFERROR(TAB_OFICINAS[[#This Row],[Qtd pçs Enviadas]]-TAB_OFICINAS[[#This Row],[Qtd pçs Retornadas ]]," ")</f>
        <v>0</v>
      </c>
      <c r="R288" s="10">
        <v>0</v>
      </c>
      <c r="S288" s="5">
        <v>664</v>
      </c>
      <c r="T288" s="5">
        <v>27</v>
      </c>
      <c r="U288" s="52">
        <v>16</v>
      </c>
      <c r="V288" s="44">
        <f>IFERROR(TAB_OFICINAS[[#This Row],[Valor Unit]]*TAB_OFICINAS[[#This Row],[Qtd pçs Enviadas]]," ")</f>
        <v>480</v>
      </c>
      <c r="W288" s="17">
        <f>TAB_OFICINAS[[#This Row],[Data Retorno Produção]]+10</f>
        <v>46108</v>
      </c>
      <c r="X288" s="5" t="s">
        <v>6251</v>
      </c>
      <c r="Y288" s="27" t="s">
        <v>21459</v>
      </c>
      <c r="Z2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89" spans="3:26" ht="42.75" hidden="1">
      <c r="C289" s="28" t="s">
        <v>15</v>
      </c>
      <c r="D289" s="5">
        <v>3107</v>
      </c>
      <c r="E289" s="5">
        <v>22529</v>
      </c>
      <c r="F289" s="28" t="str">
        <f>IFERROR(VLOOKUP(TAB_OFICINAS[[#This Row],[Cliente]],LISTA_DE_CLIENTES[[Código]:[Nome Fantasia]],2,FALSE),"")</f>
        <v>HCC HOTELS GESTAO HOTELEIRA LTDA.</v>
      </c>
      <c r="G289" s="5" t="str">
        <f>IFERROR(VLOOKUP(TAB_OFICINAS[[#This Row],[Cliente]],LISTA_DE_CLIENTES[[Código]:[Nome Fantasia]],3,FALSE),"")</f>
        <v>QOYA SP</v>
      </c>
      <c r="H289" s="51">
        <v>3302018560</v>
      </c>
      <c r="I289" s="28" t="s">
        <v>20394</v>
      </c>
      <c r="J289" s="91">
        <v>36</v>
      </c>
      <c r="K289" s="86">
        <v>46045</v>
      </c>
      <c r="L289" s="10">
        <v>36</v>
      </c>
      <c r="M289" s="6">
        <v>46051</v>
      </c>
      <c r="N289" s="6">
        <v>46051</v>
      </c>
      <c r="O289" s="19">
        <f>TAB_OFICINAS[[#This Row],[Data Retorno Produção]]-TAB_OFICINAS[[#This Row],[Data Prometida  Entrega]]</f>
        <v>0</v>
      </c>
      <c r="P289" s="40" t="str">
        <f>IF(TAB_OFICINAS[[#This Row],[Dias Para Entrega]]&lt;=0,"Em dia","Dia de Atrasado")</f>
        <v>Em dia</v>
      </c>
      <c r="Q289" s="10">
        <f>IFERROR(TAB_OFICINAS[[#This Row],[Qtd pçs Enviadas]]-TAB_OFICINAS[[#This Row],[Qtd pçs Retornadas ]],"N/D ")</f>
        <v>0</v>
      </c>
      <c r="R289" s="10">
        <v>12</v>
      </c>
      <c r="S289" s="5">
        <v>3091</v>
      </c>
      <c r="T289" s="5">
        <v>16885</v>
      </c>
      <c r="U289" s="52">
        <v>3.6</v>
      </c>
      <c r="V289" s="44">
        <f>IFERROR(TAB_OFICINAS[[#This Row],[Valor Unit]]*TAB_OFICINAS[[#This Row],[Qtd pçs Enviadas]]," ")</f>
        <v>129.6</v>
      </c>
      <c r="W289" s="17">
        <v>46059</v>
      </c>
      <c r="X289" s="5" t="s">
        <v>6251</v>
      </c>
      <c r="Y289" s="27" t="s">
        <v>20412</v>
      </c>
      <c r="Z2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0" spans="3:26" hidden="1">
      <c r="C290" s="28" t="s">
        <v>3</v>
      </c>
      <c r="D290" s="5">
        <v>3107</v>
      </c>
      <c r="E290" s="5">
        <v>22733</v>
      </c>
      <c r="F290" s="28" t="str">
        <f>IFERROR(VLOOKUP(TAB_OFICINAS[[#This Row],[Cliente]],LISTA_DE_CLIENTES[[Código]:[Nome Fantasia]],2,FALSE),"")</f>
        <v>HCC HOTELS GESTAO HOTELEIRA LTDA.</v>
      </c>
      <c r="G290" s="5" t="str">
        <f>IFERROR(VLOOKUP(TAB_OFICINAS[[#This Row],[Cliente]],LISTA_DE_CLIENTES[[Código]:[Nome Fantasia]],3,FALSE),"")</f>
        <v>QOYA SP</v>
      </c>
      <c r="H290" s="51">
        <v>3302018560</v>
      </c>
      <c r="I290" s="28" t="s">
        <v>20933</v>
      </c>
      <c r="J290" s="91">
        <v>36</v>
      </c>
      <c r="K290" s="86">
        <v>46065</v>
      </c>
      <c r="L290" s="10">
        <v>36</v>
      </c>
      <c r="M290" s="6">
        <v>46071</v>
      </c>
      <c r="N290" s="6">
        <v>46069</v>
      </c>
      <c r="O290" s="19">
        <f>TAB_OFICINAS[[#This Row],[Data Retorno Produção]]-TAB_OFICINAS[[#This Row],[Data Prometida  Entrega]]</f>
        <v>-2</v>
      </c>
      <c r="P290" s="40" t="str">
        <f>IF(TAB_OFICINAS[[#This Row],[Dias Para Entrega]]&lt;=0,"Em dia","Dia de Atrasado")</f>
        <v>Em dia</v>
      </c>
      <c r="Q290" s="10">
        <f>IFERROR(TAB_OFICINAS[[#This Row],[Qtd pçs Enviadas]]-TAB_OFICINAS[[#This Row],[Qtd pçs Retornadas ]],"N/D ")</f>
        <v>0</v>
      </c>
      <c r="R290" s="48">
        <v>0</v>
      </c>
      <c r="S290" s="5">
        <v>588</v>
      </c>
      <c r="T290" s="5">
        <v>95</v>
      </c>
      <c r="U290" s="52">
        <v>3</v>
      </c>
      <c r="V290" s="44">
        <f>IFERROR(TAB_OFICINAS[[#This Row],[Valor Unit]]*TAB_OFICINAS[[#This Row],[Qtd pçs Enviadas]]," ")</f>
        <v>108</v>
      </c>
      <c r="W290" s="17">
        <v>46079</v>
      </c>
      <c r="X290" s="5" t="s">
        <v>6251</v>
      </c>
      <c r="Y290" s="27"/>
      <c r="Z2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1" spans="3:26" hidden="1">
      <c r="C291" s="28" t="s">
        <v>15</v>
      </c>
      <c r="D291" s="5">
        <v>5572</v>
      </c>
      <c r="E291" s="5">
        <v>23503</v>
      </c>
      <c r="F291" s="28" t="str">
        <f>IFERROR(VLOOKUP(TAB_OFICINAS[[#This Row],[Cliente]],LISTA_DE_CLIENTES[[Código]:[Nome Fantasia]],2,FALSE),"")</f>
        <v>TAUÁ HOTEL E CONVENTION JOÃO PESSOA LTDA</v>
      </c>
      <c r="G291" s="2" t="str">
        <f>IFERROR(VLOOKUP(TAB_OFICINAS[[#This Row],[Cliente]],LISTA_DE_CLIENTES[[Código]:[Nome Fantasia]],3,FALSE),"")</f>
        <v>TAUÁ HOTEL E CONVENT</v>
      </c>
      <c r="H291" s="63">
        <v>2112589932</v>
      </c>
      <c r="I291" s="28" t="s">
        <v>22936</v>
      </c>
      <c r="J291" s="91">
        <v>36</v>
      </c>
      <c r="K291" s="86">
        <v>46178</v>
      </c>
      <c r="L291" s="34">
        <v>36</v>
      </c>
      <c r="M291" s="6">
        <v>46189</v>
      </c>
      <c r="N291" s="6">
        <v>46189</v>
      </c>
      <c r="O291" s="19">
        <f>TAB_OFICINAS[[#This Row],[Data Retorno Produção]]-TAB_OFICINAS[[#This Row],[Data Prometida  Entrega]]</f>
        <v>0</v>
      </c>
      <c r="P291" s="40" t="str">
        <f>IF(TAB_OFICINAS[[#This Row],[Dias Para Entrega]]&lt;=0,"Em dia","Dia de Atrasado")</f>
        <v>Em dia</v>
      </c>
      <c r="Q291" s="10">
        <f>IFERROR(TAB_OFICINAS[[#This Row],[Qtd pçs Enviadas]]-TAB_OFICINAS[[#This Row],[Qtd pçs Retornadas ]]," ")</f>
        <v>0</v>
      </c>
      <c r="R291" s="10">
        <v>0</v>
      </c>
      <c r="S291" s="5">
        <v>3251</v>
      </c>
      <c r="T291" s="5">
        <v>17347</v>
      </c>
      <c r="U291" s="1">
        <v>4.8</v>
      </c>
      <c r="V291" s="3">
        <f>IFERROR(TAB_OFICINAS[[#This Row],[Valor Unit]]*TAB_OFICINAS[[#This Row],[Qtd pçs Enviadas]]," ")</f>
        <v>172.79999999999998</v>
      </c>
      <c r="W291" s="17">
        <v>46198</v>
      </c>
      <c r="X291" s="5" t="s">
        <v>6251</v>
      </c>
      <c r="Y291" s="4" t="s">
        <v>23179</v>
      </c>
      <c r="Z2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2" spans="3:26" hidden="1">
      <c r="C292" s="28" t="s">
        <v>19</v>
      </c>
      <c r="D292" s="5">
        <v>3593</v>
      </c>
      <c r="E292" s="5">
        <v>22565</v>
      </c>
      <c r="F292" s="28" t="str">
        <f>IFERROR(VLOOKUP(TAB_OFICINAS[[#This Row],[Cliente]],LISTA_DE_CLIENTES[[Código]:[Nome Fantasia]],2,FALSE),"")</f>
        <v>DIAGNOSTICOS DA AMERICA S.A.</v>
      </c>
      <c r="G292" s="5" t="str">
        <f>IFERROR(VLOOKUP(TAB_OFICINAS[[#This Row],[Cliente]],LISTA_DE_CLIENTES[[Código]:[Nome Fantasia]],3,FALSE),"")</f>
        <v>DASA PINHEIROS</v>
      </c>
      <c r="H292" s="63">
        <v>3301095930</v>
      </c>
      <c r="I292" s="28" t="s">
        <v>20831</v>
      </c>
      <c r="J292" s="91">
        <v>20</v>
      </c>
      <c r="K292" s="86">
        <v>46091</v>
      </c>
      <c r="L292" s="10">
        <v>20</v>
      </c>
      <c r="M292" s="6">
        <v>46105</v>
      </c>
      <c r="N292" s="6">
        <v>46097</v>
      </c>
      <c r="O292" s="19">
        <f>TAB_OFICINAS[[#This Row],[Data Retorno Produção]]-TAB_OFICINAS[[#This Row],[Data Prometida  Entrega]]</f>
        <v>-8</v>
      </c>
      <c r="P292" s="40" t="str">
        <f>IF(TAB_OFICINAS[[#This Row],[Dias Para Entrega]]&lt;=0,"Em dia","Dia de Atrasado")</f>
        <v>Em dia</v>
      </c>
      <c r="Q292" s="10">
        <f>IFERROR(TAB_OFICINAS[[#This Row],[Qtd pçs Enviadas]]-TAB_OFICINAS[[#This Row],[Qtd pçs Retornadas ]]," ")</f>
        <v>0</v>
      </c>
      <c r="R292" s="10">
        <v>0</v>
      </c>
      <c r="S292" s="5">
        <v>676</v>
      </c>
      <c r="T292" s="5">
        <v>45</v>
      </c>
      <c r="U292" s="52">
        <v>16</v>
      </c>
      <c r="V292" s="44">
        <f>IFERROR(TAB_OFICINAS[[#This Row],[Valor Unit]]*TAB_OFICINAS[[#This Row],[Qtd pçs Enviadas]]," ")</f>
        <v>320</v>
      </c>
      <c r="W292" s="17">
        <v>46107</v>
      </c>
      <c r="X292" s="5" t="s">
        <v>6251</v>
      </c>
      <c r="Y292" s="27"/>
      <c r="Z2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3" spans="3:26" hidden="1">
      <c r="C293" s="28" t="s">
        <v>15</v>
      </c>
      <c r="D293" s="5">
        <v>5247</v>
      </c>
      <c r="E293" s="5">
        <v>22531</v>
      </c>
      <c r="F293" s="28" t="str">
        <f>IFERROR(VLOOKUP(TAB_OFICINAS[[#This Row],[Cliente]],LISTA_DE_CLIENTES[[Código]:[Nome Fantasia]],2,FALSE),"")</f>
        <v>MARIANA AURIEMO</v>
      </c>
      <c r="G293" s="5" t="str">
        <f>IFERROR(VLOOKUP(TAB_OFICINAS[[#This Row],[Cliente]],LISTA_DE_CLIENTES[[Código]:[Nome Fantasia]],3,FALSE),"")</f>
        <v>MARIANA AURIEMO</v>
      </c>
      <c r="H293" s="63">
        <v>3302229697</v>
      </c>
      <c r="I293" s="28" t="s">
        <v>21348</v>
      </c>
      <c r="J293" s="91">
        <v>35</v>
      </c>
      <c r="K293" s="86">
        <v>46086</v>
      </c>
      <c r="L293" s="10">
        <v>35</v>
      </c>
      <c r="M293" s="6">
        <v>46090</v>
      </c>
      <c r="N293" s="6">
        <v>46090</v>
      </c>
      <c r="O293" s="19">
        <f>TAB_OFICINAS[[#This Row],[Data Retorno Produção]]-TAB_OFICINAS[[#This Row],[Data Prometida  Entrega]]</f>
        <v>0</v>
      </c>
      <c r="P293" s="40" t="str">
        <f>IF(TAB_OFICINAS[[#This Row],[Dias Para Entrega]]&lt;=0,"Em dia","Dia de Atrasado")</f>
        <v>Em dia</v>
      </c>
      <c r="Q293" s="10">
        <f>IFERROR(TAB_OFICINAS[[#This Row],[Qtd pçs Enviadas]]-TAB_OFICINAS[[#This Row],[Qtd pçs Retornadas ]]," ")</f>
        <v>0</v>
      </c>
      <c r="R293" s="10">
        <v>0</v>
      </c>
      <c r="S293" s="5">
        <v>659</v>
      </c>
      <c r="T293" s="5">
        <v>19684</v>
      </c>
      <c r="U293" s="52">
        <v>7.2</v>
      </c>
      <c r="V293" s="44">
        <f>IFERROR(TAB_OFICINAS[[#This Row],[Valor Unit]]*TAB_OFICINAS[[#This Row],[Qtd pçs Enviadas]]," ")</f>
        <v>252</v>
      </c>
      <c r="W293" s="17">
        <v>46101</v>
      </c>
      <c r="X293" s="5" t="s">
        <v>6251</v>
      </c>
      <c r="Y293" s="27" t="s">
        <v>21349</v>
      </c>
      <c r="Z2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4" spans="3:26" hidden="1">
      <c r="C294" s="28" t="s">
        <v>18</v>
      </c>
      <c r="D294" s="5">
        <v>2575</v>
      </c>
      <c r="E294" s="5">
        <v>22116</v>
      </c>
      <c r="F294" s="28" t="str">
        <f>IFERROR(VLOOKUP(TAB_OFICINAS[[#This Row],[Cliente]],LISTA_DE_CLIENTES[[Código]:[Nome Fantasia]],2,FALSE),"")</f>
        <v>DIAGNOSTICOS DA AMERICA S.A .</v>
      </c>
      <c r="G294" s="5" t="str">
        <f>IFERROR(VLOOKUP(TAB_OFICINAS[[#This Row],[Cliente]],LISTA_DE_CLIENTES[[Código]:[Nome Fantasia]],3,FALSE),"")</f>
        <v>DASA HIGIENÓPOLIS</v>
      </c>
      <c r="H294" s="51">
        <v>3301092598</v>
      </c>
      <c r="I294" s="28" t="s">
        <v>20360</v>
      </c>
      <c r="J294" s="91">
        <v>8</v>
      </c>
      <c r="K294" s="86">
        <v>46042</v>
      </c>
      <c r="L294" s="10">
        <v>8</v>
      </c>
      <c r="M294" s="6">
        <v>46063</v>
      </c>
      <c r="N294" s="6">
        <v>46065</v>
      </c>
      <c r="O294" s="19">
        <f>TAB_OFICINAS[[#This Row],[Data Retorno Produção]]-TAB_OFICINAS[[#This Row],[Data Prometida  Entrega]]</f>
        <v>2</v>
      </c>
      <c r="P294" s="40" t="str">
        <f>IF(TAB_OFICINAS[[#This Row],[Dias Para Entrega]]&lt;=0,"Em dia","Dia de Atrasado")</f>
        <v>Dia de Atrasado</v>
      </c>
      <c r="Q294" s="10">
        <f>IFERROR(TAB_OFICINAS[[#This Row],[Qtd pçs Enviadas]]-TAB_OFICINAS[[#This Row],[Qtd pçs Retornadas ]],"N/D ")</f>
        <v>0</v>
      </c>
      <c r="R294" s="10">
        <v>0</v>
      </c>
      <c r="S294" s="5">
        <v>4324</v>
      </c>
      <c r="T294" s="5">
        <v>32</v>
      </c>
      <c r="U294" s="52">
        <v>16</v>
      </c>
      <c r="V294" s="44">
        <f>IFERROR(TAB_OFICINAS[[#This Row],[Valor Unit]]*TAB_OFICINAS[[#This Row],[Qtd pçs Enviadas]]," ")</f>
        <v>128</v>
      </c>
      <c r="W294" s="17">
        <v>46076</v>
      </c>
      <c r="X294" s="5" t="s">
        <v>6251</v>
      </c>
      <c r="Y294" s="27"/>
      <c r="Z2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5" spans="3:26" hidden="1">
      <c r="C295" s="28" t="s">
        <v>3</v>
      </c>
      <c r="D295" s="5">
        <v>5572</v>
      </c>
      <c r="E295" s="5">
        <v>23053</v>
      </c>
      <c r="F295" s="28" t="str">
        <f>IFERROR(VLOOKUP(TAB_OFICINAS[[#This Row],[Cliente]],LISTA_DE_CLIENTES[[Código]:[Nome Fantasia]],2,FALSE),"")</f>
        <v>TAUÁ HOTEL E CONVENTION JOÃO PESSOA LTDA</v>
      </c>
      <c r="G295" s="5" t="str">
        <f>IFERROR(VLOOKUP(TAB_OFICINAS[[#This Row],[Cliente]],LISTA_DE_CLIENTES[[Código]:[Nome Fantasia]],3,FALSE),"")</f>
        <v>TAUÁ HOTEL E CONVENT</v>
      </c>
      <c r="H295" s="63">
        <v>2112589932</v>
      </c>
      <c r="I295" s="28" t="s">
        <v>22936</v>
      </c>
      <c r="J295" s="91">
        <v>34</v>
      </c>
      <c r="K295" s="86">
        <v>46176</v>
      </c>
      <c r="L295" s="34">
        <v>34</v>
      </c>
      <c r="M295" s="6">
        <v>46195</v>
      </c>
      <c r="N295" s="6">
        <f ca="1">TODAY()</f>
        <v>46315</v>
      </c>
      <c r="O295" s="19">
        <f ca="1">TAB_OFICINAS[[#This Row],[Data Retorno Produção]]-TAB_OFICINAS[[#This Row],[Data Prometida  Entrega]]</f>
        <v>120</v>
      </c>
      <c r="P295" s="40" t="str">
        <f ca="1">IF(TAB_OFICINAS[[#This Row],[Dias Para Entrega]]&lt;=0,"Em dia","Dia de Atrasado")</f>
        <v>Dia de Atrasado</v>
      </c>
      <c r="Q295" s="10">
        <f>IFERROR(TAB_OFICINAS[[#This Row],[Qtd pçs Enviadas]]-TAB_OFICINAS[[#This Row],[Qtd pçs Retornadas ]]," ")</f>
        <v>0</v>
      </c>
      <c r="R295" s="10"/>
      <c r="S295" s="5">
        <v>3247</v>
      </c>
      <c r="T295" s="5">
        <v>114</v>
      </c>
      <c r="U295" s="52">
        <v>7.5</v>
      </c>
      <c r="V295" s="44">
        <f>IFERROR(TAB_OFICINAS[[#This Row],[Valor Unit]]*TAB_OFICINAS[[#This Row],[Qtd pçs Enviadas]]," ")</f>
        <v>255</v>
      </c>
      <c r="W295" s="17">
        <v>46196</v>
      </c>
      <c r="X295" s="5" t="s">
        <v>6251</v>
      </c>
      <c r="Y295" s="27"/>
      <c r="Z2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6" spans="3:26" hidden="1">
      <c r="C296" s="28" t="s">
        <v>17</v>
      </c>
      <c r="D296" s="5">
        <v>5386</v>
      </c>
      <c r="E296" s="66" t="s">
        <v>22445</v>
      </c>
      <c r="F296" s="28" t="str">
        <f>IFERROR(VLOOKUP(TAB_OFICINAS[[#This Row],[Cliente]],LISTA_DE_CLIENTES[[Código]:[Nome Fantasia]],2,FALSE),"")</f>
        <v>FLOW CITY SPE 1 CASAS LTDA</v>
      </c>
      <c r="G296" s="5" t="str">
        <f>IFERROR(VLOOKUP(TAB_OFICINAS[[#This Row],[Cliente]],LISTA_DE_CLIENTES[[Código]:[Nome Fantasia]],3,FALSE),"")</f>
        <v>FLOW CITY SPE 1 CASA</v>
      </c>
      <c r="H296" s="63">
        <v>7301093991</v>
      </c>
      <c r="I296" s="28" t="s">
        <v>21496</v>
      </c>
      <c r="J296" s="91">
        <v>33</v>
      </c>
      <c r="K296" s="86">
        <v>46142</v>
      </c>
      <c r="L296" s="10">
        <v>33</v>
      </c>
      <c r="M296" s="6">
        <v>46155</v>
      </c>
      <c r="N296" s="6">
        <v>46156</v>
      </c>
      <c r="O296" s="19">
        <f>TAB_OFICINAS[[#This Row],[Data Retorno Produção]]-TAB_OFICINAS[[#This Row],[Data Prometida  Entrega]]</f>
        <v>1</v>
      </c>
      <c r="P296" s="40" t="str">
        <f>IF(TAB_OFICINAS[[#This Row],[Dias Para Entrega]]&lt;=0,"Em dia","Dia de Atrasado")</f>
        <v>Dia de Atrasado</v>
      </c>
      <c r="Q296" s="10">
        <f>IFERROR(TAB_OFICINAS[[#This Row],[Qtd pçs Enviadas]]-TAB_OFICINAS[[#This Row],[Qtd pçs Retornadas ]]," ")</f>
        <v>0</v>
      </c>
      <c r="R296" s="10"/>
      <c r="S296" s="5">
        <v>802</v>
      </c>
      <c r="T296" s="5">
        <v>53</v>
      </c>
      <c r="U296" s="52">
        <v>16</v>
      </c>
      <c r="V296" s="44">
        <f>IFERROR(TAB_OFICINAS[[#This Row],[Valor Unit]]*TAB_OFICINAS[[#This Row],[Qtd pçs Enviadas]]," ")</f>
        <v>528</v>
      </c>
      <c r="W296" s="17">
        <v>46164</v>
      </c>
      <c r="X296" s="5" t="s">
        <v>6251</v>
      </c>
      <c r="Y296" s="27"/>
      <c r="Z2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7" spans="3:26" hidden="1">
      <c r="C297" s="28" t="s">
        <v>1</v>
      </c>
      <c r="D297" s="5">
        <v>526</v>
      </c>
      <c r="E297" s="5">
        <v>22578</v>
      </c>
      <c r="F297" s="28" t="str">
        <f>IFERROR(VLOOKUP(TAB_OFICINAS[[#This Row],[Cliente]],LISTA_DE_CLIENTES[[Código]:[Nome Fantasia]],2,FALSE),"")</f>
        <v>ATMOSFERA GESTAO E HIGIENIZACAO DE TEXTEIS S.A.</v>
      </c>
      <c r="G297" s="5" t="str">
        <f>IFERROR(VLOOKUP(TAB_OFICINAS[[#This Row],[Cliente]],LISTA_DE_CLIENTES[[Código]:[Nome Fantasia]],3,FALSE),"")</f>
        <v>ATMOSFERA ST BARBARA</v>
      </c>
      <c r="H297" s="51">
        <v>92101042462</v>
      </c>
      <c r="I297" s="28" t="s">
        <v>20509</v>
      </c>
      <c r="J297" s="91">
        <v>10</v>
      </c>
      <c r="K297" s="86">
        <v>46049</v>
      </c>
      <c r="L297" s="10">
        <v>10</v>
      </c>
      <c r="M297" s="6">
        <v>46080</v>
      </c>
      <c r="N297" s="6">
        <v>46071</v>
      </c>
      <c r="O297" s="19">
        <f>TAB_OFICINAS[[#This Row],[Data Retorno Produção]]-TAB_OFICINAS[[#This Row],[Data Prometida  Entrega]]</f>
        <v>-9</v>
      </c>
      <c r="P297" s="40" t="str">
        <f>IF(TAB_OFICINAS[[#This Row],[Dias Para Entrega]]&lt;=0,"Em dia","Dia de Atrasado")</f>
        <v>Em dia</v>
      </c>
      <c r="Q297" s="10">
        <f>IFERROR(TAB_OFICINAS[[#This Row],[Qtd pçs Enviadas]]-TAB_OFICINAS[[#This Row],[Qtd pçs Retornadas ]],"N/D ")</f>
        <v>0</v>
      </c>
      <c r="R297" s="10">
        <v>0</v>
      </c>
      <c r="S297" s="5">
        <v>3097</v>
      </c>
      <c r="T297" s="5">
        <v>37</v>
      </c>
      <c r="U297" s="52">
        <v>8</v>
      </c>
      <c r="V297" s="44">
        <f>IFERROR(TAB_OFICINAS[[#This Row],[Valor Unit]]*TAB_OFICINAS[[#This Row],[Qtd pçs Enviadas]]," ")</f>
        <v>80</v>
      </c>
      <c r="W297" s="17">
        <v>46080</v>
      </c>
      <c r="X297" s="5" t="s">
        <v>6251</v>
      </c>
      <c r="Y297" s="27"/>
      <c r="Z2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8" spans="3:26" hidden="1">
      <c r="C298" s="28" t="s">
        <v>1</v>
      </c>
      <c r="D298" s="5">
        <v>526</v>
      </c>
      <c r="E298" s="5">
        <v>22578</v>
      </c>
      <c r="F298" s="28" t="str">
        <f>IFERROR(VLOOKUP(TAB_OFICINAS[[#This Row],[Cliente]],LISTA_DE_CLIENTES[[Código]:[Nome Fantasia]],2,FALSE),"")</f>
        <v>ATMOSFERA GESTAO E HIGIENIZACAO DE TEXTEIS S.A.</v>
      </c>
      <c r="G298" s="5" t="str">
        <f>IFERROR(VLOOKUP(TAB_OFICINAS[[#This Row],[Cliente]],LISTA_DE_CLIENTES[[Código]:[Nome Fantasia]],3,FALSE),"")</f>
        <v>ATMOSFERA ST BARBARA</v>
      </c>
      <c r="H298" s="51">
        <v>92101119171</v>
      </c>
      <c r="I298" s="28" t="s">
        <v>20513</v>
      </c>
      <c r="J298" s="91">
        <v>10</v>
      </c>
      <c r="K298" s="86">
        <v>46049</v>
      </c>
      <c r="L298" s="10">
        <v>10</v>
      </c>
      <c r="M298" s="6">
        <v>46080</v>
      </c>
      <c r="N298" s="6">
        <v>46071</v>
      </c>
      <c r="O298" s="19">
        <f>TAB_OFICINAS[[#This Row],[Data Retorno Produção]]-TAB_OFICINAS[[#This Row],[Data Prometida  Entrega]]</f>
        <v>-9</v>
      </c>
      <c r="P298" s="40" t="str">
        <f>IF(TAB_OFICINAS[[#This Row],[Dias Para Entrega]]&lt;=0,"Em dia","Dia de Atrasado")</f>
        <v>Em dia</v>
      </c>
      <c r="Q298" s="10">
        <f>IFERROR(TAB_OFICINAS[[#This Row],[Qtd pçs Enviadas]]-TAB_OFICINAS[[#This Row],[Qtd pçs Retornadas ]],"N/D ")</f>
        <v>0</v>
      </c>
      <c r="R298" s="10">
        <v>0</v>
      </c>
      <c r="S298" s="5">
        <v>3097</v>
      </c>
      <c r="T298" s="5">
        <v>37</v>
      </c>
      <c r="U298" s="52">
        <v>11</v>
      </c>
      <c r="V298" s="44">
        <f>IFERROR(TAB_OFICINAS[[#This Row],[Valor Unit]]*TAB_OFICINAS[[#This Row],[Qtd pçs Enviadas]]," ")</f>
        <v>110</v>
      </c>
      <c r="W298" s="17">
        <v>46080</v>
      </c>
      <c r="X298" s="5" t="s">
        <v>6251</v>
      </c>
      <c r="Y298" s="27"/>
      <c r="Z2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299" spans="3:26" hidden="1">
      <c r="C299" s="28" t="s">
        <v>1</v>
      </c>
      <c r="D299" s="5">
        <v>2685</v>
      </c>
      <c r="E299" s="5">
        <v>22138</v>
      </c>
      <c r="F299" s="28" t="str">
        <f>IFERROR(VLOOKUP(TAB_OFICINAS[[#This Row],[Cliente]],LISTA_DE_CLIENTES[[Código]:[Nome Fantasia]],2,FALSE),"")</f>
        <v>REDE DOR SAO LUIZ S.A.</v>
      </c>
      <c r="G299" s="5" t="str">
        <f>IFERROR(VLOOKUP(TAB_OFICINAS[[#This Row],[Cliente]],LISTA_DE_CLIENTES[[Código]:[Nome Fantasia]],3,FALSE),"")</f>
        <v>MATERNIDADE SAO LUIZ</v>
      </c>
      <c r="H299" s="51">
        <v>2101107032</v>
      </c>
      <c r="I299" s="28" t="s">
        <v>20779</v>
      </c>
      <c r="J299" s="91">
        <v>225</v>
      </c>
      <c r="K299" s="86">
        <v>46059</v>
      </c>
      <c r="L299" s="10">
        <v>225</v>
      </c>
      <c r="M299" s="6">
        <v>46076</v>
      </c>
      <c r="N299" s="6">
        <v>46071</v>
      </c>
      <c r="O299" s="19">
        <f>TAB_OFICINAS[[#This Row],[Data Retorno Produção]]-TAB_OFICINAS[[#This Row],[Data Prometida  Entrega]]</f>
        <v>-5</v>
      </c>
      <c r="P299" s="40" t="str">
        <f>IF(TAB_OFICINAS[[#This Row],[Dias Para Entrega]]&lt;=0,"Em dia","Dia de Atrasado")</f>
        <v>Em dia</v>
      </c>
      <c r="Q299" s="10">
        <f>IFERROR(TAB_OFICINAS[[#This Row],[Qtd pçs Enviadas]]-TAB_OFICINAS[[#This Row],[Qtd pçs Retornadas ]]," ")</f>
        <v>0</v>
      </c>
      <c r="R299" s="10">
        <v>0</v>
      </c>
      <c r="S299" s="5">
        <v>576</v>
      </c>
      <c r="T299" s="5">
        <v>38</v>
      </c>
      <c r="U299" s="52">
        <v>8</v>
      </c>
      <c r="V299" s="44">
        <f>IFERROR(TAB_OFICINAS[[#This Row],[Valor Unit]]*TAB_OFICINAS[[#This Row],[Qtd pçs Enviadas]]," ")</f>
        <v>1800</v>
      </c>
      <c r="W299" s="17">
        <v>46080</v>
      </c>
      <c r="X299" s="5" t="s">
        <v>6251</v>
      </c>
      <c r="Y299" s="27"/>
      <c r="Z2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0" spans="3:26" hidden="1">
      <c r="C300" s="28" t="s">
        <v>15</v>
      </c>
      <c r="D300" s="5">
        <v>164</v>
      </c>
      <c r="E300" s="5">
        <v>23220</v>
      </c>
      <c r="F300" s="28" t="str">
        <f>IFERROR(VLOOKUP(TAB_OFICINAS[[#This Row],[Cliente]],LISTA_DE_CLIENTES[[Código]:[Nome Fantasia]],2,FALSE),"")</f>
        <v>HOTEL CURITIBA CAPITAL S/A</v>
      </c>
      <c r="G300" s="2" t="str">
        <f>IFERROR(VLOOKUP(TAB_OFICINAS[[#This Row],[Cliente]],LISTA_DE_CLIENTES[[Código]:[Nome Fantasia]],3,FALSE),"")</f>
        <v>RADISSON CURITIBA</v>
      </c>
      <c r="H300" s="63">
        <v>3301098572</v>
      </c>
      <c r="I300" s="28" t="s">
        <v>22132</v>
      </c>
      <c r="J300" s="91">
        <v>33</v>
      </c>
      <c r="K300" s="86">
        <v>46169</v>
      </c>
      <c r="L300" s="34">
        <v>33</v>
      </c>
      <c r="M300" s="6">
        <v>46182</v>
      </c>
      <c r="N300" s="6">
        <v>46178</v>
      </c>
      <c r="O300" s="19">
        <f>TAB_OFICINAS[[#This Row],[Data Retorno Produção]]-TAB_OFICINAS[[#This Row],[Data Prometida  Entrega]]</f>
        <v>-4</v>
      </c>
      <c r="P300" s="40" t="str">
        <f>IF(TAB_OFICINAS[[#This Row],[Dias Para Entrega]]&lt;=0,"Em dia","Dia de Atrasado")</f>
        <v>Em dia</v>
      </c>
      <c r="Q300" s="10">
        <f>IFERROR(TAB_OFICINAS[[#This Row],[Qtd pçs Enviadas]]-TAB_OFICINAS[[#This Row],[Qtd pçs Retornadas ]]," ")</f>
        <v>0</v>
      </c>
      <c r="R300" s="10"/>
      <c r="S300" s="5">
        <v>3233</v>
      </c>
      <c r="T300" s="5">
        <v>17274</v>
      </c>
      <c r="U300" s="1">
        <v>3.6</v>
      </c>
      <c r="V300" s="3">
        <f>IFERROR(TAB_OFICINAS[[#This Row],[Valor Unit]]*TAB_OFICINAS[[#This Row],[Qtd pçs Enviadas]]," ")</f>
        <v>118.8</v>
      </c>
      <c r="W300" s="17">
        <v>46185</v>
      </c>
      <c r="X300" s="5" t="s">
        <v>6251</v>
      </c>
      <c r="Y300" s="4" t="s">
        <v>22912</v>
      </c>
      <c r="Z3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1" spans="3:26" ht="71.25" hidden="1">
      <c r="C301" s="28" t="s">
        <v>15</v>
      </c>
      <c r="D301" s="5">
        <v>164</v>
      </c>
      <c r="E301" s="5">
        <v>23220</v>
      </c>
      <c r="F301" s="28" t="str">
        <f>IFERROR(VLOOKUP(TAB_OFICINAS[[#This Row],[Cliente]],LISTA_DE_CLIENTES[[Código]:[Nome Fantasia]],2,FALSE),"")</f>
        <v>HOTEL CURITIBA CAPITAL S/A</v>
      </c>
      <c r="G301" s="2" t="str">
        <f>IFERROR(VLOOKUP(TAB_OFICINAS[[#This Row],[Cliente]],LISTA_DE_CLIENTES[[Código]:[Nome Fantasia]],3,FALSE),"")</f>
        <v>RADISSON CURITIBA</v>
      </c>
      <c r="H301" s="63">
        <v>3301098571</v>
      </c>
      <c r="I301" s="28" t="s">
        <v>22131</v>
      </c>
      <c r="J301" s="91">
        <v>33</v>
      </c>
      <c r="K301" s="86">
        <v>46169</v>
      </c>
      <c r="L301" s="34">
        <v>33</v>
      </c>
      <c r="M301" s="6">
        <v>46182</v>
      </c>
      <c r="N301" s="6">
        <v>46178</v>
      </c>
      <c r="O301" s="19">
        <f>TAB_OFICINAS[[#This Row],[Data Retorno Produção]]-TAB_OFICINAS[[#This Row],[Data Prometida  Entrega]]</f>
        <v>-4</v>
      </c>
      <c r="P301" s="40" t="str">
        <f>IF(TAB_OFICINAS[[#This Row],[Dias Para Entrega]]&lt;=0,"Em dia","Dia de Atrasado")</f>
        <v>Em dia</v>
      </c>
      <c r="Q301" s="10">
        <f>IFERROR(TAB_OFICINAS[[#This Row],[Qtd pçs Enviadas]]-TAB_OFICINAS[[#This Row],[Qtd pçs Retornadas ]]," ")</f>
        <v>0</v>
      </c>
      <c r="R301" s="10">
        <v>33</v>
      </c>
      <c r="S301" s="5">
        <v>3233</v>
      </c>
      <c r="T301" s="5">
        <v>17274</v>
      </c>
      <c r="U301" s="1">
        <v>3.6</v>
      </c>
      <c r="V301" s="3">
        <f>IFERROR(TAB_OFICINAS[[#This Row],[Valor Unit]]*TAB_OFICINAS[[#This Row],[Qtd pçs Enviadas]]," ")</f>
        <v>118.8</v>
      </c>
      <c r="W301" s="17">
        <v>46185</v>
      </c>
      <c r="X301" s="5" t="s">
        <v>6251</v>
      </c>
      <c r="Y301" s="4" t="s">
        <v>23170</v>
      </c>
      <c r="Z3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2" spans="3:26" hidden="1">
      <c r="C302" s="28" t="s">
        <v>17</v>
      </c>
      <c r="D302" s="5">
        <v>164</v>
      </c>
      <c r="E302" s="5">
        <v>23220</v>
      </c>
      <c r="F302" s="28" t="str">
        <f>IFERROR(VLOOKUP(TAB_OFICINAS[[#This Row],[Cliente]],LISTA_DE_CLIENTES[[Código]:[Nome Fantasia]],2,FALSE),"")</f>
        <v>HOTEL CURITIBA CAPITAL S/A</v>
      </c>
      <c r="G302" s="2" t="str">
        <f>IFERROR(VLOOKUP(TAB_OFICINAS[[#This Row],[Cliente]],LISTA_DE_CLIENTES[[Código]:[Nome Fantasia]],3,FALSE),"")</f>
        <v>RADISSON CURITIBA</v>
      </c>
      <c r="H302" s="63">
        <v>3301098572</v>
      </c>
      <c r="I302" s="28" t="s">
        <v>22132</v>
      </c>
      <c r="J302" s="91">
        <v>33</v>
      </c>
      <c r="K302" s="86">
        <v>46170</v>
      </c>
      <c r="L302" s="34">
        <v>33</v>
      </c>
      <c r="M302" s="6">
        <v>46188</v>
      </c>
      <c r="N302" s="6">
        <v>46188</v>
      </c>
      <c r="O302" s="19">
        <f>TAB_OFICINAS[[#This Row],[Data Retorno Produção]]-TAB_OFICINAS[[#This Row],[Data Prometida  Entrega]]</f>
        <v>0</v>
      </c>
      <c r="P302" s="40" t="str">
        <f>IF(TAB_OFICINAS[[#This Row],[Dias Para Entrega]]&lt;=0,"Em dia","Dia de Atrasado")</f>
        <v>Em dia</v>
      </c>
      <c r="Q302" s="10">
        <f>IFERROR(TAB_OFICINAS[[#This Row],[Qtd pçs Enviadas]]-TAB_OFICINAS[[#This Row],[Qtd pçs Retornadas ]]," ")</f>
        <v>0</v>
      </c>
      <c r="R302" s="10">
        <v>0</v>
      </c>
      <c r="S302" s="5">
        <v>3237</v>
      </c>
      <c r="T302" s="5">
        <v>57</v>
      </c>
      <c r="U302" s="1">
        <v>16</v>
      </c>
      <c r="V302" s="3">
        <f>IFERROR(TAB_OFICINAS[[#This Row],[Valor Unit]]*TAB_OFICINAS[[#This Row],[Qtd pçs Enviadas]]," ")</f>
        <v>528</v>
      </c>
      <c r="W302" s="17">
        <v>46203</v>
      </c>
      <c r="X302" s="5" t="s">
        <v>6251</v>
      </c>
      <c r="Y302" s="4"/>
      <c r="Z3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3" spans="3:26" ht="71.25" hidden="1">
      <c r="C303" s="28" t="s">
        <v>17</v>
      </c>
      <c r="D303" s="5">
        <v>164</v>
      </c>
      <c r="E303" s="5">
        <v>23220</v>
      </c>
      <c r="F303" s="28" t="str">
        <f>IFERROR(VLOOKUP(TAB_OFICINAS[[#This Row],[Cliente]],LISTA_DE_CLIENTES[[Código]:[Nome Fantasia]],2,FALSE),"")</f>
        <v>HOTEL CURITIBA CAPITAL S/A</v>
      </c>
      <c r="G303" s="2" t="str">
        <f>IFERROR(VLOOKUP(TAB_OFICINAS[[#This Row],[Cliente]],LISTA_DE_CLIENTES[[Código]:[Nome Fantasia]],3,FALSE),"")</f>
        <v>RADISSON CURITIBA</v>
      </c>
      <c r="H303" s="63">
        <v>3301098571</v>
      </c>
      <c r="I303" s="28" t="s">
        <v>22131</v>
      </c>
      <c r="J303" s="91">
        <v>33</v>
      </c>
      <c r="K303" s="86">
        <v>46170</v>
      </c>
      <c r="L303" s="34">
        <v>33</v>
      </c>
      <c r="M303" s="6">
        <v>46190</v>
      </c>
      <c r="N303" s="6">
        <v>46192</v>
      </c>
      <c r="O303" s="19">
        <f>TAB_OFICINAS[[#This Row],[Data Retorno Produção]]-TAB_OFICINAS[[#This Row],[Data Prometida  Entrega]]</f>
        <v>2</v>
      </c>
      <c r="P303" s="40" t="str">
        <f>IF(TAB_OFICINAS[[#This Row],[Dias Para Entrega]]&lt;=0,"Em dia","Dia de Atrasado")</f>
        <v>Dia de Atrasado</v>
      </c>
      <c r="Q303" s="10">
        <f>IFERROR(TAB_OFICINAS[[#This Row],[Qtd pçs Enviadas]]-TAB_OFICINAS[[#This Row],[Qtd pçs Retornadas ]]," ")</f>
        <v>0</v>
      </c>
      <c r="R303" s="10">
        <v>0</v>
      </c>
      <c r="S303" s="5">
        <v>3237</v>
      </c>
      <c r="T303" s="5">
        <v>57</v>
      </c>
      <c r="U303" s="1">
        <v>16</v>
      </c>
      <c r="V303" s="3">
        <f>IFERROR(TAB_OFICINAS[[#This Row],[Valor Unit]]*TAB_OFICINAS[[#This Row],[Qtd pçs Enviadas]]," ")</f>
        <v>528</v>
      </c>
      <c r="W303" s="17">
        <v>46203</v>
      </c>
      <c r="X303" s="5" t="s">
        <v>6251</v>
      </c>
      <c r="Y303" s="4" t="s">
        <v>23439</v>
      </c>
      <c r="Z3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4" spans="3:26" ht="85.5" hidden="1">
      <c r="C304" s="28" t="s">
        <v>18</v>
      </c>
      <c r="D304" s="5">
        <v>2575</v>
      </c>
      <c r="E304" s="5">
        <v>22567</v>
      </c>
      <c r="F304" s="28" t="str">
        <f>IFERROR(VLOOKUP(TAB_OFICINAS[[#This Row],[Cliente]],LISTA_DE_CLIENTES[[Código]:[Nome Fantasia]],2,FALSE),"")</f>
        <v>DIAGNOSTICOS DA AMERICA S.A .</v>
      </c>
      <c r="G304" s="5" t="str">
        <f>IFERROR(VLOOKUP(TAB_OFICINAS[[#This Row],[Cliente]],LISTA_DE_CLIENTES[[Código]:[Nome Fantasia]],3,FALSE),"")</f>
        <v>DASA HIGIENÓPOLIS</v>
      </c>
      <c r="H304" s="51">
        <v>3301092598</v>
      </c>
      <c r="I304" s="28" t="s">
        <v>20360</v>
      </c>
      <c r="J304" s="91">
        <v>15</v>
      </c>
      <c r="K304" s="86">
        <v>46065</v>
      </c>
      <c r="L304" s="10">
        <v>15</v>
      </c>
      <c r="M304" s="6">
        <v>46078</v>
      </c>
      <c r="N304" s="6">
        <v>46076</v>
      </c>
      <c r="O304" s="19">
        <f>TAB_OFICINAS[[#This Row],[Data Retorno Produção]]-TAB_OFICINAS[[#This Row],[Data Prometida  Entrega]]</f>
        <v>-2</v>
      </c>
      <c r="P304" s="40" t="str">
        <f>IF(TAB_OFICINAS[[#This Row],[Dias Para Entrega]]&lt;=0,"Em dia","Dia de Atrasado")</f>
        <v>Em dia</v>
      </c>
      <c r="Q304" s="10">
        <f>IFERROR(TAB_OFICINAS[[#This Row],[Qtd pçs Enviadas]]-TAB_OFICINAS[[#This Row],[Qtd pçs Retornadas ]],"N/D ")</f>
        <v>0</v>
      </c>
      <c r="R304" s="10">
        <v>1</v>
      </c>
      <c r="S304" s="5">
        <v>586</v>
      </c>
      <c r="T304" s="5">
        <v>33</v>
      </c>
      <c r="U304" s="52">
        <v>16</v>
      </c>
      <c r="V304" s="44">
        <f>IFERROR(TAB_OFICINAS[[#This Row],[Valor Unit]]*TAB_OFICINAS[[#This Row],[Qtd pçs Enviadas]]," ")</f>
        <v>240</v>
      </c>
      <c r="W304" s="17">
        <v>46058</v>
      </c>
      <c r="X304" s="5" t="s">
        <v>6251</v>
      </c>
      <c r="Y304" s="27" t="s">
        <v>20381</v>
      </c>
      <c r="Z3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5" spans="3:26" hidden="1">
      <c r="C305" s="28" t="s">
        <v>18</v>
      </c>
      <c r="D305" s="5">
        <v>2575</v>
      </c>
      <c r="E305" s="5">
        <v>22567</v>
      </c>
      <c r="F305" s="28" t="str">
        <f>IFERROR(VLOOKUP(TAB_OFICINAS[[#This Row],[Cliente]],LISTA_DE_CLIENTES[[Código]:[Nome Fantasia]],2,FALSE),"")</f>
        <v>DIAGNOSTICOS DA AMERICA S.A .</v>
      </c>
      <c r="G305" s="5" t="str">
        <f>IFERROR(VLOOKUP(TAB_OFICINAS[[#This Row],[Cliente]],LISTA_DE_CLIENTES[[Código]:[Nome Fantasia]],3,FALSE),"")</f>
        <v>DASA HIGIENÓPOLIS</v>
      </c>
      <c r="H305" s="51">
        <v>3301095930</v>
      </c>
      <c r="I305" s="28" t="s">
        <v>20342</v>
      </c>
      <c r="J305" s="91">
        <v>15</v>
      </c>
      <c r="K305" s="86">
        <v>46065</v>
      </c>
      <c r="L305" s="10">
        <v>15</v>
      </c>
      <c r="M305" s="6">
        <v>46078</v>
      </c>
      <c r="N305" s="6">
        <v>46076</v>
      </c>
      <c r="O305" s="19">
        <f>TAB_OFICINAS[[#This Row],[Data Retorno Produção]]-TAB_OFICINAS[[#This Row],[Data Prometida  Entrega]]</f>
        <v>-2</v>
      </c>
      <c r="P305" s="40" t="str">
        <f>IF(TAB_OFICINAS[[#This Row],[Dias Para Entrega]]&lt;=0,"Em dia","Dia de Atrasado")</f>
        <v>Em dia</v>
      </c>
      <c r="Q305" s="10">
        <f>IFERROR(TAB_OFICINAS[[#This Row],[Qtd pçs Enviadas]]-TAB_OFICINAS[[#This Row],[Qtd pçs Retornadas ]],"N/D ")</f>
        <v>0</v>
      </c>
      <c r="R305" s="10">
        <v>0</v>
      </c>
      <c r="S305" s="5">
        <v>586</v>
      </c>
      <c r="T305" s="5">
        <v>33</v>
      </c>
      <c r="U305" s="52">
        <v>16</v>
      </c>
      <c r="V305" s="44">
        <f>IFERROR(TAB_OFICINAS[[#This Row],[Valor Unit]]*TAB_OFICINAS[[#This Row],[Qtd pçs Enviadas]]," ")</f>
        <v>240</v>
      </c>
      <c r="W305" s="17">
        <v>46058</v>
      </c>
      <c r="X305" s="5" t="s">
        <v>6251</v>
      </c>
      <c r="Y305" s="27"/>
      <c r="Z3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6" spans="3:26" hidden="1">
      <c r="C306" s="28" t="s">
        <v>19</v>
      </c>
      <c r="D306" s="5">
        <v>3593</v>
      </c>
      <c r="E306" s="5">
        <v>22565</v>
      </c>
      <c r="F306" s="28" t="str">
        <f>IFERROR(VLOOKUP(TAB_OFICINAS[[#This Row],[Cliente]],LISTA_DE_CLIENTES[[Código]:[Nome Fantasia]],2,FALSE),"")</f>
        <v>DIAGNOSTICOS DA AMERICA S.A.</v>
      </c>
      <c r="G306" s="5" t="str">
        <f>IFERROR(VLOOKUP(TAB_OFICINAS[[#This Row],[Cliente]],LISTA_DE_CLIENTES[[Código]:[Nome Fantasia]],3,FALSE),"")</f>
        <v>DASA PINHEIROS</v>
      </c>
      <c r="H306" s="63">
        <v>3301092628</v>
      </c>
      <c r="I306" s="28" t="s">
        <v>20827</v>
      </c>
      <c r="J306" s="91">
        <v>10</v>
      </c>
      <c r="K306" s="86">
        <v>46091</v>
      </c>
      <c r="L306" s="10">
        <v>10</v>
      </c>
      <c r="M306" s="6">
        <v>46105</v>
      </c>
      <c r="N306" s="6">
        <v>46097</v>
      </c>
      <c r="O306" s="19">
        <f>TAB_OFICINAS[[#This Row],[Data Retorno Produção]]-TAB_OFICINAS[[#This Row],[Data Prometida  Entrega]]</f>
        <v>-8</v>
      </c>
      <c r="P306" s="40" t="str">
        <f>IF(TAB_OFICINAS[[#This Row],[Dias Para Entrega]]&lt;=0,"Em dia","Dia de Atrasado")</f>
        <v>Em dia</v>
      </c>
      <c r="Q306" s="10">
        <f>IFERROR(TAB_OFICINAS[[#This Row],[Qtd pçs Enviadas]]-TAB_OFICINAS[[#This Row],[Qtd pçs Retornadas ]]," ")</f>
        <v>0</v>
      </c>
      <c r="R306" s="10">
        <v>0</v>
      </c>
      <c r="S306" s="5">
        <v>676</v>
      </c>
      <c r="T306" s="5">
        <v>45</v>
      </c>
      <c r="U306" s="52">
        <v>16</v>
      </c>
      <c r="V306" s="44">
        <f>IFERROR(TAB_OFICINAS[[#This Row],[Valor Unit]]*TAB_OFICINAS[[#This Row],[Qtd pçs Enviadas]]," ")</f>
        <v>160</v>
      </c>
      <c r="W306" s="17">
        <v>46107</v>
      </c>
      <c r="X306" s="5" t="s">
        <v>6251</v>
      </c>
      <c r="Y306" s="27"/>
      <c r="Z3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7" spans="3:26" hidden="1">
      <c r="C307" s="28" t="s">
        <v>19</v>
      </c>
      <c r="D307" s="5">
        <v>5189</v>
      </c>
      <c r="E307" s="5">
        <v>22560</v>
      </c>
      <c r="F307" s="28" t="str">
        <f>IFERROR(VLOOKUP(TAB_OFICINAS[[#This Row],[Cliente]],LISTA_DE_CLIENTES[[Código]:[Nome Fantasia]],2,FALSE),"")</f>
        <v>DIAGNOSTICOS DA AMERICA S.A .</v>
      </c>
      <c r="G307" s="5" t="str">
        <f>IFERROR(VLOOKUP(TAB_OFICINAS[[#This Row],[Cliente]],LISTA_DE_CLIENTES[[Código]:[Nome Fantasia]],3,FALSE),"")</f>
        <v>DASA VILA ANDRADE</v>
      </c>
      <c r="H307" s="63">
        <v>3301093025</v>
      </c>
      <c r="I307" s="28" t="s">
        <v>20833</v>
      </c>
      <c r="J307" s="91">
        <v>30</v>
      </c>
      <c r="K307" s="86">
        <v>46101</v>
      </c>
      <c r="L307" s="10">
        <v>30</v>
      </c>
      <c r="M307" s="6">
        <v>46107</v>
      </c>
      <c r="N307" s="6">
        <v>46106</v>
      </c>
      <c r="O307" s="19">
        <f>TAB_OFICINAS[[#This Row],[Data Retorno Produção]]-TAB_OFICINAS[[#This Row],[Data Prometida  Entrega]]</f>
        <v>-1</v>
      </c>
      <c r="P307" s="40" t="str">
        <f>IF(TAB_OFICINAS[[#This Row],[Dias Para Entrega]]&lt;=0,"Em dia","Dia de Atrasado")</f>
        <v>Em dia</v>
      </c>
      <c r="Q307" s="10">
        <f>IFERROR(TAB_OFICINAS[[#This Row],[Qtd pçs Enviadas]]-TAB_OFICINAS[[#This Row],[Qtd pçs Retornadas ]]," ")</f>
        <v>0</v>
      </c>
      <c r="R307" s="10">
        <v>0</v>
      </c>
      <c r="S307" s="5">
        <v>700</v>
      </c>
      <c r="T307" s="5">
        <v>46</v>
      </c>
      <c r="U307" s="52">
        <v>16</v>
      </c>
      <c r="V307" s="44">
        <f>IFERROR(TAB_OFICINAS[[#This Row],[Valor Unit]]*TAB_OFICINAS[[#This Row],[Qtd pçs Enviadas]]," ")</f>
        <v>480</v>
      </c>
      <c r="W307" s="17">
        <v>46115</v>
      </c>
      <c r="X307" s="5" t="s">
        <v>6251</v>
      </c>
      <c r="Y307" s="27"/>
      <c r="Z3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8" spans="3:26" hidden="1">
      <c r="C308" s="28" t="s">
        <v>7</v>
      </c>
      <c r="D308" s="5">
        <v>526</v>
      </c>
      <c r="E308" s="5">
        <v>22950</v>
      </c>
      <c r="F308" s="28" t="str">
        <f>IFERROR(VLOOKUP(TAB_OFICINAS[[#This Row],[Cliente]],LISTA_DE_CLIENTES[[Código]:[Nome Fantasia]],2,FALSE),"")</f>
        <v>ATMOSFERA GESTAO E HIGIENIZACAO DE TEXTEIS S.A.</v>
      </c>
      <c r="G308" s="5" t="str">
        <f>IFERROR(VLOOKUP(TAB_OFICINAS[[#This Row],[Cliente]],LISTA_DE_CLIENTES[[Código]:[Nome Fantasia]],3,FALSE),"")</f>
        <v>ATMOSFERA ST BARBARA</v>
      </c>
      <c r="H308" s="63">
        <v>92101472178</v>
      </c>
      <c r="I308" s="28" t="s">
        <v>20507</v>
      </c>
      <c r="J308" s="91">
        <v>20</v>
      </c>
      <c r="K308" s="86">
        <v>46090</v>
      </c>
      <c r="L308" s="10">
        <v>20</v>
      </c>
      <c r="M308" s="6">
        <v>46104</v>
      </c>
      <c r="N308" s="6">
        <v>46098</v>
      </c>
      <c r="O308" s="19">
        <f>TAB_OFICINAS[[#This Row],[Data Retorno Produção]]-TAB_OFICINAS[[#This Row],[Data Prometida  Entrega]]</f>
        <v>-6</v>
      </c>
      <c r="P308" s="40" t="str">
        <f>IF(TAB_OFICINAS[[#This Row],[Dias Para Entrega]]&lt;=0,"Em dia","Dia de Atrasado")</f>
        <v>Em dia</v>
      </c>
      <c r="Q308" s="10">
        <f>IFERROR(TAB_OFICINAS[[#This Row],[Qtd pçs Enviadas]]-TAB_OFICINAS[[#This Row],[Qtd pçs Retornadas ]]," ")</f>
        <v>0</v>
      </c>
      <c r="R308" s="10">
        <v>0</v>
      </c>
      <c r="S308" s="5">
        <v>664</v>
      </c>
      <c r="T308" s="5">
        <v>27</v>
      </c>
      <c r="U308" s="52">
        <v>12</v>
      </c>
      <c r="V308" s="44">
        <f>IFERROR(TAB_OFICINAS[[#This Row],[Valor Unit]]*TAB_OFICINAS[[#This Row],[Qtd pçs Enviadas]]," ")</f>
        <v>240</v>
      </c>
      <c r="W308" s="17">
        <v>46108</v>
      </c>
      <c r="X308" s="5" t="s">
        <v>6251</v>
      </c>
      <c r="Y308" s="27"/>
      <c r="Z3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09" spans="3:26" hidden="1">
      <c r="C309" s="28" t="s">
        <v>20</v>
      </c>
      <c r="D309" s="5">
        <v>2933</v>
      </c>
      <c r="E309" s="5">
        <v>23078</v>
      </c>
      <c r="F309" s="28" t="str">
        <f>IFERROR(VLOOKUP(TAB_OFICINAS[[#This Row],[Cliente]],LISTA_DE_CLIENTES[[Código]:[Nome Fantasia]],2,FALSE),"")</f>
        <v>J.F. GOMES POUSADA EIRELI</v>
      </c>
      <c r="G309" s="5" t="str">
        <f>IFERROR(VLOOKUP(TAB_OFICINAS[[#This Row],[Cliente]],LISTA_DE_CLIENTES[[Código]:[Nome Fantasia]],3,FALSE),"")</f>
        <v>POUSADA APPLE HOUSE</v>
      </c>
      <c r="H309" s="63">
        <v>2101063053</v>
      </c>
      <c r="I309" s="28" t="s">
        <v>20917</v>
      </c>
      <c r="J309" s="91">
        <v>30</v>
      </c>
      <c r="K309" s="86">
        <v>46139</v>
      </c>
      <c r="L309" s="10">
        <v>30</v>
      </c>
      <c r="M309" s="6">
        <v>46142</v>
      </c>
      <c r="N309" s="6">
        <v>46142</v>
      </c>
      <c r="O309" s="19">
        <f>TAB_OFICINAS[[#This Row],[Data Retorno Produção]]-TAB_OFICINAS[[#This Row],[Data Prometida  Entrega]]</f>
        <v>0</v>
      </c>
      <c r="P309" s="40" t="str">
        <f>IF(TAB_OFICINAS[[#This Row],[Dias Para Entrega]]&lt;=0,"Em dia","Dia de Atrasado")</f>
        <v>Em dia</v>
      </c>
      <c r="Q309" s="10">
        <f>IFERROR(TAB_OFICINAS[[#This Row],[Qtd pçs Enviadas]]-TAB_OFICINAS[[#This Row],[Qtd pçs Retornadas ]]," ")</f>
        <v>0</v>
      </c>
      <c r="R309" s="10"/>
      <c r="S309" s="5">
        <v>794</v>
      </c>
      <c r="T309" s="5">
        <v>86</v>
      </c>
      <c r="U309" s="52">
        <v>5</v>
      </c>
      <c r="V309" s="44">
        <f>IFERROR(TAB_OFICINAS[[#This Row],[Valor Unit]]*TAB_OFICINAS[[#This Row],[Qtd pçs Enviadas]]," ")</f>
        <v>150</v>
      </c>
      <c r="W309" s="17">
        <v>46153</v>
      </c>
      <c r="X309" s="5" t="s">
        <v>6251</v>
      </c>
      <c r="Y309" s="27"/>
      <c r="Z3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0" spans="3:26" hidden="1">
      <c r="C310" s="28" t="s">
        <v>7</v>
      </c>
      <c r="D310" s="5">
        <v>526</v>
      </c>
      <c r="E310" s="5">
        <v>22950</v>
      </c>
      <c r="F310" s="28" t="str">
        <f>IFERROR(VLOOKUP(TAB_OFICINAS[[#This Row],[Cliente]],LISTA_DE_CLIENTES[[Código]:[Nome Fantasia]],2,FALSE),"")</f>
        <v>ATMOSFERA GESTAO E HIGIENIZACAO DE TEXTEIS S.A.</v>
      </c>
      <c r="G310" s="5" t="str">
        <f>IFERROR(VLOOKUP(TAB_OFICINAS[[#This Row],[Cliente]],LISTA_DE_CLIENTES[[Código]:[Nome Fantasia]],3,FALSE),"")</f>
        <v>ATMOSFERA ST BARBARA</v>
      </c>
      <c r="H310" s="63">
        <v>92102156032</v>
      </c>
      <c r="I310" s="28" t="s">
        <v>20511</v>
      </c>
      <c r="J310" s="91">
        <v>20</v>
      </c>
      <c r="K310" s="86">
        <v>46090</v>
      </c>
      <c r="L310" s="10">
        <v>20</v>
      </c>
      <c r="M310" s="6">
        <v>46104</v>
      </c>
      <c r="N310" s="6">
        <v>46098</v>
      </c>
      <c r="O310" s="19">
        <f>TAB_OFICINAS[[#This Row],[Data Retorno Produção]]-TAB_OFICINAS[[#This Row],[Data Prometida  Entrega]]</f>
        <v>-6</v>
      </c>
      <c r="P310" s="40" t="str">
        <f>IF(TAB_OFICINAS[[#This Row],[Dias Para Entrega]]&lt;=0,"Em dia","Dia de Atrasado")</f>
        <v>Em dia</v>
      </c>
      <c r="Q310" s="10">
        <f>IFERROR(TAB_OFICINAS[[#This Row],[Qtd pçs Enviadas]]-TAB_OFICINAS[[#This Row],[Qtd pçs Retornadas ]]," ")</f>
        <v>0</v>
      </c>
      <c r="R310" s="10">
        <v>0</v>
      </c>
      <c r="S310" s="5">
        <v>664</v>
      </c>
      <c r="T310" s="5">
        <v>27</v>
      </c>
      <c r="U310" s="52">
        <v>14</v>
      </c>
      <c r="V310" s="44">
        <f>IFERROR(TAB_OFICINAS[[#This Row],[Valor Unit]]*TAB_OFICINAS[[#This Row],[Qtd pçs Enviadas]]," ")</f>
        <v>280</v>
      </c>
      <c r="W310" s="17">
        <v>46108</v>
      </c>
      <c r="X310" s="5" t="s">
        <v>6251</v>
      </c>
      <c r="Y310" s="27"/>
      <c r="Z3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1" spans="3:26" hidden="1">
      <c r="C311" s="28" t="s">
        <v>15</v>
      </c>
      <c r="D311" s="5">
        <v>526</v>
      </c>
      <c r="E311" s="5">
        <v>22950</v>
      </c>
      <c r="F311" s="28" t="str">
        <f>IFERROR(VLOOKUP(TAB_OFICINAS[[#This Row],[Cliente]],LISTA_DE_CLIENTES[[Código]:[Nome Fantasia]],2,FALSE),"")</f>
        <v>ATMOSFERA GESTAO E HIGIENIZACAO DE TEXTEIS S.A.</v>
      </c>
      <c r="G311" s="5" t="str">
        <f>IFERROR(VLOOKUP(TAB_OFICINAS[[#This Row],[Cliente]],LISTA_DE_CLIENTES[[Código]:[Nome Fantasia]],3,FALSE),"")</f>
        <v>ATMOSFERA ST BARBARA</v>
      </c>
      <c r="H311" s="63">
        <v>92115472176</v>
      </c>
      <c r="I311" s="28" t="s">
        <v>20503</v>
      </c>
      <c r="J311" s="91">
        <v>30</v>
      </c>
      <c r="K311" s="86">
        <v>46091</v>
      </c>
      <c r="L311" s="10">
        <v>30</v>
      </c>
      <c r="M311" s="6">
        <v>46097</v>
      </c>
      <c r="N311" s="6">
        <v>46098</v>
      </c>
      <c r="O311" s="19">
        <f>TAB_OFICINAS[[#This Row],[Data Retorno Produção]]-TAB_OFICINAS[[#This Row],[Data Prometida  Entrega]]</f>
        <v>1</v>
      </c>
      <c r="P311" s="40" t="str">
        <f>IF(TAB_OFICINAS[[#This Row],[Dias Para Entrega]]&lt;=0,"Em dia","Dia de Atrasado")</f>
        <v>Dia de Atrasado</v>
      </c>
      <c r="Q311" s="10">
        <f>IFERROR(TAB_OFICINAS[[#This Row],[Qtd pçs Enviadas]]-TAB_OFICINAS[[#This Row],[Qtd pçs Retornadas ]]," ")</f>
        <v>0</v>
      </c>
      <c r="R311" s="10">
        <v>0</v>
      </c>
      <c r="S311" s="5">
        <v>675</v>
      </c>
      <c r="T311" s="5">
        <v>16991</v>
      </c>
      <c r="U311" s="52">
        <v>15</v>
      </c>
      <c r="V311" s="44">
        <f>IFERROR(TAB_OFICINAS[[#This Row],[Valor Unit]]*TAB_OFICINAS[[#This Row],[Qtd pçs Enviadas]]," ")</f>
        <v>450</v>
      </c>
      <c r="W311" s="17">
        <v>46104</v>
      </c>
      <c r="X311" s="5" t="s">
        <v>6251</v>
      </c>
      <c r="Y311" s="27"/>
      <c r="Z3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2" spans="3:26" hidden="1">
      <c r="C312" s="28" t="s">
        <v>19</v>
      </c>
      <c r="D312" s="5">
        <v>943</v>
      </c>
      <c r="E312" s="5">
        <v>23016</v>
      </c>
      <c r="F312" s="28" t="str">
        <f>IFERROR(VLOOKUP(TAB_OFICINAS[[#This Row],[Cliente]],LISTA_DE_CLIENTES[[Código]:[Nome Fantasia]],2,FALSE),"")</f>
        <v>REDE DOR SAO LUIZ S.A.</v>
      </c>
      <c r="G312" s="5" t="str">
        <f>IFERROR(VLOOKUP(TAB_OFICINAS[[#This Row],[Cliente]],LISTA_DE_CLIENTES[[Código]:[Nome Fantasia]],3,FALSE),"")</f>
        <v>HOSPITAL COPA STAR</v>
      </c>
      <c r="H312" s="63">
        <v>2121019725</v>
      </c>
      <c r="I312" s="28" t="s">
        <v>21409</v>
      </c>
      <c r="J312" s="91">
        <v>108</v>
      </c>
      <c r="K312" s="86">
        <v>46107</v>
      </c>
      <c r="L312" s="10">
        <v>108</v>
      </c>
      <c r="M312" s="6">
        <v>46114</v>
      </c>
      <c r="N312" s="6">
        <v>46113</v>
      </c>
      <c r="O312" s="19">
        <f>TAB_OFICINAS[[#This Row],[Data Retorno Produção]]-TAB_OFICINAS[[#This Row],[Data Prometida  Entrega]]</f>
        <v>-1</v>
      </c>
      <c r="P312" s="40" t="str">
        <f>IF(TAB_OFICINAS[[#This Row],[Dias Para Entrega]]&lt;=0,"Em dia","Dia de Atrasado")</f>
        <v>Em dia</v>
      </c>
      <c r="Q312" s="10">
        <f>IFERROR(TAB_OFICINAS[[#This Row],[Qtd pçs Enviadas]]-TAB_OFICINAS[[#This Row],[Qtd pçs Retornadas ]]," ")</f>
        <v>0</v>
      </c>
      <c r="R312" s="10">
        <v>0</v>
      </c>
      <c r="S312" s="5">
        <v>715</v>
      </c>
      <c r="T312" s="5">
        <v>47</v>
      </c>
      <c r="U312" s="52">
        <v>3</v>
      </c>
      <c r="V312" s="44">
        <f>IFERROR(TAB_OFICINAS[[#This Row],[Valor Unit]]*TAB_OFICINAS[[#This Row],[Qtd pçs Enviadas]]," ")</f>
        <v>324</v>
      </c>
      <c r="W312" s="17">
        <v>46122</v>
      </c>
      <c r="X312" s="5" t="s">
        <v>6251</v>
      </c>
      <c r="Y312" s="27"/>
      <c r="Z3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3" spans="3:26" hidden="1">
      <c r="C313" s="28" t="s">
        <v>20</v>
      </c>
      <c r="D313" s="5">
        <v>1941</v>
      </c>
      <c r="E313" s="5">
        <v>22893</v>
      </c>
      <c r="F313" s="28" t="str">
        <f>IFERROR(VLOOKUP(TAB_OFICINAS[[#This Row],[Cliente]],LISTA_DE_CLIENTES[[Código]:[Nome Fantasia]],2,FALSE),"")</f>
        <v>HOSPITAIS INTEGRADOS DA GAVEA S/A</v>
      </c>
      <c r="G313" s="5" t="str">
        <f>IFERROR(VLOOKUP(TAB_OFICINAS[[#This Row],[Cliente]],LISTA_DE_CLIENTES[[Código]:[Nome Fantasia]],3,FALSE),"")</f>
        <v>REDE D´OR - DF STAR</v>
      </c>
      <c r="H313" s="63">
        <v>2101107948</v>
      </c>
      <c r="I313" s="28" t="s">
        <v>21372</v>
      </c>
      <c r="J313" s="91">
        <v>300</v>
      </c>
      <c r="K313" s="86">
        <v>46149</v>
      </c>
      <c r="L313" s="10">
        <v>300</v>
      </c>
      <c r="M313" s="6">
        <v>46163</v>
      </c>
      <c r="N313" s="6">
        <v>46157</v>
      </c>
      <c r="O313" s="19">
        <f>TAB_OFICINAS[[#This Row],[Data Retorno Produção]]-TAB_OFICINAS[[#This Row],[Data Prometida  Entrega]]</f>
        <v>-6</v>
      </c>
      <c r="P313" s="40" t="str">
        <f>IF(TAB_OFICINAS[[#This Row],[Dias Para Entrega]]&lt;=0,"Em dia","Dia de Atrasado")</f>
        <v>Em dia</v>
      </c>
      <c r="Q313" s="10">
        <f>IFERROR(TAB_OFICINAS[[#This Row],[Qtd pçs Enviadas]]-TAB_OFICINAS[[#This Row],[Qtd pçs Retornadas ]]," ")</f>
        <v>0</v>
      </c>
      <c r="R313" s="10">
        <v>0</v>
      </c>
      <c r="S313" s="5">
        <v>826</v>
      </c>
      <c r="T313" s="5">
        <v>87</v>
      </c>
      <c r="U313" s="52">
        <v>5</v>
      </c>
      <c r="V313" s="44">
        <f>IFERROR(TAB_OFICINAS[[#This Row],[Valor Unit]]*TAB_OFICINAS[[#This Row],[Qtd pçs Enviadas]]," ")</f>
        <v>1500</v>
      </c>
      <c r="W313" s="17">
        <v>46167</v>
      </c>
      <c r="X313" s="5" t="s">
        <v>6251</v>
      </c>
      <c r="Y313" s="27"/>
      <c r="Z3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4" spans="3:26" hidden="1">
      <c r="C314" s="28" t="s">
        <v>15</v>
      </c>
      <c r="D314" s="5">
        <v>526</v>
      </c>
      <c r="E314" s="5">
        <v>23230</v>
      </c>
      <c r="F314" s="28" t="str">
        <f>IFERROR(VLOOKUP(TAB_OFICINAS[[#This Row],[Cliente]],LISTA_DE_CLIENTES[[Código]:[Nome Fantasia]],2,FALSE),"")</f>
        <v>ATMOSFERA GESTAO E HIGIENIZACAO DE TEXTEIS S.A.</v>
      </c>
      <c r="G314" s="5" t="str">
        <f>IFERROR(VLOOKUP(TAB_OFICINAS[[#This Row],[Cliente]],LISTA_DE_CLIENTES[[Código]:[Nome Fantasia]],3,FALSE),"")</f>
        <v>ATMOSFERA ST BARBARA</v>
      </c>
      <c r="H314" s="63">
        <v>92101119171</v>
      </c>
      <c r="I314" s="28" t="s">
        <v>20513</v>
      </c>
      <c r="J314" s="91">
        <v>30</v>
      </c>
      <c r="K314" s="86">
        <v>46148</v>
      </c>
      <c r="L314" s="10">
        <v>30</v>
      </c>
      <c r="M314" s="6">
        <v>46153</v>
      </c>
      <c r="N314" s="6">
        <f ca="1">TODAY()</f>
        <v>46315</v>
      </c>
      <c r="O314" s="19">
        <f ca="1">TAB_OFICINAS[[#This Row],[Data Retorno Produção]]-TAB_OFICINAS[[#This Row],[Data Prometida  Entrega]]</f>
        <v>162</v>
      </c>
      <c r="P314" s="40" t="str">
        <f ca="1">IF(TAB_OFICINAS[[#This Row],[Dias Para Entrega]]&lt;=0,"Em dia","Dia de Atrasado")</f>
        <v>Dia de Atrasado</v>
      </c>
      <c r="Q314" s="10">
        <f>IFERROR(TAB_OFICINAS[[#This Row],[Qtd pçs Enviadas]]-TAB_OFICINAS[[#This Row],[Qtd pçs Retornadas ]]," ")</f>
        <v>0</v>
      </c>
      <c r="R314" s="10">
        <v>1</v>
      </c>
      <c r="S314" s="5">
        <v>822</v>
      </c>
      <c r="T314" s="5">
        <v>17191</v>
      </c>
      <c r="U314" s="52">
        <v>15</v>
      </c>
      <c r="V314" s="44">
        <f>IFERROR(TAB_OFICINAS[[#This Row],[Valor Unit]]*TAB_OFICINAS[[#This Row],[Qtd pçs Enviadas]]," ")</f>
        <v>450</v>
      </c>
      <c r="W314" s="17">
        <v>46160</v>
      </c>
      <c r="X314" s="5" t="s">
        <v>6251</v>
      </c>
      <c r="Y314" s="27" t="s">
        <v>22634</v>
      </c>
      <c r="Z3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5" spans="3:26" hidden="1">
      <c r="C315" s="28" t="s">
        <v>15</v>
      </c>
      <c r="D315" s="5">
        <v>526</v>
      </c>
      <c r="E315" s="5">
        <v>23230</v>
      </c>
      <c r="F315" s="28" t="str">
        <f>IFERROR(VLOOKUP(TAB_OFICINAS[[#This Row],[Cliente]],LISTA_DE_CLIENTES[[Código]:[Nome Fantasia]],2,FALSE),"")</f>
        <v>ATMOSFERA GESTAO E HIGIENIZACAO DE TEXTEIS S.A.</v>
      </c>
      <c r="G315" s="5" t="str">
        <f>IFERROR(VLOOKUP(TAB_OFICINAS[[#This Row],[Cliente]],LISTA_DE_CLIENTES[[Código]:[Nome Fantasia]],3,FALSE),"")</f>
        <v>ATMOSFERA ST BARBARA</v>
      </c>
      <c r="H315" s="63">
        <v>92115472176</v>
      </c>
      <c r="I315" s="28" t="s">
        <v>20503</v>
      </c>
      <c r="J315" s="91">
        <v>30</v>
      </c>
      <c r="K315" s="86">
        <v>46148</v>
      </c>
      <c r="L315" s="10">
        <v>30</v>
      </c>
      <c r="M315" s="6">
        <v>46153</v>
      </c>
      <c r="N315" s="6">
        <v>46154</v>
      </c>
      <c r="O315" s="19">
        <f>TAB_OFICINAS[[#This Row],[Data Retorno Produção]]-TAB_OFICINAS[[#This Row],[Data Prometida  Entrega]]</f>
        <v>1</v>
      </c>
      <c r="P315" s="40" t="str">
        <f>IF(TAB_OFICINAS[[#This Row],[Dias Para Entrega]]&lt;=0,"Em dia","Dia de Atrasado")</f>
        <v>Dia de Atrasado</v>
      </c>
      <c r="Q315" s="10">
        <v>0</v>
      </c>
      <c r="R315" s="10"/>
      <c r="S315" s="5">
        <v>822</v>
      </c>
      <c r="T315" s="5">
        <v>17191</v>
      </c>
      <c r="U315" s="52">
        <v>15</v>
      </c>
      <c r="V315" s="44">
        <f>IFERROR(TAB_OFICINAS[[#This Row],[Valor Unit]]*TAB_OFICINAS[[#This Row],[Qtd pçs Enviadas]]," ")</f>
        <v>450</v>
      </c>
      <c r="W315" s="17">
        <v>46160</v>
      </c>
      <c r="X315" s="5" t="s">
        <v>6251</v>
      </c>
      <c r="Y315" s="27" t="s">
        <v>22636</v>
      </c>
      <c r="Z3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6" spans="3:26" hidden="1">
      <c r="C316" s="28" t="s">
        <v>15</v>
      </c>
      <c r="D316" s="5">
        <v>4468</v>
      </c>
      <c r="E316" s="5">
        <v>23403</v>
      </c>
      <c r="F316" s="28" t="str">
        <f>IFERROR(VLOOKUP(TAB_OFICINAS[[#This Row],[Cliente]],LISTA_DE_CLIENTES[[Código]:[Nome Fantasia]],2,FALSE),"")</f>
        <v>MANA HOTELARIA LTDA</v>
      </c>
      <c r="G316" s="5" t="str">
        <f>IFERROR(VLOOKUP(TAB_OFICINAS[[#This Row],[Cliente]],LISTA_DE_CLIENTES[[Código]:[Nome Fantasia]],3,FALSE),"")</f>
        <v>MANA HOTELARIA</v>
      </c>
      <c r="H316" s="63">
        <v>3301073128</v>
      </c>
      <c r="I316" s="75" t="s">
        <v>22632</v>
      </c>
      <c r="J316" s="91">
        <v>30</v>
      </c>
      <c r="K316" s="86">
        <v>46150</v>
      </c>
      <c r="L316" s="10">
        <v>30</v>
      </c>
      <c r="M316" s="6">
        <v>46157</v>
      </c>
      <c r="N316" s="6">
        <v>46161</v>
      </c>
      <c r="O316" s="19">
        <f>TAB_OFICINAS[[#This Row],[Data Retorno Produção]]-TAB_OFICINAS[[#This Row],[Data Prometida  Entrega]]</f>
        <v>4</v>
      </c>
      <c r="P316" s="40" t="str">
        <f>IF(TAB_OFICINAS[[#This Row],[Dias Para Entrega]]&lt;=0,"Em dia","Dia de Atrasado")</f>
        <v>Dia de Atrasado</v>
      </c>
      <c r="Q316" s="10">
        <f>IFERROR(TAB_OFICINAS[[#This Row],[Qtd pçs Enviadas]]-TAB_OFICINAS[[#This Row],[Qtd pçs Retornadas ]]," ")</f>
        <v>0</v>
      </c>
      <c r="R316" s="10">
        <v>0</v>
      </c>
      <c r="S316" s="5">
        <v>3204</v>
      </c>
      <c r="T316" s="78">
        <v>17197</v>
      </c>
      <c r="U316" s="52">
        <v>5.4</v>
      </c>
      <c r="V316" s="44">
        <f>IFERROR(TAB_OFICINAS[[#This Row],[Valor Unit]]*TAB_OFICINAS[[#This Row],[Qtd pçs Enviadas]]," ")</f>
        <v>162</v>
      </c>
      <c r="W316" s="17">
        <v>46167</v>
      </c>
      <c r="X316" s="5" t="s">
        <v>6251</v>
      </c>
      <c r="Y316" s="27" t="s">
        <v>22633</v>
      </c>
      <c r="Z3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7" spans="3:26" ht="42.75" hidden="1">
      <c r="C317" s="28" t="s">
        <v>7</v>
      </c>
      <c r="D317" s="5">
        <v>526</v>
      </c>
      <c r="E317" s="5">
        <v>22950</v>
      </c>
      <c r="F317" s="28" t="str">
        <f>IFERROR(VLOOKUP(TAB_OFICINAS[[#This Row],[Cliente]],LISTA_DE_CLIENTES[[Código]:[Nome Fantasia]],2,FALSE),"")</f>
        <v>ATMOSFERA GESTAO E HIGIENIZACAO DE TEXTEIS S.A.</v>
      </c>
      <c r="G317" s="5" t="str">
        <f>IFERROR(VLOOKUP(TAB_OFICINAS[[#This Row],[Cliente]],LISTA_DE_CLIENTES[[Código]:[Nome Fantasia]],3,FALSE),"")</f>
        <v>ATMOSFERA ST BARBARA</v>
      </c>
      <c r="H317" s="63">
        <v>92115476413</v>
      </c>
      <c r="I317" s="28" t="s">
        <v>20505</v>
      </c>
      <c r="J317" s="91">
        <v>10</v>
      </c>
      <c r="K317" s="86">
        <v>46090</v>
      </c>
      <c r="L317" s="10">
        <v>10</v>
      </c>
      <c r="M317" s="6">
        <v>46104</v>
      </c>
      <c r="N317" s="6">
        <v>46098</v>
      </c>
      <c r="O317" s="19">
        <f>TAB_OFICINAS[[#This Row],[Data Retorno Produção]]-TAB_OFICINAS[[#This Row],[Data Prometida  Entrega]]</f>
        <v>-6</v>
      </c>
      <c r="P317" s="40" t="str">
        <f>IF(TAB_OFICINAS[[#This Row],[Dias Para Entrega]]&lt;=0,"Em dia","Dia de Atrasado")</f>
        <v>Em dia</v>
      </c>
      <c r="Q317" s="10">
        <f>IFERROR(TAB_OFICINAS[[#This Row],[Qtd pçs Enviadas]]-TAB_OFICINAS[[#This Row],[Qtd pçs Retornadas ]]," ")</f>
        <v>0</v>
      </c>
      <c r="R317" s="10">
        <v>0</v>
      </c>
      <c r="S317" s="5">
        <v>664</v>
      </c>
      <c r="T317" s="5">
        <v>27</v>
      </c>
      <c r="U317" s="52">
        <v>15</v>
      </c>
      <c r="V317" s="44">
        <f>IFERROR(TAB_OFICINAS[[#This Row],[Valor Unit]]*TAB_OFICINAS[[#This Row],[Qtd pçs Enviadas]]," ")</f>
        <v>150</v>
      </c>
      <c r="W317" s="17">
        <v>46108</v>
      </c>
      <c r="X317" s="5" t="s">
        <v>6251</v>
      </c>
      <c r="Y317" s="27" t="s">
        <v>21459</v>
      </c>
      <c r="Z3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8" spans="3:26" hidden="1">
      <c r="C318" s="28" t="s">
        <v>3</v>
      </c>
      <c r="D318" s="5">
        <v>5572</v>
      </c>
      <c r="E318" s="5">
        <v>23053</v>
      </c>
      <c r="F318" s="28" t="str">
        <f>IFERROR(VLOOKUP(TAB_OFICINAS[[#This Row],[Cliente]],LISTA_DE_CLIENTES[[Código]:[Nome Fantasia]],2,FALSE),"")</f>
        <v>TAUÁ HOTEL E CONVENTION JOÃO PESSOA LTDA</v>
      </c>
      <c r="G318" s="5" t="str">
        <f>IFERROR(VLOOKUP(TAB_OFICINAS[[#This Row],[Cliente]],LISTA_DE_CLIENTES[[Código]:[Nome Fantasia]],3,FALSE),"")</f>
        <v>TAUÁ HOTEL E CONVENT</v>
      </c>
      <c r="H318" s="63">
        <v>3401036168</v>
      </c>
      <c r="I318" s="28" t="s">
        <v>22978</v>
      </c>
      <c r="J318" s="91">
        <v>30</v>
      </c>
      <c r="K318" s="86">
        <v>46176</v>
      </c>
      <c r="L318" s="34">
        <v>30</v>
      </c>
      <c r="M318" s="6">
        <v>46185</v>
      </c>
      <c r="N318" s="6">
        <v>46183</v>
      </c>
      <c r="O318" s="19">
        <f>TAB_OFICINAS[[#This Row],[Data Retorno Produção]]-TAB_OFICINAS[[#This Row],[Data Prometida  Entrega]]</f>
        <v>-2</v>
      </c>
      <c r="P318" s="40" t="str">
        <f>IF(TAB_OFICINAS[[#This Row],[Dias Para Entrega]]&lt;=0,"Em dia","Dia de Atrasado")</f>
        <v>Em dia</v>
      </c>
      <c r="Q318" s="10">
        <f>IFERROR(TAB_OFICINAS[[#This Row],[Qtd pçs Enviadas]]-TAB_OFICINAS[[#This Row],[Qtd pçs Retornadas ]]," ")</f>
        <v>0</v>
      </c>
      <c r="R318" s="10"/>
      <c r="S318" s="5">
        <v>3247</v>
      </c>
      <c r="T318" s="5">
        <v>114</v>
      </c>
      <c r="U318" s="52">
        <v>5</v>
      </c>
      <c r="V318" s="44">
        <f>IFERROR(TAB_OFICINAS[[#This Row],[Valor Unit]]*TAB_OFICINAS[[#This Row],[Qtd pçs Enviadas]]," ")</f>
        <v>150</v>
      </c>
      <c r="W318" s="17">
        <v>46196</v>
      </c>
      <c r="X318" s="5" t="s">
        <v>6251</v>
      </c>
      <c r="Y318" s="27"/>
      <c r="Z3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19" spans="3:26" hidden="1">
      <c r="C319" s="28" t="s">
        <v>3</v>
      </c>
      <c r="E319" s="5">
        <v>29</v>
      </c>
      <c r="F319" s="28" t="s">
        <v>23188</v>
      </c>
      <c r="G319" s="2" t="s">
        <v>23188</v>
      </c>
      <c r="H319" s="51" t="s">
        <v>23962</v>
      </c>
      <c r="I319" s="28" t="s">
        <v>23189</v>
      </c>
      <c r="J319" s="91">
        <v>30</v>
      </c>
      <c r="K319" s="86">
        <v>46183</v>
      </c>
      <c r="L319" s="34">
        <v>30</v>
      </c>
      <c r="M319" s="6">
        <v>46193</v>
      </c>
      <c r="N319" s="6">
        <v>46190</v>
      </c>
      <c r="O319" s="19">
        <f>TAB_OFICINAS[[#This Row],[Data Retorno Produção]]-TAB_OFICINAS[[#This Row],[Data Prometida  Entrega]]</f>
        <v>-3</v>
      </c>
      <c r="P319" s="40" t="str">
        <f>IF(TAB_OFICINAS[[#This Row],[Dias Para Entrega]]&lt;=0,"Em dia","Dia de Atrasado")</f>
        <v>Em dia</v>
      </c>
      <c r="Q319" s="10">
        <f>IFERROR(TAB_OFICINAS[[#This Row],[Qtd pçs Enviadas]]-TAB_OFICINAS[[#This Row],[Qtd pçs Retornadas ]]," ")</f>
        <v>0</v>
      </c>
      <c r="R319" s="10"/>
      <c r="S319" s="5">
        <v>878</v>
      </c>
      <c r="T319" s="5">
        <v>113</v>
      </c>
      <c r="U319" s="1">
        <v>4</v>
      </c>
      <c r="V319" s="3">
        <f>IFERROR(TAB_OFICINAS[[#This Row],[Valor Unit]]*TAB_OFICINAS[[#This Row],[Qtd pçs Enviadas]]," ")</f>
        <v>120</v>
      </c>
      <c r="W319" s="17">
        <v>46199</v>
      </c>
      <c r="X319" s="5" t="s">
        <v>6251</v>
      </c>
      <c r="Y319" s="4"/>
      <c r="Z3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0" spans="3:26" ht="85.5" hidden="1">
      <c r="C320" s="28" t="s">
        <v>17</v>
      </c>
      <c r="D320" s="5">
        <v>4451</v>
      </c>
      <c r="E320" s="5">
        <v>22240</v>
      </c>
      <c r="F320" s="28" t="str">
        <f>IFERROR(VLOOKUP(TAB_OFICINAS[[#This Row],[Cliente]],LISTA_DE_CLIENTES[[Código]:[Nome Fantasia]],2,FALSE),"")</f>
        <v>ASSOCIAÇÃO CLUBE WAVE 1</v>
      </c>
      <c r="G320" s="5" t="str">
        <f>IFERROR(VLOOKUP(TAB_OFICINAS[[#This Row],[Cliente]],LISTA_DE_CLIENTES[[Código]:[Nome Fantasia]],3,FALSE),"")</f>
        <v>BEYOND SP</v>
      </c>
      <c r="H320" s="51">
        <v>3301098696</v>
      </c>
      <c r="I320" s="28" t="s">
        <v>20352</v>
      </c>
      <c r="J320" s="91">
        <v>29</v>
      </c>
      <c r="K320" s="86">
        <v>46080</v>
      </c>
      <c r="L320" s="10">
        <v>29</v>
      </c>
      <c r="M320" s="6">
        <v>46083</v>
      </c>
      <c r="N320" s="6">
        <v>46085</v>
      </c>
      <c r="O320" s="19">
        <f>TAB_OFICINAS[[#This Row],[Data Retorno Produção]]-TAB_OFICINAS[[#This Row],[Data Prometida  Entrega]]</f>
        <v>2</v>
      </c>
      <c r="P320" s="40" t="str">
        <f>IF(TAB_OFICINAS[[#This Row],[Dias Para Entrega]]&lt;=0,"Em dia","Dia de Atrasado")</f>
        <v>Dia de Atrasado</v>
      </c>
      <c r="Q320" s="10">
        <f>IFERROR(TAB_OFICINAS[[#This Row],[Qtd pçs Enviadas]]-TAB_OFICINAS[[#This Row],[Qtd pçs Retornadas ]],"N/D ")</f>
        <v>0</v>
      </c>
      <c r="R320" s="10">
        <v>3</v>
      </c>
      <c r="S320" s="5">
        <v>647</v>
      </c>
      <c r="T320" s="5">
        <v>46</v>
      </c>
      <c r="U320" s="52">
        <v>14</v>
      </c>
      <c r="V320" s="44">
        <f>IFERROR(TAB_OFICINAS[[#This Row],[Valor Unit]]*TAB_OFICINAS[[#This Row],[Qtd pçs Enviadas]]," ")</f>
        <v>406</v>
      </c>
      <c r="W320" s="17">
        <v>46094</v>
      </c>
      <c r="X320" s="5" t="s">
        <v>6251</v>
      </c>
      <c r="Y320" s="27" t="s">
        <v>21196</v>
      </c>
      <c r="Z3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1" spans="3:26" hidden="1">
      <c r="C321" s="28" t="s">
        <v>16</v>
      </c>
      <c r="D321" s="5">
        <v>156</v>
      </c>
      <c r="E321" s="5">
        <v>23030</v>
      </c>
      <c r="F321" s="28" t="str">
        <f>IFERROR(VLOOKUP(TAB_OFICINAS[[#This Row],[Cliente]],LISTA_DE_CLIENTES[[Código]:[Nome Fantasia]],2,FALSE),"")</f>
        <v>HOTEIS ROYAL PALM PLAZA LTDA.</v>
      </c>
      <c r="G321" s="5" t="str">
        <f>IFERROR(VLOOKUP(TAB_OFICINAS[[#This Row],[Cliente]],LISTA_DE_CLIENTES[[Código]:[Nome Fantasia]],3,FALSE),"")</f>
        <v>ROYAL PALM PLAZA</v>
      </c>
      <c r="H321" s="51" t="s">
        <v>22348</v>
      </c>
      <c r="I321" s="28" t="s">
        <v>22350</v>
      </c>
      <c r="J321" s="91">
        <v>29</v>
      </c>
      <c r="K321" s="86">
        <v>46136</v>
      </c>
      <c r="L321" s="10">
        <v>29</v>
      </c>
      <c r="M321" s="6">
        <v>46141</v>
      </c>
      <c r="N321" s="6">
        <v>46139</v>
      </c>
      <c r="O321" s="19">
        <f>TAB_OFICINAS[[#This Row],[Data Retorno Produção]]-TAB_OFICINAS[[#This Row],[Data Prometida  Entrega]]</f>
        <v>-2</v>
      </c>
      <c r="P321" s="40" t="str">
        <f>IF(TAB_OFICINAS[[#This Row],[Dias Para Entrega]]&lt;=0,"Em dia","Dia de Atrasado")</f>
        <v>Em dia</v>
      </c>
      <c r="Q321" s="10">
        <f>IFERROR(TAB_OFICINAS[[#This Row],[Qtd pçs Enviadas]]-TAB_OFICINAS[[#This Row],[Qtd pçs Retornadas ]]," ")</f>
        <v>0</v>
      </c>
      <c r="R321" s="10"/>
      <c r="S321" s="5">
        <v>784</v>
      </c>
      <c r="T321" s="5">
        <v>45</v>
      </c>
      <c r="U321" s="52">
        <v>2.5</v>
      </c>
      <c r="V321" s="44">
        <f>IFERROR(TAB_OFICINAS[[#This Row],[Valor Unit]]*TAB_OFICINAS[[#This Row],[Qtd pçs Enviadas]]," ")</f>
        <v>72.5</v>
      </c>
      <c r="W321" s="17">
        <v>46149</v>
      </c>
      <c r="X321" s="5" t="s">
        <v>6251</v>
      </c>
      <c r="Y321" s="27"/>
      <c r="Z3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2" spans="3:26" hidden="1">
      <c r="C322" s="28" t="s">
        <v>16</v>
      </c>
      <c r="D322" s="5">
        <v>156</v>
      </c>
      <c r="E322" s="5">
        <v>23030</v>
      </c>
      <c r="F322" s="28" t="str">
        <f>IFERROR(VLOOKUP(TAB_OFICINAS[[#This Row],[Cliente]],LISTA_DE_CLIENTES[[Código]:[Nome Fantasia]],2,FALSE),"")</f>
        <v>HOTEIS ROYAL PALM PLAZA LTDA.</v>
      </c>
      <c r="G322" s="5" t="str">
        <f>IFERROR(VLOOKUP(TAB_OFICINAS[[#This Row],[Cliente]],LISTA_DE_CLIENTES[[Código]:[Nome Fantasia]],3,FALSE),"")</f>
        <v>ROYAL PALM PLAZA</v>
      </c>
      <c r="H322" s="51" t="s">
        <v>22349</v>
      </c>
      <c r="I322" s="28" t="s">
        <v>22351</v>
      </c>
      <c r="J322" s="91">
        <v>29</v>
      </c>
      <c r="K322" s="86">
        <v>46136</v>
      </c>
      <c r="L322" s="10">
        <v>29</v>
      </c>
      <c r="M322" s="6">
        <v>46141</v>
      </c>
      <c r="N322" s="6">
        <v>46139</v>
      </c>
      <c r="O322" s="19">
        <f>TAB_OFICINAS[[#This Row],[Data Retorno Produção]]-TAB_OFICINAS[[#This Row],[Data Prometida  Entrega]]</f>
        <v>-2</v>
      </c>
      <c r="P322" s="40" t="str">
        <f>IF(TAB_OFICINAS[[#This Row],[Dias Para Entrega]]&lt;=0,"Em dia","Dia de Atrasado")</f>
        <v>Em dia</v>
      </c>
      <c r="Q322" s="10">
        <f>IFERROR(TAB_OFICINAS[[#This Row],[Qtd pçs Enviadas]]-TAB_OFICINAS[[#This Row],[Qtd pçs Retornadas ]]," ")</f>
        <v>0</v>
      </c>
      <c r="R322" s="10"/>
      <c r="S322" s="5">
        <v>784</v>
      </c>
      <c r="T322" s="5">
        <v>45</v>
      </c>
      <c r="U322" s="52">
        <v>4</v>
      </c>
      <c r="V322" s="44">
        <f>IFERROR(TAB_OFICINAS[[#This Row],[Valor Unit]]*TAB_OFICINAS[[#This Row],[Qtd pçs Enviadas]]," ")</f>
        <v>116</v>
      </c>
      <c r="W322" s="17">
        <v>46149</v>
      </c>
      <c r="X322" s="5" t="s">
        <v>6251</v>
      </c>
      <c r="Y322" s="27"/>
      <c r="Z3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3" spans="3:26" hidden="1">
      <c r="C323" s="28" t="s">
        <v>15</v>
      </c>
      <c r="D323" s="5">
        <v>3107</v>
      </c>
      <c r="E323" s="5">
        <v>22529</v>
      </c>
      <c r="F323" s="28" t="str">
        <f>IFERROR(VLOOKUP(TAB_OFICINAS[[#This Row],[Cliente]],LISTA_DE_CLIENTES[[Código]:[Nome Fantasia]],2,FALSE),"")</f>
        <v>HCC HOTELS GESTAO HOTELEIRA LTDA.</v>
      </c>
      <c r="G323" s="5" t="str">
        <f>IFERROR(VLOOKUP(TAB_OFICINAS[[#This Row],[Cliente]],LISTA_DE_CLIENTES[[Código]:[Nome Fantasia]],3,FALSE),"")</f>
        <v>QOYA SP</v>
      </c>
      <c r="H323" s="51">
        <v>3301078559</v>
      </c>
      <c r="I323" s="28" t="s">
        <v>20393</v>
      </c>
      <c r="J323" s="91">
        <v>26</v>
      </c>
      <c r="K323" s="86">
        <v>46045</v>
      </c>
      <c r="L323" s="10">
        <v>26</v>
      </c>
      <c r="M323" s="6">
        <v>46051</v>
      </c>
      <c r="N323" s="6">
        <v>46051</v>
      </c>
      <c r="O323" s="19">
        <f>TAB_OFICINAS[[#This Row],[Data Retorno Produção]]-TAB_OFICINAS[[#This Row],[Data Prometida  Entrega]]</f>
        <v>0</v>
      </c>
      <c r="P323" s="40" t="str">
        <f>IF(TAB_OFICINAS[[#This Row],[Dias Para Entrega]]&lt;=0,"Em dia","Dia de Atrasado")</f>
        <v>Em dia</v>
      </c>
      <c r="Q323" s="10">
        <f>IFERROR(TAB_OFICINAS[[#This Row],[Qtd pçs Enviadas]]-TAB_OFICINAS[[#This Row],[Qtd pçs Retornadas ]],"N/D ")</f>
        <v>0</v>
      </c>
      <c r="R323" s="10">
        <v>0</v>
      </c>
      <c r="S323" s="5">
        <v>3091</v>
      </c>
      <c r="T323" s="5">
        <v>16885</v>
      </c>
      <c r="U323" s="52">
        <v>3.2</v>
      </c>
      <c r="V323" s="44">
        <f>IFERROR(TAB_OFICINAS[[#This Row],[Valor Unit]]*TAB_OFICINAS[[#This Row],[Qtd pçs Enviadas]]," ")</f>
        <v>83.2</v>
      </c>
      <c r="W323" s="17">
        <v>46059</v>
      </c>
      <c r="X323" s="5" t="s">
        <v>6251</v>
      </c>
      <c r="Y323" s="27"/>
      <c r="Z3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4" spans="3:26" hidden="1">
      <c r="C324" s="28" t="s">
        <v>15</v>
      </c>
      <c r="D324" s="5">
        <v>3107</v>
      </c>
      <c r="E324" s="5">
        <v>22529</v>
      </c>
      <c r="F324" s="28" t="str">
        <f>IFERROR(VLOOKUP(TAB_OFICINAS[[#This Row],[Cliente]],LISTA_DE_CLIENTES[[Código]:[Nome Fantasia]],2,FALSE),"")</f>
        <v>HCC HOTELS GESTAO HOTELEIRA LTDA.</v>
      </c>
      <c r="G324" s="5" t="str">
        <f>IFERROR(VLOOKUP(TAB_OFICINAS[[#This Row],[Cliente]],LISTA_DE_CLIENTES[[Código]:[Nome Fantasia]],3,FALSE),"")</f>
        <v>QOYA SP</v>
      </c>
      <c r="H324" s="51">
        <v>3301076808</v>
      </c>
      <c r="I324" s="28" t="s">
        <v>20395</v>
      </c>
      <c r="J324" s="91">
        <v>26</v>
      </c>
      <c r="K324" s="86">
        <v>46045</v>
      </c>
      <c r="L324" s="10">
        <v>26</v>
      </c>
      <c r="M324" s="6">
        <v>46051</v>
      </c>
      <c r="N324" s="6">
        <v>46051</v>
      </c>
      <c r="O324" s="19">
        <f>TAB_OFICINAS[[#This Row],[Data Retorno Produção]]-TAB_OFICINAS[[#This Row],[Data Prometida  Entrega]]</f>
        <v>0</v>
      </c>
      <c r="P324" s="40" t="str">
        <f>IF(TAB_OFICINAS[[#This Row],[Dias Para Entrega]]&lt;=0,"Em dia","Dia de Atrasado")</f>
        <v>Em dia</v>
      </c>
      <c r="Q324" s="10">
        <f>IFERROR(TAB_OFICINAS[[#This Row],[Qtd pçs Enviadas]]-TAB_OFICINAS[[#This Row],[Qtd pçs Retornadas ]],"N/D ")</f>
        <v>0</v>
      </c>
      <c r="R324" s="10">
        <v>0</v>
      </c>
      <c r="S324" s="5">
        <v>3091</v>
      </c>
      <c r="T324" s="5">
        <v>16885</v>
      </c>
      <c r="U324" s="52">
        <v>3.2</v>
      </c>
      <c r="V324" s="44">
        <f>IFERROR(TAB_OFICINAS[[#This Row],[Valor Unit]]*TAB_OFICINAS[[#This Row],[Qtd pçs Enviadas]]," ")</f>
        <v>83.2</v>
      </c>
      <c r="W324" s="17">
        <v>46059</v>
      </c>
      <c r="X324" s="5" t="s">
        <v>6251</v>
      </c>
      <c r="Y324" s="27"/>
      <c r="Z3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5" spans="3:26" ht="71.25" hidden="1">
      <c r="C325" s="28" t="s">
        <v>17</v>
      </c>
      <c r="D325" s="5">
        <v>3107</v>
      </c>
      <c r="E325" s="5">
        <v>22529</v>
      </c>
      <c r="F325" s="28" t="str">
        <f>IFERROR(VLOOKUP(TAB_OFICINAS[[#This Row],[Cliente]],LISTA_DE_CLIENTES[[Código]:[Nome Fantasia]],2,FALSE),"")</f>
        <v>HCC HOTELS GESTAO HOTELEIRA LTDA.</v>
      </c>
      <c r="G325" s="5" t="str">
        <f>IFERROR(VLOOKUP(TAB_OFICINAS[[#This Row],[Cliente]],LISTA_DE_CLIENTES[[Código]:[Nome Fantasia]],3,FALSE),"")</f>
        <v>QOYA SP</v>
      </c>
      <c r="H325" s="51">
        <v>3301078559</v>
      </c>
      <c r="I325" s="28" t="s">
        <v>20349</v>
      </c>
      <c r="J325" s="91">
        <v>26</v>
      </c>
      <c r="K325" s="86">
        <v>46064</v>
      </c>
      <c r="L325" s="10">
        <v>26</v>
      </c>
      <c r="M325" s="6">
        <v>46077</v>
      </c>
      <c r="N325" s="6">
        <v>46079</v>
      </c>
      <c r="O325" s="19">
        <f>TAB_OFICINAS[[#This Row],[Data Retorno Produção]]-TAB_OFICINAS[[#This Row],[Data Prometida  Entrega]]</f>
        <v>2</v>
      </c>
      <c r="P325" s="40" t="str">
        <f>IF(TAB_OFICINAS[[#This Row],[Dias Para Entrega]]&lt;=0,"Em dia","Dia de Atrasado")</f>
        <v>Dia de Atrasado</v>
      </c>
      <c r="Q325" s="10">
        <f>IFERROR(TAB_OFICINAS[[#This Row],[Qtd pçs Enviadas]]-TAB_OFICINAS[[#This Row],[Qtd pçs Retornadas ]],"N/D ")</f>
        <v>0</v>
      </c>
      <c r="R325" s="10">
        <v>26</v>
      </c>
      <c r="S325" s="5">
        <v>585</v>
      </c>
      <c r="T325" s="5">
        <v>44</v>
      </c>
      <c r="U325" s="52">
        <v>16</v>
      </c>
      <c r="V325" s="44">
        <f>IFERROR(TAB_OFICINAS[[#This Row],[Valor Unit]]*TAB_OFICINAS[[#This Row],[Qtd pçs Enviadas]]," ")</f>
        <v>416</v>
      </c>
      <c r="W325" s="17">
        <v>46087</v>
      </c>
      <c r="X325" s="5" t="s">
        <v>6251</v>
      </c>
      <c r="Y325" s="27" t="s">
        <v>20350</v>
      </c>
      <c r="Z3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6" spans="3:26" hidden="1">
      <c r="C326" s="28" t="s">
        <v>8</v>
      </c>
      <c r="D326" s="5">
        <v>161</v>
      </c>
      <c r="E326" s="5">
        <v>22331</v>
      </c>
      <c r="F326" s="28" t="str">
        <f>IFERROR(VLOOKUP(TAB_OFICINAS[[#This Row],[Cliente]],LISTA_DE_CLIENTES[[Código]:[Nome Fantasia]],2,FALSE),"")</f>
        <v>HOTEL COLINAS</v>
      </c>
      <c r="G326" s="5" t="str">
        <f>IFERROR(VLOOKUP(TAB_OFICINAS[[#This Row],[Cliente]],LISTA_DE_CLIENTES[[Código]:[Nome Fantasia]],3,FALSE),"")</f>
        <v>COLINAS-GOLDEN TULIP</v>
      </c>
      <c r="H326" s="51">
        <v>2102033211</v>
      </c>
      <c r="I326" s="28" t="s">
        <v>20330</v>
      </c>
      <c r="J326" s="91">
        <v>25</v>
      </c>
      <c r="K326" s="86">
        <v>46029</v>
      </c>
      <c r="L326" s="10">
        <v>25</v>
      </c>
      <c r="M326" s="6">
        <v>46037</v>
      </c>
      <c r="N326" s="6">
        <v>46034</v>
      </c>
      <c r="O326" s="19">
        <f>TAB_OFICINAS[[#This Row],[Data Retorno Produção]]-TAB_OFICINAS[[#This Row],[Data Prometida  Entrega]]</f>
        <v>-3</v>
      </c>
      <c r="P326" s="40" t="str">
        <f>IF(TAB_OFICINAS[[#This Row],[Dias Para Entrega]]&lt;=0,"Em dia","Dia de Atrasado")</f>
        <v>Em dia</v>
      </c>
      <c r="Q326" s="10">
        <f>IFERROR(TAB_OFICINAS[[#This Row],[Qtd pçs Enviadas]]-TAB_OFICINAS[[#This Row],[Qtd pçs Retornadas ]],"N/D ")</f>
        <v>0</v>
      </c>
      <c r="R326" s="10">
        <v>0</v>
      </c>
      <c r="S326" s="5">
        <v>3067</v>
      </c>
      <c r="T326" s="5">
        <v>14</v>
      </c>
      <c r="U326" s="52">
        <v>16</v>
      </c>
      <c r="V326" s="44">
        <f>IFERROR(TAB_OFICINAS[[#This Row],[Valor Unit]]*TAB_OFICINAS[[#This Row],[Qtd pçs Enviadas]]," ")</f>
        <v>400</v>
      </c>
      <c r="W326" s="17">
        <f>TAB_OFICINAS[[#This Row],[Data Retorno Produção]]+10</f>
        <v>46044</v>
      </c>
      <c r="X326" s="5" t="s">
        <v>6251</v>
      </c>
      <c r="Y326" s="27"/>
      <c r="Z3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7" spans="3:26" hidden="1">
      <c r="C327" s="28" t="s">
        <v>3</v>
      </c>
      <c r="D327" s="5">
        <v>2933</v>
      </c>
      <c r="E327" s="5">
        <v>22277</v>
      </c>
      <c r="F327" s="28" t="str">
        <f>IFERROR(VLOOKUP(TAB_OFICINAS[[#This Row],[Cliente]],LISTA_DE_CLIENTES[[Código]:[Nome Fantasia]],2,FALSE),"")</f>
        <v>J.F. GOMES POUSADA EIRELI</v>
      </c>
      <c r="G327" s="5" t="str">
        <f>IFERROR(VLOOKUP(TAB_OFICINAS[[#This Row],[Cliente]],LISTA_DE_CLIENTES[[Código]:[Nome Fantasia]],3,FALSE),"")</f>
        <v>POUSADA APPLE HOUSE</v>
      </c>
      <c r="H327" s="51">
        <v>3301076329</v>
      </c>
      <c r="I327" s="28" t="s">
        <v>20919</v>
      </c>
      <c r="J327" s="91">
        <v>25</v>
      </c>
      <c r="K327" s="86">
        <v>46051</v>
      </c>
      <c r="L327" s="10">
        <v>25</v>
      </c>
      <c r="M327" s="6">
        <v>46058</v>
      </c>
      <c r="N327" s="6">
        <v>46056</v>
      </c>
      <c r="O327" s="19">
        <f>TAB_OFICINAS[[#This Row],[Data Retorno Produção]]-TAB_OFICINAS[[#This Row],[Data Prometida  Entrega]]</f>
        <v>-2</v>
      </c>
      <c r="P327" s="40" t="str">
        <f>IF(TAB_OFICINAS[[#This Row],[Dias Para Entrega]]&lt;=0,"Em dia","Dia de Atrasado")</f>
        <v>Em dia</v>
      </c>
      <c r="Q327" s="10">
        <f>IFERROR(TAB_OFICINAS[[#This Row],[Qtd pçs Enviadas]]-TAB_OFICINAS[[#This Row],[Qtd pçs Retornadas ]],"N/D ")</f>
        <v>0</v>
      </c>
      <c r="R327" s="10">
        <v>0</v>
      </c>
      <c r="S327" s="5">
        <v>563</v>
      </c>
      <c r="T327" s="5">
        <v>90</v>
      </c>
      <c r="U327" s="52">
        <v>5</v>
      </c>
      <c r="V327" s="44">
        <f>IFERROR(TAB_OFICINAS[[#This Row],[Valor Unit]]*TAB_OFICINAS[[#This Row],[Qtd pçs Enviadas]]," ")</f>
        <v>125</v>
      </c>
      <c r="W327" s="17">
        <v>46065</v>
      </c>
      <c r="X327" s="5" t="s">
        <v>6251</v>
      </c>
      <c r="Y327" s="27"/>
      <c r="Z3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8" spans="3:26" ht="57" hidden="1">
      <c r="C328" s="28" t="s">
        <v>15</v>
      </c>
      <c r="D328" s="5">
        <v>526</v>
      </c>
      <c r="E328" s="5">
        <v>22713</v>
      </c>
      <c r="F328" s="28" t="str">
        <f>IFERROR(VLOOKUP(TAB_OFICINAS[[#This Row],[Cliente]],LISTA_DE_CLIENTES[[Código]:[Nome Fantasia]],2,FALSE),"")</f>
        <v>ATMOSFERA GESTAO E HIGIENIZACAO DE TEXTEIS S.A.</v>
      </c>
      <c r="G328" s="5" t="str">
        <f>IFERROR(VLOOKUP(TAB_OFICINAS[[#This Row],[Cliente]],LISTA_DE_CLIENTES[[Código]:[Nome Fantasia]],3,FALSE),"")</f>
        <v>ATMOSFERA ST BARBARA</v>
      </c>
      <c r="H328" s="51">
        <v>92102156032</v>
      </c>
      <c r="I328" s="28" t="s">
        <v>20420</v>
      </c>
      <c r="J328" s="91">
        <v>25</v>
      </c>
      <c r="K328" s="86">
        <v>46056</v>
      </c>
      <c r="L328" s="10">
        <v>25</v>
      </c>
      <c r="M328" s="6">
        <v>46064</v>
      </c>
      <c r="N328" s="6">
        <v>46064</v>
      </c>
      <c r="O328" s="19">
        <f>TAB_OFICINAS[[#This Row],[Data Retorno Produção]]-TAB_OFICINAS[[#This Row],[Data Prometida  Entrega]]</f>
        <v>0</v>
      </c>
      <c r="P328" s="40" t="str">
        <f>IF(TAB_OFICINAS[[#This Row],[Dias Para Entrega]]&lt;=0,"Em dia","Dia de Atrasado")</f>
        <v>Em dia</v>
      </c>
      <c r="Q328" s="10">
        <f>IFERROR(TAB_OFICINAS[[#This Row],[Qtd pçs Enviadas]]-TAB_OFICINAS[[#This Row],[Qtd pçs Retornadas ]],"N/D ")</f>
        <v>0</v>
      </c>
      <c r="R328" s="10">
        <v>1</v>
      </c>
      <c r="S328" s="5">
        <v>571</v>
      </c>
      <c r="T328" s="5">
        <v>16922</v>
      </c>
      <c r="U328" s="52">
        <v>15</v>
      </c>
      <c r="V328" s="44">
        <f>IFERROR(TAB_OFICINAS[[#This Row],[Valor Unit]]*TAB_OFICINAS[[#This Row],[Qtd pçs Enviadas]]," ")</f>
        <v>375</v>
      </c>
      <c r="W328" s="17">
        <v>46073</v>
      </c>
      <c r="X328" s="5" t="s">
        <v>6251</v>
      </c>
      <c r="Y328" s="27" t="s">
        <v>20422</v>
      </c>
      <c r="Z3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29" spans="3:26" ht="57" hidden="1">
      <c r="C329" s="28" t="s">
        <v>15</v>
      </c>
      <c r="D329" s="5">
        <v>526</v>
      </c>
      <c r="E329" s="5">
        <v>22713</v>
      </c>
      <c r="F329" s="28" t="str">
        <f>IFERROR(VLOOKUP(TAB_OFICINAS[[#This Row],[Cliente]],LISTA_DE_CLIENTES[[Código]:[Nome Fantasia]],2,FALSE),"")</f>
        <v>ATMOSFERA GESTAO E HIGIENIZACAO DE TEXTEIS S.A.</v>
      </c>
      <c r="G329" s="5" t="str">
        <f>IFERROR(VLOOKUP(TAB_OFICINAS[[#This Row],[Cliente]],LISTA_DE_CLIENTES[[Código]:[Nome Fantasia]],3,FALSE),"")</f>
        <v>ATMOSFERA ST BARBARA</v>
      </c>
      <c r="H329" s="51">
        <v>92102156030</v>
      </c>
      <c r="I329" s="28" t="s">
        <v>20423</v>
      </c>
      <c r="J329" s="91">
        <v>25</v>
      </c>
      <c r="K329" s="86">
        <v>46056</v>
      </c>
      <c r="L329" s="10">
        <v>25</v>
      </c>
      <c r="M329" s="6">
        <v>46064</v>
      </c>
      <c r="N329" s="6">
        <v>46064</v>
      </c>
      <c r="O329" s="19">
        <f>TAB_OFICINAS[[#This Row],[Data Retorno Produção]]-TAB_OFICINAS[[#This Row],[Data Prometida  Entrega]]</f>
        <v>0</v>
      </c>
      <c r="P329" s="40" t="str">
        <f>IF(TAB_OFICINAS[[#This Row],[Dias Para Entrega]]&lt;=0,"Em dia","Dia de Atrasado")</f>
        <v>Em dia</v>
      </c>
      <c r="Q329" s="10">
        <f>IFERROR(TAB_OFICINAS[[#This Row],[Qtd pçs Enviadas]]-TAB_OFICINAS[[#This Row],[Qtd pçs Retornadas ]],"N/D ")</f>
        <v>0</v>
      </c>
      <c r="R329" s="10">
        <v>1</v>
      </c>
      <c r="S329" s="5">
        <v>571</v>
      </c>
      <c r="T329" s="5">
        <v>16922</v>
      </c>
      <c r="U329" s="52">
        <v>15</v>
      </c>
      <c r="V329" s="44">
        <f>IFERROR(TAB_OFICINAS[[#This Row],[Valor Unit]]*TAB_OFICINAS[[#This Row],[Qtd pçs Enviadas]]," ")</f>
        <v>375</v>
      </c>
      <c r="W329" s="17">
        <v>46073</v>
      </c>
      <c r="X329" s="5" t="s">
        <v>6251</v>
      </c>
      <c r="Y329" s="27" t="s">
        <v>20422</v>
      </c>
      <c r="Z3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0" spans="3:26" ht="71.25" hidden="1">
      <c r="C330" s="28" t="s">
        <v>17</v>
      </c>
      <c r="D330" s="5">
        <v>3107</v>
      </c>
      <c r="E330" s="5">
        <v>22529</v>
      </c>
      <c r="F330" s="28" t="str">
        <f>IFERROR(VLOOKUP(TAB_OFICINAS[[#This Row],[Cliente]],LISTA_DE_CLIENTES[[Código]:[Nome Fantasia]],2,FALSE),"")</f>
        <v>HCC HOTELS GESTAO HOTELEIRA LTDA.</v>
      </c>
      <c r="G330" s="5" t="str">
        <f>IFERROR(VLOOKUP(TAB_OFICINAS[[#This Row],[Cliente]],LISTA_DE_CLIENTES[[Código]:[Nome Fantasia]],3,FALSE),"")</f>
        <v>QOYA SP</v>
      </c>
      <c r="H330" s="51">
        <v>3301076808</v>
      </c>
      <c r="I330" s="28" t="s">
        <v>20351</v>
      </c>
      <c r="J330" s="91">
        <v>25</v>
      </c>
      <c r="K330" s="86">
        <v>46064</v>
      </c>
      <c r="L330" s="10">
        <v>25</v>
      </c>
      <c r="M330" s="6">
        <v>46077</v>
      </c>
      <c r="N330" s="6">
        <v>46079</v>
      </c>
      <c r="O330" s="19">
        <f>TAB_OFICINAS[[#This Row],[Data Retorno Produção]]-TAB_OFICINAS[[#This Row],[Data Prometida  Entrega]]</f>
        <v>2</v>
      </c>
      <c r="P330" s="40" t="str">
        <f>IF(TAB_OFICINAS[[#This Row],[Dias Para Entrega]]&lt;=0,"Em dia","Dia de Atrasado")</f>
        <v>Dia de Atrasado</v>
      </c>
      <c r="Q330" s="10">
        <f>IFERROR(TAB_OFICINAS[[#This Row],[Qtd pçs Enviadas]]-TAB_OFICINAS[[#This Row],[Qtd pçs Retornadas ]],"N/D ")</f>
        <v>0</v>
      </c>
      <c r="R330" s="10">
        <v>25</v>
      </c>
      <c r="S330" s="5">
        <v>585</v>
      </c>
      <c r="T330" s="5">
        <v>44</v>
      </c>
      <c r="U330" s="52">
        <v>16</v>
      </c>
      <c r="V330" s="44">
        <f>IFERROR(TAB_OFICINAS[[#This Row],[Valor Unit]]*TAB_OFICINAS[[#This Row],[Qtd pçs Enviadas]]," ")</f>
        <v>400</v>
      </c>
      <c r="W330" s="17">
        <v>46087</v>
      </c>
      <c r="X330" s="5" t="s">
        <v>6251</v>
      </c>
      <c r="Y330" s="27" t="s">
        <v>20350</v>
      </c>
      <c r="Z3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1" spans="3:26" hidden="1">
      <c r="C331" s="28" t="s">
        <v>7</v>
      </c>
      <c r="D331" s="5">
        <v>526</v>
      </c>
      <c r="E331" s="5">
        <v>22950</v>
      </c>
      <c r="F331" s="28" t="str">
        <f>IFERROR(VLOOKUP(TAB_OFICINAS[[#This Row],[Cliente]],LISTA_DE_CLIENTES[[Código]:[Nome Fantasia]],2,FALSE),"")</f>
        <v>ATMOSFERA GESTAO E HIGIENIZACAO DE TEXTEIS S.A.</v>
      </c>
      <c r="G331" s="5" t="str">
        <f>IFERROR(VLOOKUP(TAB_OFICINAS[[#This Row],[Cliente]],LISTA_DE_CLIENTES[[Código]:[Nome Fantasia]],3,FALSE),"")</f>
        <v>ATMOSFERA ST BARBARA</v>
      </c>
      <c r="H331" s="63">
        <v>92101042462</v>
      </c>
      <c r="I331" s="28" t="s">
        <v>20509</v>
      </c>
      <c r="J331" s="91">
        <v>10</v>
      </c>
      <c r="K331" s="86">
        <v>46090</v>
      </c>
      <c r="L331" s="10">
        <v>10</v>
      </c>
      <c r="M331" s="6">
        <v>46104</v>
      </c>
      <c r="N331" s="6">
        <v>46098</v>
      </c>
      <c r="O331" s="19">
        <f>TAB_OFICINAS[[#This Row],[Data Retorno Produção]]-TAB_OFICINAS[[#This Row],[Data Prometida  Entrega]]</f>
        <v>-6</v>
      </c>
      <c r="P331" s="40" t="str">
        <f>IF(TAB_OFICINAS[[#This Row],[Dias Para Entrega]]&lt;=0,"Em dia","Dia de Atrasado")</f>
        <v>Em dia</v>
      </c>
      <c r="Q331" s="10">
        <f>IFERROR(TAB_OFICINAS[[#This Row],[Qtd pçs Enviadas]]-TAB_OFICINAS[[#This Row],[Qtd pçs Retornadas ]]," ")</f>
        <v>0</v>
      </c>
      <c r="R331" s="10">
        <v>0</v>
      </c>
      <c r="S331" s="5">
        <v>664</v>
      </c>
      <c r="T331" s="5">
        <v>27</v>
      </c>
      <c r="U331" s="52">
        <v>8</v>
      </c>
      <c r="V331" s="44">
        <f>IFERROR(TAB_OFICINAS[[#This Row],[Valor Unit]]*TAB_OFICINAS[[#This Row],[Qtd pçs Enviadas]]," ")</f>
        <v>80</v>
      </c>
      <c r="W331" s="17">
        <v>46108</v>
      </c>
      <c r="X331" s="5" t="s">
        <v>6251</v>
      </c>
      <c r="Y331" s="27"/>
      <c r="Z3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2" spans="3:26" hidden="1">
      <c r="C332" s="28" t="s">
        <v>7</v>
      </c>
      <c r="D332" s="5">
        <v>943</v>
      </c>
      <c r="E332" s="5">
        <v>22882</v>
      </c>
      <c r="F332" s="28" t="str">
        <f>IFERROR(VLOOKUP(TAB_OFICINAS[[#This Row],[Cliente]],LISTA_DE_CLIENTES[[Código]:[Nome Fantasia]],2,FALSE),"")</f>
        <v>REDE DOR SAO LUIZ S.A.</v>
      </c>
      <c r="G332" s="5" t="str">
        <f>IFERROR(VLOOKUP(TAB_OFICINAS[[#This Row],[Cliente]],LISTA_DE_CLIENTES[[Código]:[Nome Fantasia]],3,FALSE),"")</f>
        <v>HOSPITAL COPA STAR</v>
      </c>
      <c r="H332" s="63">
        <v>2101105263</v>
      </c>
      <c r="I332" s="28" t="s">
        <v>21684</v>
      </c>
      <c r="J332" s="91">
        <v>450</v>
      </c>
      <c r="K332" s="86">
        <v>46104</v>
      </c>
      <c r="L332" s="10">
        <v>450</v>
      </c>
      <c r="M332" s="6">
        <v>46115</v>
      </c>
      <c r="N332" s="6">
        <v>46115</v>
      </c>
      <c r="O332" s="19">
        <f>TAB_OFICINAS[[#This Row],[Data Retorno Produção]]-TAB_OFICINAS[[#This Row],[Data Prometida  Entrega]]</f>
        <v>0</v>
      </c>
      <c r="P332" s="40" t="str">
        <f>IF(TAB_OFICINAS[[#This Row],[Dias Para Entrega]]&lt;=0,"Em dia","Dia de Atrasado")</f>
        <v>Em dia</v>
      </c>
      <c r="Q332" s="10">
        <f>IFERROR(TAB_OFICINAS[[#This Row],[Qtd pçs Enviadas]]-TAB_OFICINAS[[#This Row],[Qtd pçs Retornadas ]]," ")</f>
        <v>0</v>
      </c>
      <c r="R332" s="10"/>
      <c r="S332" s="5">
        <v>705</v>
      </c>
      <c r="T332" s="5">
        <v>28</v>
      </c>
      <c r="U332" s="52">
        <v>6.5</v>
      </c>
      <c r="V332" s="44">
        <f>IFERROR(TAB_OFICINAS[[#This Row],[Valor Unit]]*TAB_OFICINAS[[#This Row],[Qtd pçs Enviadas]]," ")</f>
        <v>2925</v>
      </c>
      <c r="W332" s="17">
        <f>TAB_OFICINAS[[#This Row],[Data Retorno Produção]]+10</f>
        <v>46125</v>
      </c>
      <c r="X332" s="5" t="s">
        <v>6251</v>
      </c>
      <c r="Y332" s="27"/>
      <c r="Z3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3" spans="3:26" ht="15" hidden="1">
      <c r="C333" s="80" t="s">
        <v>7</v>
      </c>
      <c r="D333" s="5">
        <v>943</v>
      </c>
      <c r="E333" s="5">
        <v>22882</v>
      </c>
      <c r="F333" s="28" t="str">
        <f>IFERROR(VLOOKUP(TAB_OFICINAS[[#This Row],[Cliente]],LISTA_DE_CLIENTES[[Código]:[Nome Fantasia]],2,FALSE),"")</f>
        <v>REDE DOR SAO LUIZ S.A.</v>
      </c>
      <c r="G333" s="5" t="str">
        <f>IFERROR(VLOOKUP(TAB_OFICINAS[[#This Row],[Cliente]],LISTA_DE_CLIENTES[[Código]:[Nome Fantasia]],3,FALSE),"")</f>
        <v>HOSPITAL COPA STAR</v>
      </c>
      <c r="H333" s="63">
        <v>2101105263</v>
      </c>
      <c r="I333" s="28" t="s">
        <v>21684</v>
      </c>
      <c r="J333" s="91">
        <v>275</v>
      </c>
      <c r="K333" s="86">
        <v>46119</v>
      </c>
      <c r="L333" s="10">
        <v>275</v>
      </c>
      <c r="M333" s="6">
        <v>46132</v>
      </c>
      <c r="N333" s="6">
        <v>46122</v>
      </c>
      <c r="O333" s="19">
        <f>TAB_OFICINAS[[#This Row],[Data Retorno Produção]]-TAB_OFICINAS[[#This Row],[Data Prometida  Entrega]]</f>
        <v>-10</v>
      </c>
      <c r="P333" s="40" t="str">
        <f>IF(TAB_OFICINAS[[#This Row],[Dias Para Entrega]]&lt;=0,"Em dia","Dia de Atrasado")</f>
        <v>Em dia</v>
      </c>
      <c r="Q333" s="10">
        <v>0</v>
      </c>
      <c r="R333" s="10"/>
      <c r="S333" s="5">
        <v>737</v>
      </c>
      <c r="T333" s="5">
        <v>29</v>
      </c>
      <c r="U333" s="52">
        <v>6.5</v>
      </c>
      <c r="V333" s="44">
        <f>IFERROR(TAB_OFICINAS[[#This Row],[Valor Unit]]*TAB_OFICINAS[[#This Row],[Qtd pçs Enviadas]]," ")</f>
        <v>1787.5</v>
      </c>
      <c r="W333" s="17">
        <f>TAB_OFICINAS[[#This Row],[Data Retorno Produção]]+10</f>
        <v>46132</v>
      </c>
      <c r="X333" s="5" t="s">
        <v>6251</v>
      </c>
      <c r="Y333" s="27"/>
      <c r="Z3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4" spans="3:26" hidden="1">
      <c r="C334" s="28" t="s">
        <v>17</v>
      </c>
      <c r="D334" s="5">
        <v>331</v>
      </c>
      <c r="E334" s="5">
        <v>23156</v>
      </c>
      <c r="F334" s="28" t="str">
        <f>IFERROR(VLOOKUP(TAB_OFICINAS[[#This Row],[Cliente]],LISTA_DE_CLIENTES[[Código]:[Nome Fantasia]],2,FALSE),"")</f>
        <v>SERVICO NACIONAL DE APRENDIZAGEM COMERCIAL SENAC</v>
      </c>
      <c r="G334" s="5" t="str">
        <f>IFERROR(VLOOKUP(TAB_OFICINAS[[#This Row],[Cliente]],LISTA_DE_CLIENTES[[Código]:[Nome Fantasia]],3,FALSE),"")</f>
        <v>GRANDE HOTEL S PEDRO</v>
      </c>
      <c r="H334" s="63">
        <v>3301099651</v>
      </c>
      <c r="I334" s="28" t="s">
        <v>20974</v>
      </c>
      <c r="J334" s="91">
        <v>25</v>
      </c>
      <c r="K334" s="86">
        <v>46139</v>
      </c>
      <c r="L334" s="10">
        <v>25</v>
      </c>
      <c r="M334" s="6">
        <v>46155</v>
      </c>
      <c r="N334" s="6">
        <v>46150</v>
      </c>
      <c r="O334" s="19">
        <f>TAB_OFICINAS[[#This Row],[Data Retorno Produção]]-TAB_OFICINAS[[#This Row],[Data Prometida  Entrega]]</f>
        <v>-5</v>
      </c>
      <c r="P334" s="40" t="str">
        <f>IF(TAB_OFICINAS[[#This Row],[Dias Para Entrega]]&lt;=0,"Em dia","Dia de Atrasado")</f>
        <v>Em dia</v>
      </c>
      <c r="Q334" s="10">
        <f>IFERROR(TAB_OFICINAS[[#This Row],[Qtd pçs Enviadas]]-TAB_OFICINAS[[#This Row],[Qtd pçs Retornadas ]]," ")</f>
        <v>0</v>
      </c>
      <c r="R334" s="10"/>
      <c r="S334" s="5">
        <v>790</v>
      </c>
      <c r="T334" s="5">
        <v>52</v>
      </c>
      <c r="U334" s="52">
        <v>14</v>
      </c>
      <c r="V334" s="44">
        <f>IFERROR(TAB_OFICINAS[[#This Row],[Valor Unit]]*TAB_OFICINAS[[#This Row],[Qtd pçs Enviadas]]," ")</f>
        <v>350</v>
      </c>
      <c r="W334" s="17">
        <v>46164</v>
      </c>
      <c r="X334" s="5" t="s">
        <v>6251</v>
      </c>
      <c r="Y334" s="27"/>
      <c r="Z3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5" spans="3:26" hidden="1">
      <c r="C335" s="28" t="s">
        <v>15</v>
      </c>
      <c r="D335" s="5" t="s">
        <v>20290</v>
      </c>
      <c r="E335" s="5">
        <v>12</v>
      </c>
      <c r="F335" s="28" t="s">
        <v>20390</v>
      </c>
      <c r="G335" s="5" t="str">
        <f>IFERROR(VLOOKUP(TAB_OFICINAS[[#This Row],[Cliente]],LISTA_DE_CLIENTES[[Código]:[Nome Fantasia]],3,FALSE),"")</f>
        <v/>
      </c>
      <c r="H335" s="51">
        <v>3161099032</v>
      </c>
      <c r="I335" s="28" t="s">
        <v>20389</v>
      </c>
      <c r="J335" s="91">
        <v>24</v>
      </c>
      <c r="K335" s="86">
        <v>46035</v>
      </c>
      <c r="L335" s="10">
        <v>24</v>
      </c>
      <c r="M335" s="6">
        <v>46051</v>
      </c>
      <c r="N335" s="6">
        <v>46051</v>
      </c>
      <c r="O335" s="19">
        <f>TAB_OFICINAS[[#This Row],[Data Retorno Produção]]-TAB_OFICINAS[[#This Row],[Data Prometida  Entrega]]</f>
        <v>0</v>
      </c>
      <c r="P335" s="40" t="str">
        <f>IF(TAB_OFICINAS[[#This Row],[Dias Para Entrega]]&lt;=0,"Em dia","Dia de Atrasado")</f>
        <v>Em dia</v>
      </c>
      <c r="Q335" s="10">
        <f>IFERROR(TAB_OFICINAS[[#This Row],[Qtd pçs Enviadas]]-TAB_OFICINAS[[#This Row],[Qtd pçs Retornadas ]],"N/D ")</f>
        <v>0</v>
      </c>
      <c r="R335" s="10">
        <v>0</v>
      </c>
      <c r="S335" s="5">
        <v>3079</v>
      </c>
      <c r="T335" s="5">
        <v>16885</v>
      </c>
      <c r="U335" s="52">
        <v>10</v>
      </c>
      <c r="V335" s="44">
        <f>IFERROR(TAB_OFICINAS[[#This Row],[Valor Unit]]*TAB_OFICINAS[[#This Row],[Qtd pçs Enviadas]]," ")</f>
        <v>240</v>
      </c>
      <c r="W335" s="17">
        <v>46059</v>
      </c>
      <c r="X335" s="5" t="s">
        <v>6251</v>
      </c>
      <c r="Y335" s="27"/>
      <c r="Z3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6" spans="3:26" hidden="1">
      <c r="C336" s="73" t="s">
        <v>3</v>
      </c>
      <c r="D336" s="35">
        <v>5338</v>
      </c>
      <c r="E336" s="35">
        <v>22740</v>
      </c>
      <c r="F336" s="28" t="str">
        <f>IFERROR(VLOOKUP(TAB_OFICINAS[[#This Row],[Cliente]],LISTA_DE_CLIENTES[[Código]:[Nome Fantasia]],2,FALSE),"")</f>
        <v>MAISON CARMELO INCORPORACOES SPE LTDA</v>
      </c>
      <c r="G336" s="5" t="str">
        <f>IFERROR(VLOOKUP(TAB_OFICINAS[[#This Row],[Cliente]],LISTA_DE_CLIENTES[[Código]:[Nome Fantasia]],3,FALSE),"")</f>
        <v>SAN REMO</v>
      </c>
      <c r="H336" s="36">
        <v>3759318593</v>
      </c>
      <c r="I336" s="73" t="s">
        <v>21057</v>
      </c>
      <c r="J336" s="92">
        <v>24</v>
      </c>
      <c r="K336" s="83">
        <v>46077</v>
      </c>
      <c r="L336" s="37">
        <v>24</v>
      </c>
      <c r="M336" s="83">
        <v>46084</v>
      </c>
      <c r="N336" s="83">
        <v>46079</v>
      </c>
      <c r="O336" s="39">
        <v>-5</v>
      </c>
      <c r="P336" s="40" t="str">
        <f>IF(TAB_OFICINAS[[#This Row],[Dias Para Entrega]]&lt;=0,"Em dia","Dia de Atrasado")</f>
        <v>Em dia</v>
      </c>
      <c r="Q336" s="10">
        <v>0</v>
      </c>
      <c r="R336" s="37">
        <v>0</v>
      </c>
      <c r="S336" s="35">
        <v>622</v>
      </c>
      <c r="T336" s="35">
        <v>97</v>
      </c>
      <c r="U336" s="43">
        <v>5</v>
      </c>
      <c r="V336" s="44">
        <f>IFERROR(TAB_OFICINAS[[#This Row],[Valor Unit]]*TAB_OFICINAS[[#This Row],[Qtd pçs Enviadas]]," ")</f>
        <v>120</v>
      </c>
      <c r="W336" s="38">
        <v>46089</v>
      </c>
      <c r="X336" s="35" t="s">
        <v>6251</v>
      </c>
      <c r="Y336" s="45"/>
      <c r="Z3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7" spans="3:26" hidden="1">
      <c r="C337" s="79" t="s">
        <v>3</v>
      </c>
      <c r="D337" s="46">
        <v>5338</v>
      </c>
      <c r="E337" s="46">
        <v>22740</v>
      </c>
      <c r="F337" s="28" t="str">
        <f>IFERROR(VLOOKUP(TAB_OFICINAS[[#This Row],[Cliente]],LISTA_DE_CLIENTES[[Código]:[Nome Fantasia]],2,FALSE),"")</f>
        <v>MAISON CARMELO INCORPORACOES SPE LTDA</v>
      </c>
      <c r="G337" s="5" t="str">
        <f>IFERROR(VLOOKUP(TAB_OFICINAS[[#This Row],[Cliente]],LISTA_DE_CLIENTES[[Código]:[Nome Fantasia]],3,FALSE),"")</f>
        <v>SAN REMO</v>
      </c>
      <c r="H337" s="47">
        <v>3302125536</v>
      </c>
      <c r="I337" s="73" t="s">
        <v>21058</v>
      </c>
      <c r="J337" s="93">
        <v>24</v>
      </c>
      <c r="K337" s="84">
        <v>46077</v>
      </c>
      <c r="L337" s="48">
        <v>24</v>
      </c>
      <c r="M337" s="84">
        <v>46084</v>
      </c>
      <c r="N337" s="84">
        <v>46079</v>
      </c>
      <c r="O337" s="39">
        <v>-5</v>
      </c>
      <c r="P337" s="40" t="str">
        <f>IF(TAB_OFICINAS[[#This Row],[Dias Para Entrega]]&lt;=0,"Em dia","Dia de Atrasado")</f>
        <v>Em dia</v>
      </c>
      <c r="Q337" s="10">
        <v>0</v>
      </c>
      <c r="R337" s="48">
        <v>0</v>
      </c>
      <c r="S337" s="46">
        <v>622</v>
      </c>
      <c r="T337" s="46">
        <v>97</v>
      </c>
      <c r="U337" s="43">
        <v>4.5</v>
      </c>
      <c r="V337" s="44">
        <f>IFERROR(TAB_OFICINAS[[#This Row],[Valor Unit]]*TAB_OFICINAS[[#This Row],[Qtd pçs Enviadas]]," ")</f>
        <v>108</v>
      </c>
      <c r="W337" s="49">
        <v>46089</v>
      </c>
      <c r="X337" s="46" t="s">
        <v>6251</v>
      </c>
      <c r="Y337" s="50"/>
      <c r="Z3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8" spans="3:26" hidden="1">
      <c r="C338" s="28" t="s">
        <v>15</v>
      </c>
      <c r="D338" s="5">
        <v>5338</v>
      </c>
      <c r="E338" s="5">
        <v>22740</v>
      </c>
      <c r="F338" s="28" t="str">
        <f>IFERROR(VLOOKUP(TAB_OFICINAS[[#This Row],[Cliente]],LISTA_DE_CLIENTES[[Código]:[Nome Fantasia]],2,FALSE),"")</f>
        <v>MAISON CARMELO INCORPORACOES SPE LTDA</v>
      </c>
      <c r="G338" s="5" t="str">
        <f>IFERROR(VLOOKUP(TAB_OFICINAS[[#This Row],[Cliente]],LISTA_DE_CLIENTES[[Código]:[Nome Fantasia]],3,FALSE),"")</f>
        <v>SAN REMO</v>
      </c>
      <c r="H338" s="63">
        <v>3302125536</v>
      </c>
      <c r="I338" s="28" t="s">
        <v>21058</v>
      </c>
      <c r="J338" s="91">
        <v>24</v>
      </c>
      <c r="K338" s="86">
        <v>46080</v>
      </c>
      <c r="L338" s="10">
        <v>24</v>
      </c>
      <c r="M338" s="6">
        <v>46083</v>
      </c>
      <c r="N338" s="6">
        <v>46083</v>
      </c>
      <c r="O338" s="19">
        <f>TAB_OFICINAS[[#This Row],[Data Retorno Produção]]-TAB_OFICINAS[[#This Row],[Data Prometida  Entrega]]</f>
        <v>0</v>
      </c>
      <c r="P338" s="40" t="str">
        <f>IF(TAB_OFICINAS[[#This Row],[Dias Para Entrega]]&lt;=0,"Em dia","Dia de Atrasado")</f>
        <v>Em dia</v>
      </c>
      <c r="Q338" s="10">
        <f>IFERROR(TAB_OFICINAS[[#This Row],[Qtd pçs Enviadas]]-TAB_OFICINAS[[#This Row],[Qtd pçs Retornadas ]]," ")</f>
        <v>0</v>
      </c>
      <c r="R338" s="10">
        <v>0</v>
      </c>
      <c r="S338" s="5">
        <v>642</v>
      </c>
      <c r="T338" s="5">
        <v>16977</v>
      </c>
      <c r="U338" s="52">
        <v>4.8</v>
      </c>
      <c r="V338" s="44">
        <f>IFERROR(TAB_OFICINAS[[#This Row],[Valor Unit]]*TAB_OFICINAS[[#This Row],[Qtd pçs Enviadas]]," ")</f>
        <v>115.19999999999999</v>
      </c>
      <c r="W338" s="17">
        <v>46091</v>
      </c>
      <c r="X338" s="5" t="s">
        <v>6251</v>
      </c>
      <c r="Y338" s="27" t="s">
        <v>21334</v>
      </c>
      <c r="Z3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39" spans="3:26" hidden="1">
      <c r="C339" s="28" t="s">
        <v>15</v>
      </c>
      <c r="D339" s="5">
        <v>1942</v>
      </c>
      <c r="E339" s="5">
        <v>22740</v>
      </c>
      <c r="F339" s="28" t="str">
        <f>IFERROR(VLOOKUP(TAB_OFICINAS[[#This Row],[Cliente]],LISTA_DE_CLIENTES[[Código]:[Nome Fantasia]],2,FALSE),"")</f>
        <v>ONCO STAR SP ONCOLOGIA LTDA (REDE D´OR)</v>
      </c>
      <c r="G339" s="5" t="str">
        <f>IFERROR(VLOOKUP(TAB_OFICINAS[[#This Row],[Cliente]],LISTA_DE_CLIENTES[[Código]:[Nome Fantasia]],3,FALSE),"")</f>
        <v>R DOR VILA NOVA STAR</v>
      </c>
      <c r="H339" s="63">
        <v>3759318593</v>
      </c>
      <c r="I339" s="28" t="s">
        <v>21057</v>
      </c>
      <c r="J339" s="91">
        <v>24</v>
      </c>
      <c r="K339" s="86">
        <v>46080</v>
      </c>
      <c r="L339" s="10">
        <v>24</v>
      </c>
      <c r="M339" s="6">
        <v>46083</v>
      </c>
      <c r="N339" s="6">
        <v>46083</v>
      </c>
      <c r="O339" s="19">
        <f>TAB_OFICINAS[[#This Row],[Data Retorno Produção]]-TAB_OFICINAS[[#This Row],[Data Prometida  Entrega]]</f>
        <v>0</v>
      </c>
      <c r="P339" s="40" t="str">
        <f>IF(TAB_OFICINAS[[#This Row],[Dias Para Entrega]]&lt;=0,"Em dia","Dia de Atrasado")</f>
        <v>Em dia</v>
      </c>
      <c r="Q339" s="10">
        <f>IFERROR(TAB_OFICINAS[[#This Row],[Qtd pçs Enviadas]]-TAB_OFICINAS[[#This Row],[Qtd pçs Retornadas ]]," ")</f>
        <v>0</v>
      </c>
      <c r="R339" s="10">
        <v>0</v>
      </c>
      <c r="S339" s="5">
        <v>642</v>
      </c>
      <c r="T339" s="5">
        <v>16977</v>
      </c>
      <c r="U339" s="52">
        <v>7.2</v>
      </c>
      <c r="V339" s="44">
        <f>IFERROR(TAB_OFICINAS[[#This Row],[Valor Unit]]*TAB_OFICINAS[[#This Row],[Qtd pçs Enviadas]]," ")</f>
        <v>172.8</v>
      </c>
      <c r="W339" s="17">
        <v>46091</v>
      </c>
      <c r="X339" s="5" t="s">
        <v>6251</v>
      </c>
      <c r="Y339" s="27" t="s">
        <v>21333</v>
      </c>
      <c r="Z3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0" spans="3:26" hidden="1">
      <c r="C340" s="28" t="s">
        <v>7</v>
      </c>
      <c r="D340" s="5">
        <v>188</v>
      </c>
      <c r="E340" s="5">
        <v>23045</v>
      </c>
      <c r="F340" s="28" t="str">
        <f>IFERROR(VLOOKUP(TAB_OFICINAS[[#This Row],[Cliente]],LISTA_DE_CLIENTES[[Código]:[Nome Fantasia]],2,FALSE),"")</f>
        <v>IHC SAO PAULO HOTELARIA LTDA.</v>
      </c>
      <c r="G340" s="5" t="str">
        <f>IFERROR(VLOOKUP(TAB_OFICINAS[[#This Row],[Cliente]],LISTA_DE_CLIENTES[[Código]:[Nome Fantasia]],3,FALSE),"")</f>
        <v>INTERCONTINENTAL SP</v>
      </c>
      <c r="H340" s="63">
        <v>2101015260</v>
      </c>
      <c r="I340" s="28" t="s">
        <v>21398</v>
      </c>
      <c r="J340" s="91">
        <v>200</v>
      </c>
      <c r="K340" s="86">
        <v>46123</v>
      </c>
      <c r="L340" s="10">
        <v>200</v>
      </c>
      <c r="M340" s="6">
        <v>46132</v>
      </c>
      <c r="N340" s="6">
        <v>46129</v>
      </c>
      <c r="O340" s="19">
        <f>TAB_OFICINAS[[#This Row],[Data Retorno Produção]]-TAB_OFICINAS[[#This Row],[Data Prometida  Entrega]]</f>
        <v>-3</v>
      </c>
      <c r="P340" s="40" t="str">
        <f>IF(TAB_OFICINAS[[#This Row],[Dias Para Entrega]]&lt;=0,"Em dia","Dia de Atrasado")</f>
        <v>Em dia</v>
      </c>
      <c r="Q340" s="10">
        <f>IFERROR(TAB_OFICINAS[[#This Row],[Qtd pçs Enviadas]]-TAB_OFICINAS[[#This Row],[Qtd pçs Retornadas ]]," ")</f>
        <v>0</v>
      </c>
      <c r="R340" s="10"/>
      <c r="S340" s="5">
        <v>752</v>
      </c>
      <c r="T340" s="5">
        <v>30</v>
      </c>
      <c r="U340" s="52">
        <v>6</v>
      </c>
      <c r="V340" s="44">
        <f>IFERROR(TAB_OFICINAS[[#This Row],[Valor Unit]]*TAB_OFICINAS[[#This Row],[Qtd pçs Enviadas]]," ")</f>
        <v>1200</v>
      </c>
      <c r="W340" s="17">
        <v>46139</v>
      </c>
      <c r="X340" s="5" t="s">
        <v>6251</v>
      </c>
      <c r="Y340" s="27"/>
      <c r="Z3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1" spans="3:26" hidden="1">
      <c r="C341" s="28" t="s">
        <v>19</v>
      </c>
      <c r="D341" s="5">
        <v>943</v>
      </c>
      <c r="E341" s="5">
        <v>22882</v>
      </c>
      <c r="F341" s="28" t="str">
        <f>IFERROR(VLOOKUP(TAB_OFICINAS[[#This Row],[Cliente]],LISTA_DE_CLIENTES[[Código]:[Nome Fantasia]],2,FALSE),"")</f>
        <v>REDE DOR SAO LUIZ S.A.</v>
      </c>
      <c r="G341" s="5" t="str">
        <f>IFERROR(VLOOKUP(TAB_OFICINAS[[#This Row],[Cliente]],LISTA_DE_CLIENTES[[Código]:[Nome Fantasia]],3,FALSE),"")</f>
        <v>HOSPITAL COPA STAR</v>
      </c>
      <c r="H341" s="63">
        <v>3301084128</v>
      </c>
      <c r="I341" s="28" t="s">
        <v>21239</v>
      </c>
      <c r="J341" s="91">
        <v>60</v>
      </c>
      <c r="K341" s="86">
        <v>46114</v>
      </c>
      <c r="L341" s="10">
        <v>60</v>
      </c>
      <c r="M341" s="6">
        <v>46126</v>
      </c>
      <c r="N341" s="6">
        <v>46122</v>
      </c>
      <c r="O341" s="19">
        <f>TAB_OFICINAS[[#This Row],[Data Retorno Produção]]-TAB_OFICINAS[[#This Row],[Data Prometida  Entrega]]</f>
        <v>-4</v>
      </c>
      <c r="P341" s="40" t="str">
        <f>IF(TAB_OFICINAS[[#This Row],[Dias Para Entrega]]&lt;=0,"Em dia","Dia de Atrasado")</f>
        <v>Em dia</v>
      </c>
      <c r="Q341" s="10">
        <f>IFERROR(TAB_OFICINAS[[#This Row],[Qtd pçs Enviadas]]-TAB_OFICINAS[[#This Row],[Qtd pçs Retornadas ]]," ")</f>
        <v>0</v>
      </c>
      <c r="R341" s="10">
        <v>0</v>
      </c>
      <c r="S341" s="5">
        <v>729</v>
      </c>
      <c r="T341" s="5">
        <v>48</v>
      </c>
      <c r="U341" s="52">
        <v>14</v>
      </c>
      <c r="V341" s="44">
        <f>IFERROR(TAB_OFICINAS[[#This Row],[Valor Unit]]*TAB_OFICINAS[[#This Row],[Qtd pçs Enviadas]]," ")</f>
        <v>840</v>
      </c>
      <c r="W341" s="17">
        <v>46132</v>
      </c>
      <c r="X341" s="5" t="s">
        <v>6251</v>
      </c>
      <c r="Y341" s="27" t="s">
        <v>21466</v>
      </c>
      <c r="Z3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2" spans="3:26" hidden="1">
      <c r="C342" s="28" t="s">
        <v>16</v>
      </c>
      <c r="D342" s="5">
        <v>5549</v>
      </c>
      <c r="E342" s="5">
        <v>23429</v>
      </c>
      <c r="F342" s="28" t="str">
        <f>IFERROR(VLOOKUP(TAB_OFICINAS[[#This Row],[Cliente]],LISTA_DE_CLIENTES[[Código]:[Nome Fantasia]],2,FALSE),"")</f>
        <v>ROZZANNE PATTRIZZIA JATAHY ALVES</v>
      </c>
      <c r="G342" s="2" t="str">
        <f>IFERROR(VLOOKUP(TAB_OFICINAS[[#This Row],[Cliente]],LISTA_DE_CLIENTES[[Código]:[Nome Fantasia]],3,FALSE),"")</f>
        <v>ROZZANNE PATTRIZZIA</v>
      </c>
      <c r="H342" s="63">
        <v>2101851773</v>
      </c>
      <c r="I342" s="28" t="s">
        <v>23208</v>
      </c>
      <c r="J342" s="91">
        <v>21</v>
      </c>
      <c r="K342" s="86">
        <v>46175</v>
      </c>
      <c r="L342" s="34">
        <v>21</v>
      </c>
      <c r="M342" s="6">
        <v>46186</v>
      </c>
      <c r="N342" s="6">
        <v>46184</v>
      </c>
      <c r="O342" s="19">
        <f>TAB_OFICINAS[[#This Row],[Data Retorno Produção]]-TAB_OFICINAS[[#This Row],[Data Prometida  Entrega]]</f>
        <v>-2</v>
      </c>
      <c r="P342" s="40" t="str">
        <f>IF(TAB_OFICINAS[[#This Row],[Dias Para Entrega]]&lt;=0,"Em dia","Dia de Atrasado")</f>
        <v>Em dia</v>
      </c>
      <c r="Q342" s="10">
        <f>IFERROR(TAB_OFICINAS[[#This Row],[Qtd pçs Enviadas]]-TAB_OFICINAS[[#This Row],[Qtd pçs Retornadas ]]," ")</f>
        <v>0</v>
      </c>
      <c r="R342" s="10">
        <v>0</v>
      </c>
      <c r="S342" s="5">
        <v>868</v>
      </c>
      <c r="T342" s="5">
        <v>51</v>
      </c>
      <c r="U342" s="1">
        <v>7.5</v>
      </c>
      <c r="V342" s="3">
        <f>IFERROR(TAB_OFICINAS[[#This Row],[Valor Unit]]*TAB_OFICINAS[[#This Row],[Qtd pçs Enviadas]]," ")</f>
        <v>157.5</v>
      </c>
      <c r="W342" s="17">
        <v>46195</v>
      </c>
      <c r="X342" s="5" t="s">
        <v>6251</v>
      </c>
      <c r="Y342" s="4"/>
      <c r="Z3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3" spans="3:26" hidden="1">
      <c r="C343" s="28" t="s">
        <v>16</v>
      </c>
      <c r="D343" s="5">
        <v>5549</v>
      </c>
      <c r="E343" s="5">
        <v>23429</v>
      </c>
      <c r="F343" s="28" t="str">
        <f>IFERROR(VLOOKUP(TAB_OFICINAS[[#This Row],[Cliente]],LISTA_DE_CLIENTES[[Código]:[Nome Fantasia]],2,FALSE),"")</f>
        <v>ROZZANNE PATTRIZZIA JATAHY ALVES</v>
      </c>
      <c r="G343" s="2" t="str">
        <f>IFERROR(VLOOKUP(TAB_OFICINAS[[#This Row],[Cliente]],LISTA_DE_CLIENTES[[Código]:[Nome Fantasia]],3,FALSE),"")</f>
        <v>ROZZANNE PATTRIZZIA</v>
      </c>
      <c r="H343" s="63">
        <v>2102049893</v>
      </c>
      <c r="I343" s="28" t="s">
        <v>22648</v>
      </c>
      <c r="J343" s="91">
        <v>21</v>
      </c>
      <c r="K343" s="86">
        <v>46175</v>
      </c>
      <c r="L343" s="34">
        <v>21</v>
      </c>
      <c r="M343" s="6">
        <v>46186</v>
      </c>
      <c r="N343" s="6">
        <v>46184</v>
      </c>
      <c r="O343" s="19">
        <f>TAB_OFICINAS[[#This Row],[Data Retorno Produção]]-TAB_OFICINAS[[#This Row],[Data Prometida  Entrega]]</f>
        <v>-2</v>
      </c>
      <c r="P343" s="40" t="str">
        <f>IF(TAB_OFICINAS[[#This Row],[Dias Para Entrega]]&lt;=0,"Em dia","Dia de Atrasado")</f>
        <v>Em dia</v>
      </c>
      <c r="Q343" s="10">
        <v>0</v>
      </c>
      <c r="R343" s="10">
        <v>0</v>
      </c>
      <c r="S343" s="5">
        <v>868</v>
      </c>
      <c r="T343" s="5">
        <v>51</v>
      </c>
      <c r="U343" s="1">
        <v>7.5</v>
      </c>
      <c r="V343" s="3">
        <f>IFERROR(TAB_OFICINAS[[#This Row],[Valor Unit]]*TAB_OFICINAS[[#This Row],[Qtd pçs Enviadas]]," ")</f>
        <v>157.5</v>
      </c>
      <c r="W343" s="17">
        <v>46195</v>
      </c>
      <c r="X343" s="5" t="s">
        <v>6251</v>
      </c>
      <c r="Y343" s="4"/>
      <c r="Z3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4" spans="3:26" hidden="1">
      <c r="C344" s="28" t="s">
        <v>19</v>
      </c>
      <c r="D344" s="5">
        <v>5189</v>
      </c>
      <c r="E344" s="5">
        <v>22891</v>
      </c>
      <c r="F344" s="28" t="str">
        <f>IFERROR(VLOOKUP(TAB_OFICINAS[[#This Row],[Cliente]],LISTA_DE_CLIENTES[[Código]:[Nome Fantasia]],2,FALSE),"")</f>
        <v>DIAGNOSTICOS DA AMERICA S.A .</v>
      </c>
      <c r="G344" s="5" t="str">
        <f>IFERROR(VLOOKUP(TAB_OFICINAS[[#This Row],[Cliente]],LISTA_DE_CLIENTES[[Código]:[Nome Fantasia]],3,FALSE),"")</f>
        <v>DASA VILA ANDRADE</v>
      </c>
      <c r="H344" s="63">
        <v>3301092628</v>
      </c>
      <c r="I344" s="28" t="s">
        <v>20827</v>
      </c>
      <c r="J344" s="91">
        <v>49</v>
      </c>
      <c r="K344" s="86">
        <v>46126</v>
      </c>
      <c r="L344" s="10">
        <v>49</v>
      </c>
      <c r="M344" s="6">
        <v>46139</v>
      </c>
      <c r="N344" s="6">
        <v>46136</v>
      </c>
      <c r="O344" s="19">
        <f>TAB_OFICINAS[[#This Row],[Data Retorno Produção]]-TAB_OFICINAS[[#This Row],[Data Prometida  Entrega]]</f>
        <v>-3</v>
      </c>
      <c r="P344" s="40" t="str">
        <f>IF(TAB_OFICINAS[[#This Row],[Dias Para Entrega]]&lt;=0,"Em dia","Dia de Atrasado")</f>
        <v>Em dia</v>
      </c>
      <c r="Q344" s="10">
        <f>IFERROR(TAB_OFICINAS[[#This Row],[Qtd pçs Enviadas]]-TAB_OFICINAS[[#This Row],[Qtd pçs Retornadas ]]," ")</f>
        <v>0</v>
      </c>
      <c r="R344" s="10"/>
      <c r="S344" s="5">
        <v>677</v>
      </c>
      <c r="T344" s="5">
        <v>49</v>
      </c>
      <c r="U344" s="52">
        <v>16</v>
      </c>
      <c r="V344" s="44">
        <f>IFERROR(TAB_OFICINAS[[#This Row],[Valor Unit]]*TAB_OFICINAS[[#This Row],[Qtd pçs Enviadas]]," ")</f>
        <v>784</v>
      </c>
      <c r="W344" s="17">
        <v>46146</v>
      </c>
      <c r="X344" s="5" t="s">
        <v>6251</v>
      </c>
      <c r="Y344" s="27"/>
      <c r="Z3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5" spans="3:26" hidden="1">
      <c r="C345" s="28" t="s">
        <v>17</v>
      </c>
      <c r="D345" s="5">
        <v>2933</v>
      </c>
      <c r="E345" s="5">
        <v>22277</v>
      </c>
      <c r="F345" s="28" t="str">
        <f>IFERROR(VLOOKUP(TAB_OFICINAS[[#This Row],[Cliente]],LISTA_DE_CLIENTES[[Código]:[Nome Fantasia]],2,FALSE),"")</f>
        <v>J.F. GOMES POUSADA EIRELI</v>
      </c>
      <c r="G345" s="5" t="str">
        <f>IFERROR(VLOOKUP(TAB_OFICINAS[[#This Row],[Cliente]],LISTA_DE_CLIENTES[[Código]:[Nome Fantasia]],3,FALSE),"")</f>
        <v>POUSADA APPLE HOUSE</v>
      </c>
      <c r="H345" s="51">
        <v>2120038553</v>
      </c>
      <c r="I345" s="28" t="s">
        <v>20345</v>
      </c>
      <c r="J345" s="91">
        <v>20</v>
      </c>
      <c r="K345" s="86">
        <v>46009</v>
      </c>
      <c r="L345" s="10">
        <v>20</v>
      </c>
      <c r="M345" s="6">
        <v>46027</v>
      </c>
      <c r="N345" s="6">
        <v>46027</v>
      </c>
      <c r="O345" s="19">
        <f>TAB_OFICINAS[[#This Row],[Data Retorno Produção]]-TAB_OFICINAS[[#This Row],[Data Prometida  Entrega]]</f>
        <v>0</v>
      </c>
      <c r="P345" s="40" t="str">
        <f>IF(TAB_OFICINAS[[#This Row],[Dias Para Entrega]]&lt;=0,"Em dia","Dia de Atrasado")</f>
        <v>Em dia</v>
      </c>
      <c r="Q345" s="10">
        <f>IFERROR(TAB_OFICINAS[[#This Row],[Qtd pçs Enviadas]]-TAB_OFICINAS[[#This Row],[Qtd pçs Retornadas ]],"N/D ")</f>
        <v>0</v>
      </c>
      <c r="R345" s="10">
        <v>0</v>
      </c>
      <c r="S345" s="5">
        <v>3057</v>
      </c>
      <c r="T345" s="5">
        <v>41</v>
      </c>
      <c r="U345" s="52">
        <v>14</v>
      </c>
      <c r="V345" s="44">
        <f>IFERROR(TAB_OFICINAS[[#This Row],[Valor Unit]]*TAB_OFICINAS[[#This Row],[Qtd pçs Enviadas]]," ")</f>
        <v>280</v>
      </c>
      <c r="W345" s="17">
        <v>46043</v>
      </c>
      <c r="X345" s="5" t="s">
        <v>6251</v>
      </c>
      <c r="Y345" s="27"/>
      <c r="Z3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6" spans="3:26" hidden="1">
      <c r="C346" s="28" t="s">
        <v>17</v>
      </c>
      <c r="D346" s="5">
        <v>2933</v>
      </c>
      <c r="E346" s="5">
        <v>22277</v>
      </c>
      <c r="F346" s="28" t="str">
        <f>IFERROR(VLOOKUP(TAB_OFICINAS[[#This Row],[Cliente]],LISTA_DE_CLIENTES[[Código]:[Nome Fantasia]],2,FALSE),"")</f>
        <v>J.F. GOMES POUSADA EIRELI</v>
      </c>
      <c r="G346" s="5" t="str">
        <f>IFERROR(VLOOKUP(TAB_OFICINAS[[#This Row],[Cliente]],LISTA_DE_CLIENTES[[Código]:[Nome Fantasia]],3,FALSE),"")</f>
        <v>POUSADA APPLE HOUSE</v>
      </c>
      <c r="H346" s="51">
        <v>2120038522</v>
      </c>
      <c r="I346" s="28" t="s">
        <v>20346</v>
      </c>
      <c r="J346" s="91">
        <v>20</v>
      </c>
      <c r="K346" s="86">
        <v>46009</v>
      </c>
      <c r="L346" s="10">
        <v>20</v>
      </c>
      <c r="M346" s="6">
        <v>46027</v>
      </c>
      <c r="N346" s="6">
        <v>46027</v>
      </c>
      <c r="O346" s="19">
        <f>TAB_OFICINAS[[#This Row],[Data Retorno Produção]]-TAB_OFICINAS[[#This Row],[Data Prometida  Entrega]]</f>
        <v>0</v>
      </c>
      <c r="P346" s="40" t="str">
        <f>IF(TAB_OFICINAS[[#This Row],[Dias Para Entrega]]&lt;=0,"Em dia","Dia de Atrasado")</f>
        <v>Em dia</v>
      </c>
      <c r="Q346" s="10">
        <f>IFERROR(TAB_OFICINAS[[#This Row],[Qtd pçs Enviadas]]-TAB_OFICINAS[[#This Row],[Qtd pçs Retornadas ]],"N/D ")</f>
        <v>0</v>
      </c>
      <c r="R346" s="10">
        <v>0</v>
      </c>
      <c r="S346" s="5">
        <v>3057</v>
      </c>
      <c r="T346" s="5">
        <v>41</v>
      </c>
      <c r="U346" s="52">
        <v>14</v>
      </c>
      <c r="V346" s="44">
        <f>IFERROR(TAB_OFICINAS[[#This Row],[Valor Unit]]*TAB_OFICINAS[[#This Row],[Qtd pçs Enviadas]]," ")</f>
        <v>280</v>
      </c>
      <c r="W346" s="17">
        <v>46043</v>
      </c>
      <c r="X346" s="5" t="s">
        <v>6251</v>
      </c>
      <c r="Y346" s="27"/>
      <c r="Z3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7" spans="3:26" hidden="1">
      <c r="C347" s="28" t="s">
        <v>17</v>
      </c>
      <c r="D347" s="5">
        <v>2933</v>
      </c>
      <c r="E347" s="5">
        <v>22277</v>
      </c>
      <c r="F347" s="28" t="str">
        <f>IFERROR(VLOOKUP(TAB_OFICINAS[[#This Row],[Cliente]],LISTA_DE_CLIENTES[[Código]:[Nome Fantasia]],2,FALSE),"")</f>
        <v>J.F. GOMES POUSADA EIRELI</v>
      </c>
      <c r="G347" s="5" t="str">
        <f>IFERROR(VLOOKUP(TAB_OFICINAS[[#This Row],[Cliente]],LISTA_DE_CLIENTES[[Código]:[Nome Fantasia]],3,FALSE),"")</f>
        <v>POUSADA APPLE HOUSE</v>
      </c>
      <c r="H347" s="51">
        <v>2120038554</v>
      </c>
      <c r="I347" s="28" t="s">
        <v>20344</v>
      </c>
      <c r="J347" s="91">
        <v>20</v>
      </c>
      <c r="K347" s="86">
        <v>46009</v>
      </c>
      <c r="L347" s="10">
        <v>20</v>
      </c>
      <c r="M347" s="6">
        <v>46027</v>
      </c>
      <c r="N347" s="6">
        <v>46027</v>
      </c>
      <c r="O347" s="19">
        <f>TAB_OFICINAS[[#This Row],[Data Retorno Produção]]-TAB_OFICINAS[[#This Row],[Data Prometida  Entrega]]</f>
        <v>0</v>
      </c>
      <c r="P347" s="40" t="str">
        <f>IF(TAB_OFICINAS[[#This Row],[Dias Para Entrega]]&lt;=0,"Em dia","Dia de Atrasado")</f>
        <v>Em dia</v>
      </c>
      <c r="Q347" s="10">
        <f>IFERROR(TAB_OFICINAS[[#This Row],[Qtd pçs Enviadas]]-TAB_OFICINAS[[#This Row],[Qtd pçs Retornadas ]],"N/D ")</f>
        <v>0</v>
      </c>
      <c r="R347" s="10">
        <v>0</v>
      </c>
      <c r="S347" s="5">
        <v>3057</v>
      </c>
      <c r="T347" s="5">
        <v>41</v>
      </c>
      <c r="U347" s="52">
        <v>14</v>
      </c>
      <c r="V347" s="44">
        <f>IFERROR(TAB_OFICINAS[[#This Row],[Valor Unit]]*TAB_OFICINAS[[#This Row],[Qtd pçs Enviadas]]," ")</f>
        <v>280</v>
      </c>
      <c r="W347" s="17">
        <v>46043</v>
      </c>
      <c r="X347" s="5" t="s">
        <v>6251</v>
      </c>
      <c r="Y347" s="27"/>
      <c r="Z3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8" spans="3:26" hidden="1">
      <c r="C348" s="28" t="s">
        <v>18</v>
      </c>
      <c r="D348" s="5">
        <v>2575</v>
      </c>
      <c r="E348" s="5">
        <v>22567</v>
      </c>
      <c r="F348" s="28" t="str">
        <f>IFERROR(VLOOKUP(TAB_OFICINAS[[#This Row],[Cliente]],LISTA_DE_CLIENTES[[Código]:[Nome Fantasia]],2,FALSE),"")</f>
        <v>DIAGNOSTICOS DA AMERICA S.A .</v>
      </c>
      <c r="G348" s="5" t="str">
        <f>IFERROR(VLOOKUP(TAB_OFICINAS[[#This Row],[Cliente]],LISTA_DE_CLIENTES[[Código]:[Nome Fantasia]],3,FALSE),"")</f>
        <v>DASA HIGIENÓPOLIS</v>
      </c>
      <c r="H348" s="51">
        <v>3301092628</v>
      </c>
      <c r="I348" s="28" t="s">
        <v>20359</v>
      </c>
      <c r="J348" s="91">
        <v>10</v>
      </c>
      <c r="K348" s="86">
        <v>46065</v>
      </c>
      <c r="L348" s="10">
        <v>10</v>
      </c>
      <c r="M348" s="6">
        <v>46078</v>
      </c>
      <c r="N348" s="6">
        <v>46076</v>
      </c>
      <c r="O348" s="19">
        <f>TAB_OFICINAS[[#This Row],[Data Retorno Produção]]-TAB_OFICINAS[[#This Row],[Data Prometida  Entrega]]</f>
        <v>-2</v>
      </c>
      <c r="P348" s="40" t="str">
        <f>IF(TAB_OFICINAS[[#This Row],[Dias Para Entrega]]&lt;=0,"Em dia","Dia de Atrasado")</f>
        <v>Em dia</v>
      </c>
      <c r="Q348" s="10">
        <f>IFERROR(TAB_OFICINAS[[#This Row],[Qtd pçs Enviadas]]-TAB_OFICINAS[[#This Row],[Qtd pçs Retornadas ]],"N/D ")</f>
        <v>0</v>
      </c>
      <c r="R348" s="10">
        <v>0</v>
      </c>
      <c r="S348" s="5">
        <v>586</v>
      </c>
      <c r="T348" s="5">
        <v>33</v>
      </c>
      <c r="U348" s="52">
        <v>16</v>
      </c>
      <c r="V348" s="44">
        <f>IFERROR(TAB_OFICINAS[[#This Row],[Valor Unit]]*TAB_OFICINAS[[#This Row],[Qtd pçs Enviadas]]," ")</f>
        <v>160</v>
      </c>
      <c r="W348" s="17">
        <v>46058</v>
      </c>
      <c r="X348" s="5" t="s">
        <v>6251</v>
      </c>
      <c r="Y348" s="27"/>
      <c r="Z3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49" spans="3:26" ht="114" hidden="1">
      <c r="C349" s="28" t="s">
        <v>18</v>
      </c>
      <c r="D349" s="5">
        <v>1942</v>
      </c>
      <c r="E349" s="5">
        <v>22842</v>
      </c>
      <c r="F349" s="28" t="str">
        <f>IFERROR(VLOOKUP(TAB_OFICINAS[[#This Row],[Cliente]],LISTA_DE_CLIENTES[[Código]:[Nome Fantasia]],2,FALSE),"")</f>
        <v>ONCO STAR SP ONCOLOGIA LTDA (REDE D´OR)</v>
      </c>
      <c r="G349" s="5" t="str">
        <f>IFERROR(VLOOKUP(TAB_OFICINAS[[#This Row],[Cliente]],LISTA_DE_CLIENTES[[Código]:[Nome Fantasia]],3,FALSE),"")</f>
        <v>R DOR VILA NOVA STAR</v>
      </c>
      <c r="H349" s="51">
        <v>3301084129</v>
      </c>
      <c r="I349" s="28" t="s">
        <v>20382</v>
      </c>
      <c r="J349" s="91">
        <v>93</v>
      </c>
      <c r="K349" s="86">
        <v>46080</v>
      </c>
      <c r="L349" s="10">
        <v>93</v>
      </c>
      <c r="M349" s="6">
        <v>46101</v>
      </c>
      <c r="N349" s="6">
        <v>46092</v>
      </c>
      <c r="O349" s="19">
        <f>TAB_OFICINAS[[#This Row],[Data Retorno Produção]]-TAB_OFICINAS[[#This Row],[Data Prometida  Entrega]]</f>
        <v>-9</v>
      </c>
      <c r="P349" s="40" t="str">
        <f>IF(TAB_OFICINAS[[#This Row],[Dias Para Entrega]]&lt;=0,"Em dia","Dia de Atrasado")</f>
        <v>Em dia</v>
      </c>
      <c r="Q349" s="10">
        <f>IFERROR(TAB_OFICINAS[[#This Row],[Qtd pçs Enviadas]]-TAB_OFICINAS[[#This Row],[Qtd pçs Retornadas ]]," ")</f>
        <v>0</v>
      </c>
      <c r="R349" s="10">
        <v>0</v>
      </c>
      <c r="S349" s="5">
        <v>645</v>
      </c>
      <c r="T349" s="5">
        <v>34</v>
      </c>
      <c r="U349" s="52">
        <v>14</v>
      </c>
      <c r="V349" s="44">
        <f>IFERROR(TAB_OFICINAS[[#This Row],[Valor Unit]]*TAB_OFICINAS[[#This Row],[Qtd pçs Enviadas]]," ")</f>
        <v>1302</v>
      </c>
      <c r="W349" s="17">
        <v>46101</v>
      </c>
      <c r="X349" s="5" t="s">
        <v>6251</v>
      </c>
      <c r="Y349" s="27" t="s">
        <v>21198</v>
      </c>
      <c r="Z3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0" spans="3:26" hidden="1">
      <c r="C350" s="28" t="s">
        <v>15</v>
      </c>
      <c r="D350" s="5">
        <v>5258</v>
      </c>
      <c r="E350" s="5">
        <v>22469</v>
      </c>
      <c r="F350" s="28" t="str">
        <f>IFERROR(VLOOKUP(TAB_OFICINAS[[#This Row],[Cliente]],LISTA_DE_CLIENTES[[Código]:[Nome Fantasia]],2,FALSE),"")</f>
        <v>SPA CHANDRA GARUDA LTDA</v>
      </c>
      <c r="G350" s="5" t="str">
        <f>IFERROR(VLOOKUP(TAB_OFICINAS[[#This Row],[Cliente]],LISTA_DE_CLIENTES[[Código]:[Nome Fantasia]],3,FALSE),"")</f>
        <v>SPA CHANDRA GARUDA L</v>
      </c>
      <c r="H350" s="51">
        <v>2101018582</v>
      </c>
      <c r="I350" s="28" t="s">
        <v>20388</v>
      </c>
      <c r="J350" s="91">
        <v>20</v>
      </c>
      <c r="K350" s="86">
        <v>46029</v>
      </c>
      <c r="L350" s="10">
        <v>20</v>
      </c>
      <c r="M350" s="6">
        <v>46031</v>
      </c>
      <c r="N350" s="6">
        <v>46031</v>
      </c>
      <c r="O350" s="19">
        <f>TAB_OFICINAS[[#This Row],[Data Retorno Produção]]-TAB_OFICINAS[[#This Row],[Data Prometida  Entrega]]</f>
        <v>0</v>
      </c>
      <c r="P350" s="40" t="str">
        <f>IF(TAB_OFICINAS[[#This Row],[Dias Para Entrega]]&lt;=0,"Em dia","Dia de Atrasado")</f>
        <v>Em dia</v>
      </c>
      <c r="Q350" s="10">
        <f>IFERROR(TAB_OFICINAS[[#This Row],[Qtd pçs Enviadas]]-TAB_OFICINAS[[#This Row],[Qtd pçs Retornadas ]],"N/D ")</f>
        <v>0</v>
      </c>
      <c r="R350" s="10">
        <v>0</v>
      </c>
      <c r="S350" s="5">
        <v>537</v>
      </c>
      <c r="T350" s="5">
        <v>16835</v>
      </c>
      <c r="U350" s="52">
        <v>8</v>
      </c>
      <c r="V350" s="44">
        <f>IFERROR(TAB_OFICINAS[[#This Row],[Valor Unit]]*TAB_OFICINAS[[#This Row],[Qtd pçs Enviadas]]," ")</f>
        <v>160</v>
      </c>
      <c r="W350" s="17">
        <v>46038</v>
      </c>
      <c r="X350" s="5" t="s">
        <v>6251</v>
      </c>
      <c r="Y350" s="27"/>
      <c r="Z3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1" spans="3:26" hidden="1">
      <c r="C351" s="28" t="s">
        <v>7</v>
      </c>
      <c r="D351" s="5">
        <v>285</v>
      </c>
      <c r="E351" s="5">
        <v>23055</v>
      </c>
      <c r="F351" s="28" t="str">
        <f>IFERROR(VLOOKUP(TAB_OFICINAS[[#This Row],[Cliente]],LISTA_DE_CLIENTES[[Código]:[Nome Fantasia]],2,FALSE),"")</f>
        <v>POUSADA DA AMENDOEIRA LIMITADA - EPP</v>
      </c>
      <c r="G351" s="5" t="str">
        <f>IFERROR(VLOOKUP(TAB_OFICINAS[[#This Row],[Cliente]],LISTA_DE_CLIENTES[[Código]:[Nome Fantasia]],3,FALSE),"")</f>
        <v>POUSADA AMENDOEIRA</v>
      </c>
      <c r="H351" s="63">
        <v>2104020250</v>
      </c>
      <c r="I351" s="28" t="s">
        <v>21697</v>
      </c>
      <c r="J351" s="91">
        <v>20</v>
      </c>
      <c r="K351" s="86">
        <v>46127</v>
      </c>
      <c r="L351" s="10">
        <v>20</v>
      </c>
      <c r="M351" s="6">
        <v>46129</v>
      </c>
      <c r="N351" s="6">
        <v>46129</v>
      </c>
      <c r="O351" s="19">
        <f>TAB_OFICINAS[[#This Row],[Data Retorno Produção]]-TAB_OFICINAS[[#This Row],[Data Prometida  Entrega]]</f>
        <v>0</v>
      </c>
      <c r="P351" s="40" t="str">
        <f>IF(TAB_OFICINAS[[#This Row],[Dias Para Entrega]]&lt;=0,"Em dia","Dia de Atrasado")</f>
        <v>Em dia</v>
      </c>
      <c r="Q351" s="10">
        <f>IFERROR(TAB_OFICINAS[[#This Row],[Qtd pçs Enviadas]]-TAB_OFICINAS[[#This Row],[Qtd pçs Retornadas ]]," ")</f>
        <v>0</v>
      </c>
      <c r="R351" s="10"/>
      <c r="S351" s="5">
        <v>758</v>
      </c>
      <c r="T351" s="5">
        <v>32</v>
      </c>
      <c r="U351" s="52">
        <v>4</v>
      </c>
      <c r="V351" s="44">
        <f>IFERROR(TAB_OFICINAS[[#This Row],[Valor Unit]]*TAB_OFICINAS[[#This Row],[Qtd pçs Enviadas]]," ")</f>
        <v>80</v>
      </c>
      <c r="W351" s="17">
        <v>46139</v>
      </c>
      <c r="X351" s="5" t="s">
        <v>6251</v>
      </c>
      <c r="Y351" s="27"/>
      <c r="Z3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2" spans="3:26" hidden="1">
      <c r="C352" s="28" t="s">
        <v>15</v>
      </c>
      <c r="D352" s="5">
        <v>1475</v>
      </c>
      <c r="E352" s="5">
        <v>22655</v>
      </c>
      <c r="F352" s="28" t="str">
        <f>IFERROR(VLOOKUP(TAB_OFICINAS[[#This Row],[Cliente]],LISTA_DE_CLIENTES[[Código]:[Nome Fantasia]],2,FALSE),"")</f>
        <v>LASSO EMPREENDIMENTOS TURISTICOS LTDA</v>
      </c>
      <c r="G352" s="5" t="str">
        <f>IFERROR(VLOOKUP(TAB_OFICINAS[[#This Row],[Cliente]],LISTA_DE_CLIENTES[[Código]:[Nome Fantasia]],3,FALSE),"")</f>
        <v>POUSADA MI SECRETO</v>
      </c>
      <c r="H352" s="51">
        <v>33011146819</v>
      </c>
      <c r="I352" s="28" t="s">
        <v>20410</v>
      </c>
      <c r="J352" s="91">
        <v>20</v>
      </c>
      <c r="K352" s="86">
        <v>46055</v>
      </c>
      <c r="L352" s="10">
        <v>20</v>
      </c>
      <c r="M352" s="6">
        <v>46073</v>
      </c>
      <c r="N352" s="6">
        <v>46073</v>
      </c>
      <c r="O352" s="19">
        <f>TAB_OFICINAS[[#This Row],[Data Retorno Produção]]-TAB_OFICINAS[[#This Row],[Data Prometida  Entrega]]</f>
        <v>0</v>
      </c>
      <c r="P352" s="40" t="str">
        <f>IF(TAB_OFICINAS[[#This Row],[Dias Para Entrega]]&lt;=0,"Em dia","Dia de Atrasado")</f>
        <v>Em dia</v>
      </c>
      <c r="Q352" s="10">
        <f>IFERROR(TAB_OFICINAS[[#This Row],[Qtd pçs Enviadas]]-TAB_OFICINAS[[#This Row],[Qtd pçs Retornadas ]],"N/D ")</f>
        <v>0</v>
      </c>
      <c r="R352" s="10">
        <v>0</v>
      </c>
      <c r="S352" s="5">
        <v>3106</v>
      </c>
      <c r="T352" s="5">
        <v>16938</v>
      </c>
      <c r="U352" s="52">
        <v>5.4</v>
      </c>
      <c r="V352" s="44">
        <f>IFERROR(TAB_OFICINAS[[#This Row],[Valor Unit]]*TAB_OFICINAS[[#This Row],[Qtd pçs Enviadas]]," ")</f>
        <v>108</v>
      </c>
      <c r="W352" s="17">
        <v>46080</v>
      </c>
      <c r="X352" s="5" t="s">
        <v>6251</v>
      </c>
      <c r="Y352" s="27" t="s">
        <v>21194</v>
      </c>
      <c r="Z3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3" spans="3:26" hidden="1">
      <c r="C353" s="28" t="s">
        <v>15</v>
      </c>
      <c r="D353" s="5">
        <v>526</v>
      </c>
      <c r="E353" s="5">
        <v>22769</v>
      </c>
      <c r="F353" s="28" t="str">
        <f>IFERROR(VLOOKUP(TAB_OFICINAS[[#This Row],[Cliente]],LISTA_DE_CLIENTES[[Código]:[Nome Fantasia]],2,FALSE),"")</f>
        <v>ATMOSFERA GESTAO E HIGIENIZACAO DE TEXTEIS S.A.</v>
      </c>
      <c r="G353" s="5" t="str">
        <f>IFERROR(VLOOKUP(TAB_OFICINAS[[#This Row],[Cliente]],LISTA_DE_CLIENTES[[Código]:[Nome Fantasia]],3,FALSE),"")</f>
        <v>ATMOSFERA ST BARBARA</v>
      </c>
      <c r="H353" s="51">
        <v>92102156032</v>
      </c>
      <c r="I353" s="28" t="s">
        <v>20420</v>
      </c>
      <c r="J353" s="91">
        <v>20</v>
      </c>
      <c r="K353" s="86">
        <v>46056</v>
      </c>
      <c r="L353" s="10">
        <v>20</v>
      </c>
      <c r="M353" s="6">
        <v>46064</v>
      </c>
      <c r="N353" s="6">
        <v>46064</v>
      </c>
      <c r="O353" s="19">
        <f>TAB_OFICINAS[[#This Row],[Data Retorno Produção]]-TAB_OFICINAS[[#This Row],[Data Prometida  Entrega]]</f>
        <v>0</v>
      </c>
      <c r="P353" s="40" t="str">
        <f>IF(TAB_OFICINAS[[#This Row],[Dias Para Entrega]]&lt;=0,"Em dia","Dia de Atrasado")</f>
        <v>Em dia</v>
      </c>
      <c r="Q353" s="10">
        <f>IFERROR(TAB_OFICINAS[[#This Row],[Qtd pçs Enviadas]]-TAB_OFICINAS[[#This Row],[Qtd pçs Retornadas ]],"N/D ")</f>
        <v>0</v>
      </c>
      <c r="R353" s="10">
        <v>0</v>
      </c>
      <c r="S353" s="5">
        <v>571</v>
      </c>
      <c r="T353" s="5">
        <v>16922</v>
      </c>
      <c r="U353" s="52">
        <v>15</v>
      </c>
      <c r="V353" s="44">
        <f>IFERROR(TAB_OFICINAS[[#This Row],[Valor Unit]]*TAB_OFICINAS[[#This Row],[Qtd pçs Enviadas]]," ")</f>
        <v>300</v>
      </c>
      <c r="W353" s="17">
        <v>46073</v>
      </c>
      <c r="X353" s="5" t="s">
        <v>6251</v>
      </c>
      <c r="Y353" s="27"/>
      <c r="Z3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4" spans="3:26" hidden="1">
      <c r="C354" s="28" t="s">
        <v>1</v>
      </c>
      <c r="D354" s="5">
        <v>526</v>
      </c>
      <c r="E354" s="5">
        <v>22769</v>
      </c>
      <c r="F354" s="28" t="str">
        <f>IFERROR(VLOOKUP(TAB_OFICINAS[[#This Row],[Cliente]],LISTA_DE_CLIENTES[[Código]:[Nome Fantasia]],2,FALSE),"")</f>
        <v>ATMOSFERA GESTAO E HIGIENIZACAO DE TEXTEIS S.A.</v>
      </c>
      <c r="G354" s="5" t="str">
        <f>IFERROR(VLOOKUP(TAB_OFICINAS[[#This Row],[Cliente]],LISTA_DE_CLIENTES[[Código]:[Nome Fantasia]],3,FALSE),"")</f>
        <v>ATMOSFERA ST BARBARA</v>
      </c>
      <c r="H354" s="51">
        <v>92102156032</v>
      </c>
      <c r="I354" s="28" t="s">
        <v>20511</v>
      </c>
      <c r="J354" s="91">
        <v>20</v>
      </c>
      <c r="K354" s="86">
        <v>46071</v>
      </c>
      <c r="L354" s="10">
        <v>20</v>
      </c>
      <c r="M354" s="6">
        <v>46078</v>
      </c>
      <c r="N354" s="6">
        <v>46073</v>
      </c>
      <c r="O354" s="19">
        <f>TAB_OFICINAS[[#This Row],[Data Retorno Produção]]-TAB_OFICINAS[[#This Row],[Data Prometida  Entrega]]</f>
        <v>-5</v>
      </c>
      <c r="P354" s="40" t="str">
        <f>IF(TAB_OFICINAS[[#This Row],[Dias Para Entrega]]&lt;=0,"Em dia","Dia de Atrasado")</f>
        <v>Em dia</v>
      </c>
      <c r="Q354" s="10">
        <f>IFERROR(TAB_OFICINAS[[#This Row],[Qtd pçs Enviadas]]-TAB_OFICINAS[[#This Row],[Qtd pçs Retornadas ]],"N/D ")</f>
        <v>0</v>
      </c>
      <c r="R354" s="10">
        <v>0</v>
      </c>
      <c r="S354" s="5">
        <v>600</v>
      </c>
      <c r="T354" s="5">
        <v>39</v>
      </c>
      <c r="U354" s="52">
        <v>11</v>
      </c>
      <c r="V354" s="44">
        <f>IFERROR(TAB_OFICINAS[[#This Row],[Valor Unit]]*TAB_OFICINAS[[#This Row],[Qtd pçs Enviadas]]," ")</f>
        <v>220</v>
      </c>
      <c r="W354" s="17">
        <v>46083</v>
      </c>
      <c r="X354" s="5" t="s">
        <v>6251</v>
      </c>
      <c r="Y354" s="27"/>
      <c r="Z3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5" spans="3:26" hidden="1">
      <c r="C355" s="28" t="s">
        <v>3</v>
      </c>
      <c r="D355" s="5">
        <v>4312</v>
      </c>
      <c r="E355" s="5">
        <v>22733</v>
      </c>
      <c r="F355" s="28" t="str">
        <f>IFERROR(VLOOKUP(TAB_OFICINAS[[#This Row],[Cliente]],LISTA_DE_CLIENTES[[Código]:[Nome Fantasia]],2,FALSE),"")</f>
        <v>BORGO HOTELARIA E RESTAURANTE LTDA</v>
      </c>
      <c r="G355" s="5" t="str">
        <f>IFERROR(VLOOKUP(TAB_OFICINAS[[#This Row],[Cliente]],LISTA_DE_CLIENTES[[Código]:[Nome Fantasia]],3,FALSE),"")</f>
        <v>BORGO DEL VINO HOTEL</v>
      </c>
      <c r="H355" s="51">
        <v>92101106140</v>
      </c>
      <c r="I355" s="28" t="s">
        <v>20947</v>
      </c>
      <c r="J355" s="91">
        <v>20</v>
      </c>
      <c r="K355" s="86">
        <v>46072</v>
      </c>
      <c r="L355" s="10">
        <v>20</v>
      </c>
      <c r="M355" s="6">
        <v>46078</v>
      </c>
      <c r="N355" s="6">
        <v>46077</v>
      </c>
      <c r="O355" s="19">
        <f>TAB_OFICINAS[[#This Row],[Data Retorno Produção]]-TAB_OFICINAS[[#This Row],[Data Prometida  Entrega]]</f>
        <v>-1</v>
      </c>
      <c r="P355" s="40" t="str">
        <f>IF(TAB_OFICINAS[[#This Row],[Dias Para Entrega]]&lt;=0,"Em dia","Dia de Atrasado")</f>
        <v>Em dia</v>
      </c>
      <c r="Q355" s="10">
        <f>IFERROR(TAB_OFICINAS[[#This Row],[Qtd pçs Enviadas]]-TAB_OFICINAS[[#This Row],[Qtd pçs Retornadas ]],"N/D ")</f>
        <v>0</v>
      </c>
      <c r="R355" s="48">
        <v>0</v>
      </c>
      <c r="S355" s="5">
        <v>602</v>
      </c>
      <c r="T355" s="5">
        <v>96</v>
      </c>
      <c r="U355" s="52">
        <v>12</v>
      </c>
      <c r="V355" s="44">
        <f>IFERROR(TAB_OFICINAS[[#This Row],[Valor Unit]]*TAB_OFICINAS[[#This Row],[Qtd pçs Enviadas]]," ")</f>
        <v>240</v>
      </c>
      <c r="W355" s="17">
        <v>46087</v>
      </c>
      <c r="X355" s="5" t="s">
        <v>6251</v>
      </c>
      <c r="Y355" s="27"/>
      <c r="Z3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6" spans="3:26" hidden="1">
      <c r="C356" s="28" t="s">
        <v>3</v>
      </c>
      <c r="D356" s="5">
        <v>4312</v>
      </c>
      <c r="E356" s="5">
        <v>22733</v>
      </c>
      <c r="F356" s="28" t="str">
        <f>IFERROR(VLOOKUP(TAB_OFICINAS[[#This Row],[Cliente]],LISTA_DE_CLIENTES[[Código]:[Nome Fantasia]],2,FALSE),"")</f>
        <v>BORGO HOTELARIA E RESTAURANTE LTDA</v>
      </c>
      <c r="G356" s="5" t="str">
        <f>IFERROR(VLOOKUP(TAB_OFICINAS[[#This Row],[Cliente]],LISTA_DE_CLIENTES[[Código]:[Nome Fantasia]],3,FALSE),"")</f>
        <v>BORGO DEL VINO HOTEL</v>
      </c>
      <c r="H356" s="51">
        <v>92102106141</v>
      </c>
      <c r="I356" s="28" t="s">
        <v>20949</v>
      </c>
      <c r="J356" s="91">
        <v>20</v>
      </c>
      <c r="K356" s="86">
        <v>46072</v>
      </c>
      <c r="L356" s="10">
        <v>20</v>
      </c>
      <c r="M356" s="6">
        <v>46078</v>
      </c>
      <c r="N356" s="6">
        <v>46077</v>
      </c>
      <c r="O356" s="19">
        <f>TAB_OFICINAS[[#This Row],[Data Retorno Produção]]-TAB_OFICINAS[[#This Row],[Data Prometida  Entrega]]</f>
        <v>-1</v>
      </c>
      <c r="P356" s="40" t="str">
        <f>IF(TAB_OFICINAS[[#This Row],[Dias Para Entrega]]&lt;=0,"Em dia","Dia de Atrasado")</f>
        <v>Em dia</v>
      </c>
      <c r="Q356" s="10">
        <f>IFERROR(TAB_OFICINAS[[#This Row],[Qtd pçs Enviadas]]-TAB_OFICINAS[[#This Row],[Qtd pçs Retornadas ]],"N/D ")</f>
        <v>0</v>
      </c>
      <c r="R356" s="48">
        <v>0</v>
      </c>
      <c r="S356" s="5">
        <v>602</v>
      </c>
      <c r="T356" s="5">
        <v>96</v>
      </c>
      <c r="U356" s="52">
        <v>10.9</v>
      </c>
      <c r="V356" s="44">
        <f>IFERROR(TAB_OFICINAS[[#This Row],[Valor Unit]]*TAB_OFICINAS[[#This Row],[Qtd pçs Enviadas]]," ")</f>
        <v>218</v>
      </c>
      <c r="W356" s="17">
        <v>46087</v>
      </c>
      <c r="X356" s="5" t="s">
        <v>6251</v>
      </c>
      <c r="Y356" s="27"/>
      <c r="Z3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7" spans="3:26" hidden="1">
      <c r="C357" s="28" t="s">
        <v>7</v>
      </c>
      <c r="D357" s="5">
        <v>285</v>
      </c>
      <c r="E357" s="5">
        <v>23055</v>
      </c>
      <c r="F357" s="28" t="str">
        <f>IFERROR(VLOOKUP(TAB_OFICINAS[[#This Row],[Cliente]],LISTA_DE_CLIENTES[[Código]:[Nome Fantasia]],2,FALSE),"")</f>
        <v>POUSADA DA AMENDOEIRA LIMITADA - EPP</v>
      </c>
      <c r="G357" s="5" t="str">
        <f>IFERROR(VLOOKUP(TAB_OFICINAS[[#This Row],[Cliente]],LISTA_DE_CLIENTES[[Código]:[Nome Fantasia]],3,FALSE),"")</f>
        <v>POUSADA AMENDOEIRA</v>
      </c>
      <c r="H357" s="63">
        <v>2101049753</v>
      </c>
      <c r="I357" s="28" t="s">
        <v>21640</v>
      </c>
      <c r="J357" s="91">
        <v>3</v>
      </c>
      <c r="K357" s="86">
        <v>46127</v>
      </c>
      <c r="L357" s="10">
        <v>3</v>
      </c>
      <c r="M357" s="6">
        <v>46129</v>
      </c>
      <c r="N357" s="6">
        <v>46129</v>
      </c>
      <c r="O357" s="19">
        <f>TAB_OFICINAS[[#This Row],[Data Retorno Produção]]-TAB_OFICINAS[[#This Row],[Data Prometida  Entrega]]</f>
        <v>0</v>
      </c>
      <c r="P357" s="40" t="str">
        <f>IF(TAB_OFICINAS[[#This Row],[Dias Para Entrega]]&lt;=0,"Em dia","Dia de Atrasado")</f>
        <v>Em dia</v>
      </c>
      <c r="Q357" s="10">
        <f>IFERROR(TAB_OFICINAS[[#This Row],[Qtd pçs Enviadas]]-TAB_OFICINAS[[#This Row],[Qtd pçs Retornadas ]]," ")</f>
        <v>0</v>
      </c>
      <c r="R357" s="10"/>
      <c r="S357" s="5">
        <v>758</v>
      </c>
      <c r="T357" s="5">
        <v>32</v>
      </c>
      <c r="U357" s="52">
        <v>8</v>
      </c>
      <c r="V357" s="44">
        <f>IFERROR(TAB_OFICINAS[[#This Row],[Valor Unit]]*TAB_OFICINAS[[#This Row],[Qtd pçs Enviadas]]," ")</f>
        <v>24</v>
      </c>
      <c r="W357" s="17">
        <v>46139</v>
      </c>
      <c r="X357" s="5" t="s">
        <v>6251</v>
      </c>
      <c r="Y357" s="27"/>
      <c r="Z3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8" spans="3:26" hidden="1">
      <c r="C358" s="28" t="s">
        <v>7</v>
      </c>
      <c r="D358" s="5">
        <v>285</v>
      </c>
      <c r="E358" s="5">
        <v>23055</v>
      </c>
      <c r="F358" s="28" t="str">
        <f>IFERROR(VLOOKUP(TAB_OFICINAS[[#This Row],[Cliente]],LISTA_DE_CLIENTES[[Código]:[Nome Fantasia]],2,FALSE),"")</f>
        <v>POUSADA DA AMENDOEIRA LIMITADA - EPP</v>
      </c>
      <c r="G358" s="5" t="str">
        <f>IFERROR(VLOOKUP(TAB_OFICINAS[[#This Row],[Cliente]],LISTA_DE_CLIENTES[[Código]:[Nome Fantasia]],3,FALSE),"")</f>
        <v>POUSADA AMENDOEIRA</v>
      </c>
      <c r="H358" s="63">
        <v>2101069744</v>
      </c>
      <c r="I358" s="28" t="s">
        <v>21682</v>
      </c>
      <c r="J358" s="91">
        <v>3</v>
      </c>
      <c r="K358" s="86">
        <v>46127</v>
      </c>
      <c r="L358" s="10">
        <v>3</v>
      </c>
      <c r="M358" s="6">
        <v>46129</v>
      </c>
      <c r="N358" s="6">
        <v>46129</v>
      </c>
      <c r="O358" s="19">
        <f>TAB_OFICINAS[[#This Row],[Data Retorno Produção]]-TAB_OFICINAS[[#This Row],[Data Prometida  Entrega]]</f>
        <v>0</v>
      </c>
      <c r="P358" s="40" t="str">
        <f>IF(TAB_OFICINAS[[#This Row],[Dias Para Entrega]]&lt;=0,"Em dia","Dia de Atrasado")</f>
        <v>Em dia</v>
      </c>
      <c r="Q358" s="10">
        <f>IFERROR(TAB_OFICINAS[[#This Row],[Qtd pçs Enviadas]]-TAB_OFICINAS[[#This Row],[Qtd pçs Retornadas ]]," ")</f>
        <v>0</v>
      </c>
      <c r="R358" s="10"/>
      <c r="S358" s="5">
        <v>758</v>
      </c>
      <c r="T358" s="5">
        <v>32</v>
      </c>
      <c r="U358" s="52">
        <v>7.5</v>
      </c>
      <c r="V358" s="44">
        <f>IFERROR(TAB_OFICINAS[[#This Row],[Valor Unit]]*TAB_OFICINAS[[#This Row],[Qtd pçs Enviadas]]," ")</f>
        <v>22.5</v>
      </c>
      <c r="W358" s="17">
        <v>46139</v>
      </c>
      <c r="X358" s="5" t="s">
        <v>6251</v>
      </c>
      <c r="Y358" s="27"/>
      <c r="Z3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59" spans="3:26" hidden="1">
      <c r="C359" s="28" t="s">
        <v>15</v>
      </c>
      <c r="D359" s="5">
        <v>526</v>
      </c>
      <c r="E359" s="5">
        <v>22950</v>
      </c>
      <c r="F359" s="28" t="str">
        <f>IFERROR(VLOOKUP(TAB_OFICINAS[[#This Row],[Cliente]],LISTA_DE_CLIENTES[[Código]:[Nome Fantasia]],2,FALSE),"")</f>
        <v>ATMOSFERA GESTAO E HIGIENIZACAO DE TEXTEIS S.A.</v>
      </c>
      <c r="G359" s="5" t="str">
        <f>IFERROR(VLOOKUP(TAB_OFICINAS[[#This Row],[Cliente]],LISTA_DE_CLIENTES[[Código]:[Nome Fantasia]],3,FALSE),"")</f>
        <v>ATMOSFERA ST BARBARA</v>
      </c>
      <c r="H359" s="63">
        <v>92102156032</v>
      </c>
      <c r="I359" s="28" t="s">
        <v>20511</v>
      </c>
      <c r="J359" s="91">
        <v>20</v>
      </c>
      <c r="K359" s="86">
        <v>46091</v>
      </c>
      <c r="L359" s="10">
        <v>20</v>
      </c>
      <c r="M359" s="6">
        <v>46097</v>
      </c>
      <c r="N359" s="6">
        <v>46098</v>
      </c>
      <c r="O359" s="19">
        <f>TAB_OFICINAS[[#This Row],[Data Retorno Produção]]-TAB_OFICINAS[[#This Row],[Data Prometida  Entrega]]</f>
        <v>1</v>
      </c>
      <c r="P359" s="40" t="str">
        <f>IF(TAB_OFICINAS[[#This Row],[Dias Para Entrega]]&lt;=0,"Em dia","Dia de Atrasado")</f>
        <v>Dia de Atrasado</v>
      </c>
      <c r="Q359" s="10">
        <f>IFERROR(TAB_OFICINAS[[#This Row],[Qtd pçs Enviadas]]-TAB_OFICINAS[[#This Row],[Qtd pçs Retornadas ]]," ")</f>
        <v>0</v>
      </c>
      <c r="R359" s="10">
        <v>0</v>
      </c>
      <c r="S359" s="5">
        <v>675</v>
      </c>
      <c r="T359" s="5">
        <v>16991</v>
      </c>
      <c r="U359" s="52">
        <v>15</v>
      </c>
      <c r="V359" s="44">
        <f>IFERROR(TAB_OFICINAS[[#This Row],[Valor Unit]]*TAB_OFICINAS[[#This Row],[Qtd pçs Enviadas]]," ")</f>
        <v>300</v>
      </c>
      <c r="W359" s="17">
        <v>46104</v>
      </c>
      <c r="X359" s="5" t="s">
        <v>6251</v>
      </c>
      <c r="Y359" s="27"/>
      <c r="Z3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0" spans="3:26" hidden="1">
      <c r="C360" s="28" t="s">
        <v>19</v>
      </c>
      <c r="D360" s="5">
        <v>1942</v>
      </c>
      <c r="E360" s="5">
        <v>22995</v>
      </c>
      <c r="F360" s="28" t="str">
        <f>IFERROR(VLOOKUP(TAB_OFICINAS[[#This Row],[Cliente]],LISTA_DE_CLIENTES[[Código]:[Nome Fantasia]],2,FALSE),"")</f>
        <v>ONCO STAR SP ONCOLOGIA LTDA (REDE D´OR)</v>
      </c>
      <c r="G360" s="5" t="str">
        <f>IFERROR(VLOOKUP(TAB_OFICINAS[[#This Row],[Cliente]],LISTA_DE_CLIENTES[[Código]:[Nome Fantasia]],3,FALSE),"")</f>
        <v>R DOR VILA NOVA STAR</v>
      </c>
      <c r="H360" s="63">
        <v>3301084129</v>
      </c>
      <c r="I360" s="28" t="s">
        <v>21238</v>
      </c>
      <c r="J360" s="91">
        <v>54</v>
      </c>
      <c r="K360" s="86">
        <v>46126</v>
      </c>
      <c r="L360" s="10">
        <v>54</v>
      </c>
      <c r="M360" s="6">
        <v>46147</v>
      </c>
      <c r="N360" s="6">
        <v>46147</v>
      </c>
      <c r="O360" s="19">
        <f>TAB_OFICINAS[[#This Row],[Data Retorno Produção]]-TAB_OFICINAS[[#This Row],[Data Prometida  Entrega]]</f>
        <v>0</v>
      </c>
      <c r="P360" s="40" t="str">
        <f>IF(TAB_OFICINAS[[#This Row],[Dias Para Entrega]]&lt;=0,"Em dia","Dia de Atrasado")</f>
        <v>Em dia</v>
      </c>
      <c r="Q360" s="10">
        <f>IFERROR(TAB_OFICINAS[[#This Row],[Qtd pçs Enviadas]]-TAB_OFICINAS[[#This Row],[Qtd pçs Retornadas ]]," ")</f>
        <v>0</v>
      </c>
      <c r="R360" s="10">
        <v>0</v>
      </c>
      <c r="S360" s="5">
        <v>677</v>
      </c>
      <c r="T360" s="5">
        <v>50</v>
      </c>
      <c r="U360" s="52">
        <v>14</v>
      </c>
      <c r="V360" s="44">
        <f>IFERROR(TAB_OFICINAS[[#This Row],[Valor Unit]]*TAB_OFICINAS[[#This Row],[Qtd pçs Enviadas]]," ")</f>
        <v>756</v>
      </c>
      <c r="W360" s="17">
        <v>46157</v>
      </c>
      <c r="X360" s="5" t="s">
        <v>6251</v>
      </c>
      <c r="Y360" s="27"/>
      <c r="Z3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1" spans="3:26" hidden="1">
      <c r="C361" s="28" t="s">
        <v>18</v>
      </c>
      <c r="D361" s="5">
        <v>5189</v>
      </c>
      <c r="E361" s="5">
        <v>22566</v>
      </c>
      <c r="F361" s="28" t="str">
        <f>IFERROR(VLOOKUP(TAB_OFICINAS[[#This Row],[Cliente]],LISTA_DE_CLIENTES[[Código]:[Nome Fantasia]],2,FALSE),"")</f>
        <v>DIAGNOSTICOS DA AMERICA S.A .</v>
      </c>
      <c r="G361" s="5" t="str">
        <f>IFERROR(VLOOKUP(TAB_OFICINAS[[#This Row],[Cliente]],LISTA_DE_CLIENTES[[Código]:[Nome Fantasia]],3,FALSE),"")</f>
        <v>DASA VILA ANDRADE</v>
      </c>
      <c r="H361" s="63">
        <v>3301095930</v>
      </c>
      <c r="I361" s="28" t="s">
        <v>20831</v>
      </c>
      <c r="J361" s="91">
        <v>20</v>
      </c>
      <c r="K361" s="86">
        <v>46092</v>
      </c>
      <c r="L361" s="10">
        <v>20</v>
      </c>
      <c r="M361" s="6">
        <v>46105</v>
      </c>
      <c r="N361" s="6">
        <v>46098</v>
      </c>
      <c r="O361" s="19">
        <f>TAB_OFICINAS[[#This Row],[Data Retorno Produção]]-TAB_OFICINAS[[#This Row],[Data Prometida  Entrega]]</f>
        <v>-7</v>
      </c>
      <c r="P361" s="40" t="str">
        <f>IF(TAB_OFICINAS[[#This Row],[Dias Para Entrega]]&lt;=0,"Em dia","Dia de Atrasado")</f>
        <v>Em dia</v>
      </c>
      <c r="Q361" s="10">
        <f>IFERROR(TAB_OFICINAS[[#This Row],[Qtd pçs Enviadas]]-TAB_OFICINAS[[#This Row],[Qtd pçs Retornadas ]]," ")</f>
        <v>0</v>
      </c>
      <c r="R361" s="10">
        <v>0</v>
      </c>
      <c r="S361" s="5">
        <v>679</v>
      </c>
      <c r="T361" s="5">
        <v>36</v>
      </c>
      <c r="U361" s="52">
        <v>16</v>
      </c>
      <c r="V361" s="44">
        <f>IFERROR(TAB_OFICINAS[[#This Row],[Valor Unit]]*TAB_OFICINAS[[#This Row],[Qtd pçs Enviadas]]," ")</f>
        <v>320</v>
      </c>
      <c r="W361" s="17">
        <v>46108</v>
      </c>
      <c r="X361" s="5" t="s">
        <v>6251</v>
      </c>
      <c r="Y361" s="27"/>
      <c r="Z3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2" spans="3:26" ht="28.5" hidden="1">
      <c r="C362" s="28" t="s">
        <v>16</v>
      </c>
      <c r="D362" s="5">
        <v>3593</v>
      </c>
      <c r="E362" s="5">
        <v>22565</v>
      </c>
      <c r="F362" s="28" t="str">
        <f>IFERROR(VLOOKUP(TAB_OFICINAS[[#This Row],[Cliente]],LISTA_DE_CLIENTES[[Código]:[Nome Fantasia]],2,FALSE),"")</f>
        <v>DIAGNOSTICOS DA AMERICA S.A.</v>
      </c>
      <c r="G362" s="5" t="str">
        <f>IFERROR(VLOOKUP(TAB_OFICINAS[[#This Row],[Cliente]],LISTA_DE_CLIENTES[[Código]:[Nome Fantasia]],3,FALSE),"")</f>
        <v>DASA PINHEIROS</v>
      </c>
      <c r="H362" s="63">
        <v>3301093025</v>
      </c>
      <c r="I362" s="28" t="s">
        <v>20833</v>
      </c>
      <c r="J362" s="91">
        <v>20</v>
      </c>
      <c r="K362" s="86">
        <v>46094</v>
      </c>
      <c r="L362" s="10">
        <v>20</v>
      </c>
      <c r="M362" s="6">
        <v>46105</v>
      </c>
      <c r="N362" s="6">
        <v>46101</v>
      </c>
      <c r="O362" s="19">
        <f>TAB_OFICINAS[[#This Row],[Data Retorno Produção]]-TAB_OFICINAS[[#This Row],[Data Prometida  Entrega]]</f>
        <v>-4</v>
      </c>
      <c r="P362" s="40" t="str">
        <f>IF(TAB_OFICINAS[[#This Row],[Dias Para Entrega]]&lt;=0,"Em dia","Dia de Atrasado")</f>
        <v>Em dia</v>
      </c>
      <c r="Q362" s="10">
        <v>0</v>
      </c>
      <c r="R362" s="10">
        <v>0</v>
      </c>
      <c r="S362" s="5">
        <v>685</v>
      </c>
      <c r="T362" s="5">
        <v>42</v>
      </c>
      <c r="U362" s="52">
        <v>16</v>
      </c>
      <c r="V362" s="44">
        <f>IFERROR(TAB_OFICINAS[[#This Row],[Valor Unit]]*TAB_OFICINAS[[#This Row],[Qtd pçs Enviadas]]," ")</f>
        <v>320</v>
      </c>
      <c r="W362" s="17">
        <v>46111</v>
      </c>
      <c r="X362" s="5" t="s">
        <v>6251</v>
      </c>
      <c r="Y362" s="27" t="s">
        <v>21449</v>
      </c>
      <c r="Z3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3" spans="3:26" hidden="1">
      <c r="C363" s="28" t="s">
        <v>18</v>
      </c>
      <c r="D363" s="5">
        <v>5189</v>
      </c>
      <c r="E363" s="5">
        <v>22566</v>
      </c>
      <c r="F363" s="28" t="str">
        <f>IFERROR(VLOOKUP(TAB_OFICINAS[[#This Row],[Cliente]],LISTA_DE_CLIENTES[[Código]:[Nome Fantasia]],2,FALSE),"")</f>
        <v>DIAGNOSTICOS DA AMERICA S.A .</v>
      </c>
      <c r="G363" s="5" t="str">
        <f>IFERROR(VLOOKUP(TAB_OFICINAS[[#This Row],[Cliente]],LISTA_DE_CLIENTES[[Código]:[Nome Fantasia]],3,FALSE),"")</f>
        <v>DASA VILA ANDRADE</v>
      </c>
      <c r="H363" s="63">
        <v>3301095929</v>
      </c>
      <c r="I363" s="28" t="s">
        <v>20837</v>
      </c>
      <c r="J363" s="91">
        <v>16</v>
      </c>
      <c r="K363" s="86">
        <v>46092</v>
      </c>
      <c r="L363" s="10">
        <v>16</v>
      </c>
      <c r="M363" s="6">
        <v>46105</v>
      </c>
      <c r="N363" s="6">
        <v>46098</v>
      </c>
      <c r="O363" s="19">
        <f>TAB_OFICINAS[[#This Row],[Data Retorno Produção]]-TAB_OFICINAS[[#This Row],[Data Prometida  Entrega]]</f>
        <v>-7</v>
      </c>
      <c r="P363" s="40" t="str">
        <f>IF(TAB_OFICINAS[[#This Row],[Dias Para Entrega]]&lt;=0,"Em dia","Dia de Atrasado")</f>
        <v>Em dia</v>
      </c>
      <c r="Q363" s="10">
        <f>IFERROR(TAB_OFICINAS[[#This Row],[Qtd pçs Enviadas]]-TAB_OFICINAS[[#This Row],[Qtd pçs Retornadas ]]," ")</f>
        <v>0</v>
      </c>
      <c r="R363" s="10">
        <v>0</v>
      </c>
      <c r="S363" s="5">
        <v>679</v>
      </c>
      <c r="T363" s="5">
        <v>36</v>
      </c>
      <c r="U363" s="52">
        <v>16</v>
      </c>
      <c r="V363" s="44">
        <f>IFERROR(TAB_OFICINAS[[#This Row],[Valor Unit]]*TAB_OFICINAS[[#This Row],[Qtd pçs Enviadas]]," ")</f>
        <v>256</v>
      </c>
      <c r="W363" s="17">
        <v>46108</v>
      </c>
      <c r="X363" s="5" t="s">
        <v>6251</v>
      </c>
      <c r="Y363" s="27"/>
      <c r="Z3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4" spans="3:26" ht="57" hidden="1">
      <c r="C364" s="28" t="s">
        <v>17</v>
      </c>
      <c r="D364" s="5">
        <v>5189</v>
      </c>
      <c r="E364" s="5">
        <v>22949</v>
      </c>
      <c r="F364" s="28" t="str">
        <f>IFERROR(VLOOKUP(TAB_OFICINAS[[#This Row],[Cliente]],LISTA_DE_CLIENTES[[Código]:[Nome Fantasia]],2,FALSE),"")</f>
        <v>DIAGNOSTICOS DA AMERICA S.A .</v>
      </c>
      <c r="G364" s="5" t="str">
        <f>IFERROR(VLOOKUP(TAB_OFICINAS[[#This Row],[Cliente]],LISTA_DE_CLIENTES[[Código]:[Nome Fantasia]],3,FALSE),"")</f>
        <v>DASA VILA ANDRADE</v>
      </c>
      <c r="H364" s="63">
        <v>3301092628</v>
      </c>
      <c r="I364" s="28" t="s">
        <v>20827</v>
      </c>
      <c r="J364" s="91">
        <v>20</v>
      </c>
      <c r="K364" s="86">
        <v>46101</v>
      </c>
      <c r="L364" s="10">
        <v>20</v>
      </c>
      <c r="M364" s="6">
        <v>46118</v>
      </c>
      <c r="N364" s="6">
        <v>46115</v>
      </c>
      <c r="O364" s="19">
        <f>TAB_OFICINAS[[#This Row],[Data Retorno Produção]]-TAB_OFICINAS[[#This Row],[Data Prometida  Entrega]]</f>
        <v>-3</v>
      </c>
      <c r="P364" s="40" t="str">
        <f>IF(TAB_OFICINAS[[#This Row],[Dias Para Entrega]]&lt;=0,"Em dia","Dia de Atrasado")</f>
        <v>Em dia</v>
      </c>
      <c r="Q364" s="10">
        <f>IFERROR(TAB_OFICINAS[[#This Row],[Qtd pçs Enviadas]]-TAB_OFICINAS[[#This Row],[Qtd pçs Retornadas ]]," ")</f>
        <v>0</v>
      </c>
      <c r="R364" s="10">
        <v>20</v>
      </c>
      <c r="S364" s="5">
        <v>701</v>
      </c>
      <c r="T364" s="5">
        <v>48</v>
      </c>
      <c r="U364" s="52">
        <v>16</v>
      </c>
      <c r="V364" s="44">
        <f>IFERROR(TAB_OFICINAS[[#This Row],[Valor Unit]]*TAB_OFICINAS[[#This Row],[Qtd pçs Enviadas]]," ")</f>
        <v>320</v>
      </c>
      <c r="W364" s="17">
        <v>46125</v>
      </c>
      <c r="X364" s="5" t="s">
        <v>6251</v>
      </c>
      <c r="Y364" s="27" t="s">
        <v>21567</v>
      </c>
      <c r="Z3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5" spans="3:26" hidden="1">
      <c r="C365" s="28" t="s">
        <v>7</v>
      </c>
      <c r="D365" s="5">
        <v>285</v>
      </c>
      <c r="E365" s="5">
        <v>23055</v>
      </c>
      <c r="F365" s="28" t="str">
        <f>IFERROR(VLOOKUP(TAB_OFICINAS[[#This Row],[Cliente]],LISTA_DE_CLIENTES[[Código]:[Nome Fantasia]],2,FALSE),"")</f>
        <v>POUSADA DA AMENDOEIRA LIMITADA - EPP</v>
      </c>
      <c r="G365" s="5" t="str">
        <f>IFERROR(VLOOKUP(TAB_OFICINAS[[#This Row],[Cliente]],LISTA_DE_CLIENTES[[Código]:[Nome Fantasia]],3,FALSE),"")</f>
        <v>POUSADA AMENDOEIRA</v>
      </c>
      <c r="H365" s="63">
        <v>2102039754</v>
      </c>
      <c r="I365" s="28" t="s">
        <v>21691</v>
      </c>
      <c r="J365" s="91">
        <v>3</v>
      </c>
      <c r="K365" s="86">
        <v>46127</v>
      </c>
      <c r="L365" s="10">
        <v>3</v>
      </c>
      <c r="M365" s="6">
        <v>46129</v>
      </c>
      <c r="N365" s="6">
        <v>46129</v>
      </c>
      <c r="O365" s="19">
        <f>TAB_OFICINAS[[#This Row],[Data Retorno Produção]]-TAB_OFICINAS[[#This Row],[Data Prometida  Entrega]]</f>
        <v>0</v>
      </c>
      <c r="P365" s="40" t="str">
        <f>IF(TAB_OFICINAS[[#This Row],[Dias Para Entrega]]&lt;=0,"Em dia","Dia de Atrasado")</f>
        <v>Em dia</v>
      </c>
      <c r="Q365" s="10">
        <f>IFERROR(TAB_OFICINAS[[#This Row],[Qtd pçs Enviadas]]-TAB_OFICINAS[[#This Row],[Qtd pçs Retornadas ]]," ")</f>
        <v>0</v>
      </c>
      <c r="R365" s="10"/>
      <c r="S365" s="5">
        <v>758</v>
      </c>
      <c r="T365" s="5">
        <v>32</v>
      </c>
      <c r="U365" s="52">
        <v>8.5</v>
      </c>
      <c r="V365" s="44">
        <f>IFERROR(TAB_OFICINAS[[#This Row],[Valor Unit]]*TAB_OFICINAS[[#This Row],[Qtd pçs Enviadas]]," ")</f>
        <v>25.5</v>
      </c>
      <c r="W365" s="17">
        <v>46139</v>
      </c>
      <c r="X365" s="5" t="s">
        <v>6251</v>
      </c>
      <c r="Y365" s="27"/>
      <c r="Z3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6" spans="3:26" hidden="1">
      <c r="C366" s="28" t="s">
        <v>21607</v>
      </c>
      <c r="D366" s="5">
        <v>3041</v>
      </c>
      <c r="E366" s="5">
        <v>23138</v>
      </c>
      <c r="F366" s="28" t="str">
        <f>IFERROR(VLOOKUP(TAB_OFICINAS[[#This Row],[Cliente]],LISTA_DE_CLIENTES[[Código]:[Nome Fantasia]],2,FALSE),"")</f>
        <v>ZISSOU ASSESSORIA E COSULTORIA EM ARTIGOS DO SONO</v>
      </c>
      <c r="G366" s="5" t="str">
        <f>IFERROR(VLOOKUP(TAB_OFICINAS[[#This Row],[Cliente]],LISTA_DE_CLIENTES[[Código]:[Nome Fantasia]],3,FALSE),"")</f>
        <v>ZISSOU</v>
      </c>
      <c r="H366" s="63">
        <v>4407129612</v>
      </c>
      <c r="I366" s="28" t="s">
        <v>21500</v>
      </c>
      <c r="J366" s="91">
        <v>20</v>
      </c>
      <c r="K366" s="86">
        <v>46128</v>
      </c>
      <c r="L366" s="10">
        <v>20</v>
      </c>
      <c r="M366" s="6">
        <v>46139</v>
      </c>
      <c r="N366" s="6">
        <v>46139</v>
      </c>
      <c r="O366" s="19">
        <f>TAB_OFICINAS[[#This Row],[Data Retorno Produção]]-TAB_OFICINAS[[#This Row],[Data Prometida  Entrega]]</f>
        <v>0</v>
      </c>
      <c r="P366" s="40" t="str">
        <f>IF(TAB_OFICINAS[[#This Row],[Dias Para Entrega]]&lt;=0,"Em dia","Dia de Atrasado")</f>
        <v>Em dia</v>
      </c>
      <c r="Q366" s="10">
        <f>IFERROR(TAB_OFICINAS[[#This Row],[Qtd pçs Enviadas]]-TAB_OFICINAS[[#This Row],[Qtd pçs Retornadas ]]," ")</f>
        <v>0</v>
      </c>
      <c r="R366" s="10">
        <v>0</v>
      </c>
      <c r="S366" s="5">
        <v>760</v>
      </c>
      <c r="T366" s="5">
        <v>2038</v>
      </c>
      <c r="U366" s="52">
        <v>7.5</v>
      </c>
      <c r="V366" s="44">
        <f>IFERROR(TAB_OFICINAS[[#This Row],[Valor Unit]]*TAB_OFICINAS[[#This Row],[Qtd pçs Enviadas]]," ")</f>
        <v>150</v>
      </c>
      <c r="W366" s="17">
        <v>46136</v>
      </c>
      <c r="X366" s="5" t="s">
        <v>6251</v>
      </c>
      <c r="Y366" s="27"/>
      <c r="Z3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7" spans="3:26" hidden="1">
      <c r="C367" s="28" t="s">
        <v>21197</v>
      </c>
      <c r="D367" s="5">
        <v>5391</v>
      </c>
      <c r="E367" s="5">
        <v>22892</v>
      </c>
      <c r="F367" s="28" t="str">
        <f>IFERROR(VLOOKUP(TAB_OFICINAS[[#This Row],[Cliente]],LISTA_DE_CLIENTES[[Código]:[Nome Fantasia]],2,FALSE),"")</f>
        <v>PACIFICO OPERACOES HOSPITALARES S.A</v>
      </c>
      <c r="G367" s="5" t="str">
        <f>IFERROR(VLOOKUP(TAB_OFICINAS[[#This Row],[Cliente]],LISTA_DE_CLIENTES[[Código]:[Nome Fantasia]],3,FALSE),"")</f>
        <v>MATERNIDADE SAO LUIZ</v>
      </c>
      <c r="H367" s="63">
        <v>2103062485</v>
      </c>
      <c r="I367" s="28" t="s">
        <v>20770</v>
      </c>
      <c r="J367" s="91">
        <v>300</v>
      </c>
      <c r="K367" s="86">
        <v>46136</v>
      </c>
      <c r="L367" s="10">
        <v>300</v>
      </c>
      <c r="M367" s="6">
        <v>46161</v>
      </c>
      <c r="N367" s="6">
        <v>46161</v>
      </c>
      <c r="O367" s="19">
        <f>TAB_OFICINAS[[#This Row],[Data Retorno Produção]]-TAB_OFICINAS[[#This Row],[Data Prometida  Entrega]]</f>
        <v>0</v>
      </c>
      <c r="P367" s="40" t="str">
        <f>IF(TAB_OFICINAS[[#This Row],[Dias Para Entrega]]&lt;=0,"Em dia","Dia de Atrasado")</f>
        <v>Em dia</v>
      </c>
      <c r="Q367" s="10">
        <f>IFERROR(TAB_OFICINAS[[#This Row],[Qtd pçs Enviadas]]-TAB_OFICINAS[[#This Row],[Qtd pçs Retornadas ]]," ")</f>
        <v>0</v>
      </c>
      <c r="R367" s="10"/>
      <c r="S367" s="5">
        <v>786</v>
      </c>
      <c r="T367" s="5">
        <v>58</v>
      </c>
      <c r="U367" s="52">
        <v>5.15</v>
      </c>
      <c r="V367" s="44">
        <f>IFERROR(TAB_OFICINAS[[#This Row],[Valor Unit]]*TAB_OFICINAS[[#This Row],[Qtd pçs Enviadas]]," ")</f>
        <v>1545</v>
      </c>
      <c r="W367" s="17">
        <v>46170</v>
      </c>
      <c r="X367" s="5" t="s">
        <v>6251</v>
      </c>
      <c r="Y367" s="27"/>
      <c r="Z3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8" spans="3:26" hidden="1">
      <c r="C368" s="28" t="s">
        <v>21197</v>
      </c>
      <c r="D368" s="5">
        <v>164</v>
      </c>
      <c r="E368" s="5">
        <v>23219</v>
      </c>
      <c r="F368" s="28" t="str">
        <f>IFERROR(VLOOKUP(TAB_OFICINAS[[#This Row],[Cliente]],LISTA_DE_CLIENTES[[Código]:[Nome Fantasia]],2,FALSE),"")</f>
        <v>HOTEL CURITIBA CAPITAL S/A</v>
      </c>
      <c r="G368" s="5" t="str">
        <f>IFERROR(VLOOKUP(TAB_OFICINAS[[#This Row],[Cliente]],LISTA_DE_CLIENTES[[Código]:[Nome Fantasia]],3,FALSE),"")</f>
        <v>RADISSON CURITIBA</v>
      </c>
      <c r="H368" s="63">
        <v>92101041677</v>
      </c>
      <c r="I368" s="28" t="s">
        <v>22138</v>
      </c>
      <c r="J368" s="91">
        <v>156</v>
      </c>
      <c r="K368" s="86">
        <v>46162</v>
      </c>
      <c r="L368" s="10">
        <v>156</v>
      </c>
      <c r="M368" s="6">
        <v>46168</v>
      </c>
      <c r="N368" s="6">
        <v>46174</v>
      </c>
      <c r="O368" s="19">
        <f>TAB_OFICINAS[[#This Row],[Data Retorno Produção]]-TAB_OFICINAS[[#This Row],[Data Prometida  Entrega]]</f>
        <v>6</v>
      </c>
      <c r="P368" s="40" t="str">
        <f>IF(TAB_OFICINAS[[#This Row],[Dias Para Entrega]]&lt;=0,"Em dia","Dia de Atrasado")</f>
        <v>Dia de Atrasado</v>
      </c>
      <c r="Q368" s="10">
        <f>IFERROR(TAB_OFICINAS[[#This Row],[Qtd pçs Enviadas]]-TAB_OFICINAS[[#This Row],[Qtd pçs Retornadas ]]," ")</f>
        <v>0</v>
      </c>
      <c r="R368" s="10"/>
      <c r="S368" s="5">
        <v>3210</v>
      </c>
      <c r="T368" s="5">
        <v>62</v>
      </c>
      <c r="U368" s="52">
        <v>15</v>
      </c>
      <c r="V368" s="44">
        <f>IFERROR(TAB_OFICINAS[[#This Row],[Valor Unit]]*TAB_OFICINAS[[#This Row],[Qtd pçs Enviadas]]," ")</f>
        <v>2340</v>
      </c>
      <c r="W368" s="17">
        <v>46184</v>
      </c>
      <c r="X368" s="5" t="s">
        <v>6251</v>
      </c>
      <c r="Y368" s="27"/>
      <c r="Z3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69" spans="3:26" hidden="1">
      <c r="C369" s="28" t="s">
        <v>21197</v>
      </c>
      <c r="D369" s="5">
        <v>164</v>
      </c>
      <c r="E369" s="5">
        <v>23219</v>
      </c>
      <c r="F369" s="28" t="str">
        <f>IFERROR(VLOOKUP(TAB_OFICINAS[[#This Row],[Cliente]],LISTA_DE_CLIENTES[[Código]:[Nome Fantasia]],2,FALSE),"")</f>
        <v>HOTEL CURITIBA CAPITAL S/A</v>
      </c>
      <c r="G369" s="5" t="str">
        <f>IFERROR(VLOOKUP(TAB_OFICINAS[[#This Row],[Cliente]],LISTA_DE_CLIENTES[[Código]:[Nome Fantasia]],3,FALSE),"")</f>
        <v>RADISSON CURITIBA</v>
      </c>
      <c r="H369" s="63">
        <v>92115476972</v>
      </c>
      <c r="I369" s="28" t="s">
        <v>22180</v>
      </c>
      <c r="J369" s="91">
        <v>113</v>
      </c>
      <c r="K369" s="86">
        <v>46162</v>
      </c>
      <c r="L369" s="10">
        <v>113</v>
      </c>
      <c r="M369" s="6">
        <v>46168</v>
      </c>
      <c r="N369" s="6">
        <v>46174</v>
      </c>
      <c r="O369" s="19">
        <f>TAB_OFICINAS[[#This Row],[Data Retorno Produção]]-TAB_OFICINAS[[#This Row],[Data Prometida  Entrega]]</f>
        <v>6</v>
      </c>
      <c r="P369" s="40" t="str">
        <f>IF(TAB_OFICINAS[[#This Row],[Dias Para Entrega]]&lt;=0,"Em dia","Dia de Atrasado")</f>
        <v>Dia de Atrasado</v>
      </c>
      <c r="Q369" s="10">
        <f>IFERROR(TAB_OFICINAS[[#This Row],[Qtd pçs Enviadas]]-TAB_OFICINAS[[#This Row],[Qtd pçs Retornadas ]]," ")</f>
        <v>0</v>
      </c>
      <c r="R369" s="10"/>
      <c r="S369" s="5">
        <v>3210</v>
      </c>
      <c r="T369" s="5">
        <v>62</v>
      </c>
      <c r="U369" s="52">
        <v>15</v>
      </c>
      <c r="V369" s="44">
        <f>IFERROR(TAB_OFICINAS[[#This Row],[Valor Unit]]*TAB_OFICINAS[[#This Row],[Qtd pçs Enviadas]]," ")</f>
        <v>1695</v>
      </c>
      <c r="W369" s="17">
        <f>TAB_OFICINAS[[#This Row],[Data Retorno Produção]]+10</f>
        <v>46184</v>
      </c>
      <c r="X369" s="5" t="s">
        <v>6251</v>
      </c>
      <c r="Y369" s="27"/>
      <c r="Z3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0" spans="3:26" hidden="1">
      <c r="C370" s="28" t="s">
        <v>15</v>
      </c>
      <c r="D370" s="5">
        <v>526</v>
      </c>
      <c r="E370" s="5">
        <v>23230</v>
      </c>
      <c r="F370" s="28" t="str">
        <f>IFERROR(VLOOKUP(TAB_OFICINAS[[#This Row],[Cliente]],LISTA_DE_CLIENTES[[Código]:[Nome Fantasia]],2,FALSE),"")</f>
        <v>ATMOSFERA GESTAO E HIGIENIZACAO DE TEXTEIS S.A.</v>
      </c>
      <c r="G370" s="5" t="str">
        <f>IFERROR(VLOOKUP(TAB_OFICINAS[[#This Row],[Cliente]],LISTA_DE_CLIENTES[[Código]:[Nome Fantasia]],3,FALSE),"")</f>
        <v>ATMOSFERA ST BARBARA</v>
      </c>
      <c r="H370" s="63">
        <v>92115476413</v>
      </c>
      <c r="I370" s="28" t="s">
        <v>20505</v>
      </c>
      <c r="J370" s="91">
        <v>20</v>
      </c>
      <c r="K370" s="86">
        <v>46148</v>
      </c>
      <c r="L370" s="10">
        <v>20</v>
      </c>
      <c r="M370" s="6">
        <v>46153</v>
      </c>
      <c r="N370" s="6">
        <v>46154</v>
      </c>
      <c r="O370" s="19">
        <f>TAB_OFICINAS[[#This Row],[Data Retorno Produção]]-TAB_OFICINAS[[#This Row],[Data Prometida  Entrega]]</f>
        <v>1</v>
      </c>
      <c r="P370" s="40" t="str">
        <f>IF(TAB_OFICINAS[[#This Row],[Dias Para Entrega]]&lt;=0,"Em dia","Dia de Atrasado")</f>
        <v>Dia de Atrasado</v>
      </c>
      <c r="Q370" s="10">
        <v>0</v>
      </c>
      <c r="R370" s="10"/>
      <c r="S370" s="5">
        <v>822</v>
      </c>
      <c r="T370" s="5">
        <v>17191</v>
      </c>
      <c r="U370" s="52">
        <v>15</v>
      </c>
      <c r="V370" s="44">
        <f>IFERROR(TAB_OFICINAS[[#This Row],[Valor Unit]]*TAB_OFICINAS[[#This Row],[Qtd pçs Enviadas]]," ")</f>
        <v>300</v>
      </c>
      <c r="W370" s="17">
        <v>46160</v>
      </c>
      <c r="X370" s="5" t="s">
        <v>6251</v>
      </c>
      <c r="Y370" s="27" t="s">
        <v>22636</v>
      </c>
      <c r="Z3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1" spans="3:26" ht="28.5" hidden="1">
      <c r="C371" s="28" t="s">
        <v>15</v>
      </c>
      <c r="D371" s="5">
        <v>526</v>
      </c>
      <c r="E371" s="5">
        <v>23230</v>
      </c>
      <c r="F371" s="28" t="str">
        <f>IFERROR(VLOOKUP(TAB_OFICINAS[[#This Row],[Cliente]],LISTA_DE_CLIENTES[[Código]:[Nome Fantasia]],2,FALSE),"")</f>
        <v>ATMOSFERA GESTAO E HIGIENIZACAO DE TEXTEIS S.A.</v>
      </c>
      <c r="G371" s="5" t="str">
        <f>IFERROR(VLOOKUP(TAB_OFICINAS[[#This Row],[Cliente]],LISTA_DE_CLIENTES[[Código]:[Nome Fantasia]],3,FALSE),"")</f>
        <v>ATMOSFERA ST BARBARA</v>
      </c>
      <c r="H371" s="63">
        <v>92102156030</v>
      </c>
      <c r="I371" s="28" t="s">
        <v>21017</v>
      </c>
      <c r="J371" s="91">
        <v>20</v>
      </c>
      <c r="K371" s="86">
        <v>46148</v>
      </c>
      <c r="L371" s="10">
        <v>20</v>
      </c>
      <c r="M371" s="6">
        <v>46153</v>
      </c>
      <c r="N371" s="6">
        <v>46150</v>
      </c>
      <c r="O371" s="19">
        <f>TAB_OFICINAS[[#This Row],[Data Retorno Produção]]-TAB_OFICINAS[[#This Row],[Data Prometida  Entrega]]</f>
        <v>-3</v>
      </c>
      <c r="P371" s="40" t="str">
        <f>IF(TAB_OFICINAS[[#This Row],[Dias Para Entrega]]&lt;=0,"Em dia","Dia de Atrasado")</f>
        <v>Em dia</v>
      </c>
      <c r="Q371" s="10">
        <f>IFERROR(TAB_OFICINAS[[#This Row],[Qtd pçs Enviadas]]-TAB_OFICINAS[[#This Row],[Qtd pçs Retornadas ]]," ")</f>
        <v>0</v>
      </c>
      <c r="R371" s="10">
        <v>1</v>
      </c>
      <c r="S371" s="5">
        <v>822</v>
      </c>
      <c r="T371" s="5">
        <v>17191</v>
      </c>
      <c r="U371" s="52">
        <v>15</v>
      </c>
      <c r="V371" s="44">
        <f>IFERROR(TAB_OFICINAS[[#This Row],[Valor Unit]]*TAB_OFICINAS[[#This Row],[Qtd pçs Enviadas]]," ")</f>
        <v>300</v>
      </c>
      <c r="W371" s="17">
        <v>46160</v>
      </c>
      <c r="X371" s="5" t="s">
        <v>6251</v>
      </c>
      <c r="Y371" s="27" t="s">
        <v>22635</v>
      </c>
      <c r="Z3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2" spans="3:26" hidden="1">
      <c r="C372" s="28" t="s">
        <v>3</v>
      </c>
      <c r="E372" s="5">
        <v>29</v>
      </c>
      <c r="F372" s="28" t="s">
        <v>23188</v>
      </c>
      <c r="G372" s="2" t="s">
        <v>23188</v>
      </c>
      <c r="H372" s="51" t="s">
        <v>23962</v>
      </c>
      <c r="I372" s="28" t="s">
        <v>23189</v>
      </c>
      <c r="J372" s="91">
        <v>20</v>
      </c>
      <c r="K372" s="86">
        <v>46183</v>
      </c>
      <c r="L372" s="34">
        <v>20</v>
      </c>
      <c r="M372" s="6">
        <v>46193</v>
      </c>
      <c r="N372" s="6">
        <v>46190</v>
      </c>
      <c r="O372" s="19">
        <f>TAB_OFICINAS[[#This Row],[Data Retorno Produção]]-TAB_OFICINAS[[#This Row],[Data Prometida  Entrega]]</f>
        <v>-3</v>
      </c>
      <c r="P372" s="40" t="str">
        <f>IF(TAB_OFICINAS[[#This Row],[Dias Para Entrega]]&lt;=0,"Em dia","Dia de Atrasado")</f>
        <v>Em dia</v>
      </c>
      <c r="Q372" s="10">
        <v>0</v>
      </c>
      <c r="R372" s="10"/>
      <c r="S372" s="5">
        <v>878</v>
      </c>
      <c r="T372" s="5">
        <v>113</v>
      </c>
      <c r="U372" s="1">
        <v>3</v>
      </c>
      <c r="V372" s="3">
        <f>IFERROR(TAB_OFICINAS[[#This Row],[Valor Unit]]*TAB_OFICINAS[[#This Row],[Qtd pçs Enviadas]]," ")</f>
        <v>60</v>
      </c>
      <c r="W372" s="17">
        <v>46199</v>
      </c>
      <c r="X372" s="5" t="s">
        <v>6251</v>
      </c>
      <c r="Y372" s="4"/>
      <c r="Z3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3" spans="3:26" hidden="1">
      <c r="C373" s="28" t="s">
        <v>3</v>
      </c>
      <c r="D373" s="5">
        <v>4312</v>
      </c>
      <c r="E373" s="5">
        <v>22733</v>
      </c>
      <c r="F373" s="28" t="str">
        <f>IFERROR(VLOOKUP(TAB_OFICINAS[[#This Row],[Cliente]],LISTA_DE_CLIENTES[[Código]:[Nome Fantasia]],2,FALSE),"")</f>
        <v>BORGO HOTELARIA E RESTAURANTE LTDA</v>
      </c>
      <c r="G373" s="5" t="str">
        <f>IFERROR(VLOOKUP(TAB_OFICINAS[[#This Row],[Cliente]],LISTA_DE_CLIENTES[[Código]:[Nome Fantasia]],3,FALSE),"")</f>
        <v>BORGO DEL VINO HOTEL</v>
      </c>
      <c r="H373" s="51">
        <v>98111208582</v>
      </c>
      <c r="I373" s="28" t="s">
        <v>23008</v>
      </c>
      <c r="J373" s="91">
        <v>19</v>
      </c>
      <c r="K373" s="86">
        <v>46072</v>
      </c>
      <c r="L373" s="10">
        <v>19</v>
      </c>
      <c r="M373" s="6">
        <v>46078</v>
      </c>
      <c r="N373" s="6">
        <v>46077</v>
      </c>
      <c r="O373" s="19">
        <f>TAB_OFICINAS[[#This Row],[Data Retorno Produção]]-TAB_OFICINAS[[#This Row],[Data Prometida  Entrega]]</f>
        <v>-1</v>
      </c>
      <c r="P373" s="40" t="str">
        <f>IF(TAB_OFICINAS[[#This Row],[Dias Para Entrega]]&lt;=0,"Em dia","Dia de Atrasado")</f>
        <v>Em dia</v>
      </c>
      <c r="Q373" s="10">
        <f>IFERROR(TAB_OFICINAS[[#This Row],[Qtd pçs Enviadas]]-TAB_OFICINAS[[#This Row],[Qtd pçs Retornadas ]],"N/D ")</f>
        <v>0</v>
      </c>
      <c r="R373" s="48">
        <v>0</v>
      </c>
      <c r="S373" s="5">
        <v>602</v>
      </c>
      <c r="T373" s="5">
        <v>96</v>
      </c>
      <c r="U373" s="52">
        <v>7</v>
      </c>
      <c r="V373" s="44">
        <f>IFERROR(TAB_OFICINAS[[#This Row],[Valor Unit]]*TAB_OFICINAS[[#This Row],[Qtd pçs Enviadas]]," ")</f>
        <v>133</v>
      </c>
      <c r="W373" s="17">
        <v>46087</v>
      </c>
      <c r="X373" s="5" t="s">
        <v>6251</v>
      </c>
      <c r="Y373" s="27"/>
      <c r="Z3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4" spans="3:26" hidden="1">
      <c r="C374" s="28" t="s">
        <v>15</v>
      </c>
      <c r="D374" s="5">
        <v>5572</v>
      </c>
      <c r="E374" s="5">
        <v>23503</v>
      </c>
      <c r="F374" s="28" t="str">
        <f>IFERROR(VLOOKUP(TAB_OFICINAS[[#This Row],[Cliente]],LISTA_DE_CLIENTES[[Código]:[Nome Fantasia]],2,FALSE),"")</f>
        <v>TAUÁ HOTEL E CONVENTION JOÃO PESSOA LTDA</v>
      </c>
      <c r="G374" s="2" t="str">
        <f>IFERROR(VLOOKUP(TAB_OFICINAS[[#This Row],[Cliente]],LISTA_DE_CLIENTES[[Código]:[Nome Fantasia]],3,FALSE),"")</f>
        <v>TAUÁ HOTEL E CONVENT</v>
      </c>
      <c r="H374" s="63">
        <v>3301092760</v>
      </c>
      <c r="I374" s="28" t="s">
        <v>22972</v>
      </c>
      <c r="J374" s="91">
        <v>19</v>
      </c>
      <c r="K374" s="86">
        <v>46178</v>
      </c>
      <c r="L374" s="34">
        <v>19</v>
      </c>
      <c r="M374" s="6">
        <v>46189</v>
      </c>
      <c r="N374" s="6">
        <v>46189</v>
      </c>
      <c r="O374" s="19">
        <f>TAB_OFICINAS[[#This Row],[Data Retorno Produção]]-TAB_OFICINAS[[#This Row],[Data Prometida  Entrega]]</f>
        <v>0</v>
      </c>
      <c r="P374" s="40" t="str">
        <f>IF(TAB_OFICINAS[[#This Row],[Dias Para Entrega]]&lt;=0,"Em dia","Dia de Atrasado")</f>
        <v>Em dia</v>
      </c>
      <c r="Q374" s="10">
        <f>IFERROR(TAB_OFICINAS[[#This Row],[Qtd pçs Enviadas]]-TAB_OFICINAS[[#This Row],[Qtd pçs Retornadas ]]," ")</f>
        <v>0</v>
      </c>
      <c r="R374" s="10">
        <v>0</v>
      </c>
      <c r="S374" s="5">
        <v>3251</v>
      </c>
      <c r="T374" s="5">
        <v>17347</v>
      </c>
      <c r="U374" s="1">
        <v>3.6</v>
      </c>
      <c r="V374" s="3">
        <f>IFERROR(TAB_OFICINAS[[#This Row],[Valor Unit]]*TAB_OFICINAS[[#This Row],[Qtd pçs Enviadas]]," ")</f>
        <v>68.400000000000006</v>
      </c>
      <c r="W374" s="17">
        <v>46198</v>
      </c>
      <c r="X374" s="5" t="s">
        <v>6251</v>
      </c>
      <c r="Y374" s="4" t="s">
        <v>23178</v>
      </c>
      <c r="Z3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5" spans="3:26" ht="85.5" hidden="1">
      <c r="C375" s="28" t="s">
        <v>17</v>
      </c>
      <c r="D375" s="5">
        <v>5572</v>
      </c>
      <c r="E375" s="5">
        <v>23503</v>
      </c>
      <c r="F375" s="28" t="str">
        <f>IFERROR(VLOOKUP(TAB_OFICINAS[[#This Row],[Cliente]],LISTA_DE_CLIENTES[[Código]:[Nome Fantasia]],2,FALSE),"")</f>
        <v>TAUÁ HOTEL E CONVENTION JOÃO PESSOA LTDA</v>
      </c>
      <c r="G375" s="2" t="str">
        <f>IFERROR(VLOOKUP(TAB_OFICINAS[[#This Row],[Cliente]],LISTA_DE_CLIENTES[[Código]:[Nome Fantasia]],3,FALSE),"")</f>
        <v>TAUÁ HOTEL E CONVENT</v>
      </c>
      <c r="H375" s="63">
        <v>3301092760</v>
      </c>
      <c r="I375" s="28" t="s">
        <v>22972</v>
      </c>
      <c r="J375" s="91">
        <v>19</v>
      </c>
      <c r="K375" s="86">
        <v>46178</v>
      </c>
      <c r="L375" s="34">
        <v>19</v>
      </c>
      <c r="M375" s="6">
        <v>46191</v>
      </c>
      <c r="N375" s="6">
        <v>46195</v>
      </c>
      <c r="O375" s="19">
        <f>TAB_OFICINAS[[#This Row],[Data Retorno Produção]]-TAB_OFICINAS[[#This Row],[Data Prometida  Entrega]]</f>
        <v>4</v>
      </c>
      <c r="P375" s="40" t="str">
        <f>IF(TAB_OFICINAS[[#This Row],[Dias Para Entrega]]&lt;=0,"Em dia","Dia de Atrasado")</f>
        <v>Dia de Atrasado</v>
      </c>
      <c r="Q375" s="10">
        <f>IFERROR(TAB_OFICINAS[[#This Row],[Qtd pçs Enviadas]]-TAB_OFICINAS[[#This Row],[Qtd pçs Retornadas ]]," ")</f>
        <v>0</v>
      </c>
      <c r="R375" s="10">
        <v>0</v>
      </c>
      <c r="S375" s="5">
        <v>3250</v>
      </c>
      <c r="T375" s="5">
        <v>58</v>
      </c>
      <c r="U375" s="1">
        <v>10</v>
      </c>
      <c r="V375" s="3">
        <f>IFERROR(TAB_OFICINAS[[#This Row],[Valor Unit]]*TAB_OFICINAS[[#This Row],[Qtd pçs Enviadas]]," ")</f>
        <v>190</v>
      </c>
      <c r="W375" s="17">
        <v>46205</v>
      </c>
      <c r="X375" s="5" t="s">
        <v>6251</v>
      </c>
      <c r="Y375" s="4" t="s">
        <v>23437</v>
      </c>
      <c r="Z3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6" spans="3:26" hidden="1">
      <c r="C376" s="73" t="s">
        <v>1</v>
      </c>
      <c r="D376" s="35">
        <v>155</v>
      </c>
      <c r="E376" s="35">
        <v>22853</v>
      </c>
      <c r="F376" s="28" t="str">
        <f>IFERROR(VLOOKUP(TAB_OFICINAS[[#This Row],[Cliente]],LISTA_DE_CLIENTES[[Código]:[Nome Fantasia]],2,FALSE),"")</f>
        <v>HOTEIS OTHON S A</v>
      </c>
      <c r="G376" s="5" t="str">
        <f>IFERROR(VLOOKUP(TAB_OFICINAS[[#This Row],[Cliente]],LISTA_DE_CLIENTES[[Código]:[Nome Fantasia]],3,FALSE),"")</f>
        <v>RIO OTHON PALACE HOT</v>
      </c>
      <c r="H376" s="36">
        <v>2115036414</v>
      </c>
      <c r="I376" s="73" t="s">
        <v>20727</v>
      </c>
      <c r="J376" s="92">
        <v>56</v>
      </c>
      <c r="K376" s="83">
        <v>46073</v>
      </c>
      <c r="L376" s="37">
        <v>56</v>
      </c>
      <c r="M376" s="83">
        <v>46078</v>
      </c>
      <c r="N376" s="83">
        <v>46078</v>
      </c>
      <c r="O376" s="39">
        <v>0</v>
      </c>
      <c r="P376" s="40" t="str">
        <f>IF(TAB_OFICINAS[[#This Row],[Dias Para Entrega]]&lt;=0,"Em dia","Dia de Atrasado")</f>
        <v>Em dia</v>
      </c>
      <c r="Q376" s="41">
        <v>0</v>
      </c>
      <c r="R376" s="42">
        <v>0</v>
      </c>
      <c r="S376" s="5">
        <v>677</v>
      </c>
      <c r="T376" s="35">
        <v>40</v>
      </c>
      <c r="U376" s="43">
        <v>10.5</v>
      </c>
      <c r="V376" s="44">
        <f>IFERROR(TAB_OFICINAS[[#This Row],[Valor Unit]]*TAB_OFICINAS[[#This Row],[Qtd pçs Enviadas]]," ")</f>
        <v>588</v>
      </c>
      <c r="W376" s="38">
        <v>46088</v>
      </c>
      <c r="X376" s="35" t="s">
        <v>6253</v>
      </c>
      <c r="Y376" s="27"/>
      <c r="Z3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7" spans="3:26" hidden="1">
      <c r="C377" s="28" t="s">
        <v>3</v>
      </c>
      <c r="D377" s="5">
        <v>5308</v>
      </c>
      <c r="E377" s="5">
        <v>22621</v>
      </c>
      <c r="F377" s="28" t="str">
        <f>IFERROR(VLOOKUP(TAB_OFICINAS[[#This Row],[Cliente]],LISTA_DE_CLIENTES[[Código]:[Nome Fantasia]],2,FALSE),"")</f>
        <v>HEMERSONN ROGER OLIVEIRA DE FARIAS</v>
      </c>
      <c r="G377" s="5" t="str">
        <f>IFERROR(VLOOKUP(TAB_OFICINAS[[#This Row],[Cliente]],LISTA_DE_CLIENTES[[Código]:[Nome Fantasia]],3,FALSE),"")</f>
        <v>HEMERSONN ROGER OLIV</v>
      </c>
      <c r="H377" s="51">
        <v>92105153932</v>
      </c>
      <c r="I377" s="28" t="s">
        <v>21008</v>
      </c>
      <c r="J377" s="91">
        <v>18</v>
      </c>
      <c r="K377" s="86">
        <v>46065</v>
      </c>
      <c r="L377" s="10">
        <v>18</v>
      </c>
      <c r="M377" s="6">
        <v>46071</v>
      </c>
      <c r="N377" s="6">
        <v>46069</v>
      </c>
      <c r="O377" s="19">
        <f>TAB_OFICINAS[[#This Row],[Data Retorno Produção]]-TAB_OFICINAS[[#This Row],[Data Prometida  Entrega]]</f>
        <v>-2</v>
      </c>
      <c r="P377" s="40" t="str">
        <f>IF(TAB_OFICINAS[[#This Row],[Dias Para Entrega]]&lt;=0,"Em dia","Dia de Atrasado")</f>
        <v>Em dia</v>
      </c>
      <c r="Q377" s="10">
        <f>IFERROR(TAB_OFICINAS[[#This Row],[Qtd pçs Enviadas]]-TAB_OFICINAS[[#This Row],[Qtd pçs Retornadas ]],"N/D ")</f>
        <v>0</v>
      </c>
      <c r="R377" s="48">
        <v>0</v>
      </c>
      <c r="S377" s="5">
        <v>588</v>
      </c>
      <c r="T377" s="5">
        <v>95</v>
      </c>
      <c r="U377" s="52">
        <v>4.9000000000000004</v>
      </c>
      <c r="V377" s="44">
        <f>IFERROR(TAB_OFICINAS[[#This Row],[Valor Unit]]*TAB_OFICINAS[[#This Row],[Qtd pçs Enviadas]]," ")</f>
        <v>88.2</v>
      </c>
      <c r="W377" s="17">
        <v>46079</v>
      </c>
      <c r="X377" s="5" t="s">
        <v>6251</v>
      </c>
      <c r="Y377" s="27"/>
      <c r="Z3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8" spans="3:26" hidden="1">
      <c r="C378" s="28" t="s">
        <v>16</v>
      </c>
      <c r="D378" s="5">
        <v>2858</v>
      </c>
      <c r="E378" s="5">
        <v>22562</v>
      </c>
      <c r="F378" s="28" t="str">
        <f>IFERROR(VLOOKUP(TAB_OFICINAS[[#This Row],[Cliente]],LISTA_DE_CLIENTES[[Código]:[Nome Fantasia]],2,FALSE),"")</f>
        <v>DIAGNOSTICOS DA AMERICA S.A .</v>
      </c>
      <c r="G378" s="5" t="str">
        <f>IFERROR(VLOOKUP(TAB_OFICINAS[[#This Row],[Cliente]],LISTA_DE_CLIENTES[[Código]:[Nome Fantasia]],3,FALSE),"")</f>
        <v>DASA CHUCRI ZAIDAN</v>
      </c>
      <c r="H378" s="51">
        <v>3301095930</v>
      </c>
      <c r="I378" s="28" t="s">
        <v>20342</v>
      </c>
      <c r="J378" s="91">
        <v>18</v>
      </c>
      <c r="K378" s="86">
        <v>46066</v>
      </c>
      <c r="L378" s="10">
        <v>18</v>
      </c>
      <c r="M378" s="6">
        <v>46079</v>
      </c>
      <c r="N378" s="6">
        <v>46073</v>
      </c>
      <c r="O378" s="19">
        <f>TAB_OFICINAS[[#This Row],[Data Retorno Produção]]-TAB_OFICINAS[[#This Row],[Data Prometida  Entrega]]</f>
        <v>-6</v>
      </c>
      <c r="P378" s="40" t="str">
        <f>IF(TAB_OFICINAS[[#This Row],[Dias Para Entrega]]&lt;=0,"Em dia","Dia de Atrasado")</f>
        <v>Em dia</v>
      </c>
      <c r="Q378" s="10">
        <f>IFERROR(TAB_OFICINAS[[#This Row],[Qtd pçs Enviadas]]-TAB_OFICINAS[[#This Row],[Qtd pçs Retornadas ]],"N/D ")</f>
        <v>0</v>
      </c>
      <c r="R378" s="10">
        <v>0</v>
      </c>
      <c r="S378" s="5">
        <v>594</v>
      </c>
      <c r="T378" s="5">
        <v>40</v>
      </c>
      <c r="U378" s="52">
        <v>16</v>
      </c>
      <c r="V378" s="44">
        <f>IFERROR(TAB_OFICINAS[[#This Row],[Valor Unit]]*TAB_OFICINAS[[#This Row],[Qtd pçs Enviadas]]," ")</f>
        <v>288</v>
      </c>
      <c r="W378" s="17">
        <v>46094</v>
      </c>
      <c r="X378" s="5" t="s">
        <v>6251</v>
      </c>
      <c r="Y378" s="27"/>
      <c r="Z37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79" spans="3:26" hidden="1">
      <c r="C379" s="28" t="s">
        <v>16</v>
      </c>
      <c r="D379" s="5">
        <v>2858</v>
      </c>
      <c r="E379" s="5">
        <v>22562</v>
      </c>
      <c r="F379" s="28" t="str">
        <f>IFERROR(VLOOKUP(TAB_OFICINAS[[#This Row],[Cliente]],LISTA_DE_CLIENTES[[Código]:[Nome Fantasia]],2,FALSE),"")</f>
        <v>DIAGNOSTICOS DA AMERICA S.A .</v>
      </c>
      <c r="G379" s="5" t="str">
        <f>IFERROR(VLOOKUP(TAB_OFICINAS[[#This Row],[Cliente]],LISTA_DE_CLIENTES[[Código]:[Nome Fantasia]],3,FALSE),"")</f>
        <v>DASA CHUCRI ZAIDAN</v>
      </c>
      <c r="H379" s="51">
        <v>3301093025</v>
      </c>
      <c r="I379" s="28" t="s">
        <v>20343</v>
      </c>
      <c r="J379" s="91">
        <v>18</v>
      </c>
      <c r="K379" s="86">
        <v>46066</v>
      </c>
      <c r="L379" s="10">
        <v>18</v>
      </c>
      <c r="M379" s="6">
        <v>46079</v>
      </c>
      <c r="N379" s="6">
        <v>46073</v>
      </c>
      <c r="O379" s="19">
        <f>TAB_OFICINAS[[#This Row],[Data Retorno Produção]]-TAB_OFICINAS[[#This Row],[Data Prometida  Entrega]]</f>
        <v>-6</v>
      </c>
      <c r="P379" s="40" t="str">
        <f>IF(TAB_OFICINAS[[#This Row],[Dias Para Entrega]]&lt;=0,"Em dia","Dia de Atrasado")</f>
        <v>Em dia</v>
      </c>
      <c r="Q379" s="10">
        <f>IFERROR(TAB_OFICINAS[[#This Row],[Qtd pçs Enviadas]]-TAB_OFICINAS[[#This Row],[Qtd pçs Retornadas ]],"N/D ")</f>
        <v>0</v>
      </c>
      <c r="R379" s="10">
        <v>0</v>
      </c>
      <c r="S379" s="5">
        <v>594</v>
      </c>
      <c r="T379" s="5">
        <v>40</v>
      </c>
      <c r="U379" s="52">
        <v>16</v>
      </c>
      <c r="V379" s="44">
        <f>IFERROR(TAB_OFICINAS[[#This Row],[Valor Unit]]*TAB_OFICINAS[[#This Row],[Qtd pçs Enviadas]]," ")</f>
        <v>288</v>
      </c>
      <c r="W379" s="17">
        <v>46094</v>
      </c>
      <c r="X379" s="5" t="s">
        <v>6251</v>
      </c>
      <c r="Y379" s="27"/>
      <c r="Z3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0" spans="3:26" hidden="1">
      <c r="C380" s="28" t="s">
        <v>8</v>
      </c>
      <c r="D380" s="5">
        <v>5105</v>
      </c>
      <c r="E380" s="5">
        <v>22000</v>
      </c>
      <c r="F380" s="28" t="str">
        <f>IFERROR(VLOOKUP(TAB_OFICINAS[[#This Row],[Cliente]],LISTA_DE_CLIENTES[[Código]:[Nome Fantasia]],2,FALSE),"")</f>
        <v>LAVANDERIA ASA BRANCA LTDA</v>
      </c>
      <c r="G380" s="5" t="str">
        <f>IFERROR(VLOOKUP(TAB_OFICINAS[[#This Row],[Cliente]],LISTA_DE_CLIENTES[[Código]:[Nome Fantasia]],3,FALSE),"")</f>
        <v>LAVANDERIA ASA BRANC</v>
      </c>
      <c r="H380" s="51">
        <v>92115028466</v>
      </c>
      <c r="I380" s="28" t="s">
        <v>20328</v>
      </c>
      <c r="J380" s="91">
        <v>17</v>
      </c>
      <c r="K380" s="86">
        <v>46008</v>
      </c>
      <c r="L380" s="10">
        <v>17</v>
      </c>
      <c r="M380" s="6">
        <v>46028</v>
      </c>
      <c r="N380" s="6">
        <v>46029</v>
      </c>
      <c r="O380" s="19">
        <f>TAB_OFICINAS[[#This Row],[Data Retorno Produção]]-TAB_OFICINAS[[#This Row],[Data Prometida  Entrega]]</f>
        <v>1</v>
      </c>
      <c r="P380" s="40" t="str">
        <f>IF(TAB_OFICINAS[[#This Row],[Dias Para Entrega]]&lt;=0,"Em dia","Dia de Atrasado")</f>
        <v>Dia de Atrasado</v>
      </c>
      <c r="Q380" s="10">
        <f>IFERROR(TAB_OFICINAS[[#This Row],[Qtd pçs Enviadas]]-TAB_OFICINAS[[#This Row],[Qtd pçs Retornadas ]],"N/D ")</f>
        <v>0</v>
      </c>
      <c r="R380" s="10">
        <v>0</v>
      </c>
      <c r="S380" s="5">
        <v>3043</v>
      </c>
      <c r="T380" s="5">
        <v>9</v>
      </c>
      <c r="U380" s="52">
        <v>16</v>
      </c>
      <c r="V380" s="44">
        <f>IFERROR(TAB_OFICINAS[[#This Row],[Valor Unit]]*TAB_OFICINAS[[#This Row],[Qtd pçs Enviadas]]," ")</f>
        <v>272</v>
      </c>
      <c r="W380" s="17">
        <v>46038</v>
      </c>
      <c r="X380" s="5" t="s">
        <v>6251</v>
      </c>
      <c r="Y380" s="27"/>
      <c r="Z3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1" spans="3:26" hidden="1">
      <c r="C381" s="28" t="s">
        <v>17</v>
      </c>
      <c r="D381" s="5">
        <v>5386</v>
      </c>
      <c r="E381" s="66" t="s">
        <v>22445</v>
      </c>
      <c r="F381" s="28" t="str">
        <f>IFERROR(VLOOKUP(TAB_OFICINAS[[#This Row],[Cliente]],LISTA_DE_CLIENTES[[Código]:[Nome Fantasia]],2,FALSE),"")</f>
        <v>FLOW CITY SPE 1 CASAS LTDA</v>
      </c>
      <c r="G381" s="5" t="str">
        <f>IFERROR(VLOOKUP(TAB_OFICINAS[[#This Row],[Cliente]],LISTA_DE_CLIENTES[[Código]:[Nome Fantasia]],3,FALSE),"")</f>
        <v>FLOW CITY SPE 1 CASA</v>
      </c>
      <c r="H381" s="63">
        <v>3301093990</v>
      </c>
      <c r="I381" s="28" t="s">
        <v>21046</v>
      </c>
      <c r="J381" s="91">
        <v>17</v>
      </c>
      <c r="K381" s="86">
        <v>46142</v>
      </c>
      <c r="L381" s="10">
        <v>17</v>
      </c>
      <c r="M381" s="6">
        <v>46155</v>
      </c>
      <c r="N381" s="6">
        <v>46156</v>
      </c>
      <c r="O381" s="19">
        <f>TAB_OFICINAS[[#This Row],[Data Retorno Produção]]-TAB_OFICINAS[[#This Row],[Data Prometida  Entrega]]</f>
        <v>1</v>
      </c>
      <c r="P381" s="40" t="str">
        <f>IF(TAB_OFICINAS[[#This Row],[Dias Para Entrega]]&lt;=0,"Em dia","Dia de Atrasado")</f>
        <v>Dia de Atrasado</v>
      </c>
      <c r="Q381" s="10">
        <f>IFERROR(TAB_OFICINAS[[#This Row],[Qtd pçs Enviadas]]-TAB_OFICINAS[[#This Row],[Qtd pçs Retornadas ]]," ")</f>
        <v>0</v>
      </c>
      <c r="R381" s="10"/>
      <c r="S381" s="5">
        <v>802</v>
      </c>
      <c r="T381" s="5">
        <v>53</v>
      </c>
      <c r="U381" s="52">
        <v>16</v>
      </c>
      <c r="V381" s="44">
        <f>IFERROR(TAB_OFICINAS[[#This Row],[Valor Unit]]*TAB_OFICINAS[[#This Row],[Qtd pçs Enviadas]]," ")</f>
        <v>272</v>
      </c>
      <c r="W381" s="17">
        <v>46164</v>
      </c>
      <c r="X381" s="5" t="s">
        <v>6251</v>
      </c>
      <c r="Y381" s="27"/>
      <c r="Z3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2" spans="3:26" ht="42.75" hidden="1">
      <c r="C382" s="28" t="s">
        <v>18</v>
      </c>
      <c r="D382" s="5">
        <v>5189</v>
      </c>
      <c r="E382" s="5">
        <v>22560</v>
      </c>
      <c r="F382" s="28" t="str">
        <f>IFERROR(VLOOKUP(TAB_OFICINAS[[#This Row],[Cliente]],LISTA_DE_CLIENTES[[Código]:[Nome Fantasia]],2,FALSE),"")</f>
        <v>DIAGNOSTICOS DA AMERICA S.A .</v>
      </c>
      <c r="G382" s="5" t="str">
        <f>IFERROR(VLOOKUP(TAB_OFICINAS[[#This Row],[Cliente]],LISTA_DE_CLIENTES[[Código]:[Nome Fantasia]],3,FALSE),"")</f>
        <v>DASA VILA ANDRADE</v>
      </c>
      <c r="H382" s="63">
        <v>3301093026</v>
      </c>
      <c r="I382" s="28" t="s">
        <v>20835</v>
      </c>
      <c r="J382" s="91">
        <v>20</v>
      </c>
      <c r="K382" s="86">
        <v>46101</v>
      </c>
      <c r="L382" s="10">
        <v>20</v>
      </c>
      <c r="M382" s="6">
        <v>46107</v>
      </c>
      <c r="N382" s="6">
        <v>46106</v>
      </c>
      <c r="O382" s="19">
        <f>TAB_OFICINAS[[#This Row],[Data Retorno Produção]]-TAB_OFICINAS[[#This Row],[Data Prometida  Entrega]]</f>
        <v>-1</v>
      </c>
      <c r="P382" s="40" t="str">
        <f>IF(TAB_OFICINAS[[#This Row],[Dias Para Entrega]]&lt;=0,"Em dia","Dia de Atrasado")</f>
        <v>Em dia</v>
      </c>
      <c r="Q382" s="10">
        <f>IFERROR(TAB_OFICINAS[[#This Row],[Qtd pçs Enviadas]]-TAB_OFICINAS[[#This Row],[Qtd pçs Retornadas ]]," ")</f>
        <v>0</v>
      </c>
      <c r="R382" s="10">
        <v>0</v>
      </c>
      <c r="S382" s="5">
        <v>706</v>
      </c>
      <c r="T382" s="5">
        <v>37</v>
      </c>
      <c r="U382" s="52">
        <v>16</v>
      </c>
      <c r="V382" s="44">
        <f>IFERROR(TAB_OFICINAS[[#This Row],[Valor Unit]]*TAB_OFICINAS[[#This Row],[Qtd pçs Enviadas]]," ")</f>
        <v>320</v>
      </c>
      <c r="W382" s="17">
        <v>46115</v>
      </c>
      <c r="X382" s="5" t="s">
        <v>6251</v>
      </c>
      <c r="Y382" s="64" t="s">
        <v>21457</v>
      </c>
      <c r="Z3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3" spans="3:26" hidden="1">
      <c r="C383" s="28" t="s">
        <v>15</v>
      </c>
      <c r="D383" s="5">
        <v>5258</v>
      </c>
      <c r="E383" s="5">
        <v>22469</v>
      </c>
      <c r="F383" s="28" t="str">
        <f>IFERROR(VLOOKUP(TAB_OFICINAS[[#This Row],[Cliente]],LISTA_DE_CLIENTES[[Código]:[Nome Fantasia]],2,FALSE),"")</f>
        <v>SPA CHANDRA GARUDA LTDA</v>
      </c>
      <c r="G383" s="5" t="str">
        <f>IFERROR(VLOOKUP(TAB_OFICINAS[[#This Row],[Cliente]],LISTA_DE_CLIENTES[[Código]:[Nome Fantasia]],3,FALSE),"")</f>
        <v>SPA CHANDRA GARUDA L</v>
      </c>
      <c r="H383" s="51">
        <v>3301078508</v>
      </c>
      <c r="I383" s="28" t="s">
        <v>20387</v>
      </c>
      <c r="J383" s="91">
        <v>15</v>
      </c>
      <c r="K383" s="86">
        <v>46029</v>
      </c>
      <c r="L383" s="10">
        <v>15</v>
      </c>
      <c r="M383" s="6">
        <v>46031</v>
      </c>
      <c r="N383" s="6">
        <v>46031</v>
      </c>
      <c r="O383" s="19">
        <f>TAB_OFICINAS[[#This Row],[Data Retorno Produção]]-TAB_OFICINAS[[#This Row],[Data Prometida  Entrega]]</f>
        <v>0</v>
      </c>
      <c r="P383" s="40" t="str">
        <f>IF(TAB_OFICINAS[[#This Row],[Dias Para Entrega]]&lt;=0,"Em dia","Dia de Atrasado")</f>
        <v>Em dia</v>
      </c>
      <c r="Q383" s="10">
        <f>IFERROR(TAB_OFICINAS[[#This Row],[Qtd pçs Enviadas]]-TAB_OFICINAS[[#This Row],[Qtd pçs Retornadas ]],"N/D ")</f>
        <v>0</v>
      </c>
      <c r="R383" s="10">
        <v>0</v>
      </c>
      <c r="S383" s="5">
        <v>537</v>
      </c>
      <c r="T383" s="5">
        <v>16835</v>
      </c>
      <c r="U383" s="52">
        <v>4</v>
      </c>
      <c r="V383" s="44">
        <f>IFERROR(TAB_OFICINAS[[#This Row],[Valor Unit]]*TAB_OFICINAS[[#This Row],[Qtd pçs Enviadas]]," ")</f>
        <v>60</v>
      </c>
      <c r="W383" s="17">
        <v>46038</v>
      </c>
      <c r="X383" s="5" t="s">
        <v>6251</v>
      </c>
      <c r="Y383" s="27"/>
      <c r="Z3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4" spans="3:26" hidden="1">
      <c r="C384" s="28" t="s">
        <v>1</v>
      </c>
      <c r="D384" s="5">
        <v>1942</v>
      </c>
      <c r="E384" s="5">
        <v>22842</v>
      </c>
      <c r="F384" s="28" t="str">
        <f>IFERROR(VLOOKUP(TAB_OFICINAS[[#This Row],[Cliente]],LISTA_DE_CLIENTES[[Código]:[Nome Fantasia]],2,FALSE),"")</f>
        <v>ONCO STAR SP ONCOLOGIA LTDA (REDE D´OR)</v>
      </c>
      <c r="G384" s="5" t="str">
        <f>IFERROR(VLOOKUP(TAB_OFICINAS[[#This Row],[Cliente]],LISTA_DE_CLIENTES[[Código]:[Nome Fantasia]],3,FALSE),"")</f>
        <v>R DOR VILA NOVA STAR</v>
      </c>
      <c r="H384" s="51">
        <v>2101107032</v>
      </c>
      <c r="I384" s="28" t="s">
        <v>20779</v>
      </c>
      <c r="J384" s="91">
        <v>250</v>
      </c>
      <c r="K384" s="86">
        <v>46078</v>
      </c>
      <c r="L384" s="10">
        <v>250</v>
      </c>
      <c r="M384" s="6">
        <v>46092</v>
      </c>
      <c r="N384" s="6">
        <v>46087</v>
      </c>
      <c r="O384" s="19">
        <f>TAB_OFICINAS[[#This Row],[Data Retorno Produção]]-TAB_OFICINAS[[#This Row],[Data Prometida  Entrega]]</f>
        <v>-5</v>
      </c>
      <c r="P384" s="40" t="str">
        <f>IF(TAB_OFICINAS[[#This Row],[Dias Para Entrega]]&lt;=0,"Em dia","Dia de Atrasado")</f>
        <v>Em dia</v>
      </c>
      <c r="Q384" s="10">
        <f>IFERROR(TAB_OFICINAS[[#This Row],[Qtd pçs Enviadas]]-TAB_OFICINAS[[#This Row],[Qtd pçs Retornadas ]]," ")</f>
        <v>0</v>
      </c>
      <c r="R384" s="10">
        <v>0</v>
      </c>
      <c r="S384" s="5">
        <v>635</v>
      </c>
      <c r="T384" s="5">
        <v>41</v>
      </c>
      <c r="U384" s="52">
        <v>8</v>
      </c>
      <c r="V384" s="44">
        <f>IFERROR(TAB_OFICINAS[[#This Row],[Valor Unit]]*TAB_OFICINAS[[#This Row],[Qtd pçs Enviadas]]," ")</f>
        <v>2000</v>
      </c>
      <c r="W384" s="17">
        <f>TAB_OFICINAS[[#This Row],[Data Retorno Produção]]+10</f>
        <v>46097</v>
      </c>
      <c r="X384" s="5" t="s">
        <v>6251</v>
      </c>
      <c r="Y384" s="27"/>
      <c r="Z3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5" spans="3:26" ht="42.75" hidden="1">
      <c r="C385" s="28" t="s">
        <v>18</v>
      </c>
      <c r="D385" s="5">
        <v>5189</v>
      </c>
      <c r="E385" s="5">
        <v>22560</v>
      </c>
      <c r="F385" s="28" t="str">
        <f>IFERROR(VLOOKUP(TAB_OFICINAS[[#This Row],[Cliente]],LISTA_DE_CLIENTES[[Código]:[Nome Fantasia]],2,FALSE),"")</f>
        <v>DIAGNOSTICOS DA AMERICA S.A .</v>
      </c>
      <c r="G385" s="5" t="str">
        <f>IFERROR(VLOOKUP(TAB_OFICINAS[[#This Row],[Cliente]],LISTA_DE_CLIENTES[[Código]:[Nome Fantasia]],3,FALSE),"")</f>
        <v>DASA VILA ANDRADE</v>
      </c>
      <c r="H385" s="63">
        <v>3301093025</v>
      </c>
      <c r="I385" s="28" t="s">
        <v>20833</v>
      </c>
      <c r="J385" s="91">
        <v>10</v>
      </c>
      <c r="K385" s="86">
        <v>46101</v>
      </c>
      <c r="L385" s="10">
        <v>10</v>
      </c>
      <c r="M385" s="6">
        <v>46107</v>
      </c>
      <c r="N385" s="6">
        <v>46106</v>
      </c>
      <c r="O385" s="19">
        <f>TAB_OFICINAS[[#This Row],[Data Retorno Produção]]-TAB_OFICINAS[[#This Row],[Data Prometida  Entrega]]</f>
        <v>-1</v>
      </c>
      <c r="P385" s="40" t="str">
        <f>IF(TAB_OFICINAS[[#This Row],[Dias Para Entrega]]&lt;=0,"Em dia","Dia de Atrasado")</f>
        <v>Em dia</v>
      </c>
      <c r="Q385" s="10">
        <f>IFERROR(TAB_OFICINAS[[#This Row],[Qtd pçs Enviadas]]-TAB_OFICINAS[[#This Row],[Qtd pçs Retornadas ]]," ")</f>
        <v>0</v>
      </c>
      <c r="R385" s="10">
        <v>0</v>
      </c>
      <c r="S385" s="5">
        <v>706</v>
      </c>
      <c r="T385" s="5">
        <v>37</v>
      </c>
      <c r="U385" s="52">
        <v>16</v>
      </c>
      <c r="V385" s="44">
        <f>IFERROR(TAB_OFICINAS[[#This Row],[Valor Unit]]*TAB_OFICINAS[[#This Row],[Qtd pçs Enviadas]]," ")</f>
        <v>160</v>
      </c>
      <c r="W385" s="17">
        <v>46115</v>
      </c>
      <c r="X385" s="5" t="s">
        <v>6251</v>
      </c>
      <c r="Y385" s="64" t="s">
        <v>21457</v>
      </c>
      <c r="Z3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6" spans="3:26" hidden="1">
      <c r="C386" s="28" t="s">
        <v>18</v>
      </c>
      <c r="D386" s="5">
        <v>943</v>
      </c>
      <c r="E386" s="5">
        <v>22882</v>
      </c>
      <c r="F386" s="28" t="str">
        <f>IFERROR(VLOOKUP(TAB_OFICINAS[[#This Row],[Cliente]],LISTA_DE_CLIENTES[[Código]:[Nome Fantasia]],2,FALSE),"")</f>
        <v>REDE DOR SAO LUIZ S.A.</v>
      </c>
      <c r="G386" s="5" t="str">
        <f>IFERROR(VLOOKUP(TAB_OFICINAS[[#This Row],[Cliente]],LISTA_DE_CLIENTES[[Código]:[Nome Fantasia]],3,FALSE),"")</f>
        <v>HOSPITAL COPA STAR</v>
      </c>
      <c r="H386" s="63">
        <v>3301084129</v>
      </c>
      <c r="I386" s="28" t="s">
        <v>21238</v>
      </c>
      <c r="J386" s="91">
        <v>100</v>
      </c>
      <c r="K386" s="86">
        <v>46107</v>
      </c>
      <c r="L386" s="10">
        <v>100</v>
      </c>
      <c r="M386" s="6">
        <v>46125</v>
      </c>
      <c r="N386" s="6">
        <v>46125</v>
      </c>
      <c r="O386" s="19">
        <f>TAB_OFICINAS[[#This Row],[Data Retorno Produção]]-TAB_OFICINAS[[#This Row],[Data Prometida  Entrega]]</f>
        <v>0</v>
      </c>
      <c r="P386" s="40" t="str">
        <f>IF(TAB_OFICINAS[[#This Row],[Dias Para Entrega]]&lt;=0,"Em dia","Dia de Atrasado")</f>
        <v>Em dia</v>
      </c>
      <c r="Q386" s="10">
        <f>IFERROR(TAB_OFICINAS[[#This Row],[Qtd pçs Enviadas]]-TAB_OFICINAS[[#This Row],[Qtd pçs Retornadas ]]," ")</f>
        <v>0</v>
      </c>
      <c r="R386" s="10"/>
      <c r="S386" s="5">
        <v>716</v>
      </c>
      <c r="T386" s="5">
        <v>38</v>
      </c>
      <c r="U386" s="52">
        <v>14</v>
      </c>
      <c r="V386" s="44">
        <f>IFERROR(TAB_OFICINAS[[#This Row],[Valor Unit]]*TAB_OFICINAS[[#This Row],[Qtd pçs Enviadas]]," ")</f>
        <v>1400</v>
      </c>
      <c r="W386" s="17">
        <v>46135</v>
      </c>
      <c r="X386" s="5" t="s">
        <v>6251</v>
      </c>
      <c r="Y386" s="27"/>
      <c r="Z3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7" spans="3:26" hidden="1">
      <c r="C387" s="28" t="s">
        <v>17</v>
      </c>
      <c r="D387" s="5">
        <v>1253</v>
      </c>
      <c r="E387" s="5">
        <v>23187</v>
      </c>
      <c r="F387" s="28" t="str">
        <f>IFERROR(VLOOKUP(TAB_OFICINAS[[#This Row],[Cliente]],LISTA_DE_CLIENTES[[Código]:[Nome Fantasia]],2,FALSE),"")</f>
        <v>BOA VISTA DE DESENVOLVIMENTO IMOBILIARIO E SERVICO</v>
      </c>
      <c r="G387" s="5" t="str">
        <f>IFERROR(VLOOKUP(TAB_OFICINAS[[#This Row],[Cliente]],LISTA_DE_CLIENTES[[Código]:[Nome Fantasia]],3,FALSE),"")</f>
        <v>FASANO BOA VISTA</v>
      </c>
      <c r="H387" s="63">
        <v>2120029634</v>
      </c>
      <c r="I387" s="28" t="s">
        <v>21744</v>
      </c>
      <c r="J387" s="91">
        <v>15</v>
      </c>
      <c r="K387" s="86">
        <v>46162</v>
      </c>
      <c r="L387" s="10">
        <v>15</v>
      </c>
      <c r="M387" s="6">
        <v>46168</v>
      </c>
      <c r="N387" s="6">
        <v>46168</v>
      </c>
      <c r="O387" s="19">
        <f>TAB_OFICINAS[[#This Row],[Data Retorno Produção]]-TAB_OFICINAS[[#This Row],[Data Prometida  Entrega]]</f>
        <v>0</v>
      </c>
      <c r="P387" s="40" t="str">
        <f>IF(TAB_OFICINAS[[#This Row],[Dias Para Entrega]]&lt;=0,"Em dia","Dia de Atrasado")</f>
        <v>Em dia</v>
      </c>
      <c r="Q387" s="10">
        <f>IFERROR(TAB_OFICINAS[[#This Row],[Qtd pçs Enviadas]]-TAB_OFICINAS[[#This Row],[Qtd pçs Retornadas ]]," ")</f>
        <v>0</v>
      </c>
      <c r="R387" s="10">
        <v>0</v>
      </c>
      <c r="S387" s="5">
        <v>3220</v>
      </c>
      <c r="T387" s="5">
        <v>54</v>
      </c>
      <c r="U387" s="52">
        <v>14</v>
      </c>
      <c r="V387" s="44">
        <f>IFERROR(TAB_OFICINAS[[#This Row],[Valor Unit]]*TAB_OFICINAS[[#This Row],[Qtd pçs Enviadas]]," ")</f>
        <v>210</v>
      </c>
      <c r="W387" s="17">
        <v>46178</v>
      </c>
      <c r="X387" s="5" t="s">
        <v>6251</v>
      </c>
      <c r="Y387" s="27"/>
      <c r="Z3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8" spans="3:26" hidden="1">
      <c r="C388" s="28" t="s">
        <v>18</v>
      </c>
      <c r="D388" s="5">
        <v>5189</v>
      </c>
      <c r="E388" s="5">
        <v>22891</v>
      </c>
      <c r="F388" s="28" t="str">
        <f>IFERROR(VLOOKUP(TAB_OFICINAS[[#This Row],[Cliente]],LISTA_DE_CLIENTES[[Código]:[Nome Fantasia]],2,FALSE),"")</f>
        <v>DIAGNOSTICOS DA AMERICA S.A .</v>
      </c>
      <c r="G388" s="5" t="str">
        <f>IFERROR(VLOOKUP(TAB_OFICINAS[[#This Row],[Cliente]],LISTA_DE_CLIENTES[[Código]:[Nome Fantasia]],3,FALSE),"")</f>
        <v>DASA VILA ANDRADE</v>
      </c>
      <c r="H388" s="63">
        <v>3301092628</v>
      </c>
      <c r="I388" s="28" t="s">
        <v>20827</v>
      </c>
      <c r="J388" s="91">
        <v>49</v>
      </c>
      <c r="K388" s="86">
        <v>46126</v>
      </c>
      <c r="L388" s="10">
        <v>49</v>
      </c>
      <c r="M388" s="6">
        <v>46139</v>
      </c>
      <c r="N388" s="6">
        <v>46136</v>
      </c>
      <c r="O388" s="19">
        <f>TAB_OFICINAS[[#This Row],[Data Retorno Produção]]-TAB_OFICINAS[[#This Row],[Data Prometida  Entrega]]</f>
        <v>-3</v>
      </c>
      <c r="P388" s="40" t="str">
        <f>IF(TAB_OFICINAS[[#This Row],[Dias Para Entrega]]&lt;=0,"Em dia","Dia de Atrasado")</f>
        <v>Em dia</v>
      </c>
      <c r="Q388" s="10">
        <f>IFERROR(TAB_OFICINAS[[#This Row],[Qtd pçs Enviadas]]-TAB_OFICINAS[[#This Row],[Qtd pçs Retornadas ]]," ")</f>
        <v>0</v>
      </c>
      <c r="R388" s="10">
        <v>0</v>
      </c>
      <c r="S388" s="5">
        <v>677</v>
      </c>
      <c r="T388" s="5">
        <v>39</v>
      </c>
      <c r="U388" s="52">
        <v>16</v>
      </c>
      <c r="V388" s="44">
        <f>IFERROR(TAB_OFICINAS[[#This Row],[Valor Unit]]*TAB_OFICINAS[[#This Row],[Qtd pçs Enviadas]]," ")</f>
        <v>784</v>
      </c>
      <c r="W388" s="17">
        <v>46146</v>
      </c>
      <c r="X388" s="5" t="s">
        <v>6251</v>
      </c>
      <c r="Y388" s="27"/>
      <c r="Z3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89" spans="3:26" hidden="1">
      <c r="C389" s="28" t="s">
        <v>17</v>
      </c>
      <c r="D389" s="5">
        <v>331</v>
      </c>
      <c r="E389" s="5">
        <v>23156</v>
      </c>
      <c r="F389" s="28" t="str">
        <f>IFERROR(VLOOKUP(TAB_OFICINAS[[#This Row],[Cliente]],LISTA_DE_CLIENTES[[Código]:[Nome Fantasia]],2,FALSE),"")</f>
        <v>SERVICO NACIONAL DE APRENDIZAGEM COMERCIAL SENAC</v>
      </c>
      <c r="G389" s="2" t="str">
        <f>IFERROR(VLOOKUP(TAB_OFICINAS[[#This Row],[Cliente]],LISTA_DE_CLIENTES[[Código]:[Nome Fantasia]],3,FALSE),"")</f>
        <v>GRANDE HOTEL S PEDRO</v>
      </c>
      <c r="H389" s="63">
        <v>3301099651</v>
      </c>
      <c r="I389" s="28" t="s">
        <v>20974</v>
      </c>
      <c r="J389" s="91">
        <v>15</v>
      </c>
      <c r="K389" s="86">
        <v>46170</v>
      </c>
      <c r="L389" s="34">
        <v>15</v>
      </c>
      <c r="M389" s="6">
        <v>46177</v>
      </c>
      <c r="N389" s="6">
        <v>46176</v>
      </c>
      <c r="O389" s="19">
        <f>TAB_OFICINAS[[#This Row],[Data Retorno Produção]]-TAB_OFICINAS[[#This Row],[Data Prometida  Entrega]]</f>
        <v>-1</v>
      </c>
      <c r="P389" s="40" t="str">
        <f>IF(TAB_OFICINAS[[#This Row],[Dias Para Entrega]]&lt;=0,"Em dia","Dia de Atrasado")</f>
        <v>Em dia</v>
      </c>
      <c r="Q389" s="10">
        <f>IFERROR(TAB_OFICINAS[[#This Row],[Qtd pçs Enviadas]]-TAB_OFICINAS[[#This Row],[Qtd pçs Retornadas ]]," ")</f>
        <v>0</v>
      </c>
      <c r="R389" s="10">
        <v>0</v>
      </c>
      <c r="S389" s="5">
        <v>3237</v>
      </c>
      <c r="T389" s="5">
        <v>57</v>
      </c>
      <c r="U389" s="1">
        <v>14</v>
      </c>
      <c r="V389" s="3">
        <f>IFERROR(TAB_OFICINAS[[#This Row],[Valor Unit]]*TAB_OFICINAS[[#This Row],[Qtd pçs Enviadas]]," ")</f>
        <v>210</v>
      </c>
      <c r="W389" s="17">
        <v>46203</v>
      </c>
      <c r="X389" s="5" t="s">
        <v>6251</v>
      </c>
      <c r="Y389" s="4"/>
      <c r="Z3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0" spans="3:26" hidden="1">
      <c r="C390" s="28" t="s">
        <v>15</v>
      </c>
      <c r="D390" s="5">
        <v>5572</v>
      </c>
      <c r="E390" s="5">
        <v>23503</v>
      </c>
      <c r="F390" s="28" t="str">
        <f>IFERROR(VLOOKUP(TAB_OFICINAS[[#This Row],[Cliente]],LISTA_DE_CLIENTES[[Código]:[Nome Fantasia]],2,FALSE),"")</f>
        <v>TAUÁ HOTEL E CONVENTION JOÃO PESSOA LTDA</v>
      </c>
      <c r="G390" s="2" t="str">
        <f>IFERROR(VLOOKUP(TAB_OFICINAS[[#This Row],[Cliente]],LISTA_DE_CLIENTES[[Código]:[Nome Fantasia]],3,FALSE),"")</f>
        <v>TAUÁ HOTEL E CONVENT</v>
      </c>
      <c r="H390" s="63">
        <v>3301069930</v>
      </c>
      <c r="I390" s="28" t="s">
        <v>22970</v>
      </c>
      <c r="J390" s="91">
        <v>14</v>
      </c>
      <c r="K390" s="86">
        <v>46178</v>
      </c>
      <c r="L390" s="34">
        <v>14</v>
      </c>
      <c r="M390" s="6">
        <v>46189</v>
      </c>
      <c r="N390" s="6">
        <v>46189</v>
      </c>
      <c r="O390" s="19">
        <f>TAB_OFICINAS[[#This Row],[Data Retorno Produção]]-TAB_OFICINAS[[#This Row],[Data Prometida  Entrega]]</f>
        <v>0</v>
      </c>
      <c r="P390" s="40" t="str">
        <f>IF(TAB_OFICINAS[[#This Row],[Dias Para Entrega]]&lt;=0,"Em dia","Dia de Atrasado")</f>
        <v>Em dia</v>
      </c>
      <c r="Q390" s="10">
        <f>IFERROR(TAB_OFICINAS[[#This Row],[Qtd pçs Enviadas]]-TAB_OFICINAS[[#This Row],[Qtd pçs Retornadas ]]," ")</f>
        <v>0</v>
      </c>
      <c r="R390" s="10">
        <v>0</v>
      </c>
      <c r="S390" s="5">
        <v>3251</v>
      </c>
      <c r="T390" s="5">
        <v>17347</v>
      </c>
      <c r="U390" s="1">
        <v>3.6</v>
      </c>
      <c r="V390" s="3">
        <f>IFERROR(TAB_OFICINAS[[#This Row],[Valor Unit]]*TAB_OFICINAS[[#This Row],[Qtd pçs Enviadas]]," ")</f>
        <v>50.4</v>
      </c>
      <c r="W390" s="17">
        <v>46198</v>
      </c>
      <c r="X390" s="5" t="s">
        <v>6251</v>
      </c>
      <c r="Y390" s="4" t="s">
        <v>23178</v>
      </c>
      <c r="Z3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1" spans="3:26" ht="57" hidden="1">
      <c r="C391" s="28" t="s">
        <v>18</v>
      </c>
      <c r="D391" s="5">
        <v>1942</v>
      </c>
      <c r="E391" s="5">
        <v>22995</v>
      </c>
      <c r="F391" s="28" t="str">
        <f>IFERROR(VLOOKUP(TAB_OFICINAS[[#This Row],[Cliente]],LISTA_DE_CLIENTES[[Código]:[Nome Fantasia]],2,FALSE),"")</f>
        <v>ONCO STAR SP ONCOLOGIA LTDA (REDE D´OR)</v>
      </c>
      <c r="G391" s="5" t="str">
        <f>IFERROR(VLOOKUP(TAB_OFICINAS[[#This Row],[Cliente]],LISTA_DE_CLIENTES[[Código]:[Nome Fantasia]],3,FALSE),"")</f>
        <v>R DOR VILA NOVA STAR</v>
      </c>
      <c r="H391" s="63">
        <v>3301084129</v>
      </c>
      <c r="I391" s="28" t="s">
        <v>21238</v>
      </c>
      <c r="J391" s="91">
        <v>46</v>
      </c>
      <c r="K391" s="86">
        <v>46126</v>
      </c>
      <c r="L391" s="10">
        <v>46</v>
      </c>
      <c r="M391" s="6">
        <v>46147</v>
      </c>
      <c r="N391" s="6">
        <v>46146</v>
      </c>
      <c r="O391" s="19">
        <f>TAB_OFICINAS[[#This Row],[Data Retorno Produção]]-TAB_OFICINAS[[#This Row],[Data Prometida  Entrega]]</f>
        <v>-1</v>
      </c>
      <c r="P391" s="40" t="str">
        <f>IF(TAB_OFICINAS[[#This Row],[Dias Para Entrega]]&lt;=0,"Em dia","Dia de Atrasado")</f>
        <v>Em dia</v>
      </c>
      <c r="Q391" s="10">
        <f>IFERROR(TAB_OFICINAS[[#This Row],[Qtd pçs Enviadas]]-TAB_OFICINAS[[#This Row],[Qtd pçs Retornadas ]]," ")</f>
        <v>0</v>
      </c>
      <c r="R391" s="10">
        <v>8</v>
      </c>
      <c r="S391" s="5">
        <v>677</v>
      </c>
      <c r="T391" s="5">
        <v>40</v>
      </c>
      <c r="U391" s="52">
        <v>14</v>
      </c>
      <c r="V391" s="44">
        <f>IFERROR(TAB_OFICINAS[[#This Row],[Valor Unit]]*TAB_OFICINAS[[#This Row],[Qtd pçs Enviadas]]," ")</f>
        <v>644</v>
      </c>
      <c r="W391" s="17">
        <v>46156</v>
      </c>
      <c r="X391" s="5" t="s">
        <v>6251</v>
      </c>
      <c r="Y391" s="27" t="s">
        <v>22626</v>
      </c>
      <c r="Z3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2" spans="3:26" ht="57" hidden="1">
      <c r="C392" s="28" t="s">
        <v>17</v>
      </c>
      <c r="D392" s="5">
        <v>5572</v>
      </c>
      <c r="E392" s="5">
        <v>23503</v>
      </c>
      <c r="F392" s="28" t="str">
        <f>IFERROR(VLOOKUP(TAB_OFICINAS[[#This Row],[Cliente]],LISTA_DE_CLIENTES[[Código]:[Nome Fantasia]],2,FALSE),"")</f>
        <v>TAUÁ HOTEL E CONVENTION JOÃO PESSOA LTDA</v>
      </c>
      <c r="G392" s="2" t="str">
        <f>IFERROR(VLOOKUP(TAB_OFICINAS[[#This Row],[Cliente]],LISTA_DE_CLIENTES[[Código]:[Nome Fantasia]],3,FALSE),"")</f>
        <v>TAUÁ HOTEL E CONVENT</v>
      </c>
      <c r="H392" s="63">
        <v>3301069930</v>
      </c>
      <c r="I392" s="28" t="s">
        <v>23435</v>
      </c>
      <c r="J392" s="91">
        <v>13</v>
      </c>
      <c r="K392" s="86">
        <v>46178</v>
      </c>
      <c r="L392" s="34">
        <v>13</v>
      </c>
      <c r="M392" s="6">
        <v>46191</v>
      </c>
      <c r="N392" s="6">
        <v>46195</v>
      </c>
      <c r="O392" s="19">
        <f>TAB_OFICINAS[[#This Row],[Data Retorno Produção]]-TAB_OFICINAS[[#This Row],[Data Prometida  Entrega]]</f>
        <v>4</v>
      </c>
      <c r="P392" s="40" t="str">
        <f>IF(TAB_OFICINAS[[#This Row],[Dias Para Entrega]]&lt;=0,"Em dia","Dia de Atrasado")</f>
        <v>Dia de Atrasado</v>
      </c>
      <c r="Q392" s="10">
        <f>IFERROR(TAB_OFICINAS[[#This Row],[Qtd pçs Enviadas]]-TAB_OFICINAS[[#This Row],[Qtd pçs Retornadas ]]," ")</f>
        <v>0</v>
      </c>
      <c r="R392" s="10">
        <v>0</v>
      </c>
      <c r="S392" s="5">
        <v>3250</v>
      </c>
      <c r="T392" s="5">
        <v>58</v>
      </c>
      <c r="U392" s="1">
        <v>10</v>
      </c>
      <c r="V392" s="3">
        <f>IFERROR(TAB_OFICINAS[[#This Row],[Valor Unit]]*TAB_OFICINAS[[#This Row],[Qtd pçs Enviadas]]," ")</f>
        <v>130</v>
      </c>
      <c r="W392" s="17">
        <v>46205</v>
      </c>
      <c r="X392" s="5" t="s">
        <v>6251</v>
      </c>
      <c r="Y392" s="4" t="s">
        <v>23438</v>
      </c>
      <c r="Z3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3" spans="3:26" hidden="1">
      <c r="C393" s="28" t="s">
        <v>15</v>
      </c>
      <c r="D393" s="5">
        <v>3107</v>
      </c>
      <c r="F393" s="28" t="str">
        <f>IFERROR(VLOOKUP(TAB_OFICINAS[[#This Row],[Cliente]],LISTA_DE_CLIENTES[[Código]:[Nome Fantasia]],2,FALSE),"")</f>
        <v>HCC HOTELS GESTAO HOTELEIRA LTDA.</v>
      </c>
      <c r="G393" s="5" t="str">
        <f>IFERROR(VLOOKUP(TAB_OFICINAS[[#This Row],[Cliente]],LISTA_DE_CLIENTES[[Código]:[Nome Fantasia]],3,FALSE),"")</f>
        <v>QOYA SP</v>
      </c>
      <c r="H393" s="51">
        <v>3302018560</v>
      </c>
      <c r="I393" s="28" t="s">
        <v>20394</v>
      </c>
      <c r="J393" s="91">
        <v>12</v>
      </c>
      <c r="K393" s="86">
        <v>46055</v>
      </c>
      <c r="L393" s="10">
        <v>12</v>
      </c>
      <c r="M393" s="6">
        <v>46064</v>
      </c>
      <c r="N393" s="6">
        <v>46064</v>
      </c>
      <c r="O393" s="19">
        <f>TAB_OFICINAS[[#This Row],[Data Retorno Produção]]-TAB_OFICINAS[[#This Row],[Data Prometida  Entrega]]</f>
        <v>0</v>
      </c>
      <c r="P393" s="40" t="str">
        <f>IF(TAB_OFICINAS[[#This Row],[Dias Para Entrega]]&lt;=0,"Em dia","Dia de Atrasado")</f>
        <v>Em dia</v>
      </c>
      <c r="Q393" s="10">
        <f>IFERROR(TAB_OFICINAS[[#This Row],[Qtd pçs Enviadas]]-TAB_OFICINAS[[#This Row],[Qtd pçs Retornadas ]],"N/D ")</f>
        <v>0</v>
      </c>
      <c r="R393" s="10">
        <v>0</v>
      </c>
      <c r="U393" s="52"/>
      <c r="V393" s="44">
        <f>IFERROR(TAB_OFICINAS[[#This Row],[Valor Unit]]*TAB_OFICINAS[[#This Row],[Qtd pçs Enviadas]]," ")</f>
        <v>0</v>
      </c>
      <c r="W393" s="17"/>
      <c r="X393" s="5" t="s">
        <v>6251</v>
      </c>
      <c r="Y393" s="27" t="s">
        <v>20413</v>
      </c>
      <c r="Z3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4" spans="3:26" hidden="1">
      <c r="C394" s="28" t="s">
        <v>3</v>
      </c>
      <c r="D394" s="5">
        <v>5338</v>
      </c>
      <c r="E394" s="5">
        <v>22740</v>
      </c>
      <c r="F394" s="28" t="str">
        <f>IFERROR(VLOOKUP(TAB_OFICINAS[[#This Row],[Cliente]],LISTA_DE_CLIENTES[[Código]:[Nome Fantasia]],2,FALSE),"")</f>
        <v>MAISON CARMELO INCORPORACOES SPE LTDA</v>
      </c>
      <c r="G394" s="5" t="str">
        <f>IFERROR(VLOOKUP(TAB_OFICINAS[[#This Row],[Cliente]],LISTA_DE_CLIENTES[[Código]:[Nome Fantasia]],3,FALSE),"")</f>
        <v>SAN REMO</v>
      </c>
      <c r="H394" s="51">
        <v>3302016028</v>
      </c>
      <c r="I394" s="28" t="s">
        <v>21062</v>
      </c>
      <c r="J394" s="91">
        <v>12</v>
      </c>
      <c r="K394" s="86">
        <v>46077</v>
      </c>
      <c r="L394" s="10">
        <v>12</v>
      </c>
      <c r="M394" s="6">
        <v>46084</v>
      </c>
      <c r="N394" s="6">
        <v>46079</v>
      </c>
      <c r="O394" s="19">
        <f>TAB_OFICINAS[[#This Row],[Data Retorno Produção]]-TAB_OFICINAS[[#This Row],[Data Prometida  Entrega]]</f>
        <v>-5</v>
      </c>
      <c r="P394" s="40" t="str">
        <f>IF(TAB_OFICINAS[[#This Row],[Dias Para Entrega]]&lt;=0,"Em dia","Dia de Atrasado")</f>
        <v>Em dia</v>
      </c>
      <c r="Q394" s="10">
        <f>IFERROR(TAB_OFICINAS[[#This Row],[Qtd pçs Enviadas]]-TAB_OFICINAS[[#This Row],[Qtd pçs Retornadas ]],"N/D ")</f>
        <v>0</v>
      </c>
      <c r="R394" s="48">
        <v>0</v>
      </c>
      <c r="S394" s="5">
        <v>622</v>
      </c>
      <c r="T394" s="5">
        <v>97</v>
      </c>
      <c r="U394" s="52">
        <v>3.8</v>
      </c>
      <c r="V394" s="44">
        <f>IFERROR(TAB_OFICINAS[[#This Row],[Valor Unit]]*TAB_OFICINAS[[#This Row],[Qtd pçs Enviadas]]," ")</f>
        <v>45.599999999999994</v>
      </c>
      <c r="W394" s="17">
        <v>46089</v>
      </c>
      <c r="X394" s="5" t="s">
        <v>6251</v>
      </c>
      <c r="Y394" s="27"/>
      <c r="Z3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5" spans="3:26" hidden="1">
      <c r="C395" s="28" t="s">
        <v>20</v>
      </c>
      <c r="D395" s="5">
        <v>3346</v>
      </c>
      <c r="E395" s="5">
        <v>23170</v>
      </c>
      <c r="F395" s="28" t="str">
        <f>IFERROR(VLOOKUP(TAB_OFICINAS[[#This Row],[Cliente]],LISTA_DE_CLIENTES[[Código]:[Nome Fantasia]],2,FALSE),"")</f>
        <v>REDE D´OR SAO LUIZ S.A.</v>
      </c>
      <c r="G395" s="5" t="str">
        <f>IFERROR(VLOOKUP(TAB_OFICINAS[[#This Row],[Cliente]],LISTA_DE_CLIENTES[[Código]:[Nome Fantasia]],3,FALSE),"")</f>
        <v>MEMORIAL STAR</v>
      </c>
      <c r="H395" s="63">
        <v>2101107946</v>
      </c>
      <c r="I395" s="75" t="s">
        <v>22773</v>
      </c>
      <c r="J395" s="91">
        <v>300</v>
      </c>
      <c r="K395" s="86">
        <v>46157</v>
      </c>
      <c r="L395" s="10">
        <v>300</v>
      </c>
      <c r="M395" s="6">
        <v>46163</v>
      </c>
      <c r="N395" s="6">
        <v>46163</v>
      </c>
      <c r="O395" s="19">
        <f>TAB_OFICINAS[[#This Row],[Data Retorno Produção]]-TAB_OFICINAS[[#This Row],[Data Prometida  Entrega]]</f>
        <v>0</v>
      </c>
      <c r="P395" s="40" t="str">
        <f>IF(TAB_OFICINAS[[#This Row],[Dias Para Entrega]]&lt;=0,"Em dia","Dia de Atrasado")</f>
        <v>Em dia</v>
      </c>
      <c r="Q395" s="10">
        <f>IFERROR(TAB_OFICINAS[[#This Row],[Qtd pçs Enviadas]]-TAB_OFICINAS[[#This Row],[Qtd pçs Retornadas ]]," ")</f>
        <v>0</v>
      </c>
      <c r="R395" s="10">
        <v>0</v>
      </c>
      <c r="S395" s="5">
        <v>843</v>
      </c>
      <c r="T395" s="5">
        <v>88</v>
      </c>
      <c r="U395" s="52">
        <v>4.5</v>
      </c>
      <c r="V395" s="44">
        <f>IFERROR(TAB_OFICINAS[[#This Row],[Valor Unit]]*TAB_OFICINAS[[#This Row],[Qtd pçs Enviadas]]," ")</f>
        <v>1350</v>
      </c>
      <c r="W395" s="17">
        <v>46171</v>
      </c>
      <c r="X395" s="5" t="s">
        <v>6251</v>
      </c>
      <c r="Y395" s="27"/>
      <c r="Z3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6" spans="3:26" hidden="1">
      <c r="C396" s="28" t="s">
        <v>20</v>
      </c>
      <c r="D396" s="5">
        <v>5572</v>
      </c>
      <c r="E396" s="5">
        <v>23503</v>
      </c>
      <c r="F396" s="28" t="str">
        <f>IFERROR(VLOOKUP(TAB_OFICINAS[[#This Row],[Cliente]],LISTA_DE_CLIENTES[[Código]:[Nome Fantasia]],2,FALSE),"")</f>
        <v>TAUÁ HOTEL E CONVENTION JOÃO PESSOA LTDA</v>
      </c>
      <c r="G396" s="2" t="str">
        <f>IFERROR(VLOOKUP(TAB_OFICINAS[[#This Row],[Cliente]],LISTA_DE_CLIENTES[[Código]:[Nome Fantasia]],3,FALSE),"")</f>
        <v>TAUÁ HOTEL E CONVENT</v>
      </c>
      <c r="H396" s="63">
        <v>92101068151</v>
      </c>
      <c r="I396" s="28" t="s">
        <v>22871</v>
      </c>
      <c r="J396" s="91">
        <v>208</v>
      </c>
      <c r="K396" s="86">
        <v>46174</v>
      </c>
      <c r="L396" s="34">
        <v>208</v>
      </c>
      <c r="M396" s="6">
        <v>46185</v>
      </c>
      <c r="N396" s="6">
        <v>46182</v>
      </c>
      <c r="O396" s="19">
        <f>TAB_OFICINAS[[#This Row],[Data Retorno Produção]]-TAB_OFICINAS[[#This Row],[Data Prometida  Entrega]]</f>
        <v>-3</v>
      </c>
      <c r="P396" s="40" t="str">
        <f>IF(TAB_OFICINAS[[#This Row],[Dias Para Entrega]]&lt;=0,"Em dia","Dia de Atrasado")</f>
        <v>Em dia</v>
      </c>
      <c r="Q396" s="10">
        <f>IFERROR(TAB_OFICINAS[[#This Row],[Qtd pçs Enviadas]]-TAB_OFICINAS[[#This Row],[Qtd pçs Retornadas ]]," ")</f>
        <v>0</v>
      </c>
      <c r="R396" s="10">
        <v>0</v>
      </c>
      <c r="S396" s="5">
        <v>3241</v>
      </c>
      <c r="T396" s="5">
        <v>89</v>
      </c>
      <c r="U396" s="1">
        <v>4.5</v>
      </c>
      <c r="V396" s="3">
        <f>IFERROR(TAB_OFICINAS[[#This Row],[Valor Unit]]*TAB_OFICINAS[[#This Row],[Qtd pçs Enviadas]]," ")</f>
        <v>936</v>
      </c>
      <c r="W396" s="17">
        <v>46192</v>
      </c>
      <c r="X396" s="5" t="s">
        <v>6251</v>
      </c>
      <c r="Y396" s="4"/>
      <c r="Z3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7" spans="3:26" hidden="1">
      <c r="C397" s="28" t="s">
        <v>20</v>
      </c>
      <c r="D397" s="5">
        <v>5572</v>
      </c>
      <c r="E397" s="5">
        <v>23503</v>
      </c>
      <c r="F397" s="28" t="str">
        <f>IFERROR(VLOOKUP(TAB_OFICINAS[[#This Row],[Cliente]],LISTA_DE_CLIENTES[[Código]:[Nome Fantasia]],2,FALSE),"")</f>
        <v>TAUÁ HOTEL E CONVENTION JOÃO PESSOA LTDA</v>
      </c>
      <c r="G397" s="2" t="str">
        <f>IFERROR(VLOOKUP(TAB_OFICINAS[[#This Row],[Cliente]],LISTA_DE_CLIENTES[[Código]:[Nome Fantasia]],3,FALSE),"")</f>
        <v>TAUÁ HOTEL E CONVENT</v>
      </c>
      <c r="H397" s="63">
        <v>92101069934</v>
      </c>
      <c r="I397" s="28" t="s">
        <v>22872</v>
      </c>
      <c r="J397" s="91">
        <v>113</v>
      </c>
      <c r="K397" s="86">
        <v>46174</v>
      </c>
      <c r="L397" s="34">
        <v>113</v>
      </c>
      <c r="M397" s="6">
        <v>46178</v>
      </c>
      <c r="N397" s="6">
        <v>46175</v>
      </c>
      <c r="O397" s="19">
        <f>TAB_OFICINAS[[#This Row],[Data Retorno Produção]]-TAB_OFICINAS[[#This Row],[Data Prometida  Entrega]]</f>
        <v>-3</v>
      </c>
      <c r="P397" s="40" t="str">
        <f>IF(TAB_OFICINAS[[#This Row],[Dias Para Entrega]]&lt;=0,"Em dia","Dia de Atrasado")</f>
        <v>Em dia</v>
      </c>
      <c r="Q397" s="10">
        <f>IFERROR(TAB_OFICINAS[[#This Row],[Qtd pçs Enviadas]]-TAB_OFICINAS[[#This Row],[Qtd pçs Retornadas ]]," ")</f>
        <v>0</v>
      </c>
      <c r="R397" s="10">
        <v>0</v>
      </c>
      <c r="S397" s="5">
        <v>3241</v>
      </c>
      <c r="T397" s="5">
        <v>89</v>
      </c>
      <c r="U397" s="1">
        <v>4.5</v>
      </c>
      <c r="V397" s="3">
        <f>IFERROR(TAB_OFICINAS[[#This Row],[Valor Unit]]*TAB_OFICINAS[[#This Row],[Qtd pçs Enviadas]]," ")</f>
        <v>508.5</v>
      </c>
      <c r="W397" s="17">
        <v>46192</v>
      </c>
      <c r="X397" s="5" t="s">
        <v>6251</v>
      </c>
      <c r="Y397" s="4"/>
      <c r="Z3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8" spans="3:26" hidden="1">
      <c r="C398" s="28" t="s">
        <v>15</v>
      </c>
      <c r="D398" s="5">
        <v>5338</v>
      </c>
      <c r="E398" s="5">
        <v>22740</v>
      </c>
      <c r="F398" s="28" t="str">
        <f>IFERROR(VLOOKUP(TAB_OFICINAS[[#This Row],[Cliente]],LISTA_DE_CLIENTES[[Código]:[Nome Fantasia]],2,FALSE),"")</f>
        <v>MAISON CARMELO INCORPORACOES SPE LTDA</v>
      </c>
      <c r="G398" s="5" t="str">
        <f>IFERROR(VLOOKUP(TAB_OFICINAS[[#This Row],[Cliente]],LISTA_DE_CLIENTES[[Código]:[Nome Fantasia]],3,FALSE),"")</f>
        <v>SAN REMO</v>
      </c>
      <c r="H398" s="63">
        <v>3302016028</v>
      </c>
      <c r="I398" s="28" t="s">
        <v>21062</v>
      </c>
      <c r="J398" s="91">
        <v>12</v>
      </c>
      <c r="K398" s="86">
        <v>46080</v>
      </c>
      <c r="L398" s="10">
        <v>12</v>
      </c>
      <c r="M398" s="6">
        <v>46083</v>
      </c>
      <c r="N398" s="6">
        <v>46083</v>
      </c>
      <c r="O398" s="19">
        <f>TAB_OFICINAS[[#This Row],[Data Retorno Produção]]-TAB_OFICINAS[[#This Row],[Data Prometida  Entrega]]</f>
        <v>0</v>
      </c>
      <c r="P398" s="40" t="str">
        <f>IF(TAB_OFICINAS[[#This Row],[Dias Para Entrega]]&lt;=0,"Em dia","Dia de Atrasado")</f>
        <v>Em dia</v>
      </c>
      <c r="Q398" s="10">
        <f>IFERROR(TAB_OFICINAS[[#This Row],[Qtd pçs Enviadas]]-TAB_OFICINAS[[#This Row],[Qtd pçs Retornadas ]]," ")</f>
        <v>0</v>
      </c>
      <c r="R398" s="10">
        <v>0</v>
      </c>
      <c r="S398" s="5">
        <v>642</v>
      </c>
      <c r="T398" s="5">
        <v>16977</v>
      </c>
      <c r="U398" s="52">
        <v>4</v>
      </c>
      <c r="V398" s="44">
        <f>IFERROR(TAB_OFICINAS[[#This Row],[Valor Unit]]*TAB_OFICINAS[[#This Row],[Qtd pçs Enviadas]]," ")</f>
        <v>48</v>
      </c>
      <c r="W398" s="17">
        <v>46091</v>
      </c>
      <c r="X398" s="5" t="s">
        <v>6251</v>
      </c>
      <c r="Y398" s="27" t="s">
        <v>21335</v>
      </c>
      <c r="Z3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399" spans="3:26" ht="85.5" hidden="1">
      <c r="C399" s="28" t="s">
        <v>17</v>
      </c>
      <c r="D399" s="5">
        <v>5189</v>
      </c>
      <c r="E399" s="5">
        <v>22891</v>
      </c>
      <c r="F399" s="28" t="str">
        <f>IFERROR(VLOOKUP(TAB_OFICINAS[[#This Row],[Cliente]],LISTA_DE_CLIENTES[[Código]:[Nome Fantasia]],2,FALSE),"")</f>
        <v>DIAGNOSTICOS DA AMERICA S.A .</v>
      </c>
      <c r="G399" s="5" t="str">
        <f>IFERROR(VLOOKUP(TAB_OFICINAS[[#This Row],[Cliente]],LISTA_DE_CLIENTES[[Código]:[Nome Fantasia]],3,FALSE),"")</f>
        <v>DASA VILA ANDRADE</v>
      </c>
      <c r="H399" s="63">
        <v>3301092628</v>
      </c>
      <c r="I399" s="28" t="s">
        <v>20827</v>
      </c>
      <c r="J399" s="91">
        <v>12</v>
      </c>
      <c r="K399" s="86">
        <v>46101</v>
      </c>
      <c r="L399" s="10">
        <v>12</v>
      </c>
      <c r="M399" s="6">
        <v>46118</v>
      </c>
      <c r="N399" s="6">
        <v>46115</v>
      </c>
      <c r="O399" s="19">
        <f>TAB_OFICINAS[[#This Row],[Data Retorno Produção]]-TAB_OFICINAS[[#This Row],[Data Prometida  Entrega]]</f>
        <v>-3</v>
      </c>
      <c r="P399" s="40" t="str">
        <f>IF(TAB_OFICINAS[[#This Row],[Dias Para Entrega]]&lt;=0,"Em dia","Dia de Atrasado")</f>
        <v>Em dia</v>
      </c>
      <c r="Q399" s="10">
        <f>IFERROR(TAB_OFICINAS[[#This Row],[Qtd pçs Enviadas]]-TAB_OFICINAS[[#This Row],[Qtd pçs Retornadas ]]," ")</f>
        <v>0</v>
      </c>
      <c r="R399" s="10">
        <v>10</v>
      </c>
      <c r="S399" s="5">
        <v>699</v>
      </c>
      <c r="T399" s="5">
        <v>49</v>
      </c>
      <c r="U399" s="52">
        <v>16</v>
      </c>
      <c r="V399" s="44">
        <f>IFERROR(TAB_OFICINAS[[#This Row],[Valor Unit]]*TAB_OFICINAS[[#This Row],[Qtd pçs Enviadas]]," ")</f>
        <v>192</v>
      </c>
      <c r="W399" s="17">
        <v>46125</v>
      </c>
      <c r="X399" s="5" t="s">
        <v>6251</v>
      </c>
      <c r="Y399" s="27" t="s">
        <v>21566</v>
      </c>
      <c r="Z3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0" spans="3:26" ht="57" hidden="1">
      <c r="C400" s="28" t="s">
        <v>15</v>
      </c>
      <c r="D400" s="5">
        <v>5378</v>
      </c>
      <c r="E400" s="5">
        <v>23524</v>
      </c>
      <c r="F400" s="28" t="str">
        <f>IFERROR(VLOOKUP(TAB_OFICINAS[[#This Row],[Cliente]],LISTA_DE_CLIENTES[[Código]:[Nome Fantasia]],2,FALSE),"")</f>
        <v>ZIREH IMOVEIS E PARTICIPACOES LTDA</v>
      </c>
      <c r="G400" s="2" t="str">
        <f>IFERROR(VLOOKUP(TAB_OFICINAS[[#This Row],[Cliente]],LISTA_DE_CLIENTES[[Código]:[Nome Fantasia]],3,FALSE),"")</f>
        <v>ZIREH IMOVEIS</v>
      </c>
      <c r="H400" s="51" t="s">
        <v>21342</v>
      </c>
      <c r="I400" s="28" t="s">
        <v>23418</v>
      </c>
      <c r="J400" s="91">
        <v>12</v>
      </c>
      <c r="K400" s="88">
        <v>46196</v>
      </c>
      <c r="L400" s="9">
        <v>12</v>
      </c>
      <c r="M400" s="6">
        <v>46198</v>
      </c>
      <c r="N400" s="6">
        <f ca="1">TODAY()</f>
        <v>46315</v>
      </c>
      <c r="O400" s="23">
        <f ca="1">TAB_OFICINAS[[#This Row],[Data Retorno Produção]]-TAB_OFICINAS[[#This Row],[Data Prometida  Entrega]]</f>
        <v>117</v>
      </c>
      <c r="P400" s="98" t="str">
        <f ca="1">IF(TAB_OFICINAS[[#This Row],[Dias Para Entrega]]&lt;=0,"Em dia","Dia de Atrasado")</f>
        <v>Dia de Atrasado</v>
      </c>
      <c r="Q400" s="24">
        <f>IFERROR(TAB_OFICINAS[[#This Row],[Qtd pçs Enviadas]]-TAB_OFICINAS[[#This Row],[Qtd pçs Retornadas ]],"N/D ")</f>
        <v>0</v>
      </c>
      <c r="R400" s="24"/>
      <c r="S400" s="5">
        <v>3284</v>
      </c>
      <c r="T400" s="5">
        <v>17358</v>
      </c>
      <c r="U400" s="11">
        <v>6</v>
      </c>
      <c r="V400" s="25">
        <f>IFERROR(TAB_OFICINAS[[#This Row],[Valor Unit]]*TAB_OFICINAS[[#This Row],[Qtd pçs Enviadas]]," ")</f>
        <v>72</v>
      </c>
      <c r="W400" s="26">
        <v>46205</v>
      </c>
      <c r="X400" s="17" t="s">
        <v>6251</v>
      </c>
      <c r="Y400" s="27" t="s">
        <v>23440</v>
      </c>
      <c r="Z4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1" spans="3:26" hidden="1">
      <c r="C401" s="28" t="s">
        <v>20</v>
      </c>
      <c r="D401" s="5">
        <v>943</v>
      </c>
      <c r="E401" s="5">
        <v>23090</v>
      </c>
      <c r="F401" s="28" t="str">
        <f>IFERROR(VLOOKUP(TAB_OFICINAS[[#This Row],[Cliente]],LISTA_DE_CLIENTES[[Código]:[Nome Fantasia]],2,FALSE),"")</f>
        <v>REDE DOR SAO LUIZ S.A.</v>
      </c>
      <c r="G401" s="2" t="str">
        <f>IFERROR(VLOOKUP(TAB_OFICINAS[[#This Row],[Cliente]],LISTA_DE_CLIENTES[[Código]:[Nome Fantasia]],3,FALSE),"")</f>
        <v>HOSPITAL COPA STAR</v>
      </c>
      <c r="H401" s="51">
        <v>2101109332</v>
      </c>
      <c r="I401" s="28" t="str">
        <f>IFERROR(VLOOKUP(TAB_OFICINAS[[#This Row],[Codigo Produto ]],_000___PEDIDOS_DE_CLIENTES[[Data.Column2]:[Descrição Produto]],2,FALSE)," ")</f>
        <v>LENÇOL BRANCO - 400F SEM FESTONÊ E SEM LOGO BORDADO - 1,80 X 2,80</v>
      </c>
      <c r="J401" s="91">
        <v>501</v>
      </c>
      <c r="K401" s="88">
        <v>46196</v>
      </c>
      <c r="L401" s="9">
        <v>501</v>
      </c>
      <c r="M401" s="6">
        <v>46209</v>
      </c>
      <c r="N401" s="6">
        <v>46209</v>
      </c>
      <c r="O401" s="23">
        <f>TAB_OFICINAS[[#This Row],[Data Retorno Produção]]-TAB_OFICINAS[[#This Row],[Data Prometida  Entrega]]</f>
        <v>0</v>
      </c>
      <c r="P401" s="98" t="str">
        <f>IF(TAB_OFICINAS[[#This Row],[Dias Para Entrega]]&lt;=0,"Em dia","Dia de Atrasado")</f>
        <v>Em dia</v>
      </c>
      <c r="Q401" s="10">
        <f>IFERROR(TAB_OFICINAS[[#This Row],[Qtd pçs Enviadas]]-TAB_OFICINAS[[#This Row],[Qtd pçs Retornadas ]]," ")</f>
        <v>0</v>
      </c>
      <c r="R401" s="24"/>
      <c r="S401" s="5">
        <v>897</v>
      </c>
      <c r="T401" s="5">
        <v>91</v>
      </c>
      <c r="U401" s="11">
        <v>5</v>
      </c>
      <c r="V401" s="25">
        <f>IFERROR(TAB_OFICINAS[[#This Row],[Valor Unit]]*TAB_OFICINAS[[#This Row],[Qtd pçs Enviadas]]," ")</f>
        <v>2505</v>
      </c>
      <c r="W401" s="26">
        <v>46219</v>
      </c>
      <c r="X401" s="17" t="s">
        <v>6251</v>
      </c>
      <c r="Y401" s="27"/>
      <c r="Z4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2" spans="3:26" hidden="1">
      <c r="C402" s="28" t="s">
        <v>3</v>
      </c>
      <c r="D402" s="5">
        <v>5572</v>
      </c>
      <c r="E402" s="5">
        <v>23053</v>
      </c>
      <c r="F402" s="28" t="str">
        <f>IFERROR(VLOOKUP(TAB_OFICINAS[[#This Row],[Cliente]],LISTA_DE_CLIENTES[[Código]:[Nome Fantasia]],2,FALSE),"")</f>
        <v>TAUÁ HOTEL E CONVENTION JOÃO PESSOA LTDA</v>
      </c>
      <c r="G402" s="5" t="str">
        <f>IFERROR(VLOOKUP(TAB_OFICINAS[[#This Row],[Cliente]],LISTA_DE_CLIENTES[[Código]:[Nome Fantasia]],3,FALSE),"")</f>
        <v>TAUÁ HOTEL E CONVENT</v>
      </c>
      <c r="H402" s="63">
        <v>3401026167</v>
      </c>
      <c r="I402" s="28" t="s">
        <v>22976</v>
      </c>
      <c r="J402" s="91">
        <v>11</v>
      </c>
      <c r="K402" s="86">
        <v>46176</v>
      </c>
      <c r="L402" s="34">
        <v>11</v>
      </c>
      <c r="M402" s="6">
        <v>46185</v>
      </c>
      <c r="N402" s="6">
        <v>46183</v>
      </c>
      <c r="O402" s="19">
        <f>TAB_OFICINAS[[#This Row],[Data Retorno Produção]]-TAB_OFICINAS[[#This Row],[Data Prometida  Entrega]]</f>
        <v>-2</v>
      </c>
      <c r="P402" s="40" t="str">
        <f>IF(TAB_OFICINAS[[#This Row],[Dias Para Entrega]]&lt;=0,"Em dia","Dia de Atrasado")</f>
        <v>Em dia</v>
      </c>
      <c r="Q402" s="10">
        <f>IFERROR(TAB_OFICINAS[[#This Row],[Qtd pçs Enviadas]]-TAB_OFICINAS[[#This Row],[Qtd pçs Retornadas ]]," ")</f>
        <v>0</v>
      </c>
      <c r="R402" s="10"/>
      <c r="S402" s="5">
        <v>3247</v>
      </c>
      <c r="T402" s="5">
        <v>114</v>
      </c>
      <c r="U402" s="52">
        <v>5.5</v>
      </c>
      <c r="V402" s="44">
        <f>IFERROR(TAB_OFICINAS[[#This Row],[Valor Unit]]*TAB_OFICINAS[[#This Row],[Qtd pçs Enviadas]]," ")</f>
        <v>60.5</v>
      </c>
      <c r="W402" s="17">
        <v>46196</v>
      </c>
      <c r="X402" s="5" t="s">
        <v>6251</v>
      </c>
      <c r="Y402" s="27"/>
      <c r="Z4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3" spans="3:26" hidden="1">
      <c r="C403" s="28" t="s">
        <v>18</v>
      </c>
      <c r="D403" s="5">
        <v>1941</v>
      </c>
      <c r="E403" s="5">
        <v>22893</v>
      </c>
      <c r="F403" s="28" t="str">
        <f>IFERROR(VLOOKUP(TAB_OFICINAS[[#This Row],[Cliente]],LISTA_DE_CLIENTES[[Código]:[Nome Fantasia]],2,FALSE),"")</f>
        <v>HOSPITAIS INTEGRADOS DA GAVEA S/A</v>
      </c>
      <c r="G403" s="5" t="str">
        <f>IFERROR(VLOOKUP(TAB_OFICINAS[[#This Row],[Cliente]],LISTA_DE_CLIENTES[[Código]:[Nome Fantasia]],3,FALSE),"")</f>
        <v>REDE D´OR - DF STAR</v>
      </c>
      <c r="H403" s="63">
        <v>2101107948</v>
      </c>
      <c r="I403" s="28" t="s">
        <v>21372</v>
      </c>
      <c r="J403" s="91">
        <v>50</v>
      </c>
      <c r="K403" s="86">
        <v>46149</v>
      </c>
      <c r="L403" s="10">
        <v>50</v>
      </c>
      <c r="M403" s="6">
        <v>46157</v>
      </c>
      <c r="N403" s="6">
        <v>46154</v>
      </c>
      <c r="O403" s="19">
        <f>TAB_OFICINAS[[#This Row],[Data Retorno Produção]]-TAB_OFICINAS[[#This Row],[Data Prometida  Entrega]]</f>
        <v>-3</v>
      </c>
      <c r="P403" s="40" t="str">
        <f>IF(TAB_OFICINAS[[#This Row],[Dias Para Entrega]]&lt;=0,"Em dia","Dia de Atrasado")</f>
        <v>Em dia</v>
      </c>
      <c r="Q403" s="10">
        <f>IFERROR(TAB_OFICINAS[[#This Row],[Qtd pçs Enviadas]]-TAB_OFICINAS[[#This Row],[Qtd pçs Retornadas ]]," ")</f>
        <v>0</v>
      </c>
      <c r="R403" s="10">
        <v>0</v>
      </c>
      <c r="S403" s="5">
        <v>677</v>
      </c>
      <c r="T403" s="5">
        <v>42</v>
      </c>
      <c r="U403" s="52">
        <v>5</v>
      </c>
      <c r="V403" s="44">
        <f>IFERROR(TAB_OFICINAS[[#This Row],[Valor Unit]]*TAB_OFICINAS[[#This Row],[Qtd pçs Enviadas]]," ")</f>
        <v>250</v>
      </c>
      <c r="W403" s="17">
        <v>46164</v>
      </c>
      <c r="X403" s="5" t="s">
        <v>6251</v>
      </c>
      <c r="Y403" s="27"/>
      <c r="Z4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4" spans="3:26" hidden="1">
      <c r="C404" s="28" t="s">
        <v>18</v>
      </c>
      <c r="D404" s="5">
        <v>1942</v>
      </c>
      <c r="E404" s="5">
        <v>22995</v>
      </c>
      <c r="F404" s="28" t="str">
        <f>IFERROR(VLOOKUP(TAB_OFICINAS[[#This Row],[Cliente]],LISTA_DE_CLIENTES[[Código]:[Nome Fantasia]],2,FALSE),"")</f>
        <v>ONCO STAR SP ONCOLOGIA LTDA (REDE D´OR)</v>
      </c>
      <c r="G404" s="5" t="str">
        <f>IFERROR(VLOOKUP(TAB_OFICINAS[[#This Row],[Cliente]],LISTA_DE_CLIENTES[[Código]:[Nome Fantasia]],3,FALSE),"")</f>
        <v>R DOR VILA NOVA STAR</v>
      </c>
      <c r="H404" s="63">
        <v>2101102487</v>
      </c>
      <c r="I404" s="28" t="s">
        <v>20777</v>
      </c>
      <c r="J404" s="91">
        <v>101</v>
      </c>
      <c r="K404" s="86">
        <v>46154</v>
      </c>
      <c r="L404" s="10">
        <v>101</v>
      </c>
      <c r="M404" s="6">
        <v>46160</v>
      </c>
      <c r="N404" s="6">
        <v>46160</v>
      </c>
      <c r="O404" s="19">
        <f>TAB_OFICINAS[[#This Row],[Data Retorno Produção]]-TAB_OFICINAS[[#This Row],[Data Prometida  Entrega]]</f>
        <v>0</v>
      </c>
      <c r="P404" s="40" t="str">
        <f>IF(TAB_OFICINAS[[#This Row],[Dias Para Entrega]]&lt;=0,"Em dia","Dia de Atrasado")</f>
        <v>Em dia</v>
      </c>
      <c r="Q404" s="10">
        <f>IFERROR(TAB_OFICINAS[[#This Row],[Qtd pçs Enviadas]]-TAB_OFICINAS[[#This Row],[Qtd pçs Retornadas ]]," ")</f>
        <v>0</v>
      </c>
      <c r="R404" s="10"/>
      <c r="S404" s="5">
        <v>836</v>
      </c>
      <c r="T404" s="5">
        <v>44</v>
      </c>
      <c r="U404" s="52">
        <v>4.5</v>
      </c>
      <c r="V404" s="44">
        <f>IFERROR(TAB_OFICINAS[[#This Row],[Valor Unit]]*TAB_OFICINAS[[#This Row],[Qtd pçs Enviadas]]," ")</f>
        <v>454.5</v>
      </c>
      <c r="W404" s="17">
        <v>46170</v>
      </c>
      <c r="X404" s="5" t="s">
        <v>6251</v>
      </c>
      <c r="Y404" s="27"/>
      <c r="Z4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5" spans="3:26" ht="57" hidden="1">
      <c r="C405" s="28" t="s">
        <v>18</v>
      </c>
      <c r="D405" s="5">
        <v>2522</v>
      </c>
      <c r="E405" s="5">
        <v>23343</v>
      </c>
      <c r="F405" s="28" t="str">
        <f>IFERROR(VLOOKUP(TAB_OFICINAS[[#This Row],[Cliente]],LISTA_DE_CLIENTES[[Código]:[Nome Fantasia]],2,FALSE),"")</f>
        <v>HYPE ILHABELA ADMINISTRACAO E PARTICIPACOES LTDA.</v>
      </c>
      <c r="G405" s="2" t="str">
        <f>IFERROR(VLOOKUP(TAB_OFICINAS[[#This Row],[Cliente]],LISTA_DE_CLIENTES[[Código]:[Nome Fantasia]],3,FALSE),"")</f>
        <v>CASA DI SIRENA</v>
      </c>
      <c r="H405" s="63">
        <v>3101019828</v>
      </c>
      <c r="I405" s="28" t="s">
        <v>22366</v>
      </c>
      <c r="J405" s="91">
        <v>15</v>
      </c>
      <c r="K405" s="86">
        <v>46163</v>
      </c>
      <c r="L405" s="34">
        <v>15</v>
      </c>
      <c r="M405" s="6">
        <v>46178</v>
      </c>
      <c r="N405" s="6">
        <v>46171</v>
      </c>
      <c r="O405" s="19">
        <f>TAB_OFICINAS[[#This Row],[Data Retorno Produção]]-TAB_OFICINAS[[#This Row],[Data Prometida  Entrega]]</f>
        <v>-7</v>
      </c>
      <c r="P405" s="40" t="str">
        <f>IF(TAB_OFICINAS[[#This Row],[Dias Para Entrega]]&lt;=0,"Em dia","Dia de Atrasado")</f>
        <v>Em dia</v>
      </c>
      <c r="Q405" s="10">
        <f>IFERROR(TAB_OFICINAS[[#This Row],[Qtd pçs Enviadas]]-TAB_OFICINAS[[#This Row],[Qtd pçs Retornadas ]]," ")</f>
        <v>0</v>
      </c>
      <c r="R405" s="10">
        <v>0</v>
      </c>
      <c r="S405" s="5">
        <v>3228</v>
      </c>
      <c r="T405" s="5">
        <v>45</v>
      </c>
      <c r="U405" s="1">
        <v>8</v>
      </c>
      <c r="V405" s="3">
        <f>IFERROR(TAB_OFICINAS[[#This Row],[Valor Unit]]*TAB_OFICINAS[[#This Row],[Qtd pçs Enviadas]]," ")</f>
        <v>120</v>
      </c>
      <c r="W405" s="17">
        <v>46182</v>
      </c>
      <c r="X405" s="5" t="s">
        <v>6251</v>
      </c>
      <c r="Y405" s="4" t="s">
        <v>23132</v>
      </c>
      <c r="Z4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6" spans="3:26" hidden="1">
      <c r="C406" s="28" t="s">
        <v>19</v>
      </c>
      <c r="D406" s="5">
        <v>1942</v>
      </c>
      <c r="E406" s="5">
        <v>22995</v>
      </c>
      <c r="F406" s="28" t="str">
        <f>IFERROR(VLOOKUP(TAB_OFICINAS[[#This Row],[Cliente]],LISTA_DE_CLIENTES[[Código]:[Nome Fantasia]],2,FALSE),"")</f>
        <v>ONCO STAR SP ONCOLOGIA LTDA (REDE D´OR)</v>
      </c>
      <c r="G406" s="5" t="str">
        <f>IFERROR(VLOOKUP(TAB_OFICINAS[[#This Row],[Cliente]],LISTA_DE_CLIENTES[[Código]:[Nome Fantasia]],3,FALSE),"")</f>
        <v>R DOR VILA NOVA STAR</v>
      </c>
      <c r="H406" s="63">
        <v>2101102487</v>
      </c>
      <c r="I406" s="28" t="s">
        <v>20777</v>
      </c>
      <c r="J406" s="91">
        <v>100</v>
      </c>
      <c r="K406" s="86">
        <v>46154</v>
      </c>
      <c r="L406" s="10">
        <v>100</v>
      </c>
      <c r="M406" s="6">
        <v>46164</v>
      </c>
      <c r="N406" s="6">
        <v>46161</v>
      </c>
      <c r="O406" s="19">
        <f>TAB_OFICINAS[[#This Row],[Data Retorno Produção]]-TAB_OFICINAS[[#This Row],[Data Prometida  Entrega]]</f>
        <v>-3</v>
      </c>
      <c r="P406" s="40" t="str">
        <f>IF(TAB_OFICINAS[[#This Row],[Dias Para Entrega]]&lt;=0,"Em dia","Dia de Atrasado")</f>
        <v>Em dia</v>
      </c>
      <c r="Q406" s="10">
        <f>IFERROR(TAB_OFICINAS[[#This Row],[Qtd pçs Enviadas]]-TAB_OFICINAS[[#This Row],[Qtd pçs Retornadas ]]," ")</f>
        <v>0</v>
      </c>
      <c r="R406" s="10"/>
      <c r="S406" s="5">
        <v>835</v>
      </c>
      <c r="T406" s="5">
        <v>51</v>
      </c>
      <c r="U406" s="52">
        <v>4.5</v>
      </c>
      <c r="V406" s="44">
        <f>IFERROR(TAB_OFICINAS[[#This Row],[Valor Unit]]*TAB_OFICINAS[[#This Row],[Qtd pçs Enviadas]]," ")</f>
        <v>450</v>
      </c>
      <c r="W406" s="17">
        <v>46171</v>
      </c>
      <c r="X406" s="5" t="s">
        <v>6251</v>
      </c>
      <c r="Y406" s="27"/>
      <c r="Z4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7" spans="3:26" hidden="1">
      <c r="C407" s="28" t="s">
        <v>19</v>
      </c>
      <c r="D407" s="5">
        <v>2522</v>
      </c>
      <c r="E407" s="5">
        <v>23344</v>
      </c>
      <c r="F407" s="28" t="str">
        <f>IFERROR(VLOOKUP(TAB_OFICINAS[[#This Row],[Cliente]],LISTA_DE_CLIENTES[[Código]:[Nome Fantasia]],2,FALSE),"")</f>
        <v>HYPE ILHABELA ADMINISTRACAO E PARTICIPACOES LTDA.</v>
      </c>
      <c r="G407" s="2" t="str">
        <f>IFERROR(VLOOKUP(TAB_OFICINAS[[#This Row],[Cliente]],LISTA_DE_CLIENTES[[Código]:[Nome Fantasia]],3,FALSE),"")</f>
        <v>CASA DI SIRENA</v>
      </c>
      <c r="H407" s="63">
        <v>3101018694</v>
      </c>
      <c r="I407" s="28" t="s">
        <v>20817</v>
      </c>
      <c r="J407" s="91">
        <v>43</v>
      </c>
      <c r="K407" s="86">
        <v>46163</v>
      </c>
      <c r="L407" s="34">
        <v>43</v>
      </c>
      <c r="M407" s="6">
        <v>46178</v>
      </c>
      <c r="N407" s="6">
        <v>46170</v>
      </c>
      <c r="O407" s="19">
        <f>TAB_OFICINAS[[#This Row],[Data Retorno Produção]]-TAB_OFICINAS[[#This Row],[Data Prometida  Entrega]]</f>
        <v>-8</v>
      </c>
      <c r="P407" s="40" t="str">
        <f>IF(TAB_OFICINAS[[#This Row],[Dias Para Entrega]]&lt;=0,"Em dia","Dia de Atrasado")</f>
        <v>Em dia</v>
      </c>
      <c r="Q407" s="10">
        <f>IFERROR(TAB_OFICINAS[[#This Row],[Qtd pçs Enviadas]]-TAB_OFICINAS[[#This Row],[Qtd pçs Retornadas ]]," ")</f>
        <v>0</v>
      </c>
      <c r="R407" s="10">
        <v>0</v>
      </c>
      <c r="S407" s="5">
        <v>677</v>
      </c>
      <c r="T407" s="5">
        <v>52</v>
      </c>
      <c r="U407" s="1">
        <v>11.9</v>
      </c>
      <c r="V407" s="3">
        <f>IFERROR(TAB_OFICINAS[[#This Row],[Valor Unit]]*TAB_OFICINAS[[#This Row],[Qtd pçs Enviadas]]," ")</f>
        <v>511.7</v>
      </c>
      <c r="W407" s="17">
        <v>46181</v>
      </c>
      <c r="X407" s="5" t="s">
        <v>6251</v>
      </c>
      <c r="Y407" s="4"/>
      <c r="Z4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8" spans="3:26" hidden="1">
      <c r="C408" s="28" t="s">
        <v>15</v>
      </c>
      <c r="D408" s="5">
        <v>526</v>
      </c>
      <c r="E408" s="5">
        <v>22578</v>
      </c>
      <c r="F408" s="28" t="str">
        <f>IFERROR(VLOOKUP(TAB_OFICINAS[[#This Row],[Cliente]],LISTA_DE_CLIENTES[[Código]:[Nome Fantasia]],2,FALSE),"")</f>
        <v>ATMOSFERA GESTAO E HIGIENIZACAO DE TEXTEIS S.A.</v>
      </c>
      <c r="G408" s="5" t="str">
        <f>IFERROR(VLOOKUP(TAB_OFICINAS[[#This Row],[Cliente]],LISTA_DE_CLIENTES[[Código]:[Nome Fantasia]],3,FALSE),"")</f>
        <v>ATMOSFERA ST BARBARA</v>
      </c>
      <c r="H408" s="51">
        <v>92101119171</v>
      </c>
      <c r="I408" s="28" t="s">
        <v>20400</v>
      </c>
      <c r="J408" s="91">
        <v>10</v>
      </c>
      <c r="K408" s="86">
        <v>46045</v>
      </c>
      <c r="L408" s="10">
        <v>10</v>
      </c>
      <c r="M408" s="6">
        <v>46064</v>
      </c>
      <c r="N408" s="6">
        <v>46064</v>
      </c>
      <c r="O408" s="19">
        <f>TAB_OFICINAS[[#This Row],[Data Retorno Produção]]-TAB_OFICINAS[[#This Row],[Data Prometida  Entrega]]</f>
        <v>0</v>
      </c>
      <c r="P408" s="40" t="str">
        <f>IF(TAB_OFICINAS[[#This Row],[Dias Para Entrega]]&lt;=0,"Em dia","Dia de Atrasado")</f>
        <v>Em dia</v>
      </c>
      <c r="Q408" s="10">
        <f>IFERROR(TAB_OFICINAS[[#This Row],[Qtd pçs Enviadas]]-TAB_OFICINAS[[#This Row],[Qtd pçs Retornadas ]],"N/D ")</f>
        <v>0</v>
      </c>
      <c r="R408" s="10">
        <v>0</v>
      </c>
      <c r="S408" s="5">
        <v>3090</v>
      </c>
      <c r="T408" s="5">
        <v>16925</v>
      </c>
      <c r="U408" s="52">
        <v>15</v>
      </c>
      <c r="V408" s="44">
        <f>IFERROR(TAB_OFICINAS[[#This Row],[Valor Unit]]*TAB_OFICINAS[[#This Row],[Qtd pçs Enviadas]]," ")</f>
        <v>150</v>
      </c>
      <c r="W408" s="17">
        <v>46074</v>
      </c>
      <c r="X408" s="5" t="s">
        <v>6251</v>
      </c>
      <c r="Y408" s="27"/>
      <c r="Z4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09" spans="3:26" hidden="1">
      <c r="C409" s="28" t="s">
        <v>15</v>
      </c>
      <c r="D409" s="5">
        <v>526</v>
      </c>
      <c r="E409" s="5">
        <v>22578</v>
      </c>
      <c r="F409" s="28" t="str">
        <f>IFERROR(VLOOKUP(TAB_OFICINAS[[#This Row],[Cliente]],LISTA_DE_CLIENTES[[Código]:[Nome Fantasia]],2,FALSE),"")</f>
        <v>ATMOSFERA GESTAO E HIGIENIZACAO DE TEXTEIS S.A.</v>
      </c>
      <c r="G409" s="5" t="str">
        <f>IFERROR(VLOOKUP(TAB_OFICINAS[[#This Row],[Cliente]],LISTA_DE_CLIENTES[[Código]:[Nome Fantasia]],3,FALSE),"")</f>
        <v>ATMOSFERA ST BARBARA</v>
      </c>
      <c r="H409" s="51">
        <v>92115476413</v>
      </c>
      <c r="I409" s="28" t="s">
        <v>20401</v>
      </c>
      <c r="J409" s="91">
        <v>10</v>
      </c>
      <c r="K409" s="86">
        <v>46045</v>
      </c>
      <c r="L409" s="10">
        <v>10</v>
      </c>
      <c r="M409" s="6">
        <v>46066</v>
      </c>
      <c r="N409" s="6">
        <v>46066</v>
      </c>
      <c r="O409" s="19">
        <f>TAB_OFICINAS[[#This Row],[Data Retorno Produção]]-TAB_OFICINAS[[#This Row],[Data Prometida  Entrega]]</f>
        <v>0</v>
      </c>
      <c r="P409" s="40" t="str">
        <f>IF(TAB_OFICINAS[[#This Row],[Dias Para Entrega]]&lt;=0,"Em dia","Dia de Atrasado")</f>
        <v>Em dia</v>
      </c>
      <c r="Q409" s="10">
        <f>IFERROR(TAB_OFICINAS[[#This Row],[Qtd pçs Enviadas]]-TAB_OFICINAS[[#This Row],[Qtd pçs Retornadas ]],"N/D ")</f>
        <v>0</v>
      </c>
      <c r="R409" s="10">
        <v>0</v>
      </c>
      <c r="S409" s="5">
        <v>3090</v>
      </c>
      <c r="T409" s="5">
        <v>16925</v>
      </c>
      <c r="U409" s="52">
        <v>15</v>
      </c>
      <c r="V409" s="44">
        <f>IFERROR(TAB_OFICINAS[[#This Row],[Valor Unit]]*TAB_OFICINAS[[#This Row],[Qtd pçs Enviadas]]," ")</f>
        <v>150</v>
      </c>
      <c r="W409" s="17">
        <v>46074</v>
      </c>
      <c r="X409" s="5" t="s">
        <v>6251</v>
      </c>
      <c r="Y409" s="27"/>
      <c r="Z4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0" spans="3:26" hidden="1">
      <c r="C410" s="28" t="s">
        <v>1</v>
      </c>
      <c r="D410" s="5">
        <v>1941</v>
      </c>
      <c r="E410" s="5">
        <v>22893</v>
      </c>
      <c r="F410" s="28" t="str">
        <f>IFERROR(VLOOKUP(TAB_OFICINAS[[#This Row],[Cliente]],LISTA_DE_CLIENTES[[Código]:[Nome Fantasia]],2,FALSE),"")</f>
        <v>HOSPITAIS INTEGRADOS DA GAVEA S/A</v>
      </c>
      <c r="G410" s="5" t="str">
        <f>IFERROR(VLOOKUP(TAB_OFICINAS[[#This Row],[Cliente]],LISTA_DE_CLIENTES[[Código]:[Nome Fantasia]],3,FALSE),"")</f>
        <v>REDE D´OR - DF STAR</v>
      </c>
      <c r="H410" s="63">
        <v>2101107948</v>
      </c>
      <c r="I410" s="28" t="s">
        <v>21301</v>
      </c>
      <c r="J410" s="91">
        <v>415</v>
      </c>
      <c r="K410" s="86">
        <v>46087</v>
      </c>
      <c r="L410" s="10">
        <v>415</v>
      </c>
      <c r="M410" s="6">
        <v>46101</v>
      </c>
      <c r="N410" s="6">
        <v>46098</v>
      </c>
      <c r="O410" s="19">
        <f>TAB_OFICINAS[[#This Row],[Data Retorno Produção]]-TAB_OFICINAS[[#This Row],[Data Prometida  Entrega]]</f>
        <v>-3</v>
      </c>
      <c r="P410" s="40" t="str">
        <f>IF(TAB_OFICINAS[[#This Row],[Dias Para Entrega]]&lt;=0,"Em dia","Dia de Atrasado")</f>
        <v>Em dia</v>
      </c>
      <c r="Q410" s="10">
        <f>IFERROR(TAB_OFICINAS[[#This Row],[Qtd pçs Enviadas]]-TAB_OFICINAS[[#This Row],[Qtd pçs Retornadas ]]," ")</f>
        <v>0</v>
      </c>
      <c r="R410" s="10">
        <v>0</v>
      </c>
      <c r="S410" s="5">
        <v>662</v>
      </c>
      <c r="T410" s="5">
        <v>42</v>
      </c>
      <c r="U410" s="52">
        <v>6</v>
      </c>
      <c r="V410" s="44">
        <f>IFERROR(TAB_OFICINAS[[#This Row],[Valor Unit]]*TAB_OFICINAS[[#This Row],[Qtd pçs Enviadas]]," ")</f>
        <v>2490</v>
      </c>
      <c r="W410" s="17">
        <v>46106</v>
      </c>
      <c r="X410" s="5" t="s">
        <v>6251</v>
      </c>
      <c r="Y410" s="27"/>
      <c r="Z4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1" spans="3:26" hidden="1">
      <c r="C411" s="28" t="s">
        <v>1</v>
      </c>
      <c r="D411" s="5">
        <v>1941</v>
      </c>
      <c r="E411" s="5">
        <v>22893</v>
      </c>
      <c r="F411" s="28" t="str">
        <f>IFERROR(VLOOKUP(TAB_OFICINAS[[#This Row],[Cliente]],LISTA_DE_CLIENTES[[Código]:[Nome Fantasia]],2,FALSE),"")</f>
        <v>HOSPITAIS INTEGRADOS DA GAVEA S/A</v>
      </c>
      <c r="G411" s="5" t="str">
        <f>IFERROR(VLOOKUP(TAB_OFICINAS[[#This Row],[Cliente]],LISTA_DE_CLIENTES[[Código]:[Nome Fantasia]],3,FALSE),"")</f>
        <v>REDE D´OR - DF STAR</v>
      </c>
      <c r="H411" s="63">
        <v>2101102488</v>
      </c>
      <c r="I411" s="28" t="s">
        <v>21402</v>
      </c>
      <c r="J411" s="91">
        <v>415</v>
      </c>
      <c r="K411" s="86">
        <v>46097</v>
      </c>
      <c r="L411" s="10">
        <v>415</v>
      </c>
      <c r="M411" s="6">
        <v>46106</v>
      </c>
      <c r="N411" s="6">
        <v>46107</v>
      </c>
      <c r="O411" s="19">
        <f>TAB_OFICINAS[[#This Row],[Data Retorno Produção]]-TAB_OFICINAS[[#This Row],[Data Prometida  Entrega]]</f>
        <v>1</v>
      </c>
      <c r="P411" s="40" t="str">
        <f>IF(TAB_OFICINAS[[#This Row],[Dias Para Entrega]]&lt;=0,"Em dia","Dia de Atrasado")</f>
        <v>Dia de Atrasado</v>
      </c>
      <c r="Q411" s="10">
        <f>IFERROR(TAB_OFICINAS[[#This Row],[Qtd pçs Enviadas]]-TAB_OFICINAS[[#This Row],[Qtd pçs Retornadas ]]," ")</f>
        <v>0</v>
      </c>
      <c r="R411" s="10">
        <v>0</v>
      </c>
      <c r="S411" s="5">
        <v>688</v>
      </c>
      <c r="T411" s="5">
        <v>43</v>
      </c>
      <c r="U411" s="52">
        <v>6.5</v>
      </c>
      <c r="V411" s="44">
        <f>IFERROR(TAB_OFICINAS[[#This Row],[Valor Unit]]*TAB_OFICINAS[[#This Row],[Qtd pçs Enviadas]]," ")</f>
        <v>2697.5</v>
      </c>
      <c r="W411" s="17">
        <v>46106</v>
      </c>
      <c r="X411" s="5" t="s">
        <v>6251</v>
      </c>
      <c r="Y411" s="27"/>
      <c r="Z4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2" spans="3:26" hidden="1">
      <c r="C412" s="28" t="s">
        <v>1</v>
      </c>
      <c r="D412" s="5">
        <v>188</v>
      </c>
      <c r="E412" s="5">
        <v>23044</v>
      </c>
      <c r="F412" s="28" t="str">
        <f>IFERROR(VLOOKUP(TAB_OFICINAS[[#This Row],[Cliente]],LISTA_DE_CLIENTES[[Código]:[Nome Fantasia]],2,FALSE),"")</f>
        <v>IHC SAO PAULO HOTELARIA LTDA.</v>
      </c>
      <c r="G412" s="5" t="str">
        <f>IFERROR(VLOOKUP(TAB_OFICINAS[[#This Row],[Cliente]],LISTA_DE_CLIENTES[[Código]:[Nome Fantasia]],3,FALSE),"")</f>
        <v>INTERCONTINENTAL SP</v>
      </c>
      <c r="H412" s="63">
        <v>92101066000</v>
      </c>
      <c r="I412" s="28" t="s">
        <v>21420</v>
      </c>
      <c r="J412" s="91">
        <v>150</v>
      </c>
      <c r="K412" s="86">
        <v>46106</v>
      </c>
      <c r="L412" s="10">
        <v>150</v>
      </c>
      <c r="M412" s="6">
        <v>46120</v>
      </c>
      <c r="N412" s="6">
        <v>46111</v>
      </c>
      <c r="O412" s="19">
        <f>TAB_OFICINAS[[#This Row],[Data Retorno Produção]]-TAB_OFICINAS[[#This Row],[Data Prometida  Entrega]]</f>
        <v>-9</v>
      </c>
      <c r="P412" s="40" t="str">
        <f>IF(TAB_OFICINAS[[#This Row],[Dias Para Entrega]]&lt;=0,"Em dia","Dia de Atrasado")</f>
        <v>Em dia</v>
      </c>
      <c r="Q412" s="10">
        <f>IFERROR(TAB_OFICINAS[[#This Row],[Qtd pçs Enviadas]]-TAB_OFICINAS[[#This Row],[Qtd pçs Retornadas ]]," ")</f>
        <v>0</v>
      </c>
      <c r="R412" s="10">
        <v>0</v>
      </c>
      <c r="S412" s="5">
        <v>713</v>
      </c>
      <c r="T412" s="5">
        <v>44</v>
      </c>
      <c r="U412" s="52">
        <v>6.5</v>
      </c>
      <c r="V412" s="44">
        <f>IFERROR(TAB_OFICINAS[[#This Row],[Valor Unit]]*TAB_OFICINAS[[#This Row],[Qtd pçs Enviadas]]," ")</f>
        <v>975</v>
      </c>
      <c r="W412" s="17">
        <f>TAB_OFICINAS[[#This Row],[Data Retorno Produção]]+10</f>
        <v>46121</v>
      </c>
      <c r="X412" s="5" t="s">
        <v>6251</v>
      </c>
      <c r="Y412" s="27"/>
      <c r="Z4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3" spans="3:26" hidden="1">
      <c r="C413" s="28" t="s">
        <v>15</v>
      </c>
      <c r="D413" s="5">
        <v>526</v>
      </c>
      <c r="E413" s="5">
        <v>22713</v>
      </c>
      <c r="F413" s="28" t="str">
        <f>IFERROR(VLOOKUP(TAB_OFICINAS[[#This Row],[Cliente]],LISTA_DE_CLIENTES[[Código]:[Nome Fantasia]],2,FALSE),"")</f>
        <v>ATMOSFERA GESTAO E HIGIENIZACAO DE TEXTEIS S.A.</v>
      </c>
      <c r="G413" s="5" t="str">
        <f>IFERROR(VLOOKUP(TAB_OFICINAS[[#This Row],[Cliente]],LISTA_DE_CLIENTES[[Código]:[Nome Fantasia]],3,FALSE),"")</f>
        <v>ATMOSFERA ST BARBARA</v>
      </c>
      <c r="H413" s="51">
        <v>92115476413</v>
      </c>
      <c r="I413" s="28" t="s">
        <v>20421</v>
      </c>
      <c r="J413" s="91">
        <v>10</v>
      </c>
      <c r="K413" s="86">
        <v>46056</v>
      </c>
      <c r="L413" s="10">
        <v>10</v>
      </c>
      <c r="M413" s="6">
        <v>46064</v>
      </c>
      <c r="N413" s="6">
        <v>46064</v>
      </c>
      <c r="O413" s="19">
        <f>TAB_OFICINAS[[#This Row],[Data Retorno Produção]]-TAB_OFICINAS[[#This Row],[Data Prometida  Entrega]]</f>
        <v>0</v>
      </c>
      <c r="P413" s="40" t="str">
        <f>IF(TAB_OFICINAS[[#This Row],[Dias Para Entrega]]&lt;=0,"Em dia","Dia de Atrasado")</f>
        <v>Em dia</v>
      </c>
      <c r="Q413" s="10">
        <f>IFERROR(TAB_OFICINAS[[#This Row],[Qtd pçs Enviadas]]-TAB_OFICINAS[[#This Row],[Qtd pçs Retornadas ]],"N/D ")</f>
        <v>0</v>
      </c>
      <c r="R413" s="10">
        <v>0</v>
      </c>
      <c r="S413" s="5">
        <v>571</v>
      </c>
      <c r="T413" s="5">
        <v>16922</v>
      </c>
      <c r="U413" s="52">
        <v>15</v>
      </c>
      <c r="V413" s="44">
        <f>IFERROR(TAB_OFICINAS[[#This Row],[Valor Unit]]*TAB_OFICINAS[[#This Row],[Qtd pçs Enviadas]]," ")</f>
        <v>150</v>
      </c>
      <c r="W413" s="17">
        <v>46073</v>
      </c>
      <c r="X413" s="5" t="s">
        <v>6251</v>
      </c>
      <c r="Y413" s="27"/>
      <c r="Z4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4" spans="3:26" hidden="1">
      <c r="C414" s="28" t="s">
        <v>19</v>
      </c>
      <c r="D414" s="5">
        <v>799</v>
      </c>
      <c r="E414" s="5">
        <v>23483</v>
      </c>
      <c r="F414" s="28" t="str">
        <f>IFERROR(VLOOKUP(TAB_OFICINAS[[#This Row],[Cliente]],LISTA_DE_CLIENTES[[Código]:[Nome Fantasia]],2,FALSE),"")</f>
        <v>SERVICO NACIONAL DE APRENDIZAGEM COMERCIAL SENAC</v>
      </c>
      <c r="G414" s="2" t="str">
        <f>IFERROR(VLOOKUP(TAB_OFICINAS[[#This Row],[Cliente]],LISTA_DE_CLIENTES[[Código]:[Nome Fantasia]],3,FALSE),"")</f>
        <v>GRANDE HOTEL SENAC</v>
      </c>
      <c r="H414" s="63">
        <v>92103030437</v>
      </c>
      <c r="I414" s="28" t="s">
        <v>22780</v>
      </c>
      <c r="J414" s="91">
        <v>302</v>
      </c>
      <c r="K414" s="86">
        <v>46171</v>
      </c>
      <c r="L414" s="34">
        <v>302</v>
      </c>
      <c r="M414" s="6">
        <v>46188</v>
      </c>
      <c r="N414" s="6">
        <v>46181</v>
      </c>
      <c r="O414" s="19">
        <f>TAB_OFICINAS[[#This Row],[Data Retorno Produção]]-TAB_OFICINAS[[#This Row],[Data Prometida  Entrega]]</f>
        <v>-7</v>
      </c>
      <c r="P414" s="40" t="str">
        <f>IF(TAB_OFICINAS[[#This Row],[Dias Para Entrega]]&lt;=0,"Em dia","Dia de Atrasado")</f>
        <v>Em dia</v>
      </c>
      <c r="Q414" s="10">
        <f>IFERROR(TAB_OFICINAS[[#This Row],[Qtd pçs Enviadas]]-TAB_OFICINAS[[#This Row],[Qtd pçs Retornadas ]]," ")</f>
        <v>0</v>
      </c>
      <c r="R414" s="10">
        <v>0</v>
      </c>
      <c r="S414" s="5">
        <v>3238</v>
      </c>
      <c r="T414" s="5">
        <v>54</v>
      </c>
      <c r="U414" s="1">
        <v>3</v>
      </c>
      <c r="V414" s="3">
        <f>IFERROR(TAB_OFICINAS[[#This Row],[Valor Unit]]*TAB_OFICINAS[[#This Row],[Qtd pçs Enviadas]]," ")</f>
        <v>906</v>
      </c>
      <c r="W414" s="17">
        <v>46191</v>
      </c>
      <c r="X414" s="5" t="s">
        <v>6251</v>
      </c>
      <c r="Y414" s="4"/>
      <c r="Z4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5" spans="3:26" ht="57" hidden="1">
      <c r="C415" s="28" t="s">
        <v>18</v>
      </c>
      <c r="D415" s="5">
        <v>2522</v>
      </c>
      <c r="E415" s="5">
        <v>23343</v>
      </c>
      <c r="F415" s="28" t="str">
        <f>IFERROR(VLOOKUP(TAB_OFICINAS[[#This Row],[Cliente]],LISTA_DE_CLIENTES[[Código]:[Nome Fantasia]],2,FALSE),"")</f>
        <v>HYPE ILHABELA ADMINISTRACAO E PARTICIPACOES LTDA.</v>
      </c>
      <c r="G415" s="2" t="str">
        <f>IFERROR(VLOOKUP(TAB_OFICINAS[[#This Row],[Cliente]],LISTA_DE_CLIENTES[[Código]:[Nome Fantasia]],3,FALSE),"")</f>
        <v>CASA DI SIRENA</v>
      </c>
      <c r="H415" s="63">
        <v>3101018694</v>
      </c>
      <c r="I415" s="28" t="s">
        <v>20817</v>
      </c>
      <c r="J415" s="91">
        <v>13</v>
      </c>
      <c r="K415" s="86">
        <v>46163</v>
      </c>
      <c r="L415" s="34">
        <v>13</v>
      </c>
      <c r="M415" s="6">
        <v>46178</v>
      </c>
      <c r="N415" s="6">
        <v>46171</v>
      </c>
      <c r="O415" s="19">
        <f>TAB_OFICINAS[[#This Row],[Data Retorno Produção]]-TAB_OFICINAS[[#This Row],[Data Prometida  Entrega]]</f>
        <v>-7</v>
      </c>
      <c r="P415" s="40" t="str">
        <f>IF(TAB_OFICINAS[[#This Row],[Dias Para Entrega]]&lt;=0,"Em dia","Dia de Atrasado")</f>
        <v>Em dia</v>
      </c>
      <c r="Q415" s="10">
        <f>IFERROR(TAB_OFICINAS[[#This Row],[Qtd pçs Enviadas]]-TAB_OFICINAS[[#This Row],[Qtd pçs Retornadas ]]," ")</f>
        <v>0</v>
      </c>
      <c r="R415" s="10">
        <v>0</v>
      </c>
      <c r="S415" s="5">
        <v>3228</v>
      </c>
      <c r="T415" s="5">
        <v>45</v>
      </c>
      <c r="U415" s="1">
        <v>11.9</v>
      </c>
      <c r="V415" s="3">
        <f>IFERROR(TAB_OFICINAS[[#This Row],[Valor Unit]]*TAB_OFICINAS[[#This Row],[Qtd pçs Enviadas]]," ")</f>
        <v>154.70000000000002</v>
      </c>
      <c r="W415" s="17">
        <v>46182</v>
      </c>
      <c r="X415" s="5" t="s">
        <v>6251</v>
      </c>
      <c r="Y415" s="4" t="s">
        <v>23132</v>
      </c>
      <c r="Z4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6" spans="3:26" hidden="1">
      <c r="C416" s="28" t="s">
        <v>7</v>
      </c>
      <c r="D416" s="5">
        <v>285</v>
      </c>
      <c r="E416" s="5">
        <v>23055</v>
      </c>
      <c r="F416" s="28" t="str">
        <f>IFERROR(VLOOKUP(TAB_OFICINAS[[#This Row],[Cliente]],LISTA_DE_CLIENTES[[Código]:[Nome Fantasia]],2,FALSE),"")</f>
        <v>POUSADA DA AMENDOEIRA LIMITADA - EPP</v>
      </c>
      <c r="G416" s="5" t="str">
        <f>IFERROR(VLOOKUP(TAB_OFICINAS[[#This Row],[Cliente]],LISTA_DE_CLIENTES[[Código]:[Nome Fantasia]],3,FALSE),"")</f>
        <v>POUSADA AMENDOEIRA</v>
      </c>
      <c r="H416" s="63">
        <v>2102029772</v>
      </c>
      <c r="I416" s="28" t="s">
        <v>21689</v>
      </c>
      <c r="J416" s="91">
        <v>3</v>
      </c>
      <c r="K416" s="86">
        <v>46127</v>
      </c>
      <c r="L416" s="10">
        <v>3</v>
      </c>
      <c r="M416" s="6">
        <v>46129</v>
      </c>
      <c r="N416" s="6">
        <v>46129</v>
      </c>
      <c r="O416" s="19">
        <f>TAB_OFICINAS[[#This Row],[Data Retorno Produção]]-TAB_OFICINAS[[#This Row],[Data Prometida  Entrega]]</f>
        <v>0</v>
      </c>
      <c r="P416" s="40" t="str">
        <f>IF(TAB_OFICINAS[[#This Row],[Dias Para Entrega]]&lt;=0,"Em dia","Dia de Atrasado")</f>
        <v>Em dia</v>
      </c>
      <c r="Q416" s="10">
        <f>IFERROR(TAB_OFICINAS[[#This Row],[Qtd pçs Enviadas]]-TAB_OFICINAS[[#This Row],[Qtd pçs Retornadas ]]," ")</f>
        <v>0</v>
      </c>
      <c r="R416" s="10"/>
      <c r="S416" s="5">
        <v>758</v>
      </c>
      <c r="T416" s="5">
        <v>32</v>
      </c>
      <c r="U416" s="52">
        <v>8</v>
      </c>
      <c r="V416" s="44">
        <f>IFERROR(TAB_OFICINAS[[#This Row],[Valor Unit]]*TAB_OFICINAS[[#This Row],[Qtd pçs Enviadas]]," ")</f>
        <v>24</v>
      </c>
      <c r="W416" s="17">
        <v>46139</v>
      </c>
      <c r="X416" s="5" t="s">
        <v>6251</v>
      </c>
      <c r="Y416" s="27"/>
      <c r="Z4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7" spans="3:26" hidden="1">
      <c r="C417" s="28" t="s">
        <v>7</v>
      </c>
      <c r="D417" s="5">
        <v>285</v>
      </c>
      <c r="E417" s="5">
        <v>23055</v>
      </c>
      <c r="F417" s="28" t="str">
        <f>IFERROR(VLOOKUP(TAB_OFICINAS[[#This Row],[Cliente]],LISTA_DE_CLIENTES[[Código]:[Nome Fantasia]],2,FALSE),"")</f>
        <v>POUSADA DA AMENDOEIRA LIMITADA - EPP</v>
      </c>
      <c r="G417" s="5" t="str">
        <f>IFERROR(VLOOKUP(TAB_OFICINAS[[#This Row],[Cliente]],LISTA_DE_CLIENTES[[Código]:[Nome Fantasia]],3,FALSE),"")</f>
        <v>POUSADA AMENDOEIRA</v>
      </c>
      <c r="H417" s="63">
        <v>2115709755</v>
      </c>
      <c r="I417" s="28" t="s">
        <v>21738</v>
      </c>
      <c r="J417" s="91">
        <v>2</v>
      </c>
      <c r="K417" s="86">
        <v>46127</v>
      </c>
      <c r="L417" s="10">
        <v>2</v>
      </c>
      <c r="M417" s="6">
        <v>46129</v>
      </c>
      <c r="N417" s="6">
        <v>46129</v>
      </c>
      <c r="O417" s="19">
        <f>TAB_OFICINAS[[#This Row],[Data Retorno Produção]]-TAB_OFICINAS[[#This Row],[Data Prometida  Entrega]]</f>
        <v>0</v>
      </c>
      <c r="P417" s="40" t="str">
        <f>IF(TAB_OFICINAS[[#This Row],[Dias Para Entrega]]&lt;=0,"Em dia","Dia de Atrasado")</f>
        <v>Em dia</v>
      </c>
      <c r="Q417" s="10">
        <f>IFERROR(TAB_OFICINAS[[#This Row],[Qtd pçs Enviadas]]-TAB_OFICINAS[[#This Row],[Qtd pçs Retornadas ]]," ")</f>
        <v>0</v>
      </c>
      <c r="R417" s="10"/>
      <c r="S417" s="5">
        <v>758</v>
      </c>
      <c r="T417" s="5">
        <v>32</v>
      </c>
      <c r="U417" s="52">
        <v>10</v>
      </c>
      <c r="V417" s="44">
        <f>IFERROR(TAB_OFICINAS[[#This Row],[Valor Unit]]*TAB_OFICINAS[[#This Row],[Qtd pçs Enviadas]]," ")</f>
        <v>20</v>
      </c>
      <c r="W417" s="17">
        <v>46139</v>
      </c>
      <c r="X417" s="5" t="s">
        <v>6251</v>
      </c>
      <c r="Y417" s="27"/>
      <c r="Z4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8" spans="3:26" hidden="1">
      <c r="C418" s="28" t="s">
        <v>15</v>
      </c>
      <c r="D418" s="5">
        <v>5338</v>
      </c>
      <c r="E418" s="5">
        <v>22740</v>
      </c>
      <c r="F418" s="28" t="str">
        <f>IFERROR(VLOOKUP(TAB_OFICINAS[[#This Row],[Cliente]],LISTA_DE_CLIENTES[[Código]:[Nome Fantasia]],2,FALSE),"")</f>
        <v>MAISON CARMELO INCORPORACOES SPE LTDA</v>
      </c>
      <c r="G418" s="5" t="str">
        <f>IFERROR(VLOOKUP(TAB_OFICINAS[[#This Row],[Cliente]],LISTA_DE_CLIENTES[[Código]:[Nome Fantasia]],3,FALSE),"")</f>
        <v>SAN REMO</v>
      </c>
      <c r="H418" s="63">
        <v>2101068594</v>
      </c>
      <c r="I418" s="28" t="s">
        <v>21053</v>
      </c>
      <c r="J418" s="91">
        <v>10</v>
      </c>
      <c r="K418" s="86">
        <v>46080</v>
      </c>
      <c r="L418" s="10">
        <v>10</v>
      </c>
      <c r="M418" s="6">
        <v>46083</v>
      </c>
      <c r="N418" s="6">
        <v>46083</v>
      </c>
      <c r="O418" s="19">
        <f>TAB_OFICINAS[[#This Row],[Data Retorno Produção]]-TAB_OFICINAS[[#This Row],[Data Prometida  Entrega]]</f>
        <v>0</v>
      </c>
      <c r="P418" s="40" t="str">
        <f>IF(TAB_OFICINAS[[#This Row],[Dias Para Entrega]]&lt;=0,"Em dia","Dia de Atrasado")</f>
        <v>Em dia</v>
      </c>
      <c r="Q418" s="10">
        <f>IFERROR(TAB_OFICINAS[[#This Row],[Qtd pçs Enviadas]]-TAB_OFICINAS[[#This Row],[Qtd pçs Retornadas ]]," ")</f>
        <v>0</v>
      </c>
      <c r="R418" s="10">
        <v>0</v>
      </c>
      <c r="S418" s="5">
        <v>640</v>
      </c>
      <c r="T418" s="5">
        <v>16977</v>
      </c>
      <c r="U418" s="52">
        <v>8</v>
      </c>
      <c r="V418" s="44">
        <f>IFERROR(TAB_OFICINAS[[#This Row],[Valor Unit]]*TAB_OFICINAS[[#This Row],[Qtd pçs Enviadas]]," ")</f>
        <v>80</v>
      </c>
      <c r="W418" s="17">
        <v>46091</v>
      </c>
      <c r="X418" s="5" t="s">
        <v>6251</v>
      </c>
      <c r="Y418" s="27" t="s">
        <v>21334</v>
      </c>
      <c r="Z4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19" spans="3:26" hidden="1">
      <c r="C419" s="28" t="s">
        <v>7</v>
      </c>
      <c r="D419" s="5">
        <v>285</v>
      </c>
      <c r="E419" s="5">
        <v>23055</v>
      </c>
      <c r="F419" s="28" t="str">
        <f>IFERROR(VLOOKUP(TAB_OFICINAS[[#This Row],[Cliente]],LISTA_DE_CLIENTES[[Código]:[Nome Fantasia]],2,FALSE),"")</f>
        <v>POUSADA DA AMENDOEIRA LIMITADA - EPP</v>
      </c>
      <c r="G419" s="5" t="str">
        <f>IFERROR(VLOOKUP(TAB_OFICINAS[[#This Row],[Cliente]],LISTA_DE_CLIENTES[[Código]:[Nome Fantasia]],3,FALSE),"")</f>
        <v>POUSADA AMENDOEIRA</v>
      </c>
      <c r="H419" s="63">
        <v>2102309746</v>
      </c>
      <c r="I419" s="28" t="s">
        <v>21695</v>
      </c>
      <c r="J419" s="91">
        <v>2</v>
      </c>
      <c r="K419" s="86">
        <v>46127</v>
      </c>
      <c r="L419" s="10">
        <v>2</v>
      </c>
      <c r="M419" s="6">
        <v>46129</v>
      </c>
      <c r="N419" s="6">
        <v>46129</v>
      </c>
      <c r="O419" s="19">
        <f>TAB_OFICINAS[[#This Row],[Data Retorno Produção]]-TAB_OFICINAS[[#This Row],[Data Prometida  Entrega]]</f>
        <v>0</v>
      </c>
      <c r="P419" s="40" t="str">
        <f>IF(TAB_OFICINAS[[#This Row],[Dias Para Entrega]]&lt;=0,"Em dia","Dia de Atrasado")</f>
        <v>Em dia</v>
      </c>
      <c r="Q419" s="10">
        <f>IFERROR(TAB_OFICINAS[[#This Row],[Qtd pçs Enviadas]]-TAB_OFICINAS[[#This Row],[Qtd pçs Retornadas ]]," ")</f>
        <v>0</v>
      </c>
      <c r="R419" s="10"/>
      <c r="S419" s="5">
        <v>758</v>
      </c>
      <c r="T419" s="5">
        <v>32</v>
      </c>
      <c r="U419" s="52">
        <v>8.5</v>
      </c>
      <c r="V419" s="44">
        <f>IFERROR(TAB_OFICINAS[[#This Row],[Valor Unit]]*TAB_OFICINAS[[#This Row],[Qtd pçs Enviadas]]," ")</f>
        <v>17</v>
      </c>
      <c r="W419" s="17">
        <v>46139</v>
      </c>
      <c r="X419" s="5" t="s">
        <v>6251</v>
      </c>
      <c r="Y419" s="27"/>
      <c r="Z4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0" spans="3:26" hidden="1">
      <c r="C420" s="28" t="s">
        <v>7</v>
      </c>
      <c r="D420" s="5">
        <v>285</v>
      </c>
      <c r="E420" s="5">
        <v>23055</v>
      </c>
      <c r="F420" s="28" t="str">
        <f>IFERROR(VLOOKUP(TAB_OFICINAS[[#This Row],[Cliente]],LISTA_DE_CLIENTES[[Código]:[Nome Fantasia]],2,FALSE),"")</f>
        <v>POUSADA DA AMENDOEIRA LIMITADA - EPP</v>
      </c>
      <c r="G420" s="5" t="str">
        <f>IFERROR(VLOOKUP(TAB_OFICINAS[[#This Row],[Cliente]],LISTA_DE_CLIENTES[[Código]:[Nome Fantasia]],3,FALSE),"")</f>
        <v>POUSADA AMENDOEIRA</v>
      </c>
      <c r="H420" s="63">
        <v>2121049747</v>
      </c>
      <c r="I420" s="28" t="s">
        <v>21746</v>
      </c>
      <c r="J420" s="91">
        <v>2</v>
      </c>
      <c r="K420" s="86">
        <v>46127</v>
      </c>
      <c r="L420" s="10">
        <v>2</v>
      </c>
      <c r="M420" s="6">
        <v>46129</v>
      </c>
      <c r="N420" s="6">
        <v>46129</v>
      </c>
      <c r="O420" s="19">
        <f>TAB_OFICINAS[[#This Row],[Data Retorno Produção]]-TAB_OFICINAS[[#This Row],[Data Prometida  Entrega]]</f>
        <v>0</v>
      </c>
      <c r="P420" s="40" t="str">
        <f>IF(TAB_OFICINAS[[#This Row],[Dias Para Entrega]]&lt;=0,"Em dia","Dia de Atrasado")</f>
        <v>Em dia</v>
      </c>
      <c r="Q420" s="10">
        <f>IFERROR(TAB_OFICINAS[[#This Row],[Qtd pçs Enviadas]]-TAB_OFICINAS[[#This Row],[Qtd pçs Retornadas ]]," ")</f>
        <v>0</v>
      </c>
      <c r="R420" s="10"/>
      <c r="S420" s="5">
        <v>758</v>
      </c>
      <c r="T420" s="5">
        <v>32</v>
      </c>
      <c r="U420" s="52">
        <v>8</v>
      </c>
      <c r="V420" s="44">
        <f>IFERROR(TAB_OFICINAS[[#This Row],[Valor Unit]]*TAB_OFICINAS[[#This Row],[Qtd pçs Enviadas]]," ")</f>
        <v>16</v>
      </c>
      <c r="W420" s="17">
        <v>46139</v>
      </c>
      <c r="X420" s="5" t="s">
        <v>6251</v>
      </c>
      <c r="Y420" s="27"/>
      <c r="Z4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1" spans="3:26" hidden="1">
      <c r="C421" s="28" t="s">
        <v>15</v>
      </c>
      <c r="D421" s="5">
        <v>526</v>
      </c>
      <c r="E421" s="5">
        <v>22950</v>
      </c>
      <c r="F421" s="28" t="str">
        <f>IFERROR(VLOOKUP(TAB_OFICINAS[[#This Row],[Cliente]],LISTA_DE_CLIENTES[[Código]:[Nome Fantasia]],2,FALSE),"")</f>
        <v>ATMOSFERA GESTAO E HIGIENIZACAO DE TEXTEIS S.A.</v>
      </c>
      <c r="G421" s="5" t="str">
        <f>IFERROR(VLOOKUP(TAB_OFICINAS[[#This Row],[Cliente]],LISTA_DE_CLIENTES[[Código]:[Nome Fantasia]],3,FALSE),"")</f>
        <v>ATMOSFERA ST BARBARA</v>
      </c>
      <c r="H421" s="63">
        <v>92115476413</v>
      </c>
      <c r="I421" s="28" t="s">
        <v>20505</v>
      </c>
      <c r="J421" s="91">
        <v>10</v>
      </c>
      <c r="K421" s="86">
        <v>46091</v>
      </c>
      <c r="L421" s="10">
        <v>10</v>
      </c>
      <c r="M421" s="6">
        <v>46097</v>
      </c>
      <c r="N421" s="6">
        <v>46098</v>
      </c>
      <c r="O421" s="19">
        <f>TAB_OFICINAS[[#This Row],[Data Retorno Produção]]-TAB_OFICINAS[[#This Row],[Data Prometida  Entrega]]</f>
        <v>1</v>
      </c>
      <c r="P421" s="40" t="str">
        <f>IF(TAB_OFICINAS[[#This Row],[Dias Para Entrega]]&lt;=0,"Em dia","Dia de Atrasado")</f>
        <v>Dia de Atrasado</v>
      </c>
      <c r="Q421" s="10">
        <f>IFERROR(TAB_OFICINAS[[#This Row],[Qtd pçs Enviadas]]-TAB_OFICINAS[[#This Row],[Qtd pçs Retornadas ]]," ")</f>
        <v>0</v>
      </c>
      <c r="R421" s="10">
        <v>0</v>
      </c>
      <c r="S421" s="5">
        <v>675</v>
      </c>
      <c r="T421" s="5">
        <v>16991</v>
      </c>
      <c r="U421" s="52">
        <v>15</v>
      </c>
      <c r="V421" s="44">
        <f>IFERROR(TAB_OFICINAS[[#This Row],[Valor Unit]]*TAB_OFICINAS[[#This Row],[Qtd pçs Enviadas]]," ")</f>
        <v>150</v>
      </c>
      <c r="W421" s="17">
        <v>46104</v>
      </c>
      <c r="X421" s="5" t="s">
        <v>6251</v>
      </c>
      <c r="Y421" s="27"/>
      <c r="Z4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2" spans="3:26" ht="114" hidden="1">
      <c r="C422" s="28" t="s">
        <v>19</v>
      </c>
      <c r="D422" s="5">
        <v>5189</v>
      </c>
      <c r="E422" s="5">
        <v>23570</v>
      </c>
      <c r="F422" s="28" t="str">
        <f>IFERROR(VLOOKUP(TAB_OFICINAS[[#This Row],[Cliente]],LISTA_DE_CLIENTES[[Código]:[Nome Fantasia]],2,FALSE),"")</f>
        <v>DIAGNOSTICOS DA AMERICA S.A .</v>
      </c>
      <c r="G422" s="2" t="str">
        <f>IFERROR(VLOOKUP(TAB_OFICINAS[[#This Row],[Cliente]],LISTA_DE_CLIENTES[[Código]:[Nome Fantasia]],3,FALSE),"")</f>
        <v>DASA VILA ANDRADE</v>
      </c>
      <c r="H422" s="63">
        <v>3301092628</v>
      </c>
      <c r="I422" s="28" t="s">
        <v>20827</v>
      </c>
      <c r="J422" s="91">
        <v>101</v>
      </c>
      <c r="K422" s="86">
        <v>46182</v>
      </c>
      <c r="L422" s="34">
        <v>101</v>
      </c>
      <c r="M422" s="6">
        <v>46195</v>
      </c>
      <c r="N422" s="6">
        <v>46195</v>
      </c>
      <c r="O422" s="19">
        <f>TAB_OFICINAS[[#This Row],[Data Retorno Produção]]-TAB_OFICINAS[[#This Row],[Data Prometida  Entrega]]</f>
        <v>0</v>
      </c>
      <c r="P422" s="40" t="str">
        <f>IF(TAB_OFICINAS[[#This Row],[Dias Para Entrega]]&lt;=0,"Em dia","Dia de Atrasado")</f>
        <v>Em dia</v>
      </c>
      <c r="Q422" s="10">
        <f>IFERROR(TAB_OFICINAS[[#This Row],[Qtd pçs Enviadas]]-TAB_OFICINAS[[#This Row],[Qtd pçs Retornadas ]]," ")</f>
        <v>0</v>
      </c>
      <c r="R422" s="10">
        <v>49</v>
      </c>
      <c r="S422" s="5">
        <v>874</v>
      </c>
      <c r="T422" s="5">
        <v>55</v>
      </c>
      <c r="U422" s="1">
        <v>16</v>
      </c>
      <c r="V422" s="3">
        <f>IFERROR(TAB_OFICINAS[[#This Row],[Valor Unit]]*TAB_OFICINAS[[#This Row],[Qtd pçs Enviadas]]," ")</f>
        <v>1616</v>
      </c>
      <c r="W422" s="17">
        <v>46205</v>
      </c>
      <c r="X422" s="5" t="s">
        <v>6251</v>
      </c>
      <c r="Y422" s="4" t="s">
        <v>23436</v>
      </c>
      <c r="Z4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3" spans="3:26" hidden="1">
      <c r="C423" s="28" t="s">
        <v>17</v>
      </c>
      <c r="D423" s="5">
        <v>5386</v>
      </c>
      <c r="E423" s="5">
        <v>22904</v>
      </c>
      <c r="F423" s="28" t="str">
        <f>IFERROR(VLOOKUP(TAB_OFICINAS[[#This Row],[Cliente]],LISTA_DE_CLIENTES[[Código]:[Nome Fantasia]],2,FALSE),"")</f>
        <v>FLOW CITY SPE 1 CASAS LTDA</v>
      </c>
      <c r="G423" s="5" t="str">
        <f>IFERROR(VLOOKUP(TAB_OFICINAS[[#This Row],[Cliente]],LISTA_DE_CLIENTES[[Código]:[Nome Fantasia]],3,FALSE),"")</f>
        <v>FLOW CITY SPE 1 CASA</v>
      </c>
      <c r="H423" s="63">
        <v>7301093991</v>
      </c>
      <c r="I423" s="28" t="s">
        <v>21496</v>
      </c>
      <c r="J423" s="91">
        <v>10</v>
      </c>
      <c r="K423" s="86">
        <v>46092</v>
      </c>
      <c r="L423" s="10">
        <v>10</v>
      </c>
      <c r="M423" s="6">
        <v>46105</v>
      </c>
      <c r="N423" s="6">
        <v>46098</v>
      </c>
      <c r="O423" s="19">
        <f>TAB_OFICINAS[[#This Row],[Data Retorno Produção]]-TAB_OFICINAS[[#This Row],[Data Prometida  Entrega]]</f>
        <v>-7</v>
      </c>
      <c r="P423" s="40" t="str">
        <f>IF(TAB_OFICINAS[[#This Row],[Dias Para Entrega]]&lt;=0,"Em dia","Dia de Atrasado")</f>
        <v>Em dia</v>
      </c>
      <c r="Q423" s="10">
        <f>IFERROR(TAB_OFICINAS[[#This Row],[Qtd pçs Enviadas]]-TAB_OFICINAS[[#This Row],[Qtd pçs Retornadas ]]," ")</f>
        <v>0</v>
      </c>
      <c r="R423" s="10">
        <v>0</v>
      </c>
      <c r="S423" s="5">
        <v>681</v>
      </c>
      <c r="T423" s="5">
        <v>47</v>
      </c>
      <c r="U423" s="52">
        <v>16</v>
      </c>
      <c r="V423" s="44">
        <f>IFERROR(TAB_OFICINAS[[#This Row],[Valor Unit]]*TAB_OFICINAS[[#This Row],[Qtd pçs Enviadas]]," ")</f>
        <v>160</v>
      </c>
      <c r="W423" s="17">
        <v>46111</v>
      </c>
      <c r="X423" s="5" t="s">
        <v>6251</v>
      </c>
      <c r="Y423" s="27"/>
      <c r="Z4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4" spans="3:26" hidden="1">
      <c r="C424" s="28" t="s">
        <v>16</v>
      </c>
      <c r="D424" s="5">
        <v>3593</v>
      </c>
      <c r="E424" s="5">
        <v>22565</v>
      </c>
      <c r="F424" s="28" t="str">
        <f>IFERROR(VLOOKUP(TAB_OFICINAS[[#This Row],[Cliente]],LISTA_DE_CLIENTES[[Código]:[Nome Fantasia]],2,FALSE),"")</f>
        <v>DIAGNOSTICOS DA AMERICA S.A.</v>
      </c>
      <c r="G424" s="5" t="str">
        <f>IFERROR(VLOOKUP(TAB_OFICINAS[[#This Row],[Cliente]],LISTA_DE_CLIENTES[[Código]:[Nome Fantasia]],3,FALSE),"")</f>
        <v>DASA PINHEIROS</v>
      </c>
      <c r="H424" s="63">
        <v>3301093026</v>
      </c>
      <c r="I424" s="28" t="s">
        <v>20835</v>
      </c>
      <c r="J424" s="91">
        <v>10</v>
      </c>
      <c r="K424" s="86">
        <v>46094</v>
      </c>
      <c r="L424" s="10">
        <v>10</v>
      </c>
      <c r="M424" s="6">
        <v>46105</v>
      </c>
      <c r="N424" s="6">
        <v>46101</v>
      </c>
      <c r="O424" s="19">
        <f>TAB_OFICINAS[[#This Row],[Data Retorno Produção]]-TAB_OFICINAS[[#This Row],[Data Prometida  Entrega]]</f>
        <v>-4</v>
      </c>
      <c r="P424" s="40" t="str">
        <f>IF(TAB_OFICINAS[[#This Row],[Dias Para Entrega]]&lt;=0,"Em dia","Dia de Atrasado")</f>
        <v>Em dia</v>
      </c>
      <c r="Q424" s="10">
        <f>IFERROR(TAB_OFICINAS[[#This Row],[Qtd pçs Enviadas]]-TAB_OFICINAS[[#This Row],[Qtd pçs Retornadas ]]," ")</f>
        <v>0</v>
      </c>
      <c r="R424" s="10">
        <v>0</v>
      </c>
      <c r="S424" s="5">
        <v>685</v>
      </c>
      <c r="T424" s="5">
        <v>42</v>
      </c>
      <c r="U424" s="52">
        <v>16</v>
      </c>
      <c r="V424" s="44">
        <f>IFERROR(TAB_OFICINAS[[#This Row],[Valor Unit]]*TAB_OFICINAS[[#This Row],[Qtd pçs Enviadas]]," ")</f>
        <v>160</v>
      </c>
      <c r="W424" s="17">
        <v>46111</v>
      </c>
      <c r="X424" s="5" t="s">
        <v>6251</v>
      </c>
      <c r="Y424" s="27"/>
      <c r="Z4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5" spans="3:26" hidden="1">
      <c r="C425" s="28" t="s">
        <v>18</v>
      </c>
      <c r="D425" s="5">
        <v>2522</v>
      </c>
      <c r="E425" s="5">
        <v>23344</v>
      </c>
      <c r="F425" s="28" t="str">
        <f>IFERROR(VLOOKUP(TAB_OFICINAS[[#This Row],[Cliente]],LISTA_DE_CLIENTES[[Código]:[Nome Fantasia]],2,FALSE),"")</f>
        <v>HYPE ILHABELA ADMINISTRACAO E PARTICIPACOES LTDA.</v>
      </c>
      <c r="G425" s="2" t="str">
        <f>IFERROR(VLOOKUP(TAB_OFICINAS[[#This Row],[Cliente]],LISTA_DE_CLIENTES[[Código]:[Nome Fantasia]],3,FALSE),"")</f>
        <v>CASA DI SIRENA</v>
      </c>
      <c r="H425" s="63">
        <v>3101018694</v>
      </c>
      <c r="I425" s="28" t="s">
        <v>20817</v>
      </c>
      <c r="J425" s="91">
        <v>7</v>
      </c>
      <c r="K425" s="86">
        <v>46163</v>
      </c>
      <c r="L425" s="34">
        <v>7</v>
      </c>
      <c r="M425" s="6">
        <v>46178</v>
      </c>
      <c r="N425" s="6">
        <v>46171</v>
      </c>
      <c r="O425" s="19">
        <f>TAB_OFICINAS[[#This Row],[Data Retorno Produção]]-TAB_OFICINAS[[#This Row],[Data Prometida  Entrega]]</f>
        <v>-7</v>
      </c>
      <c r="P425" s="40" t="str">
        <f>IF(TAB_OFICINAS[[#This Row],[Dias Para Entrega]]&lt;=0,"Em dia","Dia de Atrasado")</f>
        <v>Em dia</v>
      </c>
      <c r="Q425" s="10">
        <f>IFERROR(TAB_OFICINAS[[#This Row],[Qtd pçs Enviadas]]-TAB_OFICINAS[[#This Row],[Qtd pçs Retornadas ]]," ")</f>
        <v>0</v>
      </c>
      <c r="R425" s="10">
        <v>0</v>
      </c>
      <c r="S425" s="5">
        <v>3228</v>
      </c>
      <c r="T425" s="5">
        <v>45</v>
      </c>
      <c r="U425" s="1">
        <v>11.9</v>
      </c>
      <c r="V425" s="3">
        <f>IFERROR(TAB_OFICINAS[[#This Row],[Valor Unit]]*TAB_OFICINAS[[#This Row],[Qtd pçs Enviadas]]," ")</f>
        <v>83.3</v>
      </c>
      <c r="W425" s="17">
        <v>46182</v>
      </c>
      <c r="X425" s="5" t="s">
        <v>6251</v>
      </c>
      <c r="Y425" s="4"/>
      <c r="Z4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6" spans="3:26" hidden="1">
      <c r="C426" s="28" t="s">
        <v>21197</v>
      </c>
      <c r="D426" s="5">
        <v>5391</v>
      </c>
      <c r="E426" s="5">
        <v>23059</v>
      </c>
      <c r="F426" s="28" t="str">
        <f>IFERROR(VLOOKUP(TAB_OFICINAS[[#This Row],[Cliente]],LISTA_DE_CLIENTES[[Código]:[Nome Fantasia]],2,FALSE),"")</f>
        <v>PACIFICO OPERACOES HOSPITALARES S.A</v>
      </c>
      <c r="G426" s="5" t="str">
        <f>IFERROR(VLOOKUP(TAB_OFICINAS[[#This Row],[Cliente]],LISTA_DE_CLIENTES[[Código]:[Nome Fantasia]],3,FALSE),"")</f>
        <v>MATERNIDADE SAO LUIZ</v>
      </c>
      <c r="H426" s="63">
        <v>2103062485</v>
      </c>
      <c r="I426" s="28" t="s">
        <v>20770</v>
      </c>
      <c r="J426" s="91">
        <v>300</v>
      </c>
      <c r="K426" s="86">
        <v>46170</v>
      </c>
      <c r="L426" s="34">
        <v>300</v>
      </c>
      <c r="M426" s="6">
        <v>46192</v>
      </c>
      <c r="N426" s="6">
        <v>46181</v>
      </c>
      <c r="O426" s="19">
        <f>TAB_OFICINAS[[#This Row],[Data Retorno Produção]]-TAB_OFICINAS[[#This Row],[Data Prometida  Entrega]]</f>
        <v>-11</v>
      </c>
      <c r="P426" s="40" t="str">
        <f>IF(TAB_OFICINAS[[#This Row],[Dias Para Entrega]]&lt;=0,"Em dia","Dia de Atrasado")</f>
        <v>Em dia</v>
      </c>
      <c r="Q426" s="10">
        <f>IFERROR(TAB_OFICINAS[[#This Row],[Qtd pçs Enviadas]]-TAB_OFICINAS[[#This Row],[Qtd pçs Retornadas ]]," ")</f>
        <v>0</v>
      </c>
      <c r="R426" s="10"/>
      <c r="S426" s="5">
        <v>888</v>
      </c>
      <c r="T426" s="5">
        <v>66</v>
      </c>
      <c r="U426" s="1">
        <v>5.15</v>
      </c>
      <c r="V426" s="3">
        <f>IFERROR(TAB_OFICINAS[[#This Row],[Valor Unit]]*TAB_OFICINAS[[#This Row],[Qtd pçs Enviadas]]," ")</f>
        <v>1545</v>
      </c>
      <c r="W426" s="17">
        <v>46199</v>
      </c>
      <c r="X426" s="5" t="s">
        <v>6251</v>
      </c>
      <c r="Y426" s="4"/>
      <c r="Z4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7" spans="3:26" hidden="1">
      <c r="C427" s="28" t="s">
        <v>21197</v>
      </c>
      <c r="D427" s="5">
        <v>1942</v>
      </c>
      <c r="E427" s="5">
        <v>22995</v>
      </c>
      <c r="F427" s="28" t="str">
        <f>IFERROR(VLOOKUP(TAB_OFICINAS[[#This Row],[Cliente]],LISTA_DE_CLIENTES[[Código]:[Nome Fantasia]],2,FALSE),"")</f>
        <v>ONCO STAR SP ONCOLOGIA LTDA (REDE D´OR)</v>
      </c>
      <c r="G427" s="5" t="str">
        <f>IFERROR(VLOOKUP(TAB_OFICINAS[[#This Row],[Cliente]],LISTA_DE_CLIENTES[[Código]:[Nome Fantasia]],3,FALSE),"")</f>
        <v>R DOR VILA NOVA STAR</v>
      </c>
      <c r="H427" s="63">
        <v>2103062485</v>
      </c>
      <c r="I427" s="28" t="s">
        <v>20770</v>
      </c>
      <c r="J427" s="91">
        <v>1470</v>
      </c>
      <c r="K427" s="86">
        <v>46170</v>
      </c>
      <c r="L427" s="34">
        <v>1470</v>
      </c>
      <c r="M427" s="6">
        <v>46192</v>
      </c>
      <c r="N427" s="6">
        <v>46189</v>
      </c>
      <c r="O427" s="19">
        <f>TAB_OFICINAS[[#This Row],[Data Retorno Produção]]-TAB_OFICINAS[[#This Row],[Data Prometida  Entrega]]</f>
        <v>-3</v>
      </c>
      <c r="P427" s="40" t="str">
        <f>IF(TAB_OFICINAS[[#This Row],[Dias Para Entrega]]&lt;=0,"Em dia","Dia de Atrasado")</f>
        <v>Em dia</v>
      </c>
      <c r="Q427" s="10">
        <f>IFERROR(TAB_OFICINAS[[#This Row],[Qtd pçs Enviadas]]-TAB_OFICINAS[[#This Row],[Qtd pçs Retornadas ]]," ")</f>
        <v>0</v>
      </c>
      <c r="R427" s="10"/>
      <c r="S427" s="5">
        <v>858</v>
      </c>
      <c r="T427" s="5">
        <v>67</v>
      </c>
      <c r="U427" s="52">
        <v>5.15</v>
      </c>
      <c r="V427" s="44">
        <f>IFERROR(TAB_OFICINAS[[#This Row],[Valor Unit]]*TAB_OFICINAS[[#This Row],[Qtd pçs Enviadas]]," ")</f>
        <v>7570.5000000000009</v>
      </c>
      <c r="W427" s="17">
        <v>46199</v>
      </c>
      <c r="X427" s="5" t="s">
        <v>6251</v>
      </c>
      <c r="Y427" s="27"/>
      <c r="Z4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8" spans="3:26" hidden="1">
      <c r="C428" s="28" t="s">
        <v>17</v>
      </c>
      <c r="D428" s="5">
        <v>5386</v>
      </c>
      <c r="E428" s="66" t="s">
        <v>22445</v>
      </c>
      <c r="F428" s="28" t="str">
        <f>IFERROR(VLOOKUP(TAB_OFICINAS[[#This Row],[Cliente]],LISTA_DE_CLIENTES[[Código]:[Nome Fantasia]],2,FALSE),"")</f>
        <v>FLOW CITY SPE 1 CASAS LTDA</v>
      </c>
      <c r="G428" s="5" t="str">
        <f>IFERROR(VLOOKUP(TAB_OFICINAS[[#This Row],[Cliente]],LISTA_DE_CLIENTES[[Código]:[Nome Fantasia]],3,FALSE),"")</f>
        <v>FLOW CITY SPE 1 CASA</v>
      </c>
      <c r="H428" s="63">
        <v>3301093955</v>
      </c>
      <c r="I428" s="28" t="s">
        <v>21127</v>
      </c>
      <c r="J428" s="91">
        <v>9</v>
      </c>
      <c r="K428" s="86">
        <v>46142</v>
      </c>
      <c r="L428" s="10">
        <v>9</v>
      </c>
      <c r="M428" s="6">
        <v>46155</v>
      </c>
      <c r="N428" s="6">
        <v>46156</v>
      </c>
      <c r="O428" s="19">
        <f>TAB_OFICINAS[[#This Row],[Data Retorno Produção]]-TAB_OFICINAS[[#This Row],[Data Prometida  Entrega]]</f>
        <v>1</v>
      </c>
      <c r="P428" s="40" t="str">
        <f>IF(TAB_OFICINAS[[#This Row],[Dias Para Entrega]]&lt;=0,"Em dia","Dia de Atrasado")</f>
        <v>Dia de Atrasado</v>
      </c>
      <c r="Q428" s="10">
        <f>IFERROR(TAB_OFICINAS[[#This Row],[Qtd pçs Enviadas]]-TAB_OFICINAS[[#This Row],[Qtd pçs Retornadas ]]," ")</f>
        <v>0</v>
      </c>
      <c r="R428" s="10"/>
      <c r="S428" s="5">
        <v>802</v>
      </c>
      <c r="T428" s="5">
        <v>53</v>
      </c>
      <c r="U428" s="52">
        <v>16</v>
      </c>
      <c r="V428" s="44">
        <f>IFERROR(TAB_OFICINAS[[#This Row],[Valor Unit]]*TAB_OFICINAS[[#This Row],[Qtd pçs Enviadas]]," ")</f>
        <v>144</v>
      </c>
      <c r="W428" s="17">
        <v>46164</v>
      </c>
      <c r="X428" s="5" t="s">
        <v>6251</v>
      </c>
      <c r="Y428" s="27"/>
      <c r="Z4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29" spans="3:26" hidden="1">
      <c r="C429" s="28" t="s">
        <v>18</v>
      </c>
      <c r="D429" s="5">
        <v>2522</v>
      </c>
      <c r="E429" s="5">
        <v>23344</v>
      </c>
      <c r="F429" s="28" t="str">
        <f>IFERROR(VLOOKUP(TAB_OFICINAS[[#This Row],[Cliente]],LISTA_DE_CLIENTES[[Código]:[Nome Fantasia]],2,FALSE),"")</f>
        <v>HYPE ILHABELA ADMINISTRACAO E PARTICIPACOES LTDA.</v>
      </c>
      <c r="G429" s="2" t="str">
        <f>IFERROR(VLOOKUP(TAB_OFICINAS[[#This Row],[Cliente]],LISTA_DE_CLIENTES[[Código]:[Nome Fantasia]],3,FALSE),"")</f>
        <v>CASA DI SIRENA</v>
      </c>
      <c r="H429" s="63">
        <v>3101019828</v>
      </c>
      <c r="I429" s="28" t="s">
        <v>22366</v>
      </c>
      <c r="J429" s="91">
        <v>5</v>
      </c>
      <c r="K429" s="86">
        <v>46163</v>
      </c>
      <c r="L429" s="34">
        <v>5</v>
      </c>
      <c r="M429" s="6">
        <v>46178</v>
      </c>
      <c r="N429" s="6">
        <v>46171</v>
      </c>
      <c r="O429" s="19">
        <f>TAB_OFICINAS[[#This Row],[Data Retorno Produção]]-TAB_OFICINAS[[#This Row],[Data Prometida  Entrega]]</f>
        <v>-7</v>
      </c>
      <c r="P429" s="40" t="str">
        <f>IF(TAB_OFICINAS[[#This Row],[Dias Para Entrega]]&lt;=0,"Em dia","Dia de Atrasado")</f>
        <v>Em dia</v>
      </c>
      <c r="Q429" s="10">
        <f>IFERROR(TAB_OFICINAS[[#This Row],[Qtd pçs Enviadas]]-TAB_OFICINAS[[#This Row],[Qtd pçs Retornadas ]]," ")</f>
        <v>0</v>
      </c>
      <c r="R429" s="10">
        <v>0</v>
      </c>
      <c r="S429" s="5">
        <v>3228</v>
      </c>
      <c r="T429" s="5">
        <v>45</v>
      </c>
      <c r="U429" s="1">
        <v>8</v>
      </c>
      <c r="V429" s="3">
        <f>IFERROR(TAB_OFICINAS[[#This Row],[Valor Unit]]*TAB_OFICINAS[[#This Row],[Qtd pçs Enviadas]]," ")</f>
        <v>40</v>
      </c>
      <c r="W429" s="17">
        <v>46182</v>
      </c>
      <c r="X429" s="5" t="s">
        <v>6251</v>
      </c>
      <c r="Y429" s="4"/>
      <c r="Z4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0" spans="3:26" ht="57" hidden="1">
      <c r="C430" s="28" t="s">
        <v>19</v>
      </c>
      <c r="D430" s="5">
        <v>5189</v>
      </c>
      <c r="E430" s="5">
        <v>23570</v>
      </c>
      <c r="F430" s="28" t="str">
        <f>IFERROR(VLOOKUP(TAB_OFICINAS[[#This Row],[Cliente]],LISTA_DE_CLIENTES[[Código]:[Nome Fantasia]],2,FALSE),"")</f>
        <v>DIAGNOSTICOS DA AMERICA S.A .</v>
      </c>
      <c r="G430" s="2" t="str">
        <f>IFERROR(VLOOKUP(TAB_OFICINAS[[#This Row],[Cliente]],LISTA_DE_CLIENTES[[Código]:[Nome Fantasia]],3,FALSE),"")</f>
        <v>DASA VILA ANDRADE</v>
      </c>
      <c r="H430" s="63">
        <v>3301092628</v>
      </c>
      <c r="I430" s="28" t="s">
        <v>20827</v>
      </c>
      <c r="J430" s="91">
        <v>68</v>
      </c>
      <c r="K430" s="88">
        <v>46185</v>
      </c>
      <c r="L430" s="9">
        <v>68</v>
      </c>
      <c r="M430" s="6">
        <v>46209</v>
      </c>
      <c r="N430" s="6">
        <v>46206</v>
      </c>
      <c r="O430" s="19">
        <f>TAB_OFICINAS[[#This Row],[Data Retorno Produção]]-TAB_OFICINAS[[#This Row],[Data Prometida  Entrega]]</f>
        <v>-3</v>
      </c>
      <c r="P430" s="40" t="str">
        <f>IF(TAB_OFICINAS[[#This Row],[Dias Para Entrega]]&lt;=0,"Em dia","Dia de Atrasado")</f>
        <v>Em dia</v>
      </c>
      <c r="Q430" s="24"/>
      <c r="R430" s="10">
        <v>32</v>
      </c>
      <c r="S430" s="5">
        <v>882</v>
      </c>
      <c r="T430" s="5">
        <v>56</v>
      </c>
      <c r="U430" s="1">
        <v>16</v>
      </c>
      <c r="V430" s="3">
        <f>IFERROR(TAB_OFICINAS[[#This Row],[Valor Unit]]*TAB_OFICINAS[[#This Row],[Qtd pçs Enviadas]]," ")</f>
        <v>1088</v>
      </c>
      <c r="W430" s="26">
        <v>46216</v>
      </c>
      <c r="X430" s="5" t="s">
        <v>6251</v>
      </c>
      <c r="Y430" s="27" t="s">
        <v>23455</v>
      </c>
      <c r="Z4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1" spans="3:26" hidden="1">
      <c r="C431" s="28" t="s">
        <v>7</v>
      </c>
      <c r="D431" s="5">
        <v>285</v>
      </c>
      <c r="E431" s="5">
        <v>23033</v>
      </c>
      <c r="F431" s="28" t="str">
        <f>IFERROR(VLOOKUP(TAB_OFICINAS[[#This Row],[Cliente]],LISTA_DE_CLIENTES[[Código]:[Nome Fantasia]],2,FALSE),"")</f>
        <v>POUSADA DA AMENDOEIRA LIMITADA - EPP</v>
      </c>
      <c r="G431" s="5" t="str">
        <f>IFERROR(VLOOKUP(TAB_OFICINAS[[#This Row],[Cliente]],LISTA_DE_CLIENTES[[Código]:[Nome Fantasia]],3,FALSE),"")</f>
        <v>POUSADA AMENDOEIRA</v>
      </c>
      <c r="H431" s="63">
        <v>2121049750</v>
      </c>
      <c r="I431" s="28" t="s">
        <v>21748</v>
      </c>
      <c r="J431" s="91">
        <v>2</v>
      </c>
      <c r="K431" s="86">
        <v>46127</v>
      </c>
      <c r="L431" s="10">
        <v>2</v>
      </c>
      <c r="M431" s="6">
        <v>46129</v>
      </c>
      <c r="N431" s="6">
        <v>46129</v>
      </c>
      <c r="O431" s="19">
        <f>TAB_OFICINAS[[#This Row],[Data Retorno Produção]]-TAB_OFICINAS[[#This Row],[Data Prometida  Entrega]]</f>
        <v>0</v>
      </c>
      <c r="P431" s="40" t="str">
        <f>IF(TAB_OFICINAS[[#This Row],[Dias Para Entrega]]&lt;=0,"Em dia","Dia de Atrasado")</f>
        <v>Em dia</v>
      </c>
      <c r="Q431" s="10">
        <f>IFERROR(TAB_OFICINAS[[#This Row],[Qtd pçs Enviadas]]-TAB_OFICINAS[[#This Row],[Qtd pçs Retornadas ]]," ")</f>
        <v>0</v>
      </c>
      <c r="R431" s="10"/>
      <c r="S431" s="5">
        <v>758</v>
      </c>
      <c r="T431" s="5">
        <v>32</v>
      </c>
      <c r="U431" s="52">
        <v>6.5</v>
      </c>
      <c r="V431" s="44">
        <f>IFERROR(TAB_OFICINAS[[#This Row],[Valor Unit]]*TAB_OFICINAS[[#This Row],[Qtd pçs Enviadas]]," ")</f>
        <v>13</v>
      </c>
      <c r="W431" s="17">
        <v>46139</v>
      </c>
      <c r="X431" s="5" t="s">
        <v>6251</v>
      </c>
      <c r="Y431" s="27"/>
      <c r="Z4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2" spans="3:26" hidden="1">
      <c r="C432" s="28" t="s">
        <v>7</v>
      </c>
      <c r="D432" s="5" t="s">
        <v>20290</v>
      </c>
      <c r="E432" s="5">
        <v>473</v>
      </c>
      <c r="F432" s="28" t="s">
        <v>22335</v>
      </c>
      <c r="G432" s="5" t="str">
        <f>IFERROR(VLOOKUP(TAB_OFICINAS[[#This Row],[Cliente]],LISTA_DE_CLIENTES[[Código]:[Nome Fantasia]],3,FALSE),"")</f>
        <v/>
      </c>
      <c r="H432" s="51">
        <v>3913016221</v>
      </c>
      <c r="I432" s="28" t="s">
        <v>22332</v>
      </c>
      <c r="J432" s="91">
        <v>2</v>
      </c>
      <c r="K432" s="86">
        <v>46127</v>
      </c>
      <c r="L432" s="10">
        <v>2</v>
      </c>
      <c r="M432" s="6">
        <v>46129</v>
      </c>
      <c r="N432" s="6">
        <v>46129</v>
      </c>
      <c r="O432" s="19">
        <f>TAB_OFICINAS[[#This Row],[Data Retorno Produção]]-TAB_OFICINAS[[#This Row],[Data Prometida  Entrega]]</f>
        <v>0</v>
      </c>
      <c r="P432" s="40" t="str">
        <f>IF(TAB_OFICINAS[[#This Row],[Dias Para Entrega]]&lt;=0,"Em dia","Dia de Atrasado")</f>
        <v>Em dia</v>
      </c>
      <c r="Q432" s="10">
        <f>IFERROR(TAB_OFICINAS[[#This Row],[Qtd pçs Enviadas]]-TAB_OFICINAS[[#This Row],[Qtd pçs Retornadas ]]," ")</f>
        <v>0</v>
      </c>
      <c r="R432" s="10"/>
      <c r="S432" s="5">
        <v>762</v>
      </c>
      <c r="T432" s="5">
        <v>33</v>
      </c>
      <c r="U432" s="52">
        <v>6</v>
      </c>
      <c r="V432" s="44">
        <f>IFERROR(TAB_OFICINAS[[#This Row],[Valor Unit]]*TAB_OFICINAS[[#This Row],[Qtd pçs Enviadas]]," ")</f>
        <v>12</v>
      </c>
      <c r="W432" s="17">
        <v>46139</v>
      </c>
      <c r="X432" s="5" t="s">
        <v>6251</v>
      </c>
      <c r="Y432" s="27"/>
      <c r="Z4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3" spans="3:26" hidden="1">
      <c r="C433" s="28" t="s">
        <v>15</v>
      </c>
      <c r="D433" s="5">
        <v>5514</v>
      </c>
      <c r="E433" s="5">
        <v>23363</v>
      </c>
      <c r="F433" s="28" t="str">
        <f>IFERROR(VLOOKUP(TAB_OFICINAS[[#This Row],[Cliente]],LISTA_DE_CLIENTES[[Código]:[Nome Fantasia]],2,FALSE),"")</f>
        <v>CESAR AUGUSTO ANTUNES SILVA</v>
      </c>
      <c r="G433" s="2" t="str">
        <f>IFERROR(VLOOKUP(TAB_OFICINAS[[#This Row],[Cliente]],LISTA_DE_CLIENTES[[Código]:[Nome Fantasia]],3,FALSE),"")</f>
        <v>CESAR AUGUSTO</v>
      </c>
      <c r="H433" s="63">
        <v>3302309820</v>
      </c>
      <c r="I433" s="28" t="s">
        <v>22873</v>
      </c>
      <c r="J433" s="91">
        <v>8</v>
      </c>
      <c r="K433" s="86">
        <v>46167</v>
      </c>
      <c r="L433" s="34">
        <v>8</v>
      </c>
      <c r="M433" s="6">
        <v>46176</v>
      </c>
      <c r="N433" s="6">
        <v>46176</v>
      </c>
      <c r="O433" s="19">
        <f>TAB_OFICINAS[[#This Row],[Data Retorno Produção]]-TAB_OFICINAS[[#This Row],[Data Prometida  Entrega]]</f>
        <v>0</v>
      </c>
      <c r="P433" s="40" t="str">
        <f>IF(TAB_OFICINAS[[#This Row],[Dias Para Entrega]]&lt;=0,"Em dia","Dia de Atrasado")</f>
        <v>Em dia</v>
      </c>
      <c r="Q433" s="10">
        <f>IFERROR(TAB_OFICINAS[[#This Row],[Qtd pçs Enviadas]]-TAB_OFICINAS[[#This Row],[Qtd pçs Retornadas ]]," ")</f>
        <v>0</v>
      </c>
      <c r="R433" s="10">
        <v>0</v>
      </c>
      <c r="S433" s="5">
        <v>855</v>
      </c>
      <c r="T433" s="5">
        <v>17272</v>
      </c>
      <c r="U433" s="1">
        <v>9</v>
      </c>
      <c r="V433" s="3">
        <f>IFERROR(TAB_OFICINAS[[#This Row],[Valor Unit]]*TAB_OFICINAS[[#This Row],[Qtd pçs Enviadas]]," ")</f>
        <v>72</v>
      </c>
      <c r="W433" s="17">
        <v>46185</v>
      </c>
      <c r="X433" s="5" t="s">
        <v>6251</v>
      </c>
      <c r="Y433" s="4" t="s">
        <v>22875</v>
      </c>
      <c r="Z4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4" spans="3:26" hidden="1">
      <c r="C434" s="28" t="s">
        <v>15</v>
      </c>
      <c r="D434" s="5">
        <v>5514</v>
      </c>
      <c r="E434" s="5">
        <v>23363</v>
      </c>
      <c r="F434" s="28" t="str">
        <f>IFERROR(VLOOKUP(TAB_OFICINAS[[#This Row],[Cliente]],LISTA_DE_CLIENTES[[Código]:[Nome Fantasia]],2,FALSE),"")</f>
        <v>CESAR AUGUSTO ANTUNES SILVA</v>
      </c>
      <c r="G434" s="2" t="str">
        <f>IFERROR(VLOOKUP(TAB_OFICINAS[[#This Row],[Cliente]],LISTA_DE_CLIENTES[[Código]:[Nome Fantasia]],3,FALSE),"")</f>
        <v>CESAR AUGUSTO</v>
      </c>
      <c r="H434" s="63">
        <v>3302309822</v>
      </c>
      <c r="I434" s="28" t="s">
        <v>22874</v>
      </c>
      <c r="J434" s="91">
        <v>8</v>
      </c>
      <c r="K434" s="86">
        <v>46167</v>
      </c>
      <c r="L434" s="34">
        <v>8</v>
      </c>
      <c r="M434" s="6">
        <v>46176</v>
      </c>
      <c r="N434" s="6">
        <v>46176</v>
      </c>
      <c r="O434" s="19">
        <f>TAB_OFICINAS[[#This Row],[Data Retorno Produção]]-TAB_OFICINAS[[#This Row],[Data Prometida  Entrega]]</f>
        <v>0</v>
      </c>
      <c r="P434" s="40" t="str">
        <f>IF(TAB_OFICINAS[[#This Row],[Dias Para Entrega]]&lt;=0,"Em dia","Dia de Atrasado")</f>
        <v>Em dia</v>
      </c>
      <c r="Q434" s="10">
        <f>IFERROR(TAB_OFICINAS[[#This Row],[Qtd pçs Enviadas]]-TAB_OFICINAS[[#This Row],[Qtd pçs Retornadas ]]," ")</f>
        <v>0</v>
      </c>
      <c r="R434" s="10">
        <v>0</v>
      </c>
      <c r="S434" s="5">
        <v>855</v>
      </c>
      <c r="T434" s="5">
        <v>17272</v>
      </c>
      <c r="U434" s="1">
        <v>9</v>
      </c>
      <c r="V434" s="3">
        <f>IFERROR(TAB_OFICINAS[[#This Row],[Valor Unit]]*TAB_OFICINAS[[#This Row],[Qtd pçs Enviadas]]," ")</f>
        <v>72</v>
      </c>
      <c r="W434" s="17">
        <v>46185</v>
      </c>
      <c r="X434" s="5" t="s">
        <v>6251</v>
      </c>
      <c r="Y434" s="4" t="s">
        <v>22876</v>
      </c>
      <c r="Z4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5" spans="3:26" ht="42.75" hidden="1">
      <c r="C435" s="28" t="s">
        <v>15</v>
      </c>
      <c r="D435" s="5">
        <v>5514</v>
      </c>
      <c r="E435" s="5">
        <v>23363</v>
      </c>
      <c r="F435" s="28" t="str">
        <f>IFERROR(VLOOKUP(TAB_OFICINAS[[#This Row],[Cliente]],LISTA_DE_CLIENTES[[Código]:[Nome Fantasia]],2,FALSE),"")</f>
        <v>CESAR AUGUSTO ANTUNES SILVA</v>
      </c>
      <c r="G435" s="2" t="str">
        <f>IFERROR(VLOOKUP(TAB_OFICINAS[[#This Row],[Cliente]],LISTA_DE_CLIENTES[[Código]:[Nome Fantasia]],3,FALSE),"")</f>
        <v>CESAR AUGUSTO</v>
      </c>
      <c r="H435" s="63">
        <v>2101069818</v>
      </c>
      <c r="I435" s="28" t="s">
        <v>22901</v>
      </c>
      <c r="J435" s="91">
        <v>8</v>
      </c>
      <c r="K435" s="86">
        <v>46167</v>
      </c>
      <c r="L435" s="34">
        <v>8</v>
      </c>
      <c r="M435" s="6">
        <v>46176</v>
      </c>
      <c r="N435" s="6">
        <v>46176</v>
      </c>
      <c r="O435" s="19">
        <f>TAB_OFICINAS[[#This Row],[Data Retorno Produção]]-TAB_OFICINAS[[#This Row],[Data Prometida  Entrega]]</f>
        <v>0</v>
      </c>
      <c r="P435" s="40" t="str">
        <f>IF(TAB_OFICINAS[[#This Row],[Dias Para Entrega]]&lt;=0,"Em dia","Dia de Atrasado")</f>
        <v>Em dia</v>
      </c>
      <c r="Q435" s="10">
        <f>IFERROR(TAB_OFICINAS[[#This Row],[Qtd pçs Enviadas]]-TAB_OFICINAS[[#This Row],[Qtd pçs Retornadas ]]," ")</f>
        <v>0</v>
      </c>
      <c r="R435" s="10">
        <v>3</v>
      </c>
      <c r="S435" s="5">
        <v>855</v>
      </c>
      <c r="T435" s="5">
        <v>17272</v>
      </c>
      <c r="U435" s="33">
        <v>7.2</v>
      </c>
      <c r="V435" s="3">
        <f>IFERROR(TAB_OFICINAS[[#This Row],[Valor Unit]]*TAB_OFICINAS[[#This Row],[Qtd pçs Enviadas]]," ")</f>
        <v>57.6</v>
      </c>
      <c r="W435" s="17">
        <v>46185</v>
      </c>
      <c r="X435" s="5" t="s">
        <v>6251</v>
      </c>
      <c r="Y435" s="4" t="s">
        <v>23141</v>
      </c>
      <c r="Z4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6" spans="3:26" ht="28.5" hidden="1">
      <c r="C436" s="28" t="s">
        <v>15</v>
      </c>
      <c r="D436" s="5">
        <v>5514</v>
      </c>
      <c r="E436" s="5">
        <v>23363</v>
      </c>
      <c r="F436" s="28" t="str">
        <f>IFERROR(VLOOKUP(TAB_OFICINAS[[#This Row],[Cliente]],LISTA_DE_CLIENTES[[Código]:[Nome Fantasia]],2,FALSE),"")</f>
        <v>CESAR AUGUSTO ANTUNES SILVA</v>
      </c>
      <c r="G436" s="2" t="str">
        <f>IFERROR(VLOOKUP(TAB_OFICINAS[[#This Row],[Cliente]],LISTA_DE_CLIENTES[[Código]:[Nome Fantasia]],3,FALSE),"")</f>
        <v>CESAR AUGUSTO</v>
      </c>
      <c r="H436" s="63">
        <v>2101069819</v>
      </c>
      <c r="I436" s="28" t="s">
        <v>22902</v>
      </c>
      <c r="J436" s="91">
        <v>8</v>
      </c>
      <c r="K436" s="86">
        <v>46167</v>
      </c>
      <c r="L436" s="34">
        <v>8</v>
      </c>
      <c r="M436" s="6">
        <v>46176</v>
      </c>
      <c r="N436" s="6">
        <v>46176</v>
      </c>
      <c r="O436" s="19">
        <f>TAB_OFICINAS[[#This Row],[Data Retorno Produção]]-TAB_OFICINAS[[#This Row],[Data Prometida  Entrega]]</f>
        <v>0</v>
      </c>
      <c r="P436" s="40" t="str">
        <f>IF(TAB_OFICINAS[[#This Row],[Dias Para Entrega]]&lt;=0,"Em dia","Dia de Atrasado")</f>
        <v>Em dia</v>
      </c>
      <c r="Q436" s="10">
        <f>IFERROR(TAB_OFICINAS[[#This Row],[Qtd pçs Enviadas]]-TAB_OFICINAS[[#This Row],[Qtd pçs Retornadas ]]," ")</f>
        <v>0</v>
      </c>
      <c r="R436" s="10">
        <v>0</v>
      </c>
      <c r="S436" s="5">
        <v>855</v>
      </c>
      <c r="T436" s="5">
        <v>17272</v>
      </c>
      <c r="U436" s="33">
        <v>7.2</v>
      </c>
      <c r="V436" s="3">
        <f>IFERROR(TAB_OFICINAS[[#This Row],[Valor Unit]]*TAB_OFICINAS[[#This Row],[Qtd pçs Enviadas]]," ")</f>
        <v>57.6</v>
      </c>
      <c r="W436" s="17">
        <v>46185</v>
      </c>
      <c r="X436" s="5" t="s">
        <v>6251</v>
      </c>
      <c r="Y436" s="4" t="s">
        <v>22903</v>
      </c>
      <c r="Z4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7" spans="3:26" hidden="1">
      <c r="C437" s="28" t="s">
        <v>15</v>
      </c>
      <c r="D437" s="5">
        <v>5514</v>
      </c>
      <c r="E437" s="5">
        <v>23363</v>
      </c>
      <c r="F437" s="28" t="str">
        <f>IFERROR(VLOOKUP(TAB_OFICINAS[[#This Row],[Cliente]],LISTA_DE_CLIENTES[[Código]:[Nome Fantasia]],2,FALSE),"")</f>
        <v>CESAR AUGUSTO ANTUNES SILVA</v>
      </c>
      <c r="G437" s="2" t="str">
        <f>IFERROR(VLOOKUP(TAB_OFICINAS[[#This Row],[Cliente]],LISTA_DE_CLIENTES[[Código]:[Nome Fantasia]],3,FALSE),"")</f>
        <v>CESAR AUGUSTO</v>
      </c>
      <c r="H437" s="63">
        <v>2106229784</v>
      </c>
      <c r="I437" s="28" t="s">
        <v>23166</v>
      </c>
      <c r="J437" s="91">
        <v>8</v>
      </c>
      <c r="K437" s="86">
        <v>46169</v>
      </c>
      <c r="L437" s="34">
        <v>8</v>
      </c>
      <c r="M437" s="6">
        <v>46176</v>
      </c>
      <c r="N437" s="6">
        <v>46176</v>
      </c>
      <c r="O437" s="19">
        <f>TAB_OFICINAS[[#This Row],[Data Retorno Produção]]-TAB_OFICINAS[[#This Row],[Data Prometida  Entrega]]</f>
        <v>0</v>
      </c>
      <c r="P437" s="40" t="str">
        <f>IF(TAB_OFICINAS[[#This Row],[Dias Para Entrega]]&lt;=0,"Em dia","Dia de Atrasado")</f>
        <v>Em dia</v>
      </c>
      <c r="Q437" s="10">
        <f>IFERROR(TAB_OFICINAS[[#This Row],[Qtd pçs Enviadas]]-TAB_OFICINAS[[#This Row],[Qtd pçs Retornadas ]]," ")</f>
        <v>0</v>
      </c>
      <c r="R437" s="10">
        <v>0</v>
      </c>
      <c r="S437" s="5">
        <v>3233</v>
      </c>
      <c r="T437" s="5">
        <v>17274</v>
      </c>
      <c r="U437" s="1">
        <v>4</v>
      </c>
      <c r="V437" s="3">
        <f>IFERROR(TAB_OFICINAS[[#This Row],[Valor Unit]]*TAB_OFICINAS[[#This Row],[Qtd pçs Enviadas]]," ")</f>
        <v>32</v>
      </c>
      <c r="W437" s="17">
        <v>46185</v>
      </c>
      <c r="X437" s="5" t="s">
        <v>6251</v>
      </c>
      <c r="Y437" s="4" t="s">
        <v>23156</v>
      </c>
      <c r="Z4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8" spans="3:26" hidden="1">
      <c r="C438" s="28" t="s">
        <v>15</v>
      </c>
      <c r="D438" s="5">
        <v>5514</v>
      </c>
      <c r="E438" s="5">
        <v>23363</v>
      </c>
      <c r="F438" s="28" t="str">
        <f>IFERROR(VLOOKUP(TAB_OFICINAS[[#This Row],[Cliente]],LISTA_DE_CLIENTES[[Código]:[Nome Fantasia]],2,FALSE),"")</f>
        <v>CESAR AUGUSTO ANTUNES SILVA</v>
      </c>
      <c r="G438" s="2" t="str">
        <f>IFERROR(VLOOKUP(TAB_OFICINAS[[#This Row],[Cliente]],LISTA_DE_CLIENTES[[Código]:[Nome Fantasia]],3,FALSE),"")</f>
        <v>CESAR AUGUSTO</v>
      </c>
      <c r="H438" s="63">
        <v>2106229789</v>
      </c>
      <c r="I438" s="28" t="s">
        <v>23167</v>
      </c>
      <c r="J438" s="91">
        <v>8</v>
      </c>
      <c r="K438" s="86">
        <v>46169</v>
      </c>
      <c r="L438" s="34">
        <v>8</v>
      </c>
      <c r="M438" s="6">
        <v>46176</v>
      </c>
      <c r="N438" s="6">
        <v>46176</v>
      </c>
      <c r="O438" s="19">
        <f>TAB_OFICINAS[[#This Row],[Data Retorno Produção]]-TAB_OFICINAS[[#This Row],[Data Prometida  Entrega]]</f>
        <v>0</v>
      </c>
      <c r="P438" s="40" t="str">
        <f>IF(TAB_OFICINAS[[#This Row],[Dias Para Entrega]]&lt;=0,"Em dia","Dia de Atrasado")</f>
        <v>Em dia</v>
      </c>
      <c r="Q438" s="10">
        <f>IFERROR(TAB_OFICINAS[[#This Row],[Qtd pçs Enviadas]]-TAB_OFICINAS[[#This Row],[Qtd pçs Retornadas ]]," ")</f>
        <v>0</v>
      </c>
      <c r="R438" s="10">
        <v>0</v>
      </c>
      <c r="S438" s="5">
        <v>3233</v>
      </c>
      <c r="T438" s="5">
        <v>17274</v>
      </c>
      <c r="U438" s="1">
        <v>4</v>
      </c>
      <c r="V438" s="3">
        <f>IFERROR(TAB_OFICINAS[[#This Row],[Valor Unit]]*TAB_OFICINAS[[#This Row],[Qtd pçs Enviadas]]," ")</f>
        <v>32</v>
      </c>
      <c r="W438" s="17">
        <v>46185</v>
      </c>
      <c r="X438" s="5" t="s">
        <v>6251</v>
      </c>
      <c r="Y438" s="4" t="s">
        <v>23157</v>
      </c>
      <c r="Z4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39" spans="3:26" hidden="1">
      <c r="C439" s="28" t="s">
        <v>15</v>
      </c>
      <c r="D439" s="5">
        <v>5514</v>
      </c>
      <c r="E439" s="5">
        <v>23363</v>
      </c>
      <c r="F439" s="28" t="str">
        <f>IFERROR(VLOOKUP(TAB_OFICINAS[[#This Row],[Cliente]],LISTA_DE_CLIENTES[[Código]:[Nome Fantasia]],2,FALSE),"")</f>
        <v>CESAR AUGUSTO ANTUNES SILVA</v>
      </c>
      <c r="G439" s="2" t="str">
        <f>IFERROR(VLOOKUP(TAB_OFICINAS[[#This Row],[Cliente]],LISTA_DE_CLIENTES[[Código]:[Nome Fantasia]],3,FALSE),"")</f>
        <v>CESAR AUGUSTO</v>
      </c>
      <c r="H439" s="63">
        <v>2106229790</v>
      </c>
      <c r="I439" s="28" t="s">
        <v>23168</v>
      </c>
      <c r="J439" s="91">
        <v>8</v>
      </c>
      <c r="K439" s="86">
        <v>46169</v>
      </c>
      <c r="L439" s="34">
        <v>8</v>
      </c>
      <c r="M439" s="6">
        <v>46176</v>
      </c>
      <c r="N439" s="6">
        <v>46176</v>
      </c>
      <c r="O439" s="19">
        <f>TAB_OFICINAS[[#This Row],[Data Retorno Produção]]-TAB_OFICINAS[[#This Row],[Data Prometida  Entrega]]</f>
        <v>0</v>
      </c>
      <c r="P439" s="40" t="str">
        <f>IF(TAB_OFICINAS[[#This Row],[Dias Para Entrega]]&lt;=0,"Em dia","Dia de Atrasado")</f>
        <v>Em dia</v>
      </c>
      <c r="Q439" s="10">
        <f>IFERROR(TAB_OFICINAS[[#This Row],[Qtd pçs Enviadas]]-TAB_OFICINAS[[#This Row],[Qtd pçs Retornadas ]]," ")</f>
        <v>0</v>
      </c>
      <c r="R439" s="10">
        <v>0</v>
      </c>
      <c r="S439" s="5">
        <v>3233</v>
      </c>
      <c r="T439" s="5">
        <v>17274</v>
      </c>
      <c r="U439" s="1">
        <v>4</v>
      </c>
      <c r="V439" s="3">
        <f>IFERROR(TAB_OFICINAS[[#This Row],[Valor Unit]]*TAB_OFICINAS[[#This Row],[Qtd pçs Enviadas]]," ")</f>
        <v>32</v>
      </c>
      <c r="W439" s="17">
        <v>46185</v>
      </c>
      <c r="X439" s="5" t="s">
        <v>6251</v>
      </c>
      <c r="Y439" s="4" t="s">
        <v>23147</v>
      </c>
      <c r="Z4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0" spans="3:26" hidden="1">
      <c r="C440" s="28" t="s">
        <v>15</v>
      </c>
      <c r="D440" s="5">
        <v>5514</v>
      </c>
      <c r="E440" s="5">
        <v>23363</v>
      </c>
      <c r="F440" s="28" t="str">
        <f>IFERROR(VLOOKUP(TAB_OFICINAS[[#This Row],[Cliente]],LISTA_DE_CLIENTES[[Código]:[Nome Fantasia]],2,FALSE),"")</f>
        <v>CESAR AUGUSTO ANTUNES SILVA</v>
      </c>
      <c r="G440" s="2" t="str">
        <f>IFERROR(VLOOKUP(TAB_OFICINAS[[#This Row],[Cliente]],LISTA_DE_CLIENTES[[Código]:[Nome Fantasia]],3,FALSE),"")</f>
        <v>CESAR AUGUSTO</v>
      </c>
      <c r="H440" s="63">
        <v>2106229791</v>
      </c>
      <c r="I440" s="28" t="s">
        <v>23169</v>
      </c>
      <c r="J440" s="91">
        <v>8</v>
      </c>
      <c r="K440" s="86">
        <v>46169</v>
      </c>
      <c r="L440" s="34">
        <v>8</v>
      </c>
      <c r="M440" s="6">
        <v>46176</v>
      </c>
      <c r="N440" s="6">
        <v>46176</v>
      </c>
      <c r="O440" s="19">
        <f>TAB_OFICINAS[[#This Row],[Data Retorno Produção]]-TAB_OFICINAS[[#This Row],[Data Prometida  Entrega]]</f>
        <v>0</v>
      </c>
      <c r="P440" s="40" t="str">
        <f>IF(TAB_OFICINAS[[#This Row],[Dias Para Entrega]]&lt;=0,"Em dia","Dia de Atrasado")</f>
        <v>Em dia</v>
      </c>
      <c r="Q440" s="10">
        <f>IFERROR(TAB_OFICINAS[[#This Row],[Qtd pçs Enviadas]]-TAB_OFICINAS[[#This Row],[Qtd pçs Retornadas ]]," ")</f>
        <v>0</v>
      </c>
      <c r="R440" s="10">
        <v>0</v>
      </c>
      <c r="S440" s="5">
        <v>3233</v>
      </c>
      <c r="T440" s="5">
        <v>17274</v>
      </c>
      <c r="U440" s="1">
        <v>4</v>
      </c>
      <c r="V440" s="3">
        <f>IFERROR(TAB_OFICINAS[[#This Row],[Valor Unit]]*TAB_OFICINAS[[#This Row],[Qtd pçs Enviadas]]," ")</f>
        <v>32</v>
      </c>
      <c r="W440" s="17">
        <v>46185</v>
      </c>
      <c r="X440" s="5" t="s">
        <v>6251</v>
      </c>
      <c r="Y440" s="4" t="s">
        <v>23145</v>
      </c>
      <c r="Z4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1" spans="3:26" hidden="1">
      <c r="C441" s="28" t="s">
        <v>15</v>
      </c>
      <c r="D441" s="5">
        <v>5378</v>
      </c>
      <c r="E441" s="5">
        <v>23524</v>
      </c>
      <c r="F441" s="28" t="str">
        <f>IFERROR(VLOOKUP(TAB_OFICINAS[[#This Row],[Cliente]],LISTA_DE_CLIENTES[[Código]:[Nome Fantasia]],2,FALSE),"")</f>
        <v>ZIREH IMOVEIS E PARTICIPACOES LTDA</v>
      </c>
      <c r="G441" s="2" t="str">
        <f>IFERROR(VLOOKUP(TAB_OFICINAS[[#This Row],[Cliente]],LISTA_DE_CLIENTES[[Código]:[Nome Fantasia]],3,FALSE),"")</f>
        <v>ZIREH IMOVEIS</v>
      </c>
      <c r="H441" s="51">
        <v>3301099927</v>
      </c>
      <c r="I441" s="28" t="str">
        <f>IFERROR(VLOOKUP(TAB_OFICINAS[[#This Row],[Codigo Produto ]],_000___PEDIDOS_DE_CLIENTES[[Data.Column2]:[Descrição Produto]],2,FALSE)," ")</f>
        <v xml:space="preserve"> </v>
      </c>
      <c r="J441" s="91">
        <v>8</v>
      </c>
      <c r="K441" s="88">
        <v>46196</v>
      </c>
      <c r="L441" s="9">
        <v>8</v>
      </c>
      <c r="M441" s="6">
        <v>46198</v>
      </c>
      <c r="N441" s="6">
        <f ca="1">TODAY()</f>
        <v>46315</v>
      </c>
      <c r="O441" s="23">
        <f ca="1">TAB_OFICINAS[[#This Row],[Data Retorno Produção]]-TAB_OFICINAS[[#This Row],[Data Prometida  Entrega]]</f>
        <v>117</v>
      </c>
      <c r="P441" s="98" t="str">
        <f ca="1">IF(TAB_OFICINAS[[#This Row],[Dias Para Entrega]]&lt;=0,"Em dia","Dia de Atrasado")</f>
        <v>Dia de Atrasado</v>
      </c>
      <c r="Q441" s="24">
        <f>IFERROR(TAB_OFICINAS[[#This Row],[Qtd pçs Enviadas]]-TAB_OFICINAS[[#This Row],[Qtd pçs Retornadas ]],"N/D ")</f>
        <v>0</v>
      </c>
      <c r="R441" s="24"/>
      <c r="S441" s="5">
        <v>3284</v>
      </c>
      <c r="T441" s="5">
        <v>17358</v>
      </c>
      <c r="U441" s="11">
        <v>4</v>
      </c>
      <c r="V441" s="25">
        <f>IFERROR(TAB_OFICINAS[[#This Row],[Valor Unit]]*TAB_OFICINAS[[#This Row],[Qtd pçs Enviadas]]," ")</f>
        <v>32</v>
      </c>
      <c r="W441" s="26">
        <v>46205</v>
      </c>
      <c r="X441" s="17" t="s">
        <v>6251</v>
      </c>
      <c r="Y441" s="27" t="s">
        <v>23417</v>
      </c>
      <c r="Z4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2" spans="3:26" hidden="1">
      <c r="C442" s="28" t="s">
        <v>15</v>
      </c>
      <c r="D442" s="5">
        <v>4005</v>
      </c>
      <c r="E442" s="5">
        <v>23761</v>
      </c>
      <c r="F442" s="28" t="str">
        <f>IFERROR(VLOOKUP(TAB_OFICINAS[[#This Row],[Cliente]],LISTA_DE_CLIENTES[[Código]:[Nome Fantasia]],2,FALSE),"")</f>
        <v>CLARA RESORTS LTDA</v>
      </c>
      <c r="G442" s="2" t="str">
        <f>IFERROR(VLOOKUP(TAB_OFICINAS[[#This Row],[Cliente]],LISTA_DE_CLIENTES[[Código]:[Nome Fantasia]],3,FALSE),"")</f>
        <v>SANTA CLARA INHOTIM</v>
      </c>
      <c r="H442" s="51">
        <v>3105012393</v>
      </c>
      <c r="I442" s="28" t="str">
        <f>IFERROR(VLOOKUP(TAB_OFICINAS[[#This Row],[Codigo Produto ]],_000___PEDIDOS_DE_CLIENTES[[Data.Column2]:[Descrição Produto]],2,FALSE)," ")</f>
        <v>ROUPÃO KIMONO TAM M C/ LOGO FELPA CARAMELO</v>
      </c>
      <c r="J442" s="91">
        <v>8</v>
      </c>
      <c r="K442" s="88">
        <v>46195</v>
      </c>
      <c r="L442" s="9">
        <v>8</v>
      </c>
      <c r="M442" s="6">
        <v>46203</v>
      </c>
      <c r="N442" s="6">
        <v>46203</v>
      </c>
      <c r="O442" s="23">
        <f>TAB_OFICINAS[[#This Row],[Data Retorno Produção]]-TAB_OFICINAS[[#This Row],[Data Prometida  Entrega]]</f>
        <v>0</v>
      </c>
      <c r="P442" s="98" t="str">
        <f>IF(TAB_OFICINAS[[#This Row],[Dias Para Entrega]]&lt;=0,"Em dia","Dia de Atrasado")</f>
        <v>Em dia</v>
      </c>
      <c r="Q442" s="24">
        <f>IFERROR(TAB_OFICINAS[[#This Row],[Qtd pçs Enviadas]]-TAB_OFICINAS[[#This Row],[Qtd pçs Retornadas ]],"N/D ")</f>
        <v>0</v>
      </c>
      <c r="R442" s="24"/>
      <c r="S442" s="5">
        <v>3282</v>
      </c>
      <c r="T442" s="5">
        <v>17391</v>
      </c>
      <c r="U442" s="11">
        <v>3.6</v>
      </c>
      <c r="V442" s="25">
        <f>IFERROR(TAB_OFICINAS[[#This Row],[Valor Unit]]*TAB_OFICINAS[[#This Row],[Qtd pçs Enviadas]]," ")</f>
        <v>28.8</v>
      </c>
      <c r="W442" s="26">
        <v>46210</v>
      </c>
      <c r="X442" s="17" t="s">
        <v>6251</v>
      </c>
      <c r="Y442" s="27" t="s">
        <v>23421</v>
      </c>
      <c r="Z4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3" spans="3:26" hidden="1">
      <c r="C443" s="28" t="s">
        <v>15</v>
      </c>
      <c r="D443" s="5">
        <v>4005</v>
      </c>
      <c r="E443" s="5">
        <v>23761</v>
      </c>
      <c r="F443" s="28" t="str">
        <f>IFERROR(VLOOKUP(TAB_OFICINAS[[#This Row],[Cliente]],LISTA_DE_CLIENTES[[Código]:[Nome Fantasia]],2,FALSE),"")</f>
        <v>CLARA RESORTS LTDA</v>
      </c>
      <c r="G443" s="2" t="str">
        <f>IFERROR(VLOOKUP(TAB_OFICINAS[[#This Row],[Cliente]],LISTA_DE_CLIENTES[[Código]:[Nome Fantasia]],3,FALSE),"")</f>
        <v>SANTA CLARA INHOTIM</v>
      </c>
      <c r="H443" s="51">
        <v>3105012394</v>
      </c>
      <c r="I443" s="28" t="str">
        <f>IFERROR(VLOOKUP(TAB_OFICINAS[[#This Row],[Codigo Produto ]],_000___PEDIDOS_DE_CLIENTES[[Data.Column2]:[Descrição Produto]],2,FALSE)," ")</f>
        <v>ROUPÃO KIMONO TAM P C/ LOGO FELPA CARAMELO</v>
      </c>
      <c r="J443" s="91">
        <v>8</v>
      </c>
      <c r="K443" s="88">
        <v>46195</v>
      </c>
      <c r="L443" s="9">
        <v>8</v>
      </c>
      <c r="M443" s="6">
        <v>46203</v>
      </c>
      <c r="N443" s="6">
        <v>46203</v>
      </c>
      <c r="O443" s="23">
        <f>TAB_OFICINAS[[#This Row],[Data Retorno Produção]]-TAB_OFICINAS[[#This Row],[Data Prometida  Entrega]]</f>
        <v>0</v>
      </c>
      <c r="P443" s="98" t="str">
        <f>IF(TAB_OFICINAS[[#This Row],[Dias Para Entrega]]&lt;=0,"Em dia","Dia de Atrasado")</f>
        <v>Em dia</v>
      </c>
      <c r="Q443" s="24">
        <f>IFERROR(TAB_OFICINAS[[#This Row],[Qtd pçs Enviadas]]-TAB_OFICINAS[[#This Row],[Qtd pçs Retornadas ]],"N/D ")</f>
        <v>0</v>
      </c>
      <c r="R443" s="24"/>
      <c r="S443" s="5">
        <v>3282</v>
      </c>
      <c r="T443" s="5">
        <v>17391</v>
      </c>
      <c r="U443" s="11">
        <v>3.6</v>
      </c>
      <c r="V443" s="25">
        <f>IFERROR(TAB_OFICINAS[[#This Row],[Valor Unit]]*TAB_OFICINAS[[#This Row],[Qtd pçs Enviadas]]," ")</f>
        <v>28.8</v>
      </c>
      <c r="W443" s="26">
        <v>46210</v>
      </c>
      <c r="X443" s="17" t="s">
        <v>6251</v>
      </c>
      <c r="Y443" s="27" t="s">
        <v>23421</v>
      </c>
      <c r="Z4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4" spans="3:26" hidden="1">
      <c r="C444" s="28" t="s">
        <v>15</v>
      </c>
      <c r="E444" s="5">
        <v>34</v>
      </c>
      <c r="F444" s="28" t="s">
        <v>23188</v>
      </c>
      <c r="G444" s="2" t="s">
        <v>23188</v>
      </c>
      <c r="H444" s="51" t="s">
        <v>23448</v>
      </c>
      <c r="I444" s="28" t="s">
        <v>23449</v>
      </c>
      <c r="J444" s="91">
        <v>8</v>
      </c>
      <c r="K444" s="88">
        <v>46206</v>
      </c>
      <c r="L444" s="9">
        <v>8</v>
      </c>
      <c r="M444" s="6">
        <v>46209</v>
      </c>
      <c r="N444" s="6">
        <v>46209</v>
      </c>
      <c r="O444" s="23">
        <f>TAB_OFICINAS[[#This Row],[Data Retorno Produção]]-TAB_OFICINAS[[#This Row],[Data Prometida  Entrega]]</f>
        <v>0</v>
      </c>
      <c r="P444" s="98" t="str">
        <f>IF(TAB_OFICINAS[[#This Row],[Dias Para Entrega]]&lt;=0,"Em dia","Dia de Atrasado")</f>
        <v>Em dia</v>
      </c>
      <c r="Q444" s="24">
        <f>IFERROR(TAB_OFICINAS[[#This Row],[Qtd pçs Enviadas]]-TAB_OFICINAS[[#This Row],[Qtd pçs Retornadas ]],"N/D ")</f>
        <v>0</v>
      </c>
      <c r="R444" s="24"/>
      <c r="S444" s="5">
        <v>914</v>
      </c>
      <c r="U444" s="11">
        <v>8</v>
      </c>
      <c r="V444" s="25">
        <f>IFERROR(TAB_OFICINAS[[#This Row],[Valor Unit]]*TAB_OFICINAS[[#This Row],[Qtd pçs Enviadas]]," ")</f>
        <v>64</v>
      </c>
      <c r="W444" s="26"/>
      <c r="X444" s="17" t="s">
        <v>6251</v>
      </c>
      <c r="Y444" s="27" t="s">
        <v>23140</v>
      </c>
      <c r="Z4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5" spans="3:26" hidden="1">
      <c r="C445" s="28" t="s">
        <v>15</v>
      </c>
      <c r="D445" s="5">
        <v>5247</v>
      </c>
      <c r="E445" s="5">
        <v>22531</v>
      </c>
      <c r="F445" s="28" t="str">
        <f>IFERROR(VLOOKUP(TAB_OFICINAS[[#This Row],[Cliente]],LISTA_DE_CLIENTES[[Código]:[Nome Fantasia]],2,FALSE),"")</f>
        <v>MARIANA AURIEMO</v>
      </c>
      <c r="G445" s="5" t="str">
        <f>IFERROR(VLOOKUP(TAB_OFICINAS[[#This Row],[Cliente]],LISTA_DE_CLIENTES[[Código]:[Nome Fantasia]],3,FALSE),"")</f>
        <v>MARIANA AURIEMO</v>
      </c>
      <c r="H445" s="51" t="s">
        <v>21350</v>
      </c>
      <c r="I445" s="28" t="s">
        <v>21360</v>
      </c>
      <c r="J445" s="91">
        <v>7</v>
      </c>
      <c r="K445" s="86">
        <v>46086</v>
      </c>
      <c r="L445" s="10">
        <v>7</v>
      </c>
      <c r="M445" s="6">
        <v>46090</v>
      </c>
      <c r="N445" s="6">
        <v>46090</v>
      </c>
      <c r="O445" s="19">
        <f>TAB_OFICINAS[[#This Row],[Data Retorno Produção]]-TAB_OFICINAS[[#This Row],[Data Prometida  Entrega]]</f>
        <v>0</v>
      </c>
      <c r="P445" s="40" t="str">
        <f>IF(TAB_OFICINAS[[#This Row],[Dias Para Entrega]]&lt;=0,"Em dia","Dia de Atrasado")</f>
        <v>Em dia</v>
      </c>
      <c r="Q445" s="10">
        <f>IFERROR(TAB_OFICINAS[[#This Row],[Qtd pçs Enviadas]]-TAB_OFICINAS[[#This Row],[Qtd pçs Retornadas ]]," ")</f>
        <v>0</v>
      </c>
      <c r="R445" s="10">
        <v>0</v>
      </c>
      <c r="S445" s="5">
        <v>659</v>
      </c>
      <c r="T445" s="5">
        <v>19684</v>
      </c>
      <c r="U445" s="52">
        <v>3.6</v>
      </c>
      <c r="V445" s="44">
        <f>IFERROR(TAB_OFICINAS[[#This Row],[Valor Unit]]*TAB_OFICINAS[[#This Row],[Qtd pçs Enviadas]]," ")</f>
        <v>25.2</v>
      </c>
      <c r="W445" s="17">
        <v>46101</v>
      </c>
      <c r="X445" s="5" t="s">
        <v>6251</v>
      </c>
      <c r="Y445" s="27" t="s">
        <v>21351</v>
      </c>
      <c r="Z4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6" spans="3:26" hidden="1">
      <c r="C446" s="28" t="s">
        <v>15</v>
      </c>
      <c r="D446" s="5">
        <v>5247</v>
      </c>
      <c r="E446" s="5">
        <v>22531</v>
      </c>
      <c r="F446" s="28" t="str">
        <f>IFERROR(VLOOKUP(TAB_OFICINAS[[#This Row],[Cliente]],LISTA_DE_CLIENTES[[Código]:[Nome Fantasia]],2,FALSE),"")</f>
        <v>MARIANA AURIEMO</v>
      </c>
      <c r="G446" s="5" t="str">
        <f>IFERROR(VLOOKUP(TAB_OFICINAS[[#This Row],[Cliente]],LISTA_DE_CLIENTES[[Código]:[Nome Fantasia]],3,FALSE),"")</f>
        <v>MARIANA AURIEMO</v>
      </c>
      <c r="H446" s="51" t="s">
        <v>21356</v>
      </c>
      <c r="I446" s="28" t="s">
        <v>21363</v>
      </c>
      <c r="J446" s="91">
        <v>7</v>
      </c>
      <c r="K446" s="86">
        <v>46086</v>
      </c>
      <c r="L446" s="10">
        <v>7</v>
      </c>
      <c r="M446" s="6">
        <v>46090</v>
      </c>
      <c r="N446" s="6">
        <v>46090</v>
      </c>
      <c r="O446" s="19">
        <f>TAB_OFICINAS[[#This Row],[Data Retorno Produção]]-TAB_OFICINAS[[#This Row],[Data Prometida  Entrega]]</f>
        <v>0</v>
      </c>
      <c r="P446" s="40" t="str">
        <f>IF(TAB_OFICINAS[[#This Row],[Dias Para Entrega]]&lt;=0,"Em dia","Dia de Atrasado")</f>
        <v>Em dia</v>
      </c>
      <c r="Q446" s="10">
        <f>IFERROR(TAB_OFICINAS[[#This Row],[Qtd pçs Enviadas]]-TAB_OFICINAS[[#This Row],[Qtd pçs Retornadas ]]," ")</f>
        <v>0</v>
      </c>
      <c r="R446" s="10">
        <v>0</v>
      </c>
      <c r="S446" s="5">
        <v>659</v>
      </c>
      <c r="T446" s="5">
        <v>19684</v>
      </c>
      <c r="U446" s="52">
        <v>3.6</v>
      </c>
      <c r="V446" s="44">
        <f>IFERROR(TAB_OFICINAS[[#This Row],[Valor Unit]]*TAB_OFICINAS[[#This Row],[Qtd pçs Enviadas]]," ")</f>
        <v>25.2</v>
      </c>
      <c r="W446" s="17">
        <v>46101</v>
      </c>
      <c r="X446" s="5" t="s">
        <v>6251</v>
      </c>
      <c r="Y446" s="27" t="s">
        <v>21351</v>
      </c>
      <c r="Z4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7" spans="3:26" ht="28.5" hidden="1">
      <c r="C447" s="28" t="s">
        <v>15</v>
      </c>
      <c r="D447" s="5">
        <v>5247</v>
      </c>
      <c r="E447" s="5">
        <v>22531</v>
      </c>
      <c r="F447" s="28" t="str">
        <f>IFERROR(VLOOKUP(TAB_OFICINAS[[#This Row],[Cliente]],LISTA_DE_CLIENTES[[Código]:[Nome Fantasia]],2,FALSE),"")</f>
        <v>MARIANA AURIEMO</v>
      </c>
      <c r="G447" s="5" t="str">
        <f>IFERROR(VLOOKUP(TAB_OFICINAS[[#This Row],[Cliente]],LISTA_DE_CLIENTES[[Código]:[Nome Fantasia]],3,FALSE),"")</f>
        <v>MARIANA AURIEMO</v>
      </c>
      <c r="H447" s="51" t="s">
        <v>21352</v>
      </c>
      <c r="I447" s="28" t="s">
        <v>21361</v>
      </c>
      <c r="J447" s="91">
        <v>7</v>
      </c>
      <c r="K447" s="86">
        <v>46086</v>
      </c>
      <c r="L447" s="10">
        <v>7</v>
      </c>
      <c r="M447" s="6">
        <v>46094</v>
      </c>
      <c r="N447" s="6">
        <f ca="1">TODAY()</f>
        <v>46315</v>
      </c>
      <c r="O447" s="19">
        <f ca="1">TAB_OFICINAS[[#This Row],[Data Retorno Produção]]-TAB_OFICINAS[[#This Row],[Data Prometida  Entrega]]</f>
        <v>221</v>
      </c>
      <c r="P447" s="40" t="str">
        <f ca="1">IF(TAB_OFICINAS[[#This Row],[Dias Para Entrega]]&lt;=0,"Em dia","Dia de Atrasado")</f>
        <v>Dia de Atrasado</v>
      </c>
      <c r="Q447" s="10">
        <f>IFERROR(TAB_OFICINAS[[#This Row],[Qtd pçs Enviadas]]-TAB_OFICINAS[[#This Row],[Qtd pçs Retornadas ]]," ")</f>
        <v>0</v>
      </c>
      <c r="R447" s="10">
        <v>0</v>
      </c>
      <c r="S447" s="5">
        <v>659</v>
      </c>
      <c r="T447" s="5">
        <v>19689</v>
      </c>
      <c r="U447" s="52">
        <v>9</v>
      </c>
      <c r="V447" s="44">
        <f>IFERROR(TAB_OFICINAS[[#This Row],[Valor Unit]]*TAB_OFICINAS[[#This Row],[Qtd pçs Enviadas]]," ")</f>
        <v>63</v>
      </c>
      <c r="W447" s="17">
        <v>46101</v>
      </c>
      <c r="X447" s="5" t="s">
        <v>6251</v>
      </c>
      <c r="Y447" s="27" t="s">
        <v>21353</v>
      </c>
      <c r="Z4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8" spans="3:26" ht="28.5" hidden="1">
      <c r="C448" s="28" t="s">
        <v>15</v>
      </c>
      <c r="D448" s="5">
        <v>5247</v>
      </c>
      <c r="E448" s="5">
        <v>22531</v>
      </c>
      <c r="F448" s="28" t="str">
        <f>IFERROR(VLOOKUP(TAB_OFICINAS[[#This Row],[Cliente]],LISTA_DE_CLIENTES[[Código]:[Nome Fantasia]],2,FALSE),"")</f>
        <v>MARIANA AURIEMO</v>
      </c>
      <c r="G448" s="5" t="str">
        <f>IFERROR(VLOOKUP(TAB_OFICINAS[[#This Row],[Cliente]],LISTA_DE_CLIENTES[[Código]:[Nome Fantasia]],3,FALSE),"")</f>
        <v>MARIANA AURIEMO</v>
      </c>
      <c r="H448" s="51" t="s">
        <v>21357</v>
      </c>
      <c r="I448" s="28" t="s">
        <v>21364</v>
      </c>
      <c r="J448" s="91">
        <v>7</v>
      </c>
      <c r="K448" s="86">
        <v>46086</v>
      </c>
      <c r="L448" s="10">
        <v>7</v>
      </c>
      <c r="M448" s="6">
        <v>46094</v>
      </c>
      <c r="N448" s="6">
        <v>46094</v>
      </c>
      <c r="O448" s="19">
        <f>TAB_OFICINAS[[#This Row],[Data Retorno Produção]]-TAB_OFICINAS[[#This Row],[Data Prometida  Entrega]]</f>
        <v>0</v>
      </c>
      <c r="P448" s="40" t="str">
        <f>IF(TAB_OFICINAS[[#This Row],[Dias Para Entrega]]&lt;=0,"Em dia","Dia de Atrasado")</f>
        <v>Em dia</v>
      </c>
      <c r="Q448" s="10">
        <f>IFERROR(TAB_OFICINAS[[#This Row],[Qtd pçs Enviadas]]-TAB_OFICINAS[[#This Row],[Qtd pçs Retornadas ]]," ")</f>
        <v>0</v>
      </c>
      <c r="R448" s="10">
        <v>0</v>
      </c>
      <c r="S448" s="5">
        <v>659</v>
      </c>
      <c r="T448" s="5">
        <v>19689</v>
      </c>
      <c r="U448" s="52">
        <v>9</v>
      </c>
      <c r="V448" s="44">
        <f>IFERROR(TAB_OFICINAS[[#This Row],[Valor Unit]]*TAB_OFICINAS[[#This Row],[Qtd pçs Enviadas]]," ")</f>
        <v>63</v>
      </c>
      <c r="W448" s="17">
        <v>46101</v>
      </c>
      <c r="X448" s="5" t="s">
        <v>6251</v>
      </c>
      <c r="Y448" s="27" t="s">
        <v>21353</v>
      </c>
      <c r="Z4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49" spans="3:26" ht="28.5" hidden="1">
      <c r="C449" s="28" t="s">
        <v>15</v>
      </c>
      <c r="D449" s="5">
        <v>5247</v>
      </c>
      <c r="E449" s="5">
        <v>22531</v>
      </c>
      <c r="F449" s="28" t="str">
        <f>IFERROR(VLOOKUP(TAB_OFICINAS[[#This Row],[Cliente]],LISTA_DE_CLIENTES[[Código]:[Nome Fantasia]],2,FALSE),"")</f>
        <v>MARIANA AURIEMO</v>
      </c>
      <c r="G449" s="5" t="str">
        <f>IFERROR(VLOOKUP(TAB_OFICINAS[[#This Row],[Cliente]],LISTA_DE_CLIENTES[[Código]:[Nome Fantasia]],3,FALSE),"")</f>
        <v>MARIANA AURIEMO</v>
      </c>
      <c r="H449" s="51" t="s">
        <v>21358</v>
      </c>
      <c r="I449" s="28" t="s">
        <v>21365</v>
      </c>
      <c r="J449" s="91">
        <v>7</v>
      </c>
      <c r="K449" s="86">
        <v>46086</v>
      </c>
      <c r="L449" s="10">
        <v>7</v>
      </c>
      <c r="M449" s="6">
        <v>46094</v>
      </c>
      <c r="N449" s="6">
        <v>46094</v>
      </c>
      <c r="O449" s="19">
        <f>TAB_OFICINAS[[#This Row],[Data Retorno Produção]]-TAB_OFICINAS[[#This Row],[Data Prometida  Entrega]]</f>
        <v>0</v>
      </c>
      <c r="P449" s="40" t="str">
        <f>IF(TAB_OFICINAS[[#This Row],[Dias Para Entrega]]&lt;=0,"Em dia","Dia de Atrasado")</f>
        <v>Em dia</v>
      </c>
      <c r="Q449" s="10">
        <f>IFERROR(TAB_OFICINAS[[#This Row],[Qtd pçs Enviadas]]-TAB_OFICINAS[[#This Row],[Qtd pçs Retornadas ]]," ")</f>
        <v>0</v>
      </c>
      <c r="R449" s="10">
        <v>0</v>
      </c>
      <c r="S449" s="5">
        <v>659</v>
      </c>
      <c r="T449" s="5">
        <v>19689</v>
      </c>
      <c r="U449" s="52">
        <v>12</v>
      </c>
      <c r="V449" s="44">
        <f>IFERROR(TAB_OFICINAS[[#This Row],[Valor Unit]]*TAB_OFICINAS[[#This Row],[Qtd pçs Enviadas]]," ")</f>
        <v>84</v>
      </c>
      <c r="W449" s="17">
        <v>46101</v>
      </c>
      <c r="X449" s="5" t="s">
        <v>6251</v>
      </c>
      <c r="Y449" s="27" t="s">
        <v>21354</v>
      </c>
      <c r="Z4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0" spans="3:26" hidden="1">
      <c r="C450" s="28" t="s">
        <v>15</v>
      </c>
      <c r="D450" s="5">
        <v>1942</v>
      </c>
      <c r="E450" s="5">
        <v>22842</v>
      </c>
      <c r="F450" s="28" t="str">
        <f>IFERROR(VLOOKUP(TAB_OFICINAS[[#This Row],[Cliente]],LISTA_DE_CLIENTES[[Código]:[Nome Fantasia]],2,FALSE),"")</f>
        <v>ONCO STAR SP ONCOLOGIA LTDA (REDE D´OR)</v>
      </c>
      <c r="G450" s="5" t="str">
        <f>IFERROR(VLOOKUP(TAB_OFICINAS[[#This Row],[Cliente]],LISTA_DE_CLIENTES[[Código]:[Nome Fantasia]],3,FALSE),"")</f>
        <v>R DOR VILA NOVA STAR</v>
      </c>
      <c r="H450" s="63">
        <v>3301084129</v>
      </c>
      <c r="I450" s="28" t="s">
        <v>21238</v>
      </c>
      <c r="J450" s="91">
        <v>7</v>
      </c>
      <c r="K450" s="86">
        <v>46106</v>
      </c>
      <c r="L450" s="10">
        <v>7</v>
      </c>
      <c r="M450" s="6">
        <v>46108</v>
      </c>
      <c r="N450" s="6">
        <v>46108</v>
      </c>
      <c r="O450" s="19">
        <f>TAB_OFICINAS[[#This Row],[Data Retorno Produção]]-TAB_OFICINAS[[#This Row],[Data Prometida  Entrega]]</f>
        <v>0</v>
      </c>
      <c r="P450" s="40" t="str">
        <f>IF(TAB_OFICINAS[[#This Row],[Dias Para Entrega]]&lt;=0,"Em dia","Dia de Atrasado")</f>
        <v>Em dia</v>
      </c>
      <c r="Q450" s="10">
        <f>IFERROR(TAB_OFICINAS[[#This Row],[Qtd pçs Enviadas]]-TAB_OFICINAS[[#This Row],[Qtd pçs Retornadas ]]," ")</f>
        <v>0</v>
      </c>
      <c r="R450" s="10">
        <v>0</v>
      </c>
      <c r="S450" s="5">
        <v>642</v>
      </c>
      <c r="T450" s="5">
        <v>16977</v>
      </c>
      <c r="U450" s="52">
        <v>3.85</v>
      </c>
      <c r="V450" s="44">
        <f>IFERROR(TAB_OFICINAS[[#This Row],[Valor Unit]]*TAB_OFICINAS[[#This Row],[Qtd pçs Enviadas]]," ")</f>
        <v>26.95</v>
      </c>
      <c r="W450" s="17">
        <v>46091</v>
      </c>
      <c r="X450" s="5" t="s">
        <v>6251</v>
      </c>
      <c r="Y450" s="27" t="s">
        <v>21455</v>
      </c>
      <c r="Z4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1" spans="3:26" ht="85.5" hidden="1">
      <c r="C451" s="28" t="s">
        <v>18</v>
      </c>
      <c r="D451" s="5">
        <v>3346</v>
      </c>
      <c r="E451" s="5">
        <v>23170</v>
      </c>
      <c r="F451" s="28" t="str">
        <f>IFERROR(VLOOKUP(TAB_OFICINAS[[#This Row],[Cliente]],LISTA_DE_CLIENTES[[Código]:[Nome Fantasia]],2,FALSE),"")</f>
        <v>REDE D´OR SAO LUIZ S.A.</v>
      </c>
      <c r="G451" s="2" t="str">
        <f>IFERROR(VLOOKUP(TAB_OFICINAS[[#This Row],[Cliente]],LISTA_DE_CLIENTES[[Código]:[Nome Fantasia]],3,FALSE),"")</f>
        <v>MEMORIAL STAR</v>
      </c>
      <c r="H451" s="63">
        <v>2101105263</v>
      </c>
      <c r="I451" s="28" t="s">
        <v>21684</v>
      </c>
      <c r="J451" s="91">
        <v>252</v>
      </c>
      <c r="K451" s="86">
        <v>46171</v>
      </c>
      <c r="L451" s="10">
        <v>252</v>
      </c>
      <c r="M451" s="6">
        <v>46195</v>
      </c>
      <c r="N451" s="6">
        <v>46191</v>
      </c>
      <c r="O451" s="19">
        <f>TAB_OFICINAS[[#This Row],[Data Retorno Produção]]-TAB_OFICINAS[[#This Row],[Data Prometida  Entrega]]</f>
        <v>-4</v>
      </c>
      <c r="P451" s="40" t="str">
        <f>IF(TAB_OFICINAS[[#This Row],[Dias Para Entrega]]&lt;=0,"Em dia","Dia de Atrasado")</f>
        <v>Em dia</v>
      </c>
      <c r="Q451" s="10">
        <f>IFERROR(TAB_OFICINAS[[#This Row],[Qtd pçs Enviadas]]-TAB_OFICINAS[[#This Row],[Qtd pçs Retornadas ]]," ")</f>
        <v>0</v>
      </c>
      <c r="R451" s="10">
        <v>100</v>
      </c>
      <c r="S451" s="5">
        <v>862</v>
      </c>
      <c r="T451" s="5">
        <v>46</v>
      </c>
      <c r="U451" s="1">
        <v>6.5</v>
      </c>
      <c r="V451" s="3">
        <f>IFERROR(TAB_OFICINAS[[#This Row],[Valor Unit]]*TAB_OFICINAS[[#This Row],[Qtd pçs Enviadas]]," ")</f>
        <v>1638</v>
      </c>
      <c r="W451" s="17">
        <v>46202</v>
      </c>
      <c r="X451" s="5" t="s">
        <v>6251</v>
      </c>
      <c r="Y451" s="77" t="s">
        <v>23373</v>
      </c>
      <c r="Z4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2" spans="3:26" hidden="1">
      <c r="C452" s="28" t="s">
        <v>7</v>
      </c>
      <c r="D452" s="5" t="s">
        <v>20290</v>
      </c>
      <c r="E452" s="5">
        <v>473</v>
      </c>
      <c r="F452" s="28" t="s">
        <v>22335</v>
      </c>
      <c r="G452" s="5" t="str">
        <f>IFERROR(VLOOKUP(TAB_OFICINAS[[#This Row],[Cliente]],LISTA_DE_CLIENTES[[Código]:[Nome Fantasia]],3,FALSE),"")</f>
        <v/>
      </c>
      <c r="H452" s="63">
        <v>3913016215</v>
      </c>
      <c r="I452" s="28" t="s">
        <v>22331</v>
      </c>
      <c r="J452" s="91">
        <v>2</v>
      </c>
      <c r="K452" s="86">
        <v>46127</v>
      </c>
      <c r="L452" s="10">
        <v>2</v>
      </c>
      <c r="M452" s="6">
        <v>46129</v>
      </c>
      <c r="N452" s="6">
        <v>46129</v>
      </c>
      <c r="O452" s="19">
        <f>TAB_OFICINAS[[#This Row],[Data Retorno Produção]]-TAB_OFICINAS[[#This Row],[Data Prometida  Entrega]]</f>
        <v>0</v>
      </c>
      <c r="P452" s="40" t="str">
        <f>IF(TAB_OFICINAS[[#This Row],[Dias Para Entrega]]&lt;=0,"Em dia","Dia de Atrasado")</f>
        <v>Em dia</v>
      </c>
      <c r="Q452" s="10">
        <f>IFERROR(TAB_OFICINAS[[#This Row],[Qtd pçs Enviadas]]-TAB_OFICINAS[[#This Row],[Qtd pçs Retornadas ]]," ")</f>
        <v>0</v>
      </c>
      <c r="R452" s="10"/>
      <c r="S452" s="5">
        <v>762</v>
      </c>
      <c r="T452" s="5">
        <v>33</v>
      </c>
      <c r="U452" s="52">
        <v>6</v>
      </c>
      <c r="V452" s="44">
        <f>IFERROR(TAB_OFICINAS[[#This Row],[Valor Unit]]*TAB_OFICINAS[[#This Row],[Qtd pçs Enviadas]]," ")</f>
        <v>12</v>
      </c>
      <c r="W452" s="17">
        <v>46139</v>
      </c>
      <c r="X452" s="5" t="s">
        <v>6251</v>
      </c>
      <c r="Y452" s="27"/>
      <c r="Z4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3" spans="3:26" hidden="1">
      <c r="C453" s="28" t="s">
        <v>7</v>
      </c>
      <c r="D453" s="5" t="s">
        <v>20290</v>
      </c>
      <c r="E453" s="5">
        <v>473</v>
      </c>
      <c r="F453" s="28" t="s">
        <v>22335</v>
      </c>
      <c r="G453" s="5" t="str">
        <f>IFERROR(VLOOKUP(TAB_OFICINAS[[#This Row],[Cliente]],LISTA_DE_CLIENTES[[Código]:[Nome Fantasia]],3,FALSE),"")</f>
        <v/>
      </c>
      <c r="H453" s="63">
        <v>3913018215</v>
      </c>
      <c r="I453" s="28" t="s">
        <v>22330</v>
      </c>
      <c r="J453" s="91">
        <v>2</v>
      </c>
      <c r="K453" s="86">
        <v>46127</v>
      </c>
      <c r="L453" s="10">
        <v>2</v>
      </c>
      <c r="M453" s="6">
        <v>46129</v>
      </c>
      <c r="N453" s="6">
        <v>46129</v>
      </c>
      <c r="O453" s="19">
        <f>TAB_OFICINAS[[#This Row],[Data Retorno Produção]]-TAB_OFICINAS[[#This Row],[Data Prometida  Entrega]]</f>
        <v>0</v>
      </c>
      <c r="P453" s="40" t="str">
        <f>IF(TAB_OFICINAS[[#This Row],[Dias Para Entrega]]&lt;=0,"Em dia","Dia de Atrasado")</f>
        <v>Em dia</v>
      </c>
      <c r="Q453" s="10">
        <f>IFERROR(TAB_OFICINAS[[#This Row],[Qtd pçs Enviadas]]-TAB_OFICINAS[[#This Row],[Qtd pçs Retornadas ]]," ")</f>
        <v>0</v>
      </c>
      <c r="R453" s="10"/>
      <c r="S453" s="5">
        <v>762</v>
      </c>
      <c r="T453" s="5">
        <v>33</v>
      </c>
      <c r="U453" s="52">
        <v>6</v>
      </c>
      <c r="V453" s="44">
        <f>IFERROR(TAB_OFICINAS[[#This Row],[Valor Unit]]*TAB_OFICINAS[[#This Row],[Qtd pçs Enviadas]]," ")</f>
        <v>12</v>
      </c>
      <c r="W453" s="17">
        <v>46139</v>
      </c>
      <c r="X453" s="5" t="s">
        <v>6251</v>
      </c>
      <c r="Y453" s="27"/>
      <c r="Z4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4" spans="3:26" hidden="1">
      <c r="C454" s="28" t="s">
        <v>15</v>
      </c>
      <c r="D454" s="5">
        <v>5378</v>
      </c>
      <c r="E454" s="5">
        <v>23524</v>
      </c>
      <c r="F454" s="28" t="str">
        <f>IFERROR(VLOOKUP(TAB_OFICINAS[[#This Row],[Cliente]],LISTA_DE_CLIENTES[[Código]:[Nome Fantasia]],2,FALSE),"")</f>
        <v>ZIREH IMOVEIS E PARTICIPACOES LTDA</v>
      </c>
      <c r="G454" s="2" t="str">
        <f>IFERROR(VLOOKUP(TAB_OFICINAS[[#This Row],[Cliente]],LISTA_DE_CLIENTES[[Código]:[Nome Fantasia]],3,FALSE),"")</f>
        <v>ZIREH IMOVEIS</v>
      </c>
      <c r="H454" s="51">
        <v>3301099928</v>
      </c>
      <c r="I454" s="28" t="str">
        <f>IFERROR(VLOOKUP(TAB_OFICINAS[[#This Row],[Codigo Produto ]],_000___PEDIDOS_DE_CLIENTES[[Data.Column2]:[Descrição Produto]],2,FALSE)," ")</f>
        <v xml:space="preserve"> </v>
      </c>
      <c r="J454" s="91">
        <v>7</v>
      </c>
      <c r="K454" s="88">
        <v>46196</v>
      </c>
      <c r="L454" s="9">
        <v>7</v>
      </c>
      <c r="M454" s="6">
        <v>46198</v>
      </c>
      <c r="N454" s="6">
        <f ca="1">TODAY()</f>
        <v>46315</v>
      </c>
      <c r="O454" s="23">
        <f ca="1">TAB_OFICINAS[[#This Row],[Data Retorno Produção]]-TAB_OFICINAS[[#This Row],[Data Prometida  Entrega]]</f>
        <v>117</v>
      </c>
      <c r="P454" s="98" t="str">
        <f ca="1">IF(TAB_OFICINAS[[#This Row],[Dias Para Entrega]]&lt;=0,"Em dia","Dia de Atrasado")</f>
        <v>Dia de Atrasado</v>
      </c>
      <c r="Q454" s="24">
        <f>IFERROR(TAB_OFICINAS[[#This Row],[Qtd pçs Enviadas]]-TAB_OFICINAS[[#This Row],[Qtd pçs Retornadas ]],"N/D ")</f>
        <v>0</v>
      </c>
      <c r="R454" s="24"/>
      <c r="S454" s="5">
        <v>3284</v>
      </c>
      <c r="T454" s="5">
        <v>17358</v>
      </c>
      <c r="U454" s="11">
        <v>4</v>
      </c>
      <c r="V454" s="25">
        <f>IFERROR(TAB_OFICINAS[[#This Row],[Valor Unit]]*TAB_OFICINAS[[#This Row],[Qtd pçs Enviadas]]," ")</f>
        <v>28</v>
      </c>
      <c r="W454" s="26">
        <v>46205</v>
      </c>
      <c r="X454" s="17" t="s">
        <v>6251</v>
      </c>
      <c r="Y454" s="27" t="s">
        <v>23417</v>
      </c>
      <c r="Z4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5" spans="3:26" hidden="1">
      <c r="C455" s="28" t="s">
        <v>1</v>
      </c>
      <c r="D455" s="5">
        <v>943</v>
      </c>
      <c r="E455" s="5">
        <v>22882</v>
      </c>
      <c r="F455" s="28" t="str">
        <f>IFERROR(VLOOKUP(TAB_OFICINAS[[#This Row],[Cliente]],LISTA_DE_CLIENTES[[Código]:[Nome Fantasia]],2,FALSE),"")</f>
        <v>REDE DOR SAO LUIZ S.A.</v>
      </c>
      <c r="G455" s="5" t="str">
        <f>IFERROR(VLOOKUP(TAB_OFICINAS[[#This Row],[Cliente]],LISTA_DE_CLIENTES[[Código]:[Nome Fantasia]],3,FALSE),"")</f>
        <v>HOSPITAL COPA STAR</v>
      </c>
      <c r="H455" s="63">
        <v>2103067944</v>
      </c>
      <c r="I455" s="28" t="s">
        <v>21174</v>
      </c>
      <c r="J455" s="91">
        <v>600</v>
      </c>
      <c r="K455" s="86">
        <v>46112</v>
      </c>
      <c r="L455" s="10">
        <v>600</v>
      </c>
      <c r="M455" s="6">
        <v>46119</v>
      </c>
      <c r="N455" s="6">
        <v>46119</v>
      </c>
      <c r="O455" s="19">
        <f>TAB_OFICINAS[[#This Row],[Data Retorno Produção]]-TAB_OFICINAS[[#This Row],[Data Prometida  Entrega]]</f>
        <v>0</v>
      </c>
      <c r="P455" s="40" t="str">
        <f>IF(TAB_OFICINAS[[#This Row],[Dias Para Entrega]]&lt;=0,"Em dia","Dia de Atrasado")</f>
        <v>Em dia</v>
      </c>
      <c r="Q455" s="10">
        <f>IFERROR(TAB_OFICINAS[[#This Row],[Qtd pçs Enviadas]]-TAB_OFICINAS[[#This Row],[Qtd pçs Retornadas ]]," ")</f>
        <v>0</v>
      </c>
      <c r="R455" s="10">
        <v>0</v>
      </c>
      <c r="S455" s="5">
        <v>600</v>
      </c>
      <c r="T455" s="5">
        <v>45</v>
      </c>
      <c r="U455" s="52">
        <v>3</v>
      </c>
      <c r="V455" s="44">
        <f>IFERROR(TAB_OFICINAS[[#This Row],[Valor Unit]]*TAB_OFICINAS[[#This Row],[Qtd pçs Enviadas]]," ")</f>
        <v>1800</v>
      </c>
      <c r="W455" s="17">
        <v>46129</v>
      </c>
      <c r="X455" s="5" t="s">
        <v>6251</v>
      </c>
      <c r="Y455" s="27"/>
      <c r="Z4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6" spans="3:26" ht="15" hidden="1">
      <c r="C456" s="80" t="s">
        <v>1</v>
      </c>
      <c r="D456" s="5">
        <v>943</v>
      </c>
      <c r="E456" s="5">
        <v>22882</v>
      </c>
      <c r="F456" s="28" t="str">
        <f>IFERROR(VLOOKUP(TAB_OFICINAS[[#This Row],[Cliente]],LISTA_DE_CLIENTES[[Código]:[Nome Fantasia]],2,FALSE),"")</f>
        <v>REDE DOR SAO LUIZ S.A.</v>
      </c>
      <c r="G456" s="5" t="str">
        <f>IFERROR(VLOOKUP(TAB_OFICINAS[[#This Row],[Cliente]],LISTA_DE_CLIENTES[[Código]:[Nome Fantasia]],3,FALSE),"")</f>
        <v>HOSPITAL COPA STAR</v>
      </c>
      <c r="H456" s="63">
        <v>2101105263</v>
      </c>
      <c r="I456" s="28" t="s">
        <v>21684</v>
      </c>
      <c r="J456" s="91">
        <v>275</v>
      </c>
      <c r="K456" s="86">
        <v>46119</v>
      </c>
      <c r="L456" s="10">
        <v>275</v>
      </c>
      <c r="M456" s="6">
        <v>46132</v>
      </c>
      <c r="N456" s="6">
        <v>46127</v>
      </c>
      <c r="O456" s="19">
        <f>TAB_OFICINAS[[#This Row],[Data Retorno Produção]]-TAB_OFICINAS[[#This Row],[Data Prometida  Entrega]]</f>
        <v>-5</v>
      </c>
      <c r="P456" s="40" t="str">
        <f>IF(TAB_OFICINAS[[#This Row],[Dias Para Entrega]]&lt;=0,"Em dia","Dia de Atrasado")</f>
        <v>Em dia</v>
      </c>
      <c r="Q456" s="10">
        <f>IFERROR(TAB_OFICINAS[[#This Row],[Qtd pçs Enviadas]]-TAB_OFICINAS[[#This Row],[Qtd pçs Retornadas ]]," ")</f>
        <v>0</v>
      </c>
      <c r="R456" s="10"/>
      <c r="S456" s="5">
        <v>738</v>
      </c>
      <c r="T456" s="5">
        <v>46</v>
      </c>
      <c r="U456" s="52">
        <v>6.5</v>
      </c>
      <c r="V456" s="44">
        <f>IFERROR(TAB_OFICINAS[[#This Row],[Valor Unit]]*TAB_OFICINAS[[#This Row],[Qtd pçs Enviadas]]," ")</f>
        <v>1787.5</v>
      </c>
      <c r="W456" s="17">
        <v>46139</v>
      </c>
      <c r="X456" s="5" t="s">
        <v>6251</v>
      </c>
      <c r="Y456" s="27"/>
      <c r="Z4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57" spans="3:26" hidden="1">
      <c r="C457" s="28" t="s">
        <v>1</v>
      </c>
      <c r="D457" s="5">
        <v>3074</v>
      </c>
      <c r="E457" s="5">
        <v>23202</v>
      </c>
      <c r="F457" s="28" t="str">
        <f>IFERROR(VLOOKUP(TAB_OFICINAS[[#This Row],[Cliente]],LISTA_DE_CLIENTES[[Código]:[Nome Fantasia]],2,FALSE),"")</f>
        <v>QUEBRA-NOZ SERVICOS DE HOTELARIA LTDA</v>
      </c>
      <c r="G457" s="5" t="str">
        <f>IFERROR(VLOOKUP(TAB_OFICINAS[[#This Row],[Cliente]],LISTA_DE_CLIENTES[[Código]:[Nome Fantasia]],3,FALSE),"")</f>
        <v>QUEBRA N0Z</v>
      </c>
      <c r="H457" s="63">
        <v>92102169628</v>
      </c>
      <c r="I457" s="28" t="s">
        <v>22165</v>
      </c>
      <c r="J457" s="91">
        <v>150</v>
      </c>
      <c r="K457" s="86">
        <v>46128</v>
      </c>
      <c r="L457" s="10">
        <v>0</v>
      </c>
      <c r="M457" s="6">
        <v>46140</v>
      </c>
      <c r="N457" s="6">
        <v>46139</v>
      </c>
      <c r="O457" s="19">
        <f>TAB_OFICINAS[[#This Row],[Data Retorno Produção]]-TAB_OFICINAS[[#This Row],[Data Prometida  Entrega]]</f>
        <v>-1</v>
      </c>
      <c r="P457" s="40" t="str">
        <f>IF(TAB_OFICINAS[[#This Row],[Dias Para Entrega]]&lt;=0,"Em dia","Dia de Atrasado")</f>
        <v>Em dia</v>
      </c>
      <c r="Q457" s="10">
        <v>0</v>
      </c>
      <c r="R457" s="10"/>
      <c r="S457" s="5">
        <v>764</v>
      </c>
      <c r="T457" s="5">
        <v>47</v>
      </c>
      <c r="U457" s="52">
        <v>12</v>
      </c>
      <c r="V457" s="44">
        <f>IFERROR(TAB_OFICINAS[[#This Row],[Valor Unit]]*TAB_OFICINAS[[#This Row],[Qtd pçs Enviadas]]," ")</f>
        <v>1800</v>
      </c>
      <c r="W457" s="17">
        <f>TAB_OFICINAS[[#This Row],[Data Retorno Produção]]+10</f>
        <v>46149</v>
      </c>
      <c r="X457" s="5" t="s">
        <v>6251</v>
      </c>
      <c r="Y457" s="27"/>
      <c r="Z457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58" spans="3:26" hidden="1">
      <c r="C458" s="28" t="s">
        <v>1</v>
      </c>
      <c r="D458" s="5">
        <v>3074</v>
      </c>
      <c r="E458" s="5">
        <v>23202</v>
      </c>
      <c r="F458" s="28" t="str">
        <f>IFERROR(VLOOKUP(TAB_OFICINAS[[#This Row],[Cliente]],LISTA_DE_CLIENTES[[Código]:[Nome Fantasia]],2,FALSE),"")</f>
        <v>QUEBRA-NOZ SERVICOS DE HOTELARIA LTDA</v>
      </c>
      <c r="G458" s="5" t="str">
        <f>IFERROR(VLOOKUP(TAB_OFICINAS[[#This Row],[Cliente]],LISTA_DE_CLIENTES[[Código]:[Nome Fantasia]],3,FALSE),"")</f>
        <v>QUEBRA N0Z</v>
      </c>
      <c r="H458" s="63">
        <v>92102065087</v>
      </c>
      <c r="I458" s="28" t="s">
        <v>22163</v>
      </c>
      <c r="J458" s="91">
        <v>75</v>
      </c>
      <c r="K458" s="86">
        <v>46128</v>
      </c>
      <c r="L458" s="10"/>
      <c r="M458" s="6">
        <v>46140</v>
      </c>
      <c r="N458" s="6">
        <v>46139</v>
      </c>
      <c r="O458" s="19">
        <f>TAB_OFICINAS[[#This Row],[Data Retorno Produção]]-TAB_OFICINAS[[#This Row],[Data Prometida  Entrega]]</f>
        <v>-1</v>
      </c>
      <c r="P458" s="40" t="str">
        <f>IF(TAB_OFICINAS[[#This Row],[Dias Para Entrega]]&lt;=0,"Em dia","Dia de Atrasado")</f>
        <v>Em dia</v>
      </c>
      <c r="Q458" s="10">
        <v>0</v>
      </c>
      <c r="R458" s="10"/>
      <c r="S458" s="5">
        <v>764</v>
      </c>
      <c r="T458" s="5">
        <v>47</v>
      </c>
      <c r="U458" s="52">
        <v>9</v>
      </c>
      <c r="V458" s="44">
        <f>IFERROR(TAB_OFICINAS[[#This Row],[Valor Unit]]*TAB_OFICINAS[[#This Row],[Qtd pçs Enviadas]]," ")</f>
        <v>675</v>
      </c>
      <c r="W458" s="17">
        <v>46149</v>
      </c>
      <c r="X458" s="5" t="s">
        <v>6251</v>
      </c>
      <c r="Y458" s="27"/>
      <c r="Z458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59" spans="3:26" hidden="1">
      <c r="C459" s="28" t="s">
        <v>15</v>
      </c>
      <c r="D459" s="5" t="s">
        <v>20290</v>
      </c>
      <c r="E459" s="5">
        <v>450</v>
      </c>
      <c r="F459" s="28" t="s">
        <v>20385</v>
      </c>
      <c r="G459" s="5" t="str">
        <f>IFERROR(VLOOKUP(TAB_OFICINAS[[#This Row],[Cliente]],LISTA_DE_CLIENTES[[Código]:[Nome Fantasia]],3,FALSE),"")</f>
        <v/>
      </c>
      <c r="H459" s="51" t="s">
        <v>23962</v>
      </c>
      <c r="I459" s="28" t="s">
        <v>20416</v>
      </c>
      <c r="J459" s="91">
        <v>6</v>
      </c>
      <c r="K459" s="86">
        <v>46055</v>
      </c>
      <c r="L459" s="10">
        <v>6</v>
      </c>
      <c r="M459" s="6">
        <v>46062</v>
      </c>
      <c r="N459" s="6">
        <v>46062</v>
      </c>
      <c r="O459" s="19">
        <f>TAB_OFICINAS[[#This Row],[Data Retorno Produção]]-TAB_OFICINAS[[#This Row],[Data Prometida  Entrega]]</f>
        <v>0</v>
      </c>
      <c r="P459" s="40" t="str">
        <f>IF(TAB_OFICINAS[[#This Row],[Dias Para Entrega]]&lt;=0,"Em dia","Dia de Atrasado")</f>
        <v>Em dia</v>
      </c>
      <c r="Q459" s="10">
        <f>IFERROR(TAB_OFICINAS[[#This Row],[Qtd pçs Enviadas]]-TAB_OFICINAS[[#This Row],[Qtd pçs Retornadas ]],"N/D ")</f>
        <v>0</v>
      </c>
      <c r="R459" s="10">
        <v>0</v>
      </c>
      <c r="S459" s="5">
        <v>3106</v>
      </c>
      <c r="T459" s="5">
        <v>16903</v>
      </c>
      <c r="U459" s="52">
        <v>10</v>
      </c>
      <c r="V459" s="44">
        <f>IFERROR(TAB_OFICINAS[[#This Row],[Valor Unit]]*TAB_OFICINAS[[#This Row],[Qtd pçs Enviadas]]," ")</f>
        <v>60</v>
      </c>
      <c r="W459" s="17">
        <v>46069</v>
      </c>
      <c r="X459" s="5" t="s">
        <v>6251</v>
      </c>
      <c r="Y459" s="27"/>
      <c r="Z4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0" spans="3:26" hidden="1">
      <c r="C460" s="28" t="s">
        <v>15</v>
      </c>
      <c r="D460" s="5" t="s">
        <v>20290</v>
      </c>
      <c r="E460" s="5">
        <v>450</v>
      </c>
      <c r="F460" s="28" t="s">
        <v>20385</v>
      </c>
      <c r="G460" s="5" t="str">
        <f>IFERROR(VLOOKUP(TAB_OFICINAS[[#This Row],[Cliente]],LISTA_DE_CLIENTES[[Código]:[Nome Fantasia]],3,FALSE),"")</f>
        <v/>
      </c>
      <c r="H460" s="51" t="s">
        <v>23962</v>
      </c>
      <c r="I460" s="28" t="s">
        <v>20417</v>
      </c>
      <c r="J460" s="91">
        <v>6</v>
      </c>
      <c r="K460" s="86">
        <v>46055</v>
      </c>
      <c r="L460" s="10">
        <v>6</v>
      </c>
      <c r="M460" s="6">
        <v>46062</v>
      </c>
      <c r="N460" s="6">
        <v>46062</v>
      </c>
      <c r="O460" s="19">
        <f>TAB_OFICINAS[[#This Row],[Data Retorno Produção]]-TAB_OFICINAS[[#This Row],[Data Prometida  Entrega]]</f>
        <v>0</v>
      </c>
      <c r="P460" s="40" t="str">
        <f>IF(TAB_OFICINAS[[#This Row],[Dias Para Entrega]]&lt;=0,"Em dia","Dia de Atrasado")</f>
        <v>Em dia</v>
      </c>
      <c r="Q460" s="10">
        <f>IFERROR(TAB_OFICINAS[[#This Row],[Qtd pçs Enviadas]]-TAB_OFICINAS[[#This Row],[Qtd pçs Retornadas ]],"N/D ")</f>
        <v>0</v>
      </c>
      <c r="R460" s="10">
        <v>0</v>
      </c>
      <c r="S460" s="5">
        <v>3106</v>
      </c>
      <c r="T460" s="5">
        <v>16903</v>
      </c>
      <c r="U460" s="52">
        <v>10</v>
      </c>
      <c r="V460" s="44">
        <f>IFERROR(TAB_OFICINAS[[#This Row],[Valor Unit]]*TAB_OFICINAS[[#This Row],[Qtd pçs Enviadas]]," ")</f>
        <v>60</v>
      </c>
      <c r="W460" s="17">
        <v>46069</v>
      </c>
      <c r="X460" s="5" t="s">
        <v>6251</v>
      </c>
      <c r="Y460" s="27"/>
      <c r="Z4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1" spans="3:26" hidden="1">
      <c r="C461" s="28" t="s">
        <v>15</v>
      </c>
      <c r="D461" s="5" t="s">
        <v>20290</v>
      </c>
      <c r="E461" s="5">
        <v>450</v>
      </c>
      <c r="F461" s="28" t="s">
        <v>20385</v>
      </c>
      <c r="G461" s="5" t="str">
        <f>IFERROR(VLOOKUP(TAB_OFICINAS[[#This Row],[Cliente]],LISTA_DE_CLIENTES[[Código]:[Nome Fantasia]],3,FALSE),"")</f>
        <v/>
      </c>
      <c r="H461" s="51" t="s">
        <v>23962</v>
      </c>
      <c r="I461" s="28" t="s">
        <v>20418</v>
      </c>
      <c r="J461" s="91">
        <v>6</v>
      </c>
      <c r="K461" s="86">
        <v>46055</v>
      </c>
      <c r="L461" s="10">
        <v>6</v>
      </c>
      <c r="M461" s="6">
        <v>46062</v>
      </c>
      <c r="N461" s="6">
        <v>46062</v>
      </c>
      <c r="O461" s="19">
        <f>TAB_OFICINAS[[#This Row],[Data Retorno Produção]]-TAB_OFICINAS[[#This Row],[Data Prometida  Entrega]]</f>
        <v>0</v>
      </c>
      <c r="P461" s="40" t="str">
        <f>IF(TAB_OFICINAS[[#This Row],[Dias Para Entrega]]&lt;=0,"Em dia","Dia de Atrasado")</f>
        <v>Em dia</v>
      </c>
      <c r="Q461" s="10">
        <f>IFERROR(TAB_OFICINAS[[#This Row],[Qtd pçs Enviadas]]-TAB_OFICINAS[[#This Row],[Qtd pçs Retornadas ]],"N/D ")</f>
        <v>0</v>
      </c>
      <c r="R461" s="10">
        <v>0</v>
      </c>
      <c r="S461" s="5">
        <v>3106</v>
      </c>
      <c r="T461" s="5">
        <v>16903</v>
      </c>
      <c r="U461" s="52">
        <v>10</v>
      </c>
      <c r="V461" s="44">
        <f>IFERROR(TAB_OFICINAS[[#This Row],[Valor Unit]]*TAB_OFICINAS[[#This Row],[Qtd pçs Enviadas]]," ")</f>
        <v>60</v>
      </c>
      <c r="W461" s="17">
        <v>46069</v>
      </c>
      <c r="X461" s="5" t="s">
        <v>6251</v>
      </c>
      <c r="Y461" s="27"/>
      <c r="Z4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2" spans="3:26" hidden="1">
      <c r="C462" s="73" t="s">
        <v>3</v>
      </c>
      <c r="D462" s="35">
        <v>5338</v>
      </c>
      <c r="E462" s="35">
        <v>22740</v>
      </c>
      <c r="F462" s="28" t="str">
        <f>IFERROR(VLOOKUP(TAB_OFICINAS[[#This Row],[Cliente]],LISTA_DE_CLIENTES[[Código]:[Nome Fantasia]],2,FALSE),"")</f>
        <v>MAISON CARMELO INCORPORACOES SPE LTDA</v>
      </c>
      <c r="G462" s="5" t="str">
        <f>IFERROR(VLOOKUP(TAB_OFICINAS[[#This Row],[Cliente]],LISTA_DE_CLIENTES[[Código]:[Nome Fantasia]],3,FALSE),"")</f>
        <v>SAN REMO</v>
      </c>
      <c r="H462" s="36">
        <v>3302127895</v>
      </c>
      <c r="I462" s="73" t="s">
        <v>21059</v>
      </c>
      <c r="J462" s="92">
        <v>6</v>
      </c>
      <c r="K462" s="83">
        <v>46077</v>
      </c>
      <c r="L462" s="37">
        <v>6</v>
      </c>
      <c r="M462" s="83">
        <v>46084</v>
      </c>
      <c r="N462" s="83">
        <v>46079</v>
      </c>
      <c r="O462" s="39">
        <v>-5</v>
      </c>
      <c r="P462" s="40" t="str">
        <f>IF(TAB_OFICINAS[[#This Row],[Dias Para Entrega]]&lt;=0,"Em dia","Dia de Atrasado")</f>
        <v>Em dia</v>
      </c>
      <c r="Q462" s="41">
        <v>0</v>
      </c>
      <c r="R462" s="37">
        <v>0</v>
      </c>
      <c r="S462" s="35">
        <v>622</v>
      </c>
      <c r="T462" s="35">
        <v>97</v>
      </c>
      <c r="U462" s="43">
        <v>4.5</v>
      </c>
      <c r="V462" s="44">
        <f>IFERROR(TAB_OFICINAS[[#This Row],[Valor Unit]]*TAB_OFICINAS[[#This Row],[Qtd pçs Enviadas]]," ")</f>
        <v>27</v>
      </c>
      <c r="W462" s="38">
        <v>46089</v>
      </c>
      <c r="X462" s="35" t="s">
        <v>6251</v>
      </c>
      <c r="Y462" s="45"/>
      <c r="Z4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3" spans="3:26" hidden="1">
      <c r="C463" s="28" t="s">
        <v>15</v>
      </c>
      <c r="D463" s="5">
        <v>5338</v>
      </c>
      <c r="E463" s="5">
        <v>22740</v>
      </c>
      <c r="F463" s="28" t="str">
        <f>IFERROR(VLOOKUP(TAB_OFICINAS[[#This Row],[Cliente]],LISTA_DE_CLIENTES[[Código]:[Nome Fantasia]],2,FALSE),"")</f>
        <v>MAISON CARMELO INCORPORACOES SPE LTDA</v>
      </c>
      <c r="G463" s="5" t="str">
        <f>IFERROR(VLOOKUP(TAB_OFICINAS[[#This Row],[Cliente]],LISTA_DE_CLIENTES[[Código]:[Nome Fantasia]],3,FALSE),"")</f>
        <v>SAN REMO</v>
      </c>
      <c r="H463" s="63">
        <v>3302127895</v>
      </c>
      <c r="I463" s="28" t="s">
        <v>21059</v>
      </c>
      <c r="J463" s="91">
        <v>6</v>
      </c>
      <c r="K463" s="86">
        <v>46080</v>
      </c>
      <c r="L463" s="10">
        <v>6</v>
      </c>
      <c r="M463" s="6">
        <v>46083</v>
      </c>
      <c r="N463" s="6">
        <v>46083</v>
      </c>
      <c r="O463" s="19">
        <f>TAB_OFICINAS[[#This Row],[Data Retorno Produção]]-TAB_OFICINAS[[#This Row],[Data Prometida  Entrega]]</f>
        <v>0</v>
      </c>
      <c r="P463" s="40" t="str">
        <f>IF(TAB_OFICINAS[[#This Row],[Dias Para Entrega]]&lt;=0,"Em dia","Dia de Atrasado")</f>
        <v>Em dia</v>
      </c>
      <c r="Q463" s="10">
        <f>IFERROR(TAB_OFICINAS[[#This Row],[Qtd pçs Enviadas]]-TAB_OFICINAS[[#This Row],[Qtd pçs Retornadas ]]," ")</f>
        <v>0</v>
      </c>
      <c r="R463" s="10">
        <v>0</v>
      </c>
      <c r="S463" s="5">
        <v>642</v>
      </c>
      <c r="T463" s="5">
        <v>16977</v>
      </c>
      <c r="U463" s="52">
        <v>4</v>
      </c>
      <c r="V463" s="44">
        <f>IFERROR(TAB_OFICINAS[[#This Row],[Valor Unit]]*TAB_OFICINAS[[#This Row],[Qtd pçs Enviadas]]," ")</f>
        <v>24</v>
      </c>
      <c r="W463" s="17">
        <v>46091</v>
      </c>
      <c r="X463" s="5" t="s">
        <v>6251</v>
      </c>
      <c r="Y463" s="27" t="s">
        <v>21331</v>
      </c>
      <c r="Z4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4" spans="3:26" ht="28.5" hidden="1">
      <c r="C464" s="28" t="s">
        <v>15</v>
      </c>
      <c r="D464" s="5">
        <v>943</v>
      </c>
      <c r="E464" s="5">
        <v>22882</v>
      </c>
      <c r="F464" s="28" t="str">
        <f>IFERROR(VLOOKUP(TAB_OFICINAS[[#This Row],[Cliente]],LISTA_DE_CLIENTES[[Código]:[Nome Fantasia]],2,FALSE),"")</f>
        <v>REDE DOR SAO LUIZ S.A.</v>
      </c>
      <c r="G464" s="5" t="str">
        <f>IFERROR(VLOOKUP(TAB_OFICINAS[[#This Row],[Cliente]],LISTA_DE_CLIENTES[[Código]:[Nome Fantasia]],3,FALSE),"")</f>
        <v>HOSPITAL COPA STAR</v>
      </c>
      <c r="H464" s="63">
        <v>2103067944</v>
      </c>
      <c r="I464" s="28" t="s">
        <v>21174</v>
      </c>
      <c r="J464" s="91">
        <v>6</v>
      </c>
      <c r="K464" s="86">
        <v>46054</v>
      </c>
      <c r="L464" s="10">
        <v>6</v>
      </c>
      <c r="M464" s="6">
        <v>46121</v>
      </c>
      <c r="N464" s="6">
        <v>46121</v>
      </c>
      <c r="O464" s="19">
        <f>TAB_OFICINAS[[#This Row],[Data Retorno Produção]]-TAB_OFICINAS[[#This Row],[Data Prometida  Entrega]]</f>
        <v>0</v>
      </c>
      <c r="P464" s="40" t="str">
        <f>IF(TAB_OFICINAS[[#This Row],[Dias Para Entrega]]&lt;=0,"Em dia","Dia de Atrasado")</f>
        <v>Em dia</v>
      </c>
      <c r="Q464" s="10">
        <f>IFERROR(TAB_OFICINAS[[#This Row],[Qtd pçs Enviadas]]-TAB_OFICINAS[[#This Row],[Qtd pçs Retornadas ]]," ")</f>
        <v>0</v>
      </c>
      <c r="R464" s="10">
        <v>0</v>
      </c>
      <c r="S464" s="5">
        <v>726</v>
      </c>
      <c r="T464" s="5">
        <v>17103</v>
      </c>
      <c r="U464" s="52">
        <v>3.85</v>
      </c>
      <c r="V464" s="44">
        <v>19.25</v>
      </c>
      <c r="W464" s="17">
        <v>46132</v>
      </c>
      <c r="X464" s="5" t="s">
        <v>6251</v>
      </c>
      <c r="Y464" s="27" t="s">
        <v>21465</v>
      </c>
      <c r="Z4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5" spans="3:26" hidden="1">
      <c r="C465" s="28" t="s">
        <v>7</v>
      </c>
      <c r="D465" s="5" t="s">
        <v>20290</v>
      </c>
      <c r="E465" s="5">
        <v>473</v>
      </c>
      <c r="F465" s="28" t="s">
        <v>22335</v>
      </c>
      <c r="G465" s="5" t="str">
        <f>IFERROR(VLOOKUP(TAB_OFICINAS[[#This Row],[Cliente]],LISTA_DE_CLIENTES[[Código]:[Nome Fantasia]],3,FALSE),"")</f>
        <v/>
      </c>
      <c r="H465" s="63">
        <v>3913018212</v>
      </c>
      <c r="I465" s="28" t="s">
        <v>22329</v>
      </c>
      <c r="J465" s="91">
        <v>1</v>
      </c>
      <c r="K465" s="86">
        <v>46127</v>
      </c>
      <c r="L465" s="10">
        <v>1</v>
      </c>
      <c r="M465" s="6">
        <v>46129</v>
      </c>
      <c r="N465" s="6">
        <v>46129</v>
      </c>
      <c r="O465" s="19">
        <f>TAB_OFICINAS[[#This Row],[Data Retorno Produção]]-TAB_OFICINAS[[#This Row],[Data Prometida  Entrega]]</f>
        <v>0</v>
      </c>
      <c r="P465" s="40" t="str">
        <f>IF(TAB_OFICINAS[[#This Row],[Dias Para Entrega]]&lt;=0,"Em dia","Dia de Atrasado")</f>
        <v>Em dia</v>
      </c>
      <c r="Q465" s="10">
        <f>IFERROR(TAB_OFICINAS[[#This Row],[Qtd pçs Enviadas]]-TAB_OFICINAS[[#This Row],[Qtd pçs Retornadas ]]," ")</f>
        <v>0</v>
      </c>
      <c r="R465" s="10"/>
      <c r="S465" s="5">
        <v>762</v>
      </c>
      <c r="T465" s="5">
        <v>33</v>
      </c>
      <c r="U465" s="52">
        <v>6</v>
      </c>
      <c r="V465" s="44">
        <f>IFERROR(TAB_OFICINAS[[#This Row],[Valor Unit]]*TAB_OFICINAS[[#This Row],[Qtd pçs Enviadas]]," ")</f>
        <v>6</v>
      </c>
      <c r="W465" s="17">
        <v>46139</v>
      </c>
      <c r="X465" s="5" t="s">
        <v>6251</v>
      </c>
      <c r="Y465" s="27"/>
      <c r="Z4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6" spans="3:26" hidden="1">
      <c r="C466" s="28" t="s">
        <v>7</v>
      </c>
      <c r="D466" s="5" t="s">
        <v>20290</v>
      </c>
      <c r="E466" s="5">
        <v>473</v>
      </c>
      <c r="F466" s="28" t="s">
        <v>22335</v>
      </c>
      <c r="G466" s="5" t="str">
        <f>IFERROR(VLOOKUP(TAB_OFICINAS[[#This Row],[Cliente]],LISTA_DE_CLIENTES[[Código]:[Nome Fantasia]],3,FALSE),"")</f>
        <v/>
      </c>
      <c r="H466" s="63">
        <v>3913017890</v>
      </c>
      <c r="I466" s="28" t="s">
        <v>22333</v>
      </c>
      <c r="J466" s="91">
        <v>1</v>
      </c>
      <c r="K466" s="86">
        <v>46127</v>
      </c>
      <c r="L466" s="10">
        <v>1</v>
      </c>
      <c r="M466" s="6">
        <v>46129</v>
      </c>
      <c r="N466" s="6">
        <v>46129</v>
      </c>
      <c r="O466" s="19">
        <f>TAB_OFICINAS[[#This Row],[Data Retorno Produção]]-TAB_OFICINAS[[#This Row],[Data Prometida  Entrega]]</f>
        <v>0</v>
      </c>
      <c r="P466" s="40" t="str">
        <f>IF(TAB_OFICINAS[[#This Row],[Dias Para Entrega]]&lt;=0,"Em dia","Dia de Atrasado")</f>
        <v>Em dia</v>
      </c>
      <c r="Q466" s="10">
        <f>IFERROR(TAB_OFICINAS[[#This Row],[Qtd pçs Enviadas]]-TAB_OFICINAS[[#This Row],[Qtd pçs Retornadas ]]," ")</f>
        <v>0</v>
      </c>
      <c r="R466" s="10"/>
      <c r="S466" s="5">
        <v>762</v>
      </c>
      <c r="T466" s="5">
        <v>33</v>
      </c>
      <c r="U466" s="52">
        <v>6</v>
      </c>
      <c r="V466" s="44">
        <f>IFERROR(TAB_OFICINAS[[#This Row],[Valor Unit]]*TAB_OFICINAS[[#This Row],[Qtd pçs Enviadas]]," ")</f>
        <v>6</v>
      </c>
      <c r="W466" s="17">
        <v>46139</v>
      </c>
      <c r="X466" s="5" t="s">
        <v>6251</v>
      </c>
      <c r="Y466" s="27"/>
      <c r="Z4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7" spans="3:26" hidden="1">
      <c r="C467" s="28" t="s">
        <v>7</v>
      </c>
      <c r="D467" s="5" t="s">
        <v>20290</v>
      </c>
      <c r="E467" s="5">
        <v>473</v>
      </c>
      <c r="F467" s="28" t="s">
        <v>22335</v>
      </c>
      <c r="G467" s="5" t="str">
        <f>IFERROR(VLOOKUP(TAB_OFICINAS[[#This Row],[Cliente]],LISTA_DE_CLIENTES[[Código]:[Nome Fantasia]],3,FALSE),"")</f>
        <v/>
      </c>
      <c r="H467" s="63">
        <v>3913016219</v>
      </c>
      <c r="I467" s="28" t="s">
        <v>22334</v>
      </c>
      <c r="J467" s="91">
        <v>1</v>
      </c>
      <c r="K467" s="86">
        <v>46127</v>
      </c>
      <c r="L467" s="10">
        <v>1</v>
      </c>
      <c r="M467" s="6">
        <v>46129</v>
      </c>
      <c r="N467" s="6">
        <v>46129</v>
      </c>
      <c r="O467" s="19">
        <f>TAB_OFICINAS[[#This Row],[Data Retorno Produção]]-TAB_OFICINAS[[#This Row],[Data Prometida  Entrega]]</f>
        <v>0</v>
      </c>
      <c r="P467" s="40" t="str">
        <f>IF(TAB_OFICINAS[[#This Row],[Dias Para Entrega]]&lt;=0,"Em dia","Dia de Atrasado")</f>
        <v>Em dia</v>
      </c>
      <c r="Q467" s="10">
        <f>IFERROR(TAB_OFICINAS[[#This Row],[Qtd pçs Enviadas]]-TAB_OFICINAS[[#This Row],[Qtd pçs Retornadas ]]," ")</f>
        <v>0</v>
      </c>
      <c r="R467" s="10"/>
      <c r="S467" s="5">
        <v>762</v>
      </c>
      <c r="T467" s="5">
        <v>33</v>
      </c>
      <c r="U467" s="52">
        <v>6</v>
      </c>
      <c r="V467" s="44">
        <f>IFERROR(TAB_OFICINAS[[#This Row],[Valor Unit]]*TAB_OFICINAS[[#This Row],[Qtd pçs Enviadas]]," ")</f>
        <v>6</v>
      </c>
      <c r="W467" s="17">
        <v>46139</v>
      </c>
      <c r="X467" s="5" t="s">
        <v>6251</v>
      </c>
      <c r="Y467" s="27"/>
      <c r="Z4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68" spans="3:26" hidden="1">
      <c r="C468" s="28" t="s">
        <v>7</v>
      </c>
      <c r="D468" s="5">
        <v>3074</v>
      </c>
      <c r="E468" s="5">
        <v>23202</v>
      </c>
      <c r="F468" s="28" t="str">
        <f>IFERROR(VLOOKUP(TAB_OFICINAS[[#This Row],[Cliente]],LISTA_DE_CLIENTES[[Código]:[Nome Fantasia]],2,FALSE),"")</f>
        <v>QUEBRA-NOZ SERVICOS DE HOTELARIA LTDA</v>
      </c>
      <c r="G468" s="5" t="str">
        <f>IFERROR(VLOOKUP(TAB_OFICINAS[[#This Row],[Cliente]],LISTA_DE_CLIENTES[[Código]:[Nome Fantasia]],3,FALSE),"")</f>
        <v>QUEBRA N0Z</v>
      </c>
      <c r="H468" s="63">
        <v>92108305292</v>
      </c>
      <c r="I468" s="28" t="s">
        <v>22174</v>
      </c>
      <c r="J468" s="91">
        <v>200</v>
      </c>
      <c r="K468" s="86">
        <v>46128</v>
      </c>
      <c r="L468" s="10">
        <v>0</v>
      </c>
      <c r="M468" s="6">
        <v>46140</v>
      </c>
      <c r="N468" s="6">
        <v>46135</v>
      </c>
      <c r="O468" s="19">
        <f>TAB_OFICINAS[[#This Row],[Data Retorno Produção]]-TAB_OFICINAS[[#This Row],[Data Prometida  Entrega]]</f>
        <v>-5</v>
      </c>
      <c r="P468" s="40" t="str">
        <f>IF(TAB_OFICINAS[[#This Row],[Dias Para Entrega]]&lt;=0,"Em dia","Dia de Atrasado")</f>
        <v>Em dia</v>
      </c>
      <c r="Q468" s="10">
        <v>0</v>
      </c>
      <c r="R468" s="10"/>
      <c r="S468" s="5">
        <v>769</v>
      </c>
      <c r="T468" s="5">
        <v>34</v>
      </c>
      <c r="U468" s="52">
        <v>4.3</v>
      </c>
      <c r="V468" s="44">
        <f>IFERROR(TAB_OFICINAS[[#This Row],[Valor Unit]]*TAB_OFICINAS[[#This Row],[Qtd pçs Enviadas]]," ")</f>
        <v>860</v>
      </c>
      <c r="W468" s="17">
        <v>46142</v>
      </c>
      <c r="X468" s="5" t="s">
        <v>6251</v>
      </c>
      <c r="Y468" s="27"/>
      <c r="Z468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69" spans="3:26" hidden="1">
      <c r="C469" s="28" t="s">
        <v>15</v>
      </c>
      <c r="D469" s="5">
        <v>4005</v>
      </c>
      <c r="E469" s="5">
        <v>23761</v>
      </c>
      <c r="F469" s="28" t="str">
        <f>IFERROR(VLOOKUP(TAB_OFICINAS[[#This Row],[Cliente]],LISTA_DE_CLIENTES[[Código]:[Nome Fantasia]],2,FALSE),"")</f>
        <v>CLARA RESORTS LTDA</v>
      </c>
      <c r="G469" s="2" t="str">
        <f>IFERROR(VLOOKUP(TAB_OFICINAS[[#This Row],[Cliente]],LISTA_DE_CLIENTES[[Código]:[Nome Fantasia]],3,FALSE),"")</f>
        <v>SANTA CLARA INHOTIM</v>
      </c>
      <c r="H469" s="51">
        <v>3302128022</v>
      </c>
      <c r="I469" s="28" t="str">
        <f>IFERROR(VLOOKUP(TAB_OFICINAS[[#This Row],[Codigo Produto ]],_000___PEDIDOS_DE_CLIENTES[[Data.Column2]:[Descrição Produto]],2,FALSE)," ")</f>
        <v>TOALHA ROSTO CARAMELO C/ LOGO 0,48 X 0,90</v>
      </c>
      <c r="J469" s="91">
        <v>6</v>
      </c>
      <c r="K469" s="88">
        <v>46195</v>
      </c>
      <c r="L469" s="9">
        <v>6</v>
      </c>
      <c r="M469" s="6">
        <v>46203</v>
      </c>
      <c r="N469" s="6">
        <v>46203</v>
      </c>
      <c r="O469" s="23">
        <f>TAB_OFICINAS[[#This Row],[Data Retorno Produção]]-TAB_OFICINAS[[#This Row],[Data Prometida  Entrega]]</f>
        <v>0</v>
      </c>
      <c r="P469" s="98" t="str">
        <f>IF(TAB_OFICINAS[[#This Row],[Dias Para Entrega]]&lt;=0,"Em dia","Dia de Atrasado")</f>
        <v>Em dia</v>
      </c>
      <c r="Q469" s="24">
        <f>IFERROR(TAB_OFICINAS[[#This Row],[Qtd pçs Enviadas]]-TAB_OFICINAS[[#This Row],[Qtd pçs Retornadas ]],"N/D ")</f>
        <v>0</v>
      </c>
      <c r="R469" s="24"/>
      <c r="S469" s="5">
        <v>3282</v>
      </c>
      <c r="T469" s="5">
        <v>17391</v>
      </c>
      <c r="U469" s="11">
        <v>3.6</v>
      </c>
      <c r="V469" s="25">
        <f>IFERROR(TAB_OFICINAS[[#This Row],[Valor Unit]]*TAB_OFICINAS[[#This Row],[Qtd pçs Enviadas]]," ")</f>
        <v>21.6</v>
      </c>
      <c r="W469" s="26">
        <v>46210</v>
      </c>
      <c r="X469" s="17" t="s">
        <v>6251</v>
      </c>
      <c r="Y469" s="27" t="s">
        <v>23421</v>
      </c>
      <c r="Z4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0" spans="3:26" hidden="1">
      <c r="C470" s="28" t="s">
        <v>1</v>
      </c>
      <c r="D470" s="5">
        <v>331</v>
      </c>
      <c r="E470" s="5">
        <v>23156</v>
      </c>
      <c r="F470" s="28" t="str">
        <f>IFERROR(VLOOKUP(TAB_OFICINAS[[#This Row],[Cliente]],LISTA_DE_CLIENTES[[Código]:[Nome Fantasia]],2,FALSE),"")</f>
        <v>SERVICO NACIONAL DE APRENDIZAGEM COMERCIAL SENAC</v>
      </c>
      <c r="G470" s="5" t="str">
        <f>IFERROR(VLOOKUP(TAB_OFICINAS[[#This Row],[Cliente]],LISTA_DE_CLIENTES[[Código]:[Nome Fantasia]],3,FALSE),"")</f>
        <v>GRANDE HOTEL S PEDRO</v>
      </c>
      <c r="H470" s="63">
        <v>2102029652</v>
      </c>
      <c r="I470" s="28" t="s">
        <v>20937</v>
      </c>
      <c r="J470" s="91">
        <v>100</v>
      </c>
      <c r="K470" s="86">
        <v>46136</v>
      </c>
      <c r="L470" s="10"/>
      <c r="M470" s="6">
        <v>46142</v>
      </c>
      <c r="N470" s="6">
        <v>46141</v>
      </c>
      <c r="O470" s="19">
        <f>TAB_OFICINAS[[#This Row],[Data Retorno Produção]]-TAB_OFICINAS[[#This Row],[Data Prometida  Entrega]]</f>
        <v>-1</v>
      </c>
      <c r="P470" s="40" t="str">
        <f>IF(TAB_OFICINAS[[#This Row],[Dias Para Entrega]]&lt;=0,"Em dia","Dia de Atrasado")</f>
        <v>Em dia</v>
      </c>
      <c r="Q470" s="10">
        <v>0</v>
      </c>
      <c r="R470" s="10"/>
      <c r="S470" s="5">
        <v>785</v>
      </c>
      <c r="T470" s="5">
        <v>48</v>
      </c>
      <c r="U470" s="52">
        <v>5.5</v>
      </c>
      <c r="V470" s="44">
        <f>IFERROR(TAB_OFICINAS[[#This Row],[Valor Unit]]*TAB_OFICINAS[[#This Row],[Qtd pçs Enviadas]]," ")</f>
        <v>550</v>
      </c>
      <c r="W470" s="17">
        <f>TAB_OFICINAS[[#This Row],[Data Retorno Produção]]+10</f>
        <v>46151</v>
      </c>
      <c r="X470" s="5" t="s">
        <v>6251</v>
      </c>
      <c r="Y470" s="27"/>
      <c r="Z470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71" spans="3:26" hidden="1">
      <c r="C471" s="28" t="s">
        <v>3</v>
      </c>
      <c r="D471" s="5">
        <v>5308</v>
      </c>
      <c r="E471" s="5">
        <v>22621</v>
      </c>
      <c r="F471" s="28" t="str">
        <f>IFERROR(VLOOKUP(TAB_OFICINAS[[#This Row],[Cliente]],LISTA_DE_CLIENTES[[Código]:[Nome Fantasia]],2,FALSE),"")</f>
        <v>HEMERSONN ROGER OLIVEIRA DE FARIAS</v>
      </c>
      <c r="G471" s="5" t="str">
        <f>IFERROR(VLOOKUP(TAB_OFICINAS[[#This Row],[Cliente]],LISTA_DE_CLIENTES[[Código]:[Nome Fantasia]],3,FALSE),"")</f>
        <v>HEMERSONN ROGER OLIV</v>
      </c>
      <c r="H471" s="51">
        <v>92101862252</v>
      </c>
      <c r="I471" s="28" t="s">
        <v>21000</v>
      </c>
      <c r="J471" s="91">
        <v>5</v>
      </c>
      <c r="K471" s="86">
        <v>46065</v>
      </c>
      <c r="L471" s="10">
        <v>5</v>
      </c>
      <c r="M471" s="6">
        <v>46071</v>
      </c>
      <c r="N471" s="6">
        <v>46069</v>
      </c>
      <c r="O471" s="19">
        <f>TAB_OFICINAS[[#This Row],[Data Retorno Produção]]-TAB_OFICINAS[[#This Row],[Data Prometida  Entrega]]</f>
        <v>-2</v>
      </c>
      <c r="P471" s="40" t="str">
        <f>IF(TAB_OFICINAS[[#This Row],[Dias Para Entrega]]&lt;=0,"Em dia","Dia de Atrasado")</f>
        <v>Em dia</v>
      </c>
      <c r="Q471" s="10">
        <f>IFERROR(TAB_OFICINAS[[#This Row],[Qtd pçs Enviadas]]-TAB_OFICINAS[[#This Row],[Qtd pçs Retornadas ]],"N/D ")</f>
        <v>0</v>
      </c>
      <c r="R471" s="48">
        <v>0</v>
      </c>
      <c r="S471" s="5">
        <v>588</v>
      </c>
      <c r="T471" s="5">
        <v>95</v>
      </c>
      <c r="U471" s="52">
        <v>6</v>
      </c>
      <c r="V471" s="44">
        <f>IFERROR(TAB_OFICINAS[[#This Row],[Valor Unit]]*TAB_OFICINAS[[#This Row],[Qtd pçs Enviadas]]," ")</f>
        <v>30</v>
      </c>
      <c r="W471" s="17">
        <v>46079</v>
      </c>
      <c r="X471" s="5" t="s">
        <v>6251</v>
      </c>
      <c r="Y471" s="27"/>
      <c r="Z4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2" spans="3:26" hidden="1">
      <c r="C472" s="28" t="s">
        <v>3</v>
      </c>
      <c r="D472" s="5">
        <v>5308</v>
      </c>
      <c r="E472" s="5">
        <v>22621</v>
      </c>
      <c r="F472" s="28" t="str">
        <f>IFERROR(VLOOKUP(TAB_OFICINAS[[#This Row],[Cliente]],LISTA_DE_CLIENTES[[Código]:[Nome Fantasia]],2,FALSE),"")</f>
        <v>HEMERSONN ROGER OLIVEIRA DE FARIAS</v>
      </c>
      <c r="G472" s="5" t="str">
        <f>IFERROR(VLOOKUP(TAB_OFICINAS[[#This Row],[Cliente]],LISTA_DE_CLIENTES[[Código]:[Nome Fantasia]],3,FALSE),"")</f>
        <v>HEMERSONN ROGER OLIV</v>
      </c>
      <c r="H472" s="51">
        <v>92102183931</v>
      </c>
      <c r="I472" s="28" t="s">
        <v>21002</v>
      </c>
      <c r="J472" s="91">
        <v>5</v>
      </c>
      <c r="K472" s="86">
        <v>46065</v>
      </c>
      <c r="L472" s="10">
        <v>5</v>
      </c>
      <c r="M472" s="6">
        <v>46071</v>
      </c>
      <c r="N472" s="6">
        <v>46069</v>
      </c>
      <c r="O472" s="19">
        <f>TAB_OFICINAS[[#This Row],[Data Retorno Produção]]-TAB_OFICINAS[[#This Row],[Data Prometida  Entrega]]</f>
        <v>-2</v>
      </c>
      <c r="P472" s="40" t="str">
        <f>IF(TAB_OFICINAS[[#This Row],[Dias Para Entrega]]&lt;=0,"Em dia","Dia de Atrasado")</f>
        <v>Em dia</v>
      </c>
      <c r="Q472" s="10">
        <f>IFERROR(TAB_OFICINAS[[#This Row],[Qtd pçs Enviadas]]-TAB_OFICINAS[[#This Row],[Qtd pçs Retornadas ]],"N/D ")</f>
        <v>0</v>
      </c>
      <c r="R472" s="48">
        <v>0</v>
      </c>
      <c r="S472" s="5">
        <v>588</v>
      </c>
      <c r="T472" s="5">
        <v>95</v>
      </c>
      <c r="U472" s="52">
        <v>6.5</v>
      </c>
      <c r="V472" s="44">
        <f>IFERROR(TAB_OFICINAS[[#This Row],[Valor Unit]]*TAB_OFICINAS[[#This Row],[Qtd pçs Enviadas]]," ")</f>
        <v>32.5</v>
      </c>
      <c r="W472" s="17">
        <v>46079</v>
      </c>
      <c r="X472" s="5" t="s">
        <v>6251</v>
      </c>
      <c r="Y472" s="27"/>
      <c r="Z4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3" spans="3:26" hidden="1">
      <c r="C473" s="28" t="s">
        <v>15</v>
      </c>
      <c r="D473" s="5">
        <v>3011</v>
      </c>
      <c r="E473" s="5">
        <v>23024</v>
      </c>
      <c r="F473" s="28" t="str">
        <f>IFERROR(VLOOKUP(TAB_OFICINAS[[#This Row],[Cliente]],LISTA_DE_CLIENTES[[Código]:[Nome Fantasia]],2,FALSE),"")</f>
        <v/>
      </c>
      <c r="G473" s="5" t="str">
        <f>IFERROR(VLOOKUP(TAB_OFICINAS[[#This Row],[Cliente]],LISTA_DE_CLIENTES[[Código]:[Nome Fantasia]],3,FALSE),"")</f>
        <v/>
      </c>
      <c r="H473" s="63">
        <v>2101069726</v>
      </c>
      <c r="I473" s="28" t="s">
        <v>21400</v>
      </c>
      <c r="J473" s="91">
        <v>5</v>
      </c>
      <c r="K473" s="86">
        <v>46105</v>
      </c>
      <c r="L473" s="10">
        <v>5</v>
      </c>
      <c r="M473" s="6">
        <v>46108</v>
      </c>
      <c r="N473" s="6">
        <v>46108</v>
      </c>
      <c r="O473" s="19">
        <f>TAB_OFICINAS[[#This Row],[Data Retorno Produção]]-TAB_OFICINAS[[#This Row],[Data Prometida  Entrega]]</f>
        <v>0</v>
      </c>
      <c r="P473" s="40" t="str">
        <f>IF(TAB_OFICINAS[[#This Row],[Dias Para Entrega]]&lt;=0,"Em dia","Dia de Atrasado")</f>
        <v>Em dia</v>
      </c>
      <c r="Q473" s="10">
        <f>IFERROR(TAB_OFICINAS[[#This Row],[Qtd pçs Enviadas]]-TAB_OFICINAS[[#This Row],[Qtd pçs Retornadas ]]," ")</f>
        <v>0</v>
      </c>
      <c r="R473" s="10">
        <v>0</v>
      </c>
      <c r="S473" s="5">
        <v>707</v>
      </c>
      <c r="T473" s="5">
        <v>17066</v>
      </c>
      <c r="U473" s="52">
        <v>4</v>
      </c>
      <c r="V473" s="44">
        <f>IFERROR(TAB_OFICINAS[[#This Row],[Valor Unit]]*TAB_OFICINAS[[#This Row],[Qtd pçs Enviadas]]," ")</f>
        <v>20</v>
      </c>
      <c r="W473" s="17">
        <v>46115</v>
      </c>
      <c r="X473" s="5" t="s">
        <v>6251</v>
      </c>
      <c r="Y473" s="27" t="s">
        <v>21451</v>
      </c>
      <c r="Z4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4" spans="3:26" hidden="1">
      <c r="C474" s="28" t="s">
        <v>18</v>
      </c>
      <c r="D474" s="5">
        <v>1942</v>
      </c>
      <c r="E474" s="5">
        <v>23440</v>
      </c>
      <c r="F474" s="28" t="str">
        <f>IFERROR(VLOOKUP(TAB_OFICINAS[[#This Row],[Cliente]],LISTA_DE_CLIENTES[[Código]:[Nome Fantasia]],2,FALSE),"")</f>
        <v>ONCO STAR SP ONCOLOGIA LTDA (REDE D´OR)</v>
      </c>
      <c r="G474" s="2" t="str">
        <f>IFERROR(VLOOKUP(TAB_OFICINAS[[#This Row],[Cliente]],LISTA_DE_CLIENTES[[Código]:[Nome Fantasia]],3,FALSE),"")</f>
        <v>R DOR VILA NOVA STAR</v>
      </c>
      <c r="H474" s="51">
        <v>2101102488</v>
      </c>
      <c r="I474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474" s="91">
        <v>200</v>
      </c>
      <c r="K474" s="88">
        <v>46191</v>
      </c>
      <c r="L474" s="9">
        <v>200</v>
      </c>
      <c r="M474" s="6">
        <v>46209</v>
      </c>
      <c r="N474" s="6">
        <v>46203</v>
      </c>
      <c r="O474" s="23">
        <f>TAB_OFICINAS[[#This Row],[Data Retorno Produção]]-TAB_OFICINAS[[#This Row],[Data Prometida  Entrega]]</f>
        <v>-6</v>
      </c>
      <c r="P474" s="98" t="str">
        <f>IF(TAB_OFICINAS[[#This Row],[Dias Para Entrega]]&lt;=0,"Em dia","Dia de Atrasado")</f>
        <v>Em dia</v>
      </c>
      <c r="Q474" s="10">
        <f>IFERROR(TAB_OFICINAS[[#This Row],[Qtd pçs Enviadas]]-TAB_OFICINAS[[#This Row],[Qtd pçs Retornadas ]]," ")</f>
        <v>0</v>
      </c>
      <c r="R474" s="10">
        <v>0</v>
      </c>
      <c r="S474" s="5">
        <v>892</v>
      </c>
      <c r="T474" s="5">
        <v>47</v>
      </c>
      <c r="U474" s="11">
        <v>6.5</v>
      </c>
      <c r="V474" s="25">
        <f>IFERROR(TAB_OFICINAS[[#This Row],[Valor Unit]]*TAB_OFICINAS[[#This Row],[Qtd pçs Enviadas]]," ")</f>
        <v>1300</v>
      </c>
      <c r="W474" s="26">
        <v>46213</v>
      </c>
      <c r="X474" s="17" t="s">
        <v>6251</v>
      </c>
      <c r="Y474" s="27"/>
      <c r="Z4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5" spans="3:26" ht="42.75" hidden="1">
      <c r="C475" s="28" t="s">
        <v>15</v>
      </c>
      <c r="D475" s="5">
        <v>5247</v>
      </c>
      <c r="E475" s="5">
        <v>23341</v>
      </c>
      <c r="F475" s="28" t="str">
        <f>IFERROR(VLOOKUP(TAB_OFICINAS[[#This Row],[Cliente]],LISTA_DE_CLIENTES[[Código]:[Nome Fantasia]],2,FALSE),"")</f>
        <v>MARIANA AURIEMO</v>
      </c>
      <c r="G475" s="5" t="str">
        <f>IFERROR(VLOOKUP(TAB_OFICINAS[[#This Row],[Cliente]],LISTA_DE_CLIENTES[[Código]:[Nome Fantasia]],3,FALSE),"")</f>
        <v>MARIANA AURIEMO</v>
      </c>
      <c r="H475" s="63">
        <v>3302029833</v>
      </c>
      <c r="I475" s="28" t="s">
        <v>22850</v>
      </c>
      <c r="J475" s="91">
        <v>5</v>
      </c>
      <c r="K475" s="86">
        <v>46170</v>
      </c>
      <c r="L475" s="34">
        <v>5</v>
      </c>
      <c r="M475" s="6">
        <v>46175</v>
      </c>
      <c r="N475" s="6">
        <v>46174</v>
      </c>
      <c r="O475" s="19">
        <f>TAB_OFICINAS[[#This Row],[Data Retorno Produção]]-TAB_OFICINAS[[#This Row],[Data Prometida  Entrega]]</f>
        <v>-1</v>
      </c>
      <c r="P475" s="40" t="str">
        <f>IF(TAB_OFICINAS[[#This Row],[Dias Para Entrega]]&lt;=0,"Em dia","Dia de Atrasado")</f>
        <v>Em dia</v>
      </c>
      <c r="Q475" s="10">
        <f>IFERROR(TAB_OFICINAS[[#This Row],[Qtd pçs Enviadas]]-TAB_OFICINAS[[#This Row],[Qtd pçs Retornadas ]]," ")</f>
        <v>0</v>
      </c>
      <c r="R475" s="10">
        <v>1</v>
      </c>
      <c r="S475" s="5">
        <v>861</v>
      </c>
      <c r="T475" s="5">
        <v>17270</v>
      </c>
      <c r="U475" s="1">
        <v>12</v>
      </c>
      <c r="V475" s="3">
        <f>IFERROR(TAB_OFICINAS[[#This Row],[Valor Unit]]*TAB_OFICINAS[[#This Row],[Qtd pçs Enviadas]]," ")</f>
        <v>60</v>
      </c>
      <c r="W475" s="17">
        <v>46182</v>
      </c>
      <c r="X475" s="5" t="s">
        <v>6251</v>
      </c>
      <c r="Y475" s="69" t="s">
        <v>23087</v>
      </c>
      <c r="Z4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6" spans="3:26" hidden="1">
      <c r="C476" s="28" t="s">
        <v>15</v>
      </c>
      <c r="E476" s="5">
        <v>497</v>
      </c>
      <c r="F476" s="28" t="s">
        <v>20290</v>
      </c>
      <c r="G476" s="2" t="s">
        <v>20290</v>
      </c>
      <c r="H476" s="51">
        <v>3104062433</v>
      </c>
      <c r="I476" s="28" t="s">
        <v>23408</v>
      </c>
      <c r="J476" s="91">
        <v>5</v>
      </c>
      <c r="K476" s="88">
        <v>46196</v>
      </c>
      <c r="L476" s="9">
        <v>5</v>
      </c>
      <c r="M476" s="6">
        <v>46206</v>
      </c>
      <c r="N476" s="6">
        <v>46204</v>
      </c>
      <c r="O476" s="23">
        <f>TAB_OFICINAS[[#This Row],[Data Retorno Produção]]-TAB_OFICINAS[[#This Row],[Data Prometida  Entrega]]</f>
        <v>-2</v>
      </c>
      <c r="P476" s="98" t="str">
        <f>IF(TAB_OFICINAS[[#This Row],[Dias Para Entrega]]&lt;=0,"Em dia","Dia de Atrasado")</f>
        <v>Em dia</v>
      </c>
      <c r="Q476" s="24">
        <f>IFERROR(TAB_OFICINAS[[#This Row],[Qtd pçs Enviadas]]-TAB_OFICINAS[[#This Row],[Qtd pçs Retornadas ]],"N/D ")</f>
        <v>0</v>
      </c>
      <c r="R476" s="24">
        <v>0</v>
      </c>
      <c r="S476" s="5">
        <v>3284</v>
      </c>
      <c r="T476" s="5">
        <v>17396</v>
      </c>
      <c r="U476" s="11">
        <v>10</v>
      </c>
      <c r="V476" s="25">
        <f>IFERROR(TAB_OFICINAS[[#This Row],[Valor Unit]]*TAB_OFICINAS[[#This Row],[Qtd pçs Enviadas]]," ")</f>
        <v>50</v>
      </c>
      <c r="W476" s="26">
        <v>46212</v>
      </c>
      <c r="X476" s="17" t="s">
        <v>6251</v>
      </c>
      <c r="Y476" s="27" t="s">
        <v>23412</v>
      </c>
      <c r="Z4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7" spans="3:26" hidden="1">
      <c r="C477" s="28" t="s">
        <v>15</v>
      </c>
      <c r="E477" s="5">
        <v>497</v>
      </c>
      <c r="F477" s="28" t="s">
        <v>20290</v>
      </c>
      <c r="G477" s="2" t="s">
        <v>20290</v>
      </c>
      <c r="H477" s="51">
        <v>93104063001</v>
      </c>
      <c r="I477" s="28" t="s">
        <v>23407</v>
      </c>
      <c r="J477" s="91">
        <v>5</v>
      </c>
      <c r="K477" s="88">
        <v>46196</v>
      </c>
      <c r="L477" s="9">
        <v>5</v>
      </c>
      <c r="M477" s="6">
        <v>46206</v>
      </c>
      <c r="N477" s="6">
        <v>46204</v>
      </c>
      <c r="O477" s="23">
        <f>TAB_OFICINAS[[#This Row],[Data Retorno Produção]]-TAB_OFICINAS[[#This Row],[Data Prometida  Entrega]]</f>
        <v>-2</v>
      </c>
      <c r="P477" s="98" t="str">
        <f>IF(TAB_OFICINAS[[#This Row],[Dias Para Entrega]]&lt;=0,"Em dia","Dia de Atrasado")</f>
        <v>Em dia</v>
      </c>
      <c r="Q477" s="24">
        <f>IFERROR(TAB_OFICINAS[[#This Row],[Qtd pçs Enviadas]]-TAB_OFICINAS[[#This Row],[Qtd pçs Retornadas ]],"N/D ")</f>
        <v>0</v>
      </c>
      <c r="R477" s="24">
        <v>0</v>
      </c>
      <c r="S477" s="5">
        <v>3284</v>
      </c>
      <c r="T477" s="5">
        <v>17396</v>
      </c>
      <c r="U477" s="11">
        <v>12</v>
      </c>
      <c r="V477" s="25">
        <f>IFERROR(TAB_OFICINAS[[#This Row],[Valor Unit]]*TAB_OFICINAS[[#This Row],[Qtd pçs Enviadas]]," ")</f>
        <v>60</v>
      </c>
      <c r="W477" s="26">
        <v>46212</v>
      </c>
      <c r="X477" s="17" t="s">
        <v>6251</v>
      </c>
      <c r="Y477" s="27" t="s">
        <v>23414</v>
      </c>
      <c r="Z4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8" spans="3:26" hidden="1">
      <c r="C478" s="28" t="s">
        <v>15</v>
      </c>
      <c r="E478" s="5">
        <v>497</v>
      </c>
      <c r="F478" s="28" t="s">
        <v>20290</v>
      </c>
      <c r="G478" s="2" t="s">
        <v>20290</v>
      </c>
      <c r="H478" s="51">
        <v>3104062042</v>
      </c>
      <c r="I478" s="28" t="s">
        <v>23409</v>
      </c>
      <c r="J478" s="91">
        <v>5</v>
      </c>
      <c r="K478" s="88">
        <v>46196</v>
      </c>
      <c r="L478" s="9">
        <v>5</v>
      </c>
      <c r="M478" s="6">
        <v>46206</v>
      </c>
      <c r="N478" s="6">
        <v>46204</v>
      </c>
      <c r="O478" s="23">
        <f>TAB_OFICINAS[[#This Row],[Data Retorno Produção]]-TAB_OFICINAS[[#This Row],[Data Prometida  Entrega]]</f>
        <v>-2</v>
      </c>
      <c r="P478" s="98" t="str">
        <f>IF(TAB_OFICINAS[[#This Row],[Dias Para Entrega]]&lt;=0,"Em dia","Dia de Atrasado")</f>
        <v>Em dia</v>
      </c>
      <c r="Q478" s="24">
        <f>IFERROR(TAB_OFICINAS[[#This Row],[Qtd pçs Enviadas]]-TAB_OFICINAS[[#This Row],[Qtd pçs Retornadas ]],"N/D ")</f>
        <v>0</v>
      </c>
      <c r="R478" s="24">
        <v>0</v>
      </c>
      <c r="S478" s="5">
        <v>3284</v>
      </c>
      <c r="T478" s="5">
        <v>17396</v>
      </c>
      <c r="U478" s="11">
        <v>12</v>
      </c>
      <c r="V478" s="25">
        <f>IFERROR(TAB_OFICINAS[[#This Row],[Valor Unit]]*TAB_OFICINAS[[#This Row],[Qtd pçs Enviadas]]," ")</f>
        <v>60</v>
      </c>
      <c r="W478" s="26">
        <v>46212</v>
      </c>
      <c r="X478" s="17" t="s">
        <v>6251</v>
      </c>
      <c r="Y478" s="27" t="s">
        <v>23415</v>
      </c>
      <c r="Z4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79" spans="3:26" hidden="1">
      <c r="C479" s="28" t="s">
        <v>15</v>
      </c>
      <c r="E479" s="5">
        <v>497</v>
      </c>
      <c r="F479" s="28" t="s">
        <v>20290</v>
      </c>
      <c r="G479" s="2" t="s">
        <v>20290</v>
      </c>
      <c r="H479" s="51">
        <v>3104062043</v>
      </c>
      <c r="I479" s="28" t="s">
        <v>23410</v>
      </c>
      <c r="J479" s="91">
        <v>5</v>
      </c>
      <c r="K479" s="88">
        <v>46196</v>
      </c>
      <c r="L479" s="9">
        <v>5</v>
      </c>
      <c r="M479" s="6">
        <v>46206</v>
      </c>
      <c r="N479" s="6">
        <v>46204</v>
      </c>
      <c r="O479" s="23">
        <f>TAB_OFICINAS[[#This Row],[Data Retorno Produção]]-TAB_OFICINAS[[#This Row],[Data Prometida  Entrega]]</f>
        <v>-2</v>
      </c>
      <c r="P479" s="98" t="str">
        <f>IF(TAB_OFICINAS[[#This Row],[Dias Para Entrega]]&lt;=0,"Em dia","Dia de Atrasado")</f>
        <v>Em dia</v>
      </c>
      <c r="Q479" s="24">
        <f>IFERROR(TAB_OFICINAS[[#This Row],[Qtd pçs Enviadas]]-TAB_OFICINAS[[#This Row],[Qtd pçs Retornadas ]],"N/D ")</f>
        <v>0</v>
      </c>
      <c r="R479" s="24">
        <v>0</v>
      </c>
      <c r="S479" s="5">
        <v>3284</v>
      </c>
      <c r="T479" s="5">
        <v>17396</v>
      </c>
      <c r="U479" s="11">
        <v>12</v>
      </c>
      <c r="V479" s="25">
        <f>IFERROR(TAB_OFICINAS[[#This Row],[Valor Unit]]*TAB_OFICINAS[[#This Row],[Qtd pçs Enviadas]]," ")</f>
        <v>60</v>
      </c>
      <c r="W479" s="26">
        <v>46212</v>
      </c>
      <c r="X479" s="17" t="s">
        <v>6251</v>
      </c>
      <c r="Y479" s="27" t="s">
        <v>23413</v>
      </c>
      <c r="Z4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0" spans="3:26" hidden="1">
      <c r="C480" s="28" t="s">
        <v>15</v>
      </c>
      <c r="E480" s="5">
        <v>497</v>
      </c>
      <c r="F480" s="28" t="s">
        <v>20290</v>
      </c>
      <c r="G480" s="2" t="s">
        <v>20290</v>
      </c>
      <c r="H480" s="51">
        <v>3104061134</v>
      </c>
      <c r="I480" s="28" t="s">
        <v>23411</v>
      </c>
      <c r="J480" s="91">
        <v>5</v>
      </c>
      <c r="K480" s="88">
        <v>46196</v>
      </c>
      <c r="L480" s="9">
        <v>5</v>
      </c>
      <c r="M480" s="6">
        <v>46206</v>
      </c>
      <c r="N480" s="6">
        <v>46204</v>
      </c>
      <c r="O480" s="23">
        <f>TAB_OFICINAS[[#This Row],[Data Retorno Produção]]-TAB_OFICINAS[[#This Row],[Data Prometida  Entrega]]</f>
        <v>-2</v>
      </c>
      <c r="P480" s="98" t="str">
        <f>IF(TAB_OFICINAS[[#This Row],[Dias Para Entrega]]&lt;=0,"Em dia","Dia de Atrasado")</f>
        <v>Em dia</v>
      </c>
      <c r="Q480" s="24">
        <f>IFERROR(TAB_OFICINAS[[#This Row],[Qtd pçs Enviadas]]-TAB_OFICINAS[[#This Row],[Qtd pçs Retornadas ]],"N/D ")</f>
        <v>0</v>
      </c>
      <c r="R480" s="24">
        <v>0</v>
      </c>
      <c r="S480" s="5">
        <v>3284</v>
      </c>
      <c r="T480" s="5">
        <v>17396</v>
      </c>
      <c r="U480" s="11">
        <v>15</v>
      </c>
      <c r="V480" s="25">
        <f>IFERROR(TAB_OFICINAS[[#This Row],[Valor Unit]]*TAB_OFICINAS[[#This Row],[Qtd pçs Enviadas]]," ")</f>
        <v>75</v>
      </c>
      <c r="W480" s="26">
        <v>46212</v>
      </c>
      <c r="X480" s="17" t="s">
        <v>6251</v>
      </c>
      <c r="Y480" s="27" t="s">
        <v>23416</v>
      </c>
      <c r="Z4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1" spans="3:26" ht="42.75" hidden="1">
      <c r="C481" s="28" t="s">
        <v>8</v>
      </c>
      <c r="D481" s="5">
        <v>1475</v>
      </c>
      <c r="E481" s="5">
        <v>22655</v>
      </c>
      <c r="F481" s="28" t="str">
        <f>IFERROR(VLOOKUP(TAB_OFICINAS[[#This Row],[Cliente]],LISTA_DE_CLIENTES[[Código]:[Nome Fantasia]],2,FALSE),"")</f>
        <v>LASSO EMPREENDIMENTOS TURISTICOS LTDA</v>
      </c>
      <c r="G481" s="5" t="str">
        <f>IFERROR(VLOOKUP(TAB_OFICINAS[[#This Row],[Cliente]],LISTA_DE_CLIENTES[[Código]:[Nome Fantasia]],3,FALSE),"")</f>
        <v>POUSADA MI SECRETO</v>
      </c>
      <c r="H481" s="51">
        <v>3301146517</v>
      </c>
      <c r="I481" s="28" t="s">
        <v>20411</v>
      </c>
      <c r="J481" s="91">
        <v>4</v>
      </c>
      <c r="K481" s="86">
        <v>46055</v>
      </c>
      <c r="L481" s="10">
        <v>4</v>
      </c>
      <c r="M481" s="6">
        <v>46073</v>
      </c>
      <c r="N481" s="6">
        <v>46073</v>
      </c>
      <c r="O481" s="19">
        <f>TAB_OFICINAS[[#This Row],[Data Retorno Produção]]-TAB_OFICINAS[[#This Row],[Data Prometida  Entrega]]</f>
        <v>0</v>
      </c>
      <c r="P481" s="40" t="str">
        <f>IF(TAB_OFICINAS[[#This Row],[Dias Para Entrega]]&lt;=0,"Em dia","Dia de Atrasado")</f>
        <v>Em dia</v>
      </c>
      <c r="Q481" s="10">
        <f>IFERROR(TAB_OFICINAS[[#This Row],[Qtd pçs Enviadas]]-TAB_OFICINAS[[#This Row],[Qtd pçs Retornadas ]],"N/D ")</f>
        <v>0</v>
      </c>
      <c r="R481" s="10">
        <v>0</v>
      </c>
      <c r="S481" s="5">
        <v>3106</v>
      </c>
      <c r="T481" s="5">
        <v>16938</v>
      </c>
      <c r="U481" s="52">
        <v>5.4</v>
      </c>
      <c r="V481" s="44">
        <f>IFERROR(TAB_OFICINAS[[#This Row],[Valor Unit]]*TAB_OFICINAS[[#This Row],[Qtd pçs Enviadas]]," ")</f>
        <v>21.6</v>
      </c>
      <c r="W481" s="17">
        <v>46080</v>
      </c>
      <c r="X481" s="5" t="s">
        <v>6251</v>
      </c>
      <c r="Y481" s="27" t="s">
        <v>21195</v>
      </c>
      <c r="Z4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2" spans="3:26" hidden="1">
      <c r="C482" s="28" t="s">
        <v>17</v>
      </c>
      <c r="D482" s="5">
        <v>5338</v>
      </c>
      <c r="E482" s="5">
        <v>22740</v>
      </c>
      <c r="F482" s="28" t="str">
        <f>IFERROR(VLOOKUP(TAB_OFICINAS[[#This Row],[Cliente]],LISTA_DE_CLIENTES[[Código]:[Nome Fantasia]],2,FALSE),"")</f>
        <v>MAISON CARMELO INCORPORACOES SPE LTDA</v>
      </c>
      <c r="G482" s="5" t="str">
        <f>IFERROR(VLOOKUP(TAB_OFICINAS[[#This Row],[Cliente]],LISTA_DE_CLIENTES[[Código]:[Nome Fantasia]],3,FALSE),"")</f>
        <v>SAN REMO</v>
      </c>
      <c r="H482" s="51">
        <v>3301098590</v>
      </c>
      <c r="I482" s="28" t="s">
        <v>20353</v>
      </c>
      <c r="J482" s="91">
        <v>4</v>
      </c>
      <c r="K482" s="86">
        <v>46077</v>
      </c>
      <c r="L482" s="10">
        <v>4</v>
      </c>
      <c r="M482" s="6">
        <v>46083</v>
      </c>
      <c r="N482" s="6">
        <v>46083</v>
      </c>
      <c r="O482" s="19">
        <f>TAB_OFICINAS[[#This Row],[Data Retorno Produção]]-TAB_OFICINAS[[#This Row],[Data Prometida  Entrega]]</f>
        <v>0</v>
      </c>
      <c r="P482" s="40" t="str">
        <f>IF(TAB_OFICINAS[[#This Row],[Dias Para Entrega]]&lt;=0,"Em dia","Dia de Atrasado")</f>
        <v>Em dia</v>
      </c>
      <c r="Q482" s="10">
        <f>IFERROR(TAB_OFICINAS[[#This Row],[Qtd pçs Enviadas]]-TAB_OFICINAS[[#This Row],[Qtd pçs Retornadas ]],"N/D ")</f>
        <v>0</v>
      </c>
      <c r="R482" s="10">
        <v>0</v>
      </c>
      <c r="S482" s="5">
        <v>624</v>
      </c>
      <c r="T482" s="5">
        <v>45</v>
      </c>
      <c r="U482" s="52">
        <v>14</v>
      </c>
      <c r="V482" s="44">
        <f>IFERROR(TAB_OFICINAS[[#This Row],[Valor Unit]]*TAB_OFICINAS[[#This Row],[Qtd pçs Enviadas]]," ")</f>
        <v>56</v>
      </c>
      <c r="W482" s="17">
        <v>46092</v>
      </c>
      <c r="X482" s="5" t="s">
        <v>6251</v>
      </c>
      <c r="Y482" s="27"/>
      <c r="Z4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3" spans="3:26" hidden="1">
      <c r="C483" s="28" t="s">
        <v>17</v>
      </c>
      <c r="D483" s="5">
        <v>5338</v>
      </c>
      <c r="E483" s="5">
        <v>22740</v>
      </c>
      <c r="F483" s="28" t="str">
        <f>IFERROR(VLOOKUP(TAB_OFICINAS[[#This Row],[Cliente]],LISTA_DE_CLIENTES[[Código]:[Nome Fantasia]],2,FALSE),"")</f>
        <v>MAISON CARMELO INCORPORACOES SPE LTDA</v>
      </c>
      <c r="G483" s="5" t="str">
        <f>IFERROR(VLOOKUP(TAB_OFICINAS[[#This Row],[Cliente]],LISTA_DE_CLIENTES[[Código]:[Nome Fantasia]],3,FALSE),"")</f>
        <v>SAN REMO</v>
      </c>
      <c r="H483" s="51">
        <v>3301097869</v>
      </c>
      <c r="I483" s="28" t="s">
        <v>20354</v>
      </c>
      <c r="J483" s="91">
        <v>4</v>
      </c>
      <c r="K483" s="86">
        <v>46077</v>
      </c>
      <c r="L483" s="10">
        <v>4</v>
      </c>
      <c r="M483" s="6">
        <v>46083</v>
      </c>
      <c r="N483" s="6">
        <v>46083</v>
      </c>
      <c r="O483" s="19">
        <f>TAB_OFICINAS[[#This Row],[Data Retorno Produção]]-TAB_OFICINAS[[#This Row],[Data Prometida  Entrega]]</f>
        <v>0</v>
      </c>
      <c r="P483" s="40" t="str">
        <f>IF(TAB_OFICINAS[[#This Row],[Dias Para Entrega]]&lt;=0,"Em dia","Dia de Atrasado")</f>
        <v>Em dia</v>
      </c>
      <c r="Q483" s="10">
        <f>IFERROR(TAB_OFICINAS[[#This Row],[Qtd pçs Enviadas]]-TAB_OFICINAS[[#This Row],[Qtd pçs Retornadas ]],"N/D ")</f>
        <v>0</v>
      </c>
      <c r="R483" s="10">
        <v>0</v>
      </c>
      <c r="S483" s="5">
        <v>624</v>
      </c>
      <c r="T483" s="5">
        <v>45</v>
      </c>
      <c r="U483" s="52">
        <v>14</v>
      </c>
      <c r="V483" s="44">
        <f>IFERROR(TAB_OFICINAS[[#This Row],[Valor Unit]]*TAB_OFICINAS[[#This Row],[Qtd pçs Enviadas]]," ")</f>
        <v>56</v>
      </c>
      <c r="W483" s="17">
        <v>46092</v>
      </c>
      <c r="X483" s="5" t="s">
        <v>6251</v>
      </c>
      <c r="Y483" s="27"/>
      <c r="Z4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4" spans="3:26" hidden="1">
      <c r="C484" s="28" t="s">
        <v>15</v>
      </c>
      <c r="D484" s="5">
        <v>5338</v>
      </c>
      <c r="E484" s="5">
        <v>22740</v>
      </c>
      <c r="F484" s="28" t="str">
        <f>IFERROR(VLOOKUP(TAB_OFICINAS[[#This Row],[Cliente]],LISTA_DE_CLIENTES[[Código]:[Nome Fantasia]],2,FALSE),"")</f>
        <v>MAISON CARMELO INCORPORACOES SPE LTDA</v>
      </c>
      <c r="G484" s="5" t="str">
        <f>IFERROR(VLOOKUP(TAB_OFICINAS[[#This Row],[Cliente]],LISTA_DE_CLIENTES[[Código]:[Nome Fantasia]],3,FALSE),"")</f>
        <v>SAN REMO</v>
      </c>
      <c r="H484" s="63">
        <v>3301098590</v>
      </c>
      <c r="I484" s="28" t="s">
        <v>21055</v>
      </c>
      <c r="J484" s="91">
        <v>4</v>
      </c>
      <c r="K484" s="86">
        <v>46078</v>
      </c>
      <c r="L484" s="10">
        <v>4</v>
      </c>
      <c r="M484" s="6">
        <v>46080</v>
      </c>
      <c r="N484" s="6">
        <v>46080</v>
      </c>
      <c r="O484" s="19">
        <f>TAB_OFICINAS[[#This Row],[Data Retorno Produção]]-TAB_OFICINAS[[#This Row],[Data Prometida  Entrega]]</f>
        <v>0</v>
      </c>
      <c r="P484" s="40" t="str">
        <f>IF(TAB_OFICINAS[[#This Row],[Dias Para Entrega]]&lt;=0,"Em dia","Dia de Atrasado")</f>
        <v>Em dia</v>
      </c>
      <c r="Q484" s="10">
        <f>IFERROR(TAB_OFICINAS[[#This Row],[Qtd pçs Enviadas]]-TAB_OFICINAS[[#This Row],[Qtd pçs Retornadas ]]," ")</f>
        <v>0</v>
      </c>
      <c r="R484" s="10">
        <v>0</v>
      </c>
      <c r="S484" s="5">
        <v>625</v>
      </c>
      <c r="T484" s="5">
        <v>16976</v>
      </c>
      <c r="U484" s="52">
        <v>6</v>
      </c>
      <c r="V484" s="44">
        <f>IFERROR(TAB_OFICINAS[[#This Row],[Valor Unit]]*TAB_OFICINAS[[#This Row],[Qtd pçs Enviadas]]," ")</f>
        <v>24</v>
      </c>
      <c r="W484" s="17">
        <v>46087</v>
      </c>
      <c r="X484" s="5" t="s">
        <v>6251</v>
      </c>
      <c r="Y484" s="27" t="s">
        <v>21334</v>
      </c>
      <c r="Z4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5" spans="3:26" hidden="1">
      <c r="C485" s="28" t="s">
        <v>15</v>
      </c>
      <c r="D485" s="5">
        <v>5338</v>
      </c>
      <c r="E485" s="5">
        <v>22740</v>
      </c>
      <c r="F485" s="28" t="str">
        <f>IFERROR(VLOOKUP(TAB_OFICINAS[[#This Row],[Cliente]],LISTA_DE_CLIENTES[[Código]:[Nome Fantasia]],2,FALSE),"")</f>
        <v>MAISON CARMELO INCORPORACOES SPE LTDA</v>
      </c>
      <c r="G485" s="5" t="str">
        <f>IFERROR(VLOOKUP(TAB_OFICINAS[[#This Row],[Cliente]],LISTA_DE_CLIENTES[[Código]:[Nome Fantasia]],3,FALSE),"")</f>
        <v>SAN REMO</v>
      </c>
      <c r="H485" s="63">
        <v>3301097869</v>
      </c>
      <c r="I485" s="28" t="s">
        <v>21056</v>
      </c>
      <c r="J485" s="91">
        <v>4</v>
      </c>
      <c r="K485" s="86">
        <v>46078</v>
      </c>
      <c r="L485" s="10">
        <v>4</v>
      </c>
      <c r="M485" s="6">
        <v>46080</v>
      </c>
      <c r="N485" s="6">
        <v>46080</v>
      </c>
      <c r="O485" s="19">
        <f>TAB_OFICINAS[[#This Row],[Data Retorno Produção]]-TAB_OFICINAS[[#This Row],[Data Prometida  Entrega]]</f>
        <v>0</v>
      </c>
      <c r="P485" s="40" t="str">
        <f>IF(TAB_OFICINAS[[#This Row],[Dias Para Entrega]]&lt;=0,"Em dia","Dia de Atrasado")</f>
        <v>Em dia</v>
      </c>
      <c r="Q485" s="10">
        <f>IFERROR(TAB_OFICINAS[[#This Row],[Qtd pçs Enviadas]]-TAB_OFICINAS[[#This Row],[Qtd pçs Retornadas ]]," ")</f>
        <v>0</v>
      </c>
      <c r="R485" s="10">
        <v>0</v>
      </c>
      <c r="S485" s="5">
        <v>625</v>
      </c>
      <c r="T485" s="5">
        <v>16976</v>
      </c>
      <c r="U485" s="52">
        <v>6</v>
      </c>
      <c r="V485" s="44">
        <f>IFERROR(TAB_OFICINAS[[#This Row],[Valor Unit]]*TAB_OFICINAS[[#This Row],[Qtd pçs Enviadas]]," ")</f>
        <v>24</v>
      </c>
      <c r="W485" s="17">
        <v>46087</v>
      </c>
      <c r="X485" s="5" t="s">
        <v>6251</v>
      </c>
      <c r="Y485" s="27" t="s">
        <v>21334</v>
      </c>
      <c r="Z4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6" spans="3:26" ht="42.75" hidden="1">
      <c r="C486" s="28" t="s">
        <v>15</v>
      </c>
      <c r="D486" s="5">
        <v>5247</v>
      </c>
      <c r="E486" s="5">
        <v>22531</v>
      </c>
      <c r="F486" s="28" t="str">
        <f>IFERROR(VLOOKUP(TAB_OFICINAS[[#This Row],[Cliente]],LISTA_DE_CLIENTES[[Código]:[Nome Fantasia]],2,FALSE),"")</f>
        <v>MARIANA AURIEMO</v>
      </c>
      <c r="G486" s="5" t="str">
        <f>IFERROR(VLOOKUP(TAB_OFICINAS[[#This Row],[Cliente]],LISTA_DE_CLIENTES[[Código]:[Nome Fantasia]],3,FALSE),"")</f>
        <v>MARIANA AURIEMO</v>
      </c>
      <c r="H486" s="63">
        <v>3301098612</v>
      </c>
      <c r="I486" s="28" t="s">
        <v>21011</v>
      </c>
      <c r="J486" s="91">
        <v>4</v>
      </c>
      <c r="K486" s="86">
        <v>46085</v>
      </c>
      <c r="L486" s="10">
        <v>4</v>
      </c>
      <c r="M486" s="6">
        <v>46091</v>
      </c>
      <c r="N486" s="6">
        <v>46091</v>
      </c>
      <c r="O486" s="19">
        <f>TAB_OFICINAS[[#This Row],[Data Retorno Produção]]-TAB_OFICINAS[[#This Row],[Data Prometida  Entrega]]</f>
        <v>0</v>
      </c>
      <c r="P486" s="40" t="str">
        <f>IF(TAB_OFICINAS[[#This Row],[Dias Para Entrega]]&lt;=0,"Em dia","Dia de Atrasado")</f>
        <v>Em dia</v>
      </c>
      <c r="Q486" s="10">
        <f>IFERROR(TAB_OFICINAS[[#This Row],[Qtd pçs Enviadas]]-TAB_OFICINAS[[#This Row],[Qtd pçs Retornadas ]]," ")</f>
        <v>0</v>
      </c>
      <c r="R486" s="10">
        <v>0</v>
      </c>
      <c r="S486" s="5">
        <v>657</v>
      </c>
      <c r="T486" s="5">
        <v>16983</v>
      </c>
      <c r="U486" s="52">
        <v>4</v>
      </c>
      <c r="V486" s="44">
        <f>IFERROR(TAB_OFICINAS[[#This Row],[Valor Unit]]*TAB_OFICINAS[[#This Row],[Qtd pçs Enviadas]]," ")</f>
        <v>16</v>
      </c>
      <c r="W486" s="17">
        <v>46098</v>
      </c>
      <c r="X486" s="5" t="s">
        <v>6251</v>
      </c>
      <c r="Y486" s="27" t="s">
        <v>21347</v>
      </c>
      <c r="Z4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7" spans="3:26" ht="28.5" hidden="1">
      <c r="C487" s="28" t="s">
        <v>17</v>
      </c>
      <c r="D487" s="5">
        <v>5386</v>
      </c>
      <c r="E487" s="5">
        <v>22904</v>
      </c>
      <c r="F487" s="28" t="str">
        <f>IFERROR(VLOOKUP(TAB_OFICINAS[[#This Row],[Cliente]],LISTA_DE_CLIENTES[[Código]:[Nome Fantasia]],2,FALSE),"")</f>
        <v>FLOW CITY SPE 1 CASAS LTDA</v>
      </c>
      <c r="G487" s="5" t="str">
        <f>IFERROR(VLOOKUP(TAB_OFICINAS[[#This Row],[Cliente]],LISTA_DE_CLIENTES[[Código]:[Nome Fantasia]],3,FALSE),"")</f>
        <v>FLOW CITY SPE 1 CASA</v>
      </c>
      <c r="H487" s="63">
        <v>3301093990</v>
      </c>
      <c r="I487" s="28" t="s">
        <v>21046</v>
      </c>
      <c r="J487" s="91">
        <v>4</v>
      </c>
      <c r="K487" s="86">
        <v>46092</v>
      </c>
      <c r="L487" s="10">
        <v>4</v>
      </c>
      <c r="M487" s="6">
        <v>46105</v>
      </c>
      <c r="N487" s="6">
        <v>46098</v>
      </c>
      <c r="O487" s="19">
        <f>TAB_OFICINAS[[#This Row],[Data Retorno Produção]]-TAB_OFICINAS[[#This Row],[Data Prometida  Entrega]]</f>
        <v>-7</v>
      </c>
      <c r="P487" s="40" t="str">
        <f>IF(TAB_OFICINAS[[#This Row],[Dias Para Entrega]]&lt;=0,"Em dia","Dia de Atrasado")</f>
        <v>Em dia</v>
      </c>
      <c r="Q487" s="10">
        <f>IFERROR(TAB_OFICINAS[[#This Row],[Qtd pçs Enviadas]]-TAB_OFICINAS[[#This Row],[Qtd pçs Retornadas ]]," ")</f>
        <v>0</v>
      </c>
      <c r="R487" s="10">
        <v>0</v>
      </c>
      <c r="S487" s="5">
        <v>681</v>
      </c>
      <c r="T487" s="5">
        <v>47</v>
      </c>
      <c r="U487" s="52">
        <v>16</v>
      </c>
      <c r="V487" s="44">
        <f>IFERROR(TAB_OFICINAS[[#This Row],[Valor Unit]]*TAB_OFICINAS[[#This Row],[Qtd pçs Enviadas]]," ")</f>
        <v>64</v>
      </c>
      <c r="W487" s="17">
        <v>46111</v>
      </c>
      <c r="X487" s="5" t="s">
        <v>6251</v>
      </c>
      <c r="Y487" s="27" t="s">
        <v>21452</v>
      </c>
      <c r="Z4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88" spans="3:26" hidden="1">
      <c r="C488" s="28" t="s">
        <v>7</v>
      </c>
      <c r="D488" s="5">
        <v>3074</v>
      </c>
      <c r="E488" s="5">
        <v>23202</v>
      </c>
      <c r="F488" s="28" t="str">
        <f>IFERROR(VLOOKUP(TAB_OFICINAS[[#This Row],[Cliente]],LISTA_DE_CLIENTES[[Código]:[Nome Fantasia]],2,FALSE),"")</f>
        <v>QUEBRA-NOZ SERVICOS DE HOTELARIA LTDA</v>
      </c>
      <c r="G488" s="5" t="str">
        <f>IFERROR(VLOOKUP(TAB_OFICINAS[[#This Row],[Cliente]],LISTA_DE_CLIENTES[[Código]:[Nome Fantasia]],3,FALSE),"")</f>
        <v>QUEBRA N0Z</v>
      </c>
      <c r="H488" s="63">
        <v>92104868377</v>
      </c>
      <c r="I488" s="28" t="s">
        <v>22172</v>
      </c>
      <c r="J488" s="91">
        <v>200</v>
      </c>
      <c r="K488" s="86">
        <v>46128</v>
      </c>
      <c r="L488" s="10">
        <v>0</v>
      </c>
      <c r="M488" s="6">
        <v>46140</v>
      </c>
      <c r="N488" s="6">
        <v>46135</v>
      </c>
      <c r="O488" s="19">
        <f>TAB_OFICINAS[[#This Row],[Data Retorno Produção]]-TAB_OFICINAS[[#This Row],[Data Prometida  Entrega]]</f>
        <v>-5</v>
      </c>
      <c r="P488" s="40" t="str">
        <f>IF(TAB_OFICINAS[[#This Row],[Dias Para Entrega]]&lt;=0,"Em dia","Dia de Atrasado")</f>
        <v>Em dia</v>
      </c>
      <c r="Q488" s="10">
        <v>0</v>
      </c>
      <c r="R488" s="10"/>
      <c r="S488" s="5">
        <v>769</v>
      </c>
      <c r="T488" s="5">
        <v>34</v>
      </c>
      <c r="U488" s="52">
        <v>4</v>
      </c>
      <c r="V488" s="44">
        <f>IFERROR(TAB_OFICINAS[[#This Row],[Valor Unit]]*TAB_OFICINAS[[#This Row],[Qtd pçs Enviadas]]," ")</f>
        <v>800</v>
      </c>
      <c r="W488" s="17">
        <v>46142</v>
      </c>
      <c r="X488" s="5" t="s">
        <v>6251</v>
      </c>
      <c r="Y488" s="27"/>
      <c r="Z488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89" spans="3:26" hidden="1">
      <c r="C489" s="28" t="s">
        <v>7</v>
      </c>
      <c r="D489" s="5" t="s">
        <v>20290</v>
      </c>
      <c r="E489" s="5">
        <v>473</v>
      </c>
      <c r="F489" s="28" t="s">
        <v>22527</v>
      </c>
      <c r="G489" s="5" t="s">
        <v>22525</v>
      </c>
      <c r="H489" s="51" t="s">
        <v>22526</v>
      </c>
      <c r="I489" s="28" t="s">
        <v>22528</v>
      </c>
      <c r="J489" s="91">
        <v>7</v>
      </c>
      <c r="K489" s="86">
        <v>46140</v>
      </c>
      <c r="L489" s="10">
        <v>0</v>
      </c>
      <c r="M489" s="6">
        <v>46141</v>
      </c>
      <c r="N489" s="6">
        <v>46141</v>
      </c>
      <c r="O489" s="19">
        <f>TAB_OFICINAS[[#This Row],[Data Retorno Produção]]-TAB_OFICINAS[[#This Row],[Data Prometida  Entrega]]</f>
        <v>0</v>
      </c>
      <c r="P489" s="40" t="str">
        <f>IF(TAB_OFICINAS[[#This Row],[Dias Para Entrega]]&lt;=0,"Em dia","Dia de Atrasado")</f>
        <v>Em dia</v>
      </c>
      <c r="Q489" s="10">
        <v>0</v>
      </c>
      <c r="R489" s="10"/>
      <c r="S489" s="5">
        <v>797</v>
      </c>
      <c r="T489" s="5">
        <v>35</v>
      </c>
      <c r="U489" s="52">
        <v>6</v>
      </c>
      <c r="V489" s="44">
        <f>IFERROR(TAB_OFICINAS[[#This Row],[Valor Unit]]*TAB_OFICINAS[[#This Row],[Qtd pçs Enviadas]]," ")</f>
        <v>42</v>
      </c>
      <c r="W489" s="17">
        <v>46157</v>
      </c>
      <c r="X489" s="5" t="s">
        <v>6251</v>
      </c>
      <c r="Y489" s="27"/>
      <c r="Z489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0" spans="3:26" hidden="1">
      <c r="C490" s="28" t="s">
        <v>7</v>
      </c>
      <c r="D490" s="5">
        <v>5232</v>
      </c>
      <c r="E490" s="5">
        <v>22976</v>
      </c>
      <c r="F490" s="28" t="str">
        <f>IFERROR(VLOOKUP(TAB_OFICINAS[[#This Row],[Cliente]],LISTA_DE_CLIENTES[[Código]:[Nome Fantasia]],2,FALSE),"")</f>
        <v xml:space="preserve">PEDRO ALEXANDRE SILVA RABÊLO
</v>
      </c>
      <c r="G490" s="5" t="str">
        <f>IFERROR(VLOOKUP(TAB_OFICINAS[[#This Row],[Cliente]],LISTA_DE_CLIENTES[[Código]:[Nome Fantasia]],3,FALSE),"")</f>
        <v>PEDRO ALEXANDRE SILV</v>
      </c>
      <c r="H490" s="63">
        <v>2121028632</v>
      </c>
      <c r="I490" s="28" t="s">
        <v>20690</v>
      </c>
      <c r="J490" s="91">
        <v>5</v>
      </c>
      <c r="K490" s="86">
        <v>46140</v>
      </c>
      <c r="L490" s="10">
        <v>0</v>
      </c>
      <c r="M490" s="6">
        <v>46141</v>
      </c>
      <c r="N490" s="6">
        <v>46141</v>
      </c>
      <c r="O490" s="19">
        <f>TAB_OFICINAS[[#This Row],[Data Retorno Produção]]-TAB_OFICINAS[[#This Row],[Data Prometida  Entrega]]</f>
        <v>0</v>
      </c>
      <c r="P490" s="40" t="str">
        <f>IF(TAB_OFICINAS[[#This Row],[Dias Para Entrega]]&lt;=0,"Em dia","Dia de Atrasado")</f>
        <v>Em dia</v>
      </c>
      <c r="Q490" s="10">
        <f>IFERROR(TAB_OFICINAS[[#This Row],[Qtd pçs Enviadas]]-TAB_OFICINAS[[#This Row],[Qtd pçs Retornadas ]]," ")</f>
        <v>5</v>
      </c>
      <c r="R490" s="10"/>
      <c r="S490" s="5">
        <v>787</v>
      </c>
      <c r="T490" s="5">
        <v>35</v>
      </c>
      <c r="U490" s="52">
        <v>10</v>
      </c>
      <c r="V490" s="44">
        <f>IFERROR(TAB_OFICINAS[[#This Row],[Valor Unit]]*TAB_OFICINAS[[#This Row],[Qtd pçs Enviadas]]," ")</f>
        <v>50</v>
      </c>
      <c r="W490" s="17">
        <v>46157</v>
      </c>
      <c r="X490" s="5" t="s">
        <v>6251</v>
      </c>
      <c r="Y490" s="27"/>
      <c r="Z490" s="40" t="str">
        <f>IF(TAB_OFICINAS[[#This Row],[Qtd pçs Enviadas]]=TAB_OFICINAS[[#This Row],[Qtd pçs Retornadas ]],"Produção Finalizada",TAB_OFICINAS[[#This Row],[Qtd pçs Pendetente ]] &amp; " " &amp; "Pçs Pendente")</f>
        <v>5 Pçs Pendente</v>
      </c>
    </row>
    <row r="491" spans="3:26" hidden="1">
      <c r="C491" s="28" t="s">
        <v>7</v>
      </c>
      <c r="D491" s="5">
        <v>5232</v>
      </c>
      <c r="E491" s="5">
        <v>23078</v>
      </c>
      <c r="F491" s="28" t="str">
        <f>IFERROR(VLOOKUP(TAB_OFICINAS[[#This Row],[Cliente]],LISTA_DE_CLIENTES[[Código]:[Nome Fantasia]],2,FALSE),"")</f>
        <v xml:space="preserve">PEDRO ALEXANDRE SILVA RABÊLO
</v>
      </c>
      <c r="G491" s="5" t="str">
        <f>IFERROR(VLOOKUP(TAB_OFICINAS[[#This Row],[Cliente]],LISTA_DE_CLIENTES[[Código]:[Nome Fantasia]],3,FALSE),"")</f>
        <v>PEDRO ALEXANDRE SILV</v>
      </c>
      <c r="H491" s="63">
        <v>92101042056</v>
      </c>
      <c r="I491" s="28" t="s">
        <v>21004</v>
      </c>
      <c r="J491" s="91">
        <v>9</v>
      </c>
      <c r="K491" s="86">
        <v>46139</v>
      </c>
      <c r="L491" s="10">
        <v>0</v>
      </c>
      <c r="M491" s="6">
        <v>46141</v>
      </c>
      <c r="N491" s="6">
        <v>46140</v>
      </c>
      <c r="O491" s="19">
        <f>TAB_OFICINAS[[#This Row],[Data Retorno Produção]]-TAB_OFICINAS[[#This Row],[Data Prometida  Entrega]]</f>
        <v>-1</v>
      </c>
      <c r="P491" s="40" t="str">
        <f>IF(TAB_OFICINAS[[#This Row],[Dias Para Entrega]]&lt;=0,"Em dia","Dia de Atrasado")</f>
        <v>Em dia</v>
      </c>
      <c r="Q491" s="10">
        <v>0</v>
      </c>
      <c r="R491" s="10"/>
      <c r="S491" s="5">
        <v>795</v>
      </c>
      <c r="T491" s="5">
        <v>36</v>
      </c>
      <c r="U491" s="52">
        <v>4.5</v>
      </c>
      <c r="V491" s="44">
        <f>IFERROR(TAB_OFICINAS[[#This Row],[Valor Unit]]*TAB_OFICINAS[[#This Row],[Qtd pçs Enviadas]]," ")</f>
        <v>40.5</v>
      </c>
      <c r="W491" s="17">
        <v>46157</v>
      </c>
      <c r="X491" s="5" t="s">
        <v>6251</v>
      </c>
      <c r="Y491" s="27"/>
      <c r="Z491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2" spans="3:26" hidden="1">
      <c r="C492" s="28" t="s">
        <v>7</v>
      </c>
      <c r="D492" s="5">
        <v>5232</v>
      </c>
      <c r="E492" s="5">
        <v>23078</v>
      </c>
      <c r="F492" s="28" t="str">
        <f>IFERROR(VLOOKUP(TAB_OFICINAS[[#This Row],[Cliente]],LISTA_DE_CLIENTES[[Código]:[Nome Fantasia]],2,FALSE),"")</f>
        <v xml:space="preserve">PEDRO ALEXANDRE SILVA RABÊLO
</v>
      </c>
      <c r="G492" s="5" t="str">
        <f>IFERROR(VLOOKUP(TAB_OFICINAS[[#This Row],[Cliente]],LISTA_DE_CLIENTES[[Código]:[Nome Fantasia]],3,FALSE),"")</f>
        <v>PEDRO ALEXANDRE SILV</v>
      </c>
      <c r="H492" s="63">
        <v>92102185287</v>
      </c>
      <c r="I492" s="28" t="s">
        <v>21006</v>
      </c>
      <c r="J492" s="91">
        <v>9</v>
      </c>
      <c r="K492" s="86">
        <v>46139</v>
      </c>
      <c r="L492" s="10">
        <v>0</v>
      </c>
      <c r="M492" s="6">
        <v>46141</v>
      </c>
      <c r="N492" s="6">
        <v>46140</v>
      </c>
      <c r="O492" s="19">
        <f>TAB_OFICINAS[[#This Row],[Data Retorno Produção]]-TAB_OFICINAS[[#This Row],[Data Prometida  Entrega]]</f>
        <v>-1</v>
      </c>
      <c r="P492" s="40" t="str">
        <f>IF(TAB_OFICINAS[[#This Row],[Dias Para Entrega]]&lt;=0,"Em dia","Dia de Atrasado")</f>
        <v>Em dia</v>
      </c>
      <c r="Q492" s="10">
        <v>0</v>
      </c>
      <c r="R492" s="10"/>
      <c r="S492" s="5">
        <v>795</v>
      </c>
      <c r="T492" s="5">
        <v>36</v>
      </c>
      <c r="U492" s="52">
        <v>6</v>
      </c>
      <c r="V492" s="44">
        <f>IFERROR(TAB_OFICINAS[[#This Row],[Valor Unit]]*TAB_OFICINAS[[#This Row],[Qtd pçs Enviadas]]," ")</f>
        <v>54</v>
      </c>
      <c r="W492" s="17">
        <v>46157</v>
      </c>
      <c r="X492" s="5" t="s">
        <v>6251</v>
      </c>
      <c r="Y492" s="27"/>
      <c r="Z492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3" spans="3:26" hidden="1">
      <c r="C493" s="28" t="s">
        <v>7</v>
      </c>
      <c r="D493" s="5">
        <v>2933</v>
      </c>
      <c r="E493" s="5">
        <v>23078</v>
      </c>
      <c r="F493" s="28" t="str">
        <f>IFERROR(VLOOKUP(TAB_OFICINAS[[#This Row],[Cliente]],LISTA_DE_CLIENTES[[Código]:[Nome Fantasia]],2,FALSE),"")</f>
        <v>J.F. GOMES POUSADA EIRELI</v>
      </c>
      <c r="G493" s="5" t="str">
        <f>IFERROR(VLOOKUP(TAB_OFICINAS[[#This Row],[Cliente]],LISTA_DE_CLIENTES[[Código]:[Nome Fantasia]],3,FALSE),"")</f>
        <v>POUSADA APPLE HOUSE</v>
      </c>
      <c r="H493" s="63">
        <v>2115068550</v>
      </c>
      <c r="I493" s="28" t="s">
        <v>20909</v>
      </c>
      <c r="J493" s="91">
        <v>20</v>
      </c>
      <c r="K493" s="86">
        <v>46139</v>
      </c>
      <c r="L493" s="10">
        <v>0</v>
      </c>
      <c r="M493" s="6">
        <v>46149</v>
      </c>
      <c r="N493" s="6">
        <v>46148</v>
      </c>
      <c r="O493" s="19">
        <f>TAB_OFICINAS[[#This Row],[Data Retorno Produção]]-TAB_OFICINAS[[#This Row],[Data Prometida  Entrega]]</f>
        <v>-1</v>
      </c>
      <c r="P493" s="40" t="str">
        <f>IF(TAB_OFICINAS[[#This Row],[Dias Para Entrega]]&lt;=0,"Em dia","Dia de Atrasado")</f>
        <v>Em dia</v>
      </c>
      <c r="Q493" s="10">
        <v>0</v>
      </c>
      <c r="R493" s="10"/>
      <c r="S493" s="5">
        <v>795</v>
      </c>
      <c r="T493" s="5">
        <v>36</v>
      </c>
      <c r="U493" s="52">
        <v>16</v>
      </c>
      <c r="V493" s="44">
        <f>IFERROR(TAB_OFICINAS[[#This Row],[Valor Unit]]*TAB_OFICINAS[[#This Row],[Qtd pçs Enviadas]]," ")</f>
        <v>320</v>
      </c>
      <c r="W493" s="17">
        <v>46157</v>
      </c>
      <c r="X493" s="5" t="s">
        <v>6251</v>
      </c>
      <c r="Y493" s="27"/>
      <c r="Z493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4" spans="3:26" hidden="1">
      <c r="C494" s="28" t="s">
        <v>7</v>
      </c>
      <c r="D494" s="5">
        <v>2933</v>
      </c>
      <c r="E494" s="5">
        <v>23078</v>
      </c>
      <c r="F494" s="28" t="str">
        <f>IFERROR(VLOOKUP(TAB_OFICINAS[[#This Row],[Cliente]],LISTA_DE_CLIENTES[[Código]:[Nome Fantasia]],2,FALSE),"")</f>
        <v>J.F. GOMES POUSADA EIRELI</v>
      </c>
      <c r="G494" s="5" t="str">
        <f>IFERROR(VLOOKUP(TAB_OFICINAS[[#This Row],[Cliente]],LISTA_DE_CLIENTES[[Código]:[Nome Fantasia]],3,FALSE),"")</f>
        <v>POUSADA APPLE HOUSE</v>
      </c>
      <c r="H494" s="63">
        <v>2115068551</v>
      </c>
      <c r="I494" s="28" t="s">
        <v>20911</v>
      </c>
      <c r="J494" s="91">
        <v>7</v>
      </c>
      <c r="K494" s="86">
        <v>46139</v>
      </c>
      <c r="L494" s="10">
        <v>0</v>
      </c>
      <c r="M494" s="6">
        <v>46149</v>
      </c>
      <c r="N494" s="6">
        <v>46148</v>
      </c>
      <c r="O494" s="19">
        <f>TAB_OFICINAS[[#This Row],[Data Retorno Produção]]-TAB_OFICINAS[[#This Row],[Data Prometida  Entrega]]</f>
        <v>-1</v>
      </c>
      <c r="P494" s="40" t="str">
        <f>IF(TAB_OFICINAS[[#This Row],[Dias Para Entrega]]&lt;=0,"Em dia","Dia de Atrasado")</f>
        <v>Em dia</v>
      </c>
      <c r="Q494" s="10">
        <v>0</v>
      </c>
      <c r="R494" s="10"/>
      <c r="S494" s="5">
        <v>795</v>
      </c>
      <c r="T494" s="5">
        <v>36</v>
      </c>
      <c r="U494" s="52">
        <v>16</v>
      </c>
      <c r="V494" s="44">
        <f>IFERROR(TAB_OFICINAS[[#This Row],[Valor Unit]]*TAB_OFICINAS[[#This Row],[Qtd pçs Enviadas]]," ")</f>
        <v>112</v>
      </c>
      <c r="W494" s="17">
        <v>46157</v>
      </c>
      <c r="X494" s="5" t="s">
        <v>6251</v>
      </c>
      <c r="Y494" s="27"/>
      <c r="Z494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5" spans="3:26" hidden="1">
      <c r="C495" s="28" t="s">
        <v>7</v>
      </c>
      <c r="D495" s="5">
        <v>2933</v>
      </c>
      <c r="E495" s="5">
        <v>23078</v>
      </c>
      <c r="F495" s="28" t="str">
        <f>IFERROR(VLOOKUP(TAB_OFICINAS[[#This Row],[Cliente]],LISTA_DE_CLIENTES[[Código]:[Nome Fantasia]],2,FALSE),"")</f>
        <v>J.F. GOMES POUSADA EIRELI</v>
      </c>
      <c r="G495" s="5" t="str">
        <f>IFERROR(VLOOKUP(TAB_OFICINAS[[#This Row],[Cliente]],LISTA_DE_CLIENTES[[Código]:[Nome Fantasia]],3,FALSE),"")</f>
        <v>POUSADA APPLE HOUSE</v>
      </c>
      <c r="H495" s="63">
        <v>2101066054</v>
      </c>
      <c r="I495" s="28" t="s">
        <v>20913</v>
      </c>
      <c r="J495" s="91">
        <v>30</v>
      </c>
      <c r="K495" s="86">
        <v>46139</v>
      </c>
      <c r="L495" s="10">
        <v>0</v>
      </c>
      <c r="M495" s="6">
        <v>46149</v>
      </c>
      <c r="N495" s="6">
        <v>46148</v>
      </c>
      <c r="O495" s="19">
        <f>TAB_OFICINAS[[#This Row],[Data Retorno Produção]]-TAB_OFICINAS[[#This Row],[Data Prometida  Entrega]]</f>
        <v>-1</v>
      </c>
      <c r="P495" s="40" t="str">
        <f>IF(TAB_OFICINAS[[#This Row],[Dias Para Entrega]]&lt;=0,"Em dia","Dia de Atrasado")</f>
        <v>Em dia</v>
      </c>
      <c r="Q495" s="10">
        <v>0</v>
      </c>
      <c r="R495" s="10"/>
      <c r="S495" s="5">
        <v>795</v>
      </c>
      <c r="T495" s="5">
        <v>36</v>
      </c>
      <c r="U495" s="52">
        <v>9.5</v>
      </c>
      <c r="V495" s="44">
        <f>IFERROR(TAB_OFICINAS[[#This Row],[Valor Unit]]*TAB_OFICINAS[[#This Row],[Qtd pçs Enviadas]]," ")</f>
        <v>285</v>
      </c>
      <c r="W495" s="17">
        <v>46157</v>
      </c>
      <c r="X495" s="5" t="s">
        <v>6251</v>
      </c>
      <c r="Y495" s="27"/>
      <c r="Z495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496" spans="3:26" ht="71.25" hidden="1">
      <c r="C496" s="28" t="s">
        <v>15</v>
      </c>
      <c r="D496" s="5">
        <v>2770</v>
      </c>
      <c r="E496" s="5">
        <v>23394</v>
      </c>
      <c r="F496" s="28" t="str">
        <f>IFERROR(VLOOKUP(TAB_OFICINAS[[#This Row],[Cliente]],LISTA_DE_CLIENTES[[Código]:[Nome Fantasia]],2,FALSE),"")</f>
        <v>SNC DO BRASIL COMERCIO DE EQUIPAMENTOS EIRELI</v>
      </c>
      <c r="G496" s="2" t="str">
        <f>IFERROR(VLOOKUP(TAB_OFICINAS[[#This Row],[Cliente]],LISTA_DE_CLIENTES[[Código]:[Nome Fantasia]],3,FALSE),"")</f>
        <v>TOTAL BABY STORE</v>
      </c>
      <c r="H496" s="51" t="s">
        <v>23962</v>
      </c>
      <c r="I496" s="28" t="s">
        <v>22868</v>
      </c>
      <c r="J496" s="91">
        <v>4</v>
      </c>
      <c r="K496" s="86">
        <v>46163</v>
      </c>
      <c r="L496" s="10">
        <v>4</v>
      </c>
      <c r="M496" s="6">
        <v>46178</v>
      </c>
      <c r="N496" s="6">
        <v>46184</v>
      </c>
      <c r="O496" s="19">
        <f>TAB_OFICINAS[[#This Row],[Data Retorno Produção]]-TAB_OFICINAS[[#This Row],[Data Prometida  Entrega]]</f>
        <v>6</v>
      </c>
      <c r="P496" s="40" t="str">
        <f>IF(TAB_OFICINAS[[#This Row],[Dias Para Entrega]]&lt;=0,"Em dia","Dia de Atrasado")</f>
        <v>Dia de Atrasado</v>
      </c>
      <c r="Q496" s="10">
        <f>IFERROR(TAB_OFICINAS[[#This Row],[Qtd pçs Enviadas]]-TAB_OFICINAS[[#This Row],[Qtd pçs Retornadas ]]," ")</f>
        <v>0</v>
      </c>
      <c r="R496" s="10">
        <v>2</v>
      </c>
      <c r="S496" s="5">
        <v>3225</v>
      </c>
      <c r="T496" s="5">
        <v>17293</v>
      </c>
      <c r="U496" s="1">
        <v>22</v>
      </c>
      <c r="V496" s="3">
        <f>IFERROR(TAB_OFICINAS[[#This Row],[Valor Unit]]*TAB_OFICINAS[[#This Row],[Qtd pçs Enviadas]]," ")</f>
        <v>88</v>
      </c>
      <c r="W496" s="17">
        <v>46191</v>
      </c>
      <c r="X496" s="5" t="s">
        <v>6251</v>
      </c>
      <c r="Y496" s="4" t="s">
        <v>23185</v>
      </c>
      <c r="Z4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97" spans="3:26" hidden="1">
      <c r="C497" s="28" t="s">
        <v>15</v>
      </c>
      <c r="D497" s="5">
        <v>5514</v>
      </c>
      <c r="E497" s="5">
        <v>23363</v>
      </c>
      <c r="F497" s="28" t="str">
        <f>IFERROR(VLOOKUP(TAB_OFICINAS[[#This Row],[Cliente]],LISTA_DE_CLIENTES[[Código]:[Nome Fantasia]],2,FALSE),"")</f>
        <v>CESAR AUGUSTO ANTUNES SILVA</v>
      </c>
      <c r="G497" s="2" t="str">
        <f>IFERROR(VLOOKUP(TAB_OFICINAS[[#This Row],[Cliente]],LISTA_DE_CLIENTES[[Código]:[Nome Fantasia]],3,FALSE),"")</f>
        <v>CESAR AUGUSTO</v>
      </c>
      <c r="H497" s="63">
        <v>2115159796</v>
      </c>
      <c r="I497" s="28" t="s">
        <v>23153</v>
      </c>
      <c r="J497" s="91">
        <v>4</v>
      </c>
      <c r="K497" s="86">
        <v>46169</v>
      </c>
      <c r="L497" s="34">
        <v>4</v>
      </c>
      <c r="M497" s="6">
        <v>46176</v>
      </c>
      <c r="N497" s="6">
        <v>46176</v>
      </c>
      <c r="O497" s="19">
        <f>TAB_OFICINAS[[#This Row],[Data Retorno Produção]]-TAB_OFICINAS[[#This Row],[Data Prometida  Entrega]]</f>
        <v>0</v>
      </c>
      <c r="P497" s="40" t="str">
        <f>IF(TAB_OFICINAS[[#This Row],[Dias Para Entrega]]&lt;=0,"Em dia","Dia de Atrasado")</f>
        <v>Em dia</v>
      </c>
      <c r="Q497" s="10">
        <f>IFERROR(TAB_OFICINAS[[#This Row],[Qtd pçs Enviadas]]-TAB_OFICINAS[[#This Row],[Qtd pçs Retornadas ]],"N/D ")</f>
        <v>0</v>
      </c>
      <c r="R497" s="10">
        <v>0</v>
      </c>
      <c r="S497" s="5">
        <v>3233</v>
      </c>
      <c r="T497" s="5">
        <v>17274</v>
      </c>
      <c r="U497" s="1">
        <v>8</v>
      </c>
      <c r="V497" s="3">
        <f>IFERROR(TAB_OFICINAS[[#This Row],[Valor Unit]]*TAB_OFICINAS[[#This Row],[Qtd pçs Enviadas]]," ")</f>
        <v>32</v>
      </c>
      <c r="W497" s="17">
        <v>46185</v>
      </c>
      <c r="X497" s="5" t="s">
        <v>6251</v>
      </c>
      <c r="Y497" s="4" t="s">
        <v>23156</v>
      </c>
      <c r="Z4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98" spans="3:26" hidden="1">
      <c r="C498" s="28" t="s">
        <v>15</v>
      </c>
      <c r="D498" s="5">
        <v>5514</v>
      </c>
      <c r="E498" s="5">
        <v>23363</v>
      </c>
      <c r="F498" s="28" t="str">
        <f>IFERROR(VLOOKUP(TAB_OFICINAS[[#This Row],[Cliente]],LISTA_DE_CLIENTES[[Código]:[Nome Fantasia]],2,FALSE),"")</f>
        <v>CESAR AUGUSTO ANTUNES SILVA</v>
      </c>
      <c r="G498" s="2" t="str">
        <f>IFERROR(VLOOKUP(TAB_OFICINAS[[#This Row],[Cliente]],LISTA_DE_CLIENTES[[Código]:[Nome Fantasia]],3,FALSE),"")</f>
        <v>CESAR AUGUSTO</v>
      </c>
      <c r="H498" s="63">
        <v>2115159797</v>
      </c>
      <c r="I498" s="28" t="s">
        <v>23154</v>
      </c>
      <c r="J498" s="91">
        <v>4</v>
      </c>
      <c r="K498" s="86">
        <v>46169</v>
      </c>
      <c r="L498" s="34">
        <v>4</v>
      </c>
      <c r="M498" s="6">
        <v>46176</v>
      </c>
      <c r="N498" s="6">
        <v>46176</v>
      </c>
      <c r="O498" s="19">
        <f>TAB_OFICINAS[[#This Row],[Data Retorno Produção]]-TAB_OFICINAS[[#This Row],[Data Prometida  Entrega]]</f>
        <v>0</v>
      </c>
      <c r="P498" s="40" t="str">
        <f>IF(TAB_OFICINAS[[#This Row],[Dias Para Entrega]]&lt;=0,"Em dia","Dia de Atrasado")</f>
        <v>Em dia</v>
      </c>
      <c r="Q498" s="10">
        <f>IFERROR(TAB_OFICINAS[[#This Row],[Qtd pçs Enviadas]]-TAB_OFICINAS[[#This Row],[Qtd pçs Retornadas ]],"N/D ")</f>
        <v>0</v>
      </c>
      <c r="R498" s="10">
        <v>0</v>
      </c>
      <c r="S498" s="5">
        <v>3233</v>
      </c>
      <c r="T498" s="5">
        <v>17274</v>
      </c>
      <c r="U498" s="1">
        <v>8</v>
      </c>
      <c r="V498" s="3">
        <f>IFERROR(TAB_OFICINAS[[#This Row],[Valor Unit]]*TAB_OFICINAS[[#This Row],[Qtd pçs Enviadas]]," ")</f>
        <v>32</v>
      </c>
      <c r="W498" s="17">
        <v>46185</v>
      </c>
      <c r="X498" s="5" t="s">
        <v>6251</v>
      </c>
      <c r="Y498" s="4" t="s">
        <v>23157</v>
      </c>
      <c r="Z4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499" spans="3:26" hidden="1">
      <c r="C499" s="28" t="s">
        <v>15</v>
      </c>
      <c r="D499" s="5">
        <v>5514</v>
      </c>
      <c r="E499" s="5">
        <v>23363</v>
      </c>
      <c r="F499" s="28" t="str">
        <f>IFERROR(VLOOKUP(TAB_OFICINAS[[#This Row],[Cliente]],LISTA_DE_CLIENTES[[Código]:[Nome Fantasia]],2,FALSE),"")</f>
        <v>CESAR AUGUSTO ANTUNES SILVA</v>
      </c>
      <c r="G499" s="2" t="str">
        <f>IFERROR(VLOOKUP(TAB_OFICINAS[[#This Row],[Cliente]],LISTA_DE_CLIENTES[[Código]:[Nome Fantasia]],3,FALSE),"")</f>
        <v>CESAR AUGUSTO</v>
      </c>
      <c r="H499" s="51" t="s">
        <v>23962</v>
      </c>
      <c r="I499" s="28" t="s">
        <v>23164</v>
      </c>
      <c r="J499" s="91">
        <v>4</v>
      </c>
      <c r="K499" s="86">
        <v>46169</v>
      </c>
      <c r="L499" s="34">
        <v>4</v>
      </c>
      <c r="M499" s="6">
        <v>46176</v>
      </c>
      <c r="N499" s="6">
        <v>46176</v>
      </c>
      <c r="O499" s="19">
        <f>TAB_OFICINAS[[#This Row],[Data Retorno Produção]]-TAB_OFICINAS[[#This Row],[Data Prometida  Entrega]]</f>
        <v>0</v>
      </c>
      <c r="P499" s="40" t="str">
        <f>IF(TAB_OFICINAS[[#This Row],[Dias Para Entrega]]&lt;=0,"Em dia","Dia de Atrasado")</f>
        <v>Em dia</v>
      </c>
      <c r="Q499" s="10">
        <f>IFERROR(TAB_OFICINAS[[#This Row],[Qtd pçs Enviadas]]-TAB_OFICINAS[[#This Row],[Qtd pçs Retornadas ]]," ")</f>
        <v>0</v>
      </c>
      <c r="R499" s="10">
        <v>0</v>
      </c>
      <c r="S499" s="5">
        <v>3233</v>
      </c>
      <c r="T499" s="5">
        <v>17274</v>
      </c>
      <c r="U499" s="1">
        <v>8</v>
      </c>
      <c r="V499" s="3">
        <f>IFERROR(TAB_OFICINAS[[#This Row],[Valor Unit]]*TAB_OFICINAS[[#This Row],[Qtd pçs Enviadas]]," ")</f>
        <v>32</v>
      </c>
      <c r="W499" s="17">
        <v>46185</v>
      </c>
      <c r="X499" s="5" t="s">
        <v>6251</v>
      </c>
      <c r="Y499" s="4" t="s">
        <v>23156</v>
      </c>
      <c r="Z4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0" spans="3:26" hidden="1">
      <c r="C500" s="28" t="s">
        <v>15</v>
      </c>
      <c r="D500" s="5">
        <v>5514</v>
      </c>
      <c r="E500" s="5">
        <v>23363</v>
      </c>
      <c r="F500" s="28" t="str">
        <f>IFERROR(VLOOKUP(TAB_OFICINAS[[#This Row],[Cliente]],LISTA_DE_CLIENTES[[Código]:[Nome Fantasia]],2,FALSE),"")</f>
        <v>CESAR AUGUSTO ANTUNES SILVA</v>
      </c>
      <c r="G500" s="2" t="str">
        <f>IFERROR(VLOOKUP(TAB_OFICINAS[[#This Row],[Cliente]],LISTA_DE_CLIENTES[[Código]:[Nome Fantasia]],3,FALSE),"")</f>
        <v>CESAR AUGUSTO</v>
      </c>
      <c r="H500" s="51" t="s">
        <v>23962</v>
      </c>
      <c r="I500" s="28" t="s">
        <v>23165</v>
      </c>
      <c r="J500" s="91">
        <v>4</v>
      </c>
      <c r="K500" s="86">
        <v>46169</v>
      </c>
      <c r="L500" s="34">
        <v>4</v>
      </c>
      <c r="M500" s="6">
        <v>46176</v>
      </c>
      <c r="N500" s="6">
        <v>46176</v>
      </c>
      <c r="O500" s="19">
        <f>TAB_OFICINAS[[#This Row],[Data Retorno Produção]]-TAB_OFICINAS[[#This Row],[Data Prometida  Entrega]]</f>
        <v>0</v>
      </c>
      <c r="P500" s="40" t="str">
        <f>IF(TAB_OFICINAS[[#This Row],[Dias Para Entrega]]&lt;=0,"Em dia","Dia de Atrasado")</f>
        <v>Em dia</v>
      </c>
      <c r="Q500" s="10">
        <f>IFERROR(TAB_OFICINAS[[#This Row],[Qtd pçs Enviadas]]-TAB_OFICINAS[[#This Row],[Qtd pçs Retornadas ]]," ")</f>
        <v>0</v>
      </c>
      <c r="R500" s="10">
        <v>0</v>
      </c>
      <c r="S500" s="5">
        <v>3233</v>
      </c>
      <c r="T500" s="5">
        <v>17274</v>
      </c>
      <c r="U500" s="1">
        <v>8</v>
      </c>
      <c r="V500" s="3">
        <f>IFERROR(TAB_OFICINAS[[#This Row],[Valor Unit]]*TAB_OFICINAS[[#This Row],[Qtd pçs Enviadas]]," ")</f>
        <v>32</v>
      </c>
      <c r="W500" s="17">
        <v>46185</v>
      </c>
      <c r="X500" s="5" t="s">
        <v>6251</v>
      </c>
      <c r="Y500" s="4" t="s">
        <v>23157</v>
      </c>
      <c r="Z5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1" spans="3:26" hidden="1">
      <c r="C501" s="28" t="s">
        <v>15</v>
      </c>
      <c r="D501" s="5">
        <v>5514</v>
      </c>
      <c r="E501" s="5">
        <v>23363</v>
      </c>
      <c r="F501" s="28" t="str">
        <f>IFERROR(VLOOKUP(TAB_OFICINAS[[#This Row],[Cliente]],LISTA_DE_CLIENTES[[Código]:[Nome Fantasia]],2,FALSE),"")</f>
        <v>CESAR AUGUSTO ANTUNES SILVA</v>
      </c>
      <c r="G501" s="2" t="str">
        <f>IFERROR(VLOOKUP(TAB_OFICINAS[[#This Row],[Cliente]],LISTA_DE_CLIENTES[[Código]:[Nome Fantasia]],3,FALSE),"")</f>
        <v>CESAR AUGUSTO</v>
      </c>
      <c r="H501" s="51" t="s">
        <v>23962</v>
      </c>
      <c r="I501" s="28" t="s">
        <v>23171</v>
      </c>
      <c r="J501" s="91">
        <v>4</v>
      </c>
      <c r="K501" s="86">
        <v>46169</v>
      </c>
      <c r="L501" s="34">
        <v>4</v>
      </c>
      <c r="M501" s="6">
        <v>46176</v>
      </c>
      <c r="N501" s="6">
        <v>46176</v>
      </c>
      <c r="O501" s="19">
        <f>TAB_OFICINAS[[#This Row],[Data Retorno Produção]]-TAB_OFICINAS[[#This Row],[Data Prometida  Entrega]]</f>
        <v>0</v>
      </c>
      <c r="P501" s="40" t="str">
        <f>IF(TAB_OFICINAS[[#This Row],[Dias Para Entrega]]&lt;=0,"Em dia","Dia de Atrasado")</f>
        <v>Em dia</v>
      </c>
      <c r="Q501" s="10">
        <f>IFERROR(TAB_OFICINAS[[#This Row],[Qtd pçs Enviadas]]-TAB_OFICINAS[[#This Row],[Qtd pçs Retornadas ]],"N/D ")</f>
        <v>0</v>
      </c>
      <c r="R501" s="10">
        <v>0</v>
      </c>
      <c r="S501" s="5">
        <v>3233</v>
      </c>
      <c r="T501" s="5">
        <v>17274</v>
      </c>
      <c r="U501" s="1">
        <v>8</v>
      </c>
      <c r="V501" s="3">
        <f>IFERROR(TAB_OFICINAS[[#This Row],[Valor Unit]]*TAB_OFICINAS[[#This Row],[Qtd pçs Enviadas]]," ")</f>
        <v>32</v>
      </c>
      <c r="W501" s="17">
        <v>46185</v>
      </c>
      <c r="X501" s="5" t="s">
        <v>6251</v>
      </c>
      <c r="Y501" s="4" t="s">
        <v>23156</v>
      </c>
      <c r="Z5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2" spans="3:26" hidden="1">
      <c r="C502" s="28" t="s">
        <v>15</v>
      </c>
      <c r="D502" s="5">
        <v>5514</v>
      </c>
      <c r="E502" s="5">
        <v>23363</v>
      </c>
      <c r="F502" s="28" t="str">
        <f>IFERROR(VLOOKUP(TAB_OFICINAS[[#This Row],[Cliente]],LISTA_DE_CLIENTES[[Código]:[Nome Fantasia]],2,FALSE),"")</f>
        <v>CESAR AUGUSTO ANTUNES SILVA</v>
      </c>
      <c r="G502" s="2" t="str">
        <f>IFERROR(VLOOKUP(TAB_OFICINAS[[#This Row],[Cliente]],LISTA_DE_CLIENTES[[Código]:[Nome Fantasia]],3,FALSE),"")</f>
        <v>CESAR AUGUSTO</v>
      </c>
      <c r="H502" s="51" t="s">
        <v>23962</v>
      </c>
      <c r="I502" s="28" t="s">
        <v>23172</v>
      </c>
      <c r="J502" s="91">
        <v>4</v>
      </c>
      <c r="K502" s="86">
        <v>46169</v>
      </c>
      <c r="L502" s="34">
        <v>4</v>
      </c>
      <c r="M502" s="6">
        <v>46176</v>
      </c>
      <c r="N502" s="6">
        <v>46176</v>
      </c>
      <c r="O502" s="19">
        <f>TAB_OFICINAS[[#This Row],[Data Retorno Produção]]-TAB_OFICINAS[[#This Row],[Data Prometida  Entrega]]</f>
        <v>0</v>
      </c>
      <c r="P502" s="40" t="str">
        <f>IF(TAB_OFICINAS[[#This Row],[Dias Para Entrega]]&lt;=0,"Em dia","Dia de Atrasado")</f>
        <v>Em dia</v>
      </c>
      <c r="Q502" s="10">
        <f>IFERROR(TAB_OFICINAS[[#This Row],[Qtd pçs Enviadas]]-TAB_OFICINAS[[#This Row],[Qtd pçs Retornadas ]],"N/D ")</f>
        <v>0</v>
      </c>
      <c r="R502" s="10">
        <v>0</v>
      </c>
      <c r="S502" s="5">
        <v>3233</v>
      </c>
      <c r="T502" s="5">
        <v>17274</v>
      </c>
      <c r="U502" s="1">
        <v>8</v>
      </c>
      <c r="V502" s="3">
        <f>IFERROR(TAB_OFICINAS[[#This Row],[Valor Unit]]*TAB_OFICINAS[[#This Row],[Qtd pçs Enviadas]]," ")</f>
        <v>32</v>
      </c>
      <c r="W502" s="17">
        <v>46185</v>
      </c>
      <c r="X502" s="5" t="s">
        <v>6251</v>
      </c>
      <c r="Y502" s="4" t="s">
        <v>23157</v>
      </c>
      <c r="Z5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3" spans="3:26" hidden="1">
      <c r="C503" s="28" t="s">
        <v>7</v>
      </c>
      <c r="D503" s="5">
        <v>2933</v>
      </c>
      <c r="E503" s="5">
        <v>23078</v>
      </c>
      <c r="F503" s="28" t="str">
        <f>IFERROR(VLOOKUP(TAB_OFICINAS[[#This Row],[Cliente]],LISTA_DE_CLIENTES[[Código]:[Nome Fantasia]],2,FALSE),"")</f>
        <v>J.F. GOMES POUSADA EIRELI</v>
      </c>
      <c r="G503" s="5" t="str">
        <f>IFERROR(VLOOKUP(TAB_OFICINAS[[#This Row],[Cliente]],LISTA_DE_CLIENTES[[Código]:[Nome Fantasia]],3,FALSE),"")</f>
        <v>POUSADA APPLE HOUSE</v>
      </c>
      <c r="H503" s="63">
        <v>3301076329</v>
      </c>
      <c r="I503" s="28" t="s">
        <v>20919</v>
      </c>
      <c r="J503" s="91">
        <v>145</v>
      </c>
      <c r="K503" s="86">
        <v>46139</v>
      </c>
      <c r="L503" s="10">
        <v>0</v>
      </c>
      <c r="M503" s="6">
        <v>46149</v>
      </c>
      <c r="N503" s="6">
        <v>46148</v>
      </c>
      <c r="O503" s="19">
        <f>TAB_OFICINAS[[#This Row],[Data Retorno Produção]]-TAB_OFICINAS[[#This Row],[Data Prometida  Entrega]]</f>
        <v>-1</v>
      </c>
      <c r="P503" s="40" t="str">
        <f>IF(TAB_OFICINAS[[#This Row],[Dias Para Entrega]]&lt;=0,"Em dia","Dia de Atrasado")</f>
        <v>Em dia</v>
      </c>
      <c r="Q503" s="10">
        <v>0</v>
      </c>
      <c r="R503" s="10"/>
      <c r="S503" s="5">
        <v>795</v>
      </c>
      <c r="T503" s="5">
        <v>36</v>
      </c>
      <c r="U503" s="52">
        <v>4.5999999999999996</v>
      </c>
      <c r="V503" s="44">
        <f>IFERROR(TAB_OFICINAS[[#This Row],[Valor Unit]]*TAB_OFICINAS[[#This Row],[Qtd pçs Enviadas]]," ")</f>
        <v>667</v>
      </c>
      <c r="W503" s="17">
        <v>46157</v>
      </c>
      <c r="X503" s="5" t="s">
        <v>6251</v>
      </c>
      <c r="Y503" s="27"/>
      <c r="Z503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504" spans="3:26" hidden="1">
      <c r="C504" s="28" t="s">
        <v>16</v>
      </c>
      <c r="D504" s="5">
        <v>5549</v>
      </c>
      <c r="E504" s="5">
        <v>23429</v>
      </c>
      <c r="F504" s="28" t="str">
        <f>IFERROR(VLOOKUP(TAB_OFICINAS[[#This Row],[Cliente]],LISTA_DE_CLIENTES[[Código]:[Nome Fantasia]],2,FALSE),"")</f>
        <v>ROZZANNE PATTRIZZIA JATAHY ALVES</v>
      </c>
      <c r="G504" s="2" t="str">
        <f>IFERROR(VLOOKUP(TAB_OFICINAS[[#This Row],[Cliente]],LISTA_DE_CLIENTES[[Código]:[Nome Fantasia]],3,FALSE),"")</f>
        <v>ROZZANNE PATTRIZZIA</v>
      </c>
      <c r="H504" s="63">
        <v>2101029894</v>
      </c>
      <c r="I504" s="28" t="s">
        <v>22637</v>
      </c>
      <c r="J504" s="91">
        <v>4</v>
      </c>
      <c r="K504" s="86">
        <v>46175</v>
      </c>
      <c r="L504" s="34">
        <v>4</v>
      </c>
      <c r="M504" s="6">
        <v>46186</v>
      </c>
      <c r="N504" s="6">
        <v>46184</v>
      </c>
      <c r="O504" s="19">
        <f>TAB_OFICINAS[[#This Row],[Data Retorno Produção]]-TAB_OFICINAS[[#This Row],[Data Prometida  Entrega]]</f>
        <v>-2</v>
      </c>
      <c r="P504" s="40" t="str">
        <f>IF(TAB_OFICINAS[[#This Row],[Dias Para Entrega]]&lt;=0,"Em dia","Dia de Atrasado")</f>
        <v>Em dia</v>
      </c>
      <c r="Q504" s="10">
        <f>IFERROR(TAB_OFICINAS[[#This Row],[Qtd pçs Enviadas]]-TAB_OFICINAS[[#This Row],[Qtd pçs Retornadas ]]," ")</f>
        <v>0</v>
      </c>
      <c r="R504" s="10">
        <v>0</v>
      </c>
      <c r="S504" s="5">
        <v>868</v>
      </c>
      <c r="T504" s="5">
        <v>51</v>
      </c>
      <c r="U504" s="1">
        <v>9.5</v>
      </c>
      <c r="V504" s="3">
        <f>IFERROR(TAB_OFICINAS[[#This Row],[Valor Unit]]*TAB_OFICINAS[[#This Row],[Qtd pçs Enviadas]]," ")</f>
        <v>38</v>
      </c>
      <c r="W504" s="17">
        <v>46195</v>
      </c>
      <c r="X504" s="5" t="s">
        <v>6251</v>
      </c>
      <c r="Y504" s="4"/>
      <c r="Z5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5" spans="3:26" hidden="1">
      <c r="C505" s="28" t="s">
        <v>16</v>
      </c>
      <c r="D505" s="5">
        <v>5549</v>
      </c>
      <c r="E505" s="5">
        <v>23429</v>
      </c>
      <c r="F505" s="28" t="str">
        <f>IFERROR(VLOOKUP(TAB_OFICINAS[[#This Row],[Cliente]],LISTA_DE_CLIENTES[[Código]:[Nome Fantasia]],2,FALSE),"")</f>
        <v>ROZZANNE PATTRIZZIA JATAHY ALVES</v>
      </c>
      <c r="G505" s="2" t="str">
        <f>IFERROR(VLOOKUP(TAB_OFICINAS[[#This Row],[Cliente]],LISTA_DE_CLIENTES[[Código]:[Nome Fantasia]],3,FALSE),"")</f>
        <v>ROZZANNE PATTRIZZIA</v>
      </c>
      <c r="H505" s="63">
        <v>2102049892</v>
      </c>
      <c r="I505" s="28" t="s">
        <v>22646</v>
      </c>
      <c r="J505" s="91">
        <v>4</v>
      </c>
      <c r="K505" s="86">
        <v>46175</v>
      </c>
      <c r="L505" s="34">
        <v>4</v>
      </c>
      <c r="M505" s="6">
        <v>46186</v>
      </c>
      <c r="N505" s="6">
        <v>46184</v>
      </c>
      <c r="O505" s="19">
        <f>TAB_OFICINAS[[#This Row],[Data Retorno Produção]]-TAB_OFICINAS[[#This Row],[Data Prometida  Entrega]]</f>
        <v>-2</v>
      </c>
      <c r="P505" s="40" t="str">
        <f>IF(TAB_OFICINAS[[#This Row],[Dias Para Entrega]]&lt;=0,"Em dia","Dia de Atrasado")</f>
        <v>Em dia</v>
      </c>
      <c r="Q505" s="10">
        <f>IFERROR(TAB_OFICINAS[[#This Row],[Qtd pçs Enviadas]]-TAB_OFICINAS[[#This Row],[Qtd pçs Retornadas ]]," ")</f>
        <v>0</v>
      </c>
      <c r="R505" s="10">
        <v>0</v>
      </c>
      <c r="S505" s="5">
        <v>868</v>
      </c>
      <c r="T505" s="5">
        <v>51</v>
      </c>
      <c r="U505" s="1">
        <v>8</v>
      </c>
      <c r="V505" s="3">
        <f>IFERROR(TAB_OFICINAS[[#This Row],[Valor Unit]]*TAB_OFICINAS[[#This Row],[Qtd pçs Enviadas]]," ")</f>
        <v>32</v>
      </c>
      <c r="W505" s="17">
        <v>46195</v>
      </c>
      <c r="X505" s="5" t="s">
        <v>6251</v>
      </c>
      <c r="Y505" s="4"/>
      <c r="Z5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6" spans="3:26" hidden="1">
      <c r="C506" s="28" t="s">
        <v>15</v>
      </c>
      <c r="D506" s="5" t="s">
        <v>20290</v>
      </c>
      <c r="E506" s="5">
        <v>18</v>
      </c>
      <c r="F506" s="28" t="s">
        <v>20290</v>
      </c>
      <c r="G506" s="2" t="s">
        <v>23181</v>
      </c>
      <c r="H506" s="51" t="s">
        <v>23962</v>
      </c>
      <c r="I506" s="28" t="s">
        <v>23139</v>
      </c>
      <c r="J506" s="91">
        <v>4</v>
      </c>
      <c r="K506" s="86">
        <v>46176</v>
      </c>
      <c r="L506" s="34">
        <v>4</v>
      </c>
      <c r="M506" s="6">
        <v>46185</v>
      </c>
      <c r="N506" s="6">
        <v>46182</v>
      </c>
      <c r="O506" s="19">
        <f>TAB_OFICINAS[[#This Row],[Data Retorno Produção]]-TAB_OFICINAS[[#This Row],[Data Prometida  Entrega]]</f>
        <v>-3</v>
      </c>
      <c r="P506" s="40" t="str">
        <f>IF(TAB_OFICINAS[[#This Row],[Dias Para Entrega]]&lt;=0,"Em dia","Dia de Atrasado")</f>
        <v>Em dia</v>
      </c>
      <c r="Q506" s="10">
        <f>IFERROR(TAB_OFICINAS[[#This Row],[Qtd pçs Enviadas]]-TAB_OFICINAS[[#This Row],[Qtd pçs Retornadas ]]," ")</f>
        <v>0</v>
      </c>
      <c r="R506" s="10"/>
      <c r="S506" s="5">
        <v>870</v>
      </c>
      <c r="T506" s="5">
        <v>17279</v>
      </c>
      <c r="U506" s="1">
        <v>8</v>
      </c>
      <c r="V506" s="3">
        <f>IFERROR(TAB_OFICINAS[[#This Row],[Valor Unit]]*TAB_OFICINAS[[#This Row],[Qtd pçs Enviadas]]," ")</f>
        <v>32</v>
      </c>
      <c r="W506" s="17">
        <v>46189</v>
      </c>
      <c r="X506" s="5" t="s">
        <v>6251</v>
      </c>
      <c r="Y506" s="4" t="s">
        <v>23140</v>
      </c>
      <c r="Z5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7" spans="3:26" hidden="1">
      <c r="C507" s="28" t="s">
        <v>15</v>
      </c>
      <c r="D507" s="5">
        <v>4005</v>
      </c>
      <c r="E507" s="5">
        <v>23761</v>
      </c>
      <c r="F507" s="28" t="str">
        <f>IFERROR(VLOOKUP(TAB_OFICINAS[[#This Row],[Cliente]],LISTA_DE_CLIENTES[[Código]:[Nome Fantasia]],2,FALSE),"")</f>
        <v>CLARA RESORTS LTDA</v>
      </c>
      <c r="G507" s="2" t="str">
        <f>IFERROR(VLOOKUP(TAB_OFICINAS[[#This Row],[Cliente]],LISTA_DE_CLIENTES[[Código]:[Nome Fantasia]],3,FALSE),"")</f>
        <v>SANTA CLARA INHOTIM</v>
      </c>
      <c r="H507" s="51">
        <v>3105012392</v>
      </c>
      <c r="I507" s="28" t="str">
        <f>IFERROR(VLOOKUP(TAB_OFICINAS[[#This Row],[Codigo Produto ]],_000___PEDIDOS_DE_CLIENTES[[Data.Column2]:[Descrição Produto]],2,FALSE)," ")</f>
        <v>ROUPÃO KIMONO TAM GG C/ LOGO FELPA CARAMELO</v>
      </c>
      <c r="J507" s="91">
        <v>4</v>
      </c>
      <c r="K507" s="88">
        <v>46195</v>
      </c>
      <c r="L507" s="9">
        <v>4</v>
      </c>
      <c r="M507" s="6">
        <v>46203</v>
      </c>
      <c r="N507" s="6">
        <v>46203</v>
      </c>
      <c r="O507" s="23">
        <f>TAB_OFICINAS[[#This Row],[Data Retorno Produção]]-TAB_OFICINAS[[#This Row],[Data Prometida  Entrega]]</f>
        <v>0</v>
      </c>
      <c r="P507" s="98" t="str">
        <f>IF(TAB_OFICINAS[[#This Row],[Dias Para Entrega]]&lt;=0,"Em dia","Dia de Atrasado")</f>
        <v>Em dia</v>
      </c>
      <c r="Q507" s="24">
        <f>IFERROR(TAB_OFICINAS[[#This Row],[Qtd pçs Enviadas]]-TAB_OFICINAS[[#This Row],[Qtd pçs Retornadas ]],"N/D ")</f>
        <v>0</v>
      </c>
      <c r="R507" s="24"/>
      <c r="S507" s="5">
        <v>3282</v>
      </c>
      <c r="T507" s="5">
        <v>17391</v>
      </c>
      <c r="U507" s="11">
        <v>3.6</v>
      </c>
      <c r="V507" s="25">
        <f>IFERROR(TAB_OFICINAS[[#This Row],[Valor Unit]]*TAB_OFICINAS[[#This Row],[Qtd pçs Enviadas]]," ")</f>
        <v>14.4</v>
      </c>
      <c r="W507" s="26">
        <v>46210</v>
      </c>
      <c r="X507" s="17" t="s">
        <v>6251</v>
      </c>
      <c r="Y507" s="27" t="s">
        <v>23421</v>
      </c>
      <c r="Z5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8" spans="3:26" hidden="1">
      <c r="C508" s="28" t="s">
        <v>15</v>
      </c>
      <c r="D508" s="5">
        <v>4005</v>
      </c>
      <c r="E508" s="5">
        <v>23761</v>
      </c>
      <c r="F508" s="28" t="str">
        <f>IFERROR(VLOOKUP(TAB_OFICINAS[[#This Row],[Cliente]],LISTA_DE_CLIENTES[[Código]:[Nome Fantasia]],2,FALSE),"")</f>
        <v>CLARA RESORTS LTDA</v>
      </c>
      <c r="G508" s="2" t="str">
        <f>IFERROR(VLOOKUP(TAB_OFICINAS[[#This Row],[Cliente]],LISTA_DE_CLIENTES[[Código]:[Nome Fantasia]],3,FALSE),"")</f>
        <v>SANTA CLARA INHOTIM</v>
      </c>
      <c r="H508" s="51">
        <v>3105012391</v>
      </c>
      <c r="I508" s="28" t="str">
        <f>IFERROR(VLOOKUP(TAB_OFICINAS[[#This Row],[Codigo Produto ]],_000___PEDIDOS_DE_CLIENTES[[Data.Column2]:[Descrição Produto]],2,FALSE)," ")</f>
        <v>ROUPÃO KIMONO TAM G C/ LOGO FELPA CARAMELO</v>
      </c>
      <c r="J508" s="91">
        <v>4</v>
      </c>
      <c r="K508" s="88">
        <v>46195</v>
      </c>
      <c r="L508" s="9">
        <v>4</v>
      </c>
      <c r="M508" s="6">
        <v>46203</v>
      </c>
      <c r="N508" s="6">
        <v>46203</v>
      </c>
      <c r="O508" s="23">
        <f>TAB_OFICINAS[[#This Row],[Data Retorno Produção]]-TAB_OFICINAS[[#This Row],[Data Prometida  Entrega]]</f>
        <v>0</v>
      </c>
      <c r="P508" s="98" t="str">
        <f>IF(TAB_OFICINAS[[#This Row],[Dias Para Entrega]]&lt;=0,"Em dia","Dia de Atrasado")</f>
        <v>Em dia</v>
      </c>
      <c r="Q508" s="24">
        <f>IFERROR(TAB_OFICINAS[[#This Row],[Qtd pçs Enviadas]]-TAB_OFICINAS[[#This Row],[Qtd pçs Retornadas ]],"N/D ")</f>
        <v>0</v>
      </c>
      <c r="R508" s="24"/>
      <c r="S508" s="5">
        <v>3282</v>
      </c>
      <c r="T508" s="5">
        <v>17391</v>
      </c>
      <c r="U508" s="11">
        <v>3.6</v>
      </c>
      <c r="V508" s="25">
        <f>IFERROR(TAB_OFICINAS[[#This Row],[Valor Unit]]*TAB_OFICINAS[[#This Row],[Qtd pçs Enviadas]]," ")</f>
        <v>14.4</v>
      </c>
      <c r="W508" s="26">
        <v>46210</v>
      </c>
      <c r="X508" s="17" t="s">
        <v>6251</v>
      </c>
      <c r="Y508" s="27" t="s">
        <v>23421</v>
      </c>
      <c r="Z5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09" spans="3:26" hidden="1">
      <c r="C509" s="28" t="s">
        <v>15</v>
      </c>
      <c r="D509" s="5">
        <v>4005</v>
      </c>
      <c r="E509" s="5">
        <v>23761</v>
      </c>
      <c r="F509" s="28" t="str">
        <f>IFERROR(VLOOKUP(TAB_OFICINAS[[#This Row],[Cliente]],LISTA_DE_CLIENTES[[Código]:[Nome Fantasia]],2,FALSE),"")</f>
        <v>CLARA RESORTS LTDA</v>
      </c>
      <c r="G509" s="2" t="str">
        <f>IFERROR(VLOOKUP(TAB_OFICINAS[[#This Row],[Cliente]],LISTA_DE_CLIENTES[[Código]:[Nome Fantasia]],3,FALSE),"")</f>
        <v>SANTA CLARA INHOTIM</v>
      </c>
      <c r="H509" s="51">
        <v>3759311037</v>
      </c>
      <c r="I509" s="28" t="str">
        <f>IFERROR(VLOOKUP(TAB_OFICINAS[[#This Row],[Codigo Produto ]],_000___PEDIDOS_DE_CLIENTES[[Data.Column2]:[Descrição Produto]],2,FALSE)," ")</f>
        <v>TOALHA SOHO BANHO C/ LOGO 0,90 X 1,60 CARAMELO</v>
      </c>
      <c r="J509" s="91">
        <v>4</v>
      </c>
      <c r="K509" s="88">
        <v>46195</v>
      </c>
      <c r="L509" s="9">
        <v>4</v>
      </c>
      <c r="M509" s="6">
        <v>46203</v>
      </c>
      <c r="N509" s="6">
        <v>46203</v>
      </c>
      <c r="O509" s="23">
        <f>TAB_OFICINAS[[#This Row],[Data Retorno Produção]]-TAB_OFICINAS[[#This Row],[Data Prometida  Entrega]]</f>
        <v>0</v>
      </c>
      <c r="P509" s="98" t="str">
        <f>IF(TAB_OFICINAS[[#This Row],[Dias Para Entrega]]&lt;=0,"Em dia","Dia de Atrasado")</f>
        <v>Em dia</v>
      </c>
      <c r="Q509" s="24">
        <f>IFERROR(TAB_OFICINAS[[#This Row],[Qtd pçs Enviadas]]-TAB_OFICINAS[[#This Row],[Qtd pçs Retornadas ]],"N/D ")</f>
        <v>0</v>
      </c>
      <c r="R509" s="24"/>
      <c r="S509" s="5">
        <v>3282</v>
      </c>
      <c r="T509" s="5">
        <v>17391</v>
      </c>
      <c r="U509" s="11">
        <v>4</v>
      </c>
      <c r="V509" s="25">
        <f>IFERROR(TAB_OFICINAS[[#This Row],[Valor Unit]]*TAB_OFICINAS[[#This Row],[Qtd pçs Enviadas]]," ")</f>
        <v>16</v>
      </c>
      <c r="W509" s="26">
        <v>46210</v>
      </c>
      <c r="X509" s="17" t="s">
        <v>6251</v>
      </c>
      <c r="Y509" s="27" t="s">
        <v>23422</v>
      </c>
      <c r="Z5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0" spans="3:26" hidden="1">
      <c r="C510" s="28" t="s">
        <v>15</v>
      </c>
      <c r="D510" s="5" t="s">
        <v>20290</v>
      </c>
      <c r="E510" s="5">
        <v>412</v>
      </c>
      <c r="F510" s="28" t="s">
        <v>20385</v>
      </c>
      <c r="G510" s="5" t="str">
        <f>IFERROR(VLOOKUP(TAB_OFICINAS[[#This Row],[Cliente]],LISTA_DE_CLIENTES[[Código]:[Nome Fantasia]],3,FALSE),"")</f>
        <v/>
      </c>
      <c r="H510" s="51" t="s">
        <v>23962</v>
      </c>
      <c r="I510" s="69" t="s">
        <v>20384</v>
      </c>
      <c r="J510" s="91">
        <v>3</v>
      </c>
      <c r="K510" s="86">
        <v>46028</v>
      </c>
      <c r="L510" s="10">
        <v>3</v>
      </c>
      <c r="M510" s="6">
        <v>46031</v>
      </c>
      <c r="N510" s="6">
        <v>46031</v>
      </c>
      <c r="O510" s="19">
        <f>TAB_OFICINAS[[#This Row],[Data Retorno Produção]]-TAB_OFICINAS[[#This Row],[Data Prometida  Entrega]]</f>
        <v>0</v>
      </c>
      <c r="P510" s="40" t="str">
        <f>IF(TAB_OFICINAS[[#This Row],[Dias Para Entrega]]&lt;=0,"Em dia","Dia de Atrasado")</f>
        <v>Em dia</v>
      </c>
      <c r="Q510" s="10">
        <f>IFERROR(TAB_OFICINAS[[#This Row],[Qtd pçs Enviadas]]-TAB_OFICINAS[[#This Row],[Qtd pçs Retornadas ]],"N/D ")</f>
        <v>0</v>
      </c>
      <c r="R510" s="10">
        <v>0</v>
      </c>
      <c r="S510" s="5">
        <v>3062</v>
      </c>
      <c r="T510" s="5">
        <v>16836</v>
      </c>
      <c r="U510" s="52">
        <v>10</v>
      </c>
      <c r="V510" s="44">
        <f>IFERROR(TAB_OFICINAS[[#This Row],[Valor Unit]]*TAB_OFICINAS[[#This Row],[Qtd pçs Enviadas]]," ")</f>
        <v>30</v>
      </c>
      <c r="W510" s="17">
        <v>46038</v>
      </c>
      <c r="X510" s="5" t="s">
        <v>6251</v>
      </c>
      <c r="Y510" s="27"/>
      <c r="Z5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1" spans="3:26" hidden="1">
      <c r="C511" s="28" t="s">
        <v>15</v>
      </c>
      <c r="D511" s="5" t="s">
        <v>20290</v>
      </c>
      <c r="E511" s="5">
        <v>412</v>
      </c>
      <c r="F511" s="28" t="s">
        <v>20385</v>
      </c>
      <c r="G511" s="5" t="str">
        <f>IFERROR(VLOOKUP(TAB_OFICINAS[[#This Row],[Cliente]],LISTA_DE_CLIENTES[[Código]:[Nome Fantasia]],3,FALSE),"")</f>
        <v/>
      </c>
      <c r="H511" s="51" t="s">
        <v>23962</v>
      </c>
      <c r="I511" s="28" t="s">
        <v>20386</v>
      </c>
      <c r="J511" s="91">
        <v>3</v>
      </c>
      <c r="K511" s="86">
        <v>46028</v>
      </c>
      <c r="L511" s="10">
        <v>3</v>
      </c>
      <c r="M511" s="6">
        <v>46031</v>
      </c>
      <c r="N511" s="6">
        <v>46031</v>
      </c>
      <c r="O511" s="19">
        <f>TAB_OFICINAS[[#This Row],[Data Retorno Produção]]-TAB_OFICINAS[[#This Row],[Data Prometida  Entrega]]</f>
        <v>0</v>
      </c>
      <c r="P511" s="40" t="str">
        <f>IF(TAB_OFICINAS[[#This Row],[Dias Para Entrega]]&lt;=0,"Em dia","Dia de Atrasado")</f>
        <v>Em dia</v>
      </c>
      <c r="Q511" s="10">
        <f>IFERROR(TAB_OFICINAS[[#This Row],[Qtd pçs Enviadas]]-TAB_OFICINAS[[#This Row],[Qtd pçs Retornadas ]],"N/D ")</f>
        <v>0</v>
      </c>
      <c r="R511" s="10">
        <v>0</v>
      </c>
      <c r="S511" s="5">
        <v>3062</v>
      </c>
      <c r="T511" s="5">
        <v>16836</v>
      </c>
      <c r="U511" s="52">
        <v>15</v>
      </c>
      <c r="V511" s="44">
        <f>IFERROR(TAB_OFICINAS[[#This Row],[Valor Unit]]*TAB_OFICINAS[[#This Row],[Qtd pçs Enviadas]]," ")</f>
        <v>45</v>
      </c>
      <c r="W511" s="17">
        <v>46038</v>
      </c>
      <c r="X511" s="5" t="s">
        <v>6251</v>
      </c>
      <c r="Y511" s="27"/>
      <c r="Z5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2" spans="3:26" hidden="1">
      <c r="C512" s="28" t="s">
        <v>15</v>
      </c>
      <c r="D512" s="5">
        <v>5326</v>
      </c>
      <c r="E512" s="5">
        <v>22653</v>
      </c>
      <c r="F512" s="28" t="str">
        <f>IFERROR(VLOOKUP(TAB_OFICINAS[[#This Row],[Cliente]],LISTA_DE_CLIENTES[[Código]:[Nome Fantasia]],2,FALSE),"")</f>
        <v>HANNAH CECCHETTO MARTIN</v>
      </c>
      <c r="G512" s="5" t="str">
        <f>IFERROR(VLOOKUP(TAB_OFICINAS[[#This Row],[Cliente]],LISTA_DE_CLIENTES[[Código]:[Nome Fantasia]],3,FALSE),"")</f>
        <v>HANNAH CECCHETTO MAR</v>
      </c>
      <c r="H512" s="51">
        <v>3161095330</v>
      </c>
      <c r="I512" s="28" t="s">
        <v>20406</v>
      </c>
      <c r="J512" s="91">
        <v>3</v>
      </c>
      <c r="K512" s="86">
        <v>46049</v>
      </c>
      <c r="L512" s="10">
        <v>3</v>
      </c>
      <c r="M512" s="6">
        <v>46051</v>
      </c>
      <c r="N512" s="6">
        <v>46051</v>
      </c>
      <c r="O512" s="19">
        <f>TAB_OFICINAS[[#This Row],[Data Retorno Produção]]-TAB_OFICINAS[[#This Row],[Data Prometida  Entrega]]</f>
        <v>0</v>
      </c>
      <c r="P512" s="40" t="str">
        <f>IF(TAB_OFICINAS[[#This Row],[Dias Para Entrega]]&lt;=0,"Em dia","Dia de Atrasado")</f>
        <v>Em dia</v>
      </c>
      <c r="Q512" s="10">
        <f>IFERROR(TAB_OFICINAS[[#This Row],[Qtd pçs Enviadas]]-TAB_OFICINAS[[#This Row],[Qtd pçs Retornadas ]],"N/D ")</f>
        <v>0</v>
      </c>
      <c r="R512" s="10">
        <v>0</v>
      </c>
      <c r="S512" s="5">
        <v>3100</v>
      </c>
      <c r="T512" s="5">
        <v>16885</v>
      </c>
      <c r="U512" s="52">
        <v>12</v>
      </c>
      <c r="V512" s="44">
        <f>IFERROR(TAB_OFICINAS[[#This Row],[Valor Unit]]*TAB_OFICINAS[[#This Row],[Qtd pçs Enviadas]]," ")</f>
        <v>36</v>
      </c>
      <c r="W512" s="17">
        <v>46059</v>
      </c>
      <c r="X512" s="5" t="s">
        <v>6251</v>
      </c>
      <c r="Y512" s="27"/>
      <c r="Z5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3" spans="3:26" hidden="1">
      <c r="C513" s="28" t="s">
        <v>15</v>
      </c>
      <c r="D513" s="5">
        <v>5326</v>
      </c>
      <c r="E513" s="5">
        <v>22653</v>
      </c>
      <c r="F513" s="28" t="str">
        <f>IFERROR(VLOOKUP(TAB_OFICINAS[[#This Row],[Cliente]],LISTA_DE_CLIENTES[[Código]:[Nome Fantasia]],2,FALSE),"")</f>
        <v>HANNAH CECCHETTO MARTIN</v>
      </c>
      <c r="G513" s="5" t="str">
        <f>IFERROR(VLOOKUP(TAB_OFICINAS[[#This Row],[Cliente]],LISTA_DE_CLIENTES[[Código]:[Nome Fantasia]],3,FALSE),"")</f>
        <v>HANNAH CECCHETTO MAR</v>
      </c>
      <c r="H513" s="51">
        <v>3161095331</v>
      </c>
      <c r="I513" s="28" t="s">
        <v>20407</v>
      </c>
      <c r="J513" s="91">
        <v>3</v>
      </c>
      <c r="K513" s="86">
        <v>46049</v>
      </c>
      <c r="L513" s="10">
        <v>3</v>
      </c>
      <c r="M513" s="6">
        <v>46051</v>
      </c>
      <c r="N513" s="6">
        <v>46051</v>
      </c>
      <c r="O513" s="19">
        <f>TAB_OFICINAS[[#This Row],[Data Retorno Produção]]-TAB_OFICINAS[[#This Row],[Data Prometida  Entrega]]</f>
        <v>0</v>
      </c>
      <c r="P513" s="40" t="str">
        <f>IF(TAB_OFICINAS[[#This Row],[Dias Para Entrega]]&lt;=0,"Em dia","Dia de Atrasado")</f>
        <v>Em dia</v>
      </c>
      <c r="Q513" s="10">
        <f>IFERROR(TAB_OFICINAS[[#This Row],[Qtd pçs Enviadas]]-TAB_OFICINAS[[#This Row],[Qtd pçs Retornadas ]],"N/D ")</f>
        <v>0</v>
      </c>
      <c r="R513" s="10">
        <v>0</v>
      </c>
      <c r="S513" s="5">
        <v>3100</v>
      </c>
      <c r="T513" s="5">
        <v>16885</v>
      </c>
      <c r="U513" s="52">
        <v>12</v>
      </c>
      <c r="V513" s="44">
        <f>IFERROR(TAB_OFICINAS[[#This Row],[Valor Unit]]*TAB_OFICINAS[[#This Row],[Qtd pçs Enviadas]]," ")</f>
        <v>36</v>
      </c>
      <c r="W513" s="17">
        <v>46059</v>
      </c>
      <c r="X513" s="5" t="s">
        <v>6251</v>
      </c>
      <c r="Y513" s="27"/>
      <c r="Z5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4" spans="3:26" hidden="1">
      <c r="C514" s="28" t="s">
        <v>1</v>
      </c>
      <c r="D514" s="5">
        <v>3346</v>
      </c>
      <c r="E514" s="5">
        <v>23099</v>
      </c>
      <c r="F514" s="28" t="str">
        <f>IFERROR(VLOOKUP(TAB_OFICINAS[[#This Row],[Cliente]],LISTA_DE_CLIENTES[[Código]:[Nome Fantasia]],2,FALSE),"")</f>
        <v>REDE D´OR SAO LUIZ S.A.</v>
      </c>
      <c r="G514" s="5" t="str">
        <f>IFERROR(VLOOKUP(TAB_OFICINAS[[#This Row],[Cliente]],LISTA_DE_CLIENTES[[Código]:[Nome Fantasia]],3,FALSE),"")</f>
        <v>MEMORIAL STAR</v>
      </c>
      <c r="H514" s="63">
        <v>2103067072</v>
      </c>
      <c r="I514" s="28" t="s">
        <v>21477</v>
      </c>
      <c r="J514" s="91">
        <v>250</v>
      </c>
      <c r="K514" s="86">
        <v>46136</v>
      </c>
      <c r="L514" s="10"/>
      <c r="M514" s="6">
        <v>46142</v>
      </c>
      <c r="N514" s="6">
        <v>46141</v>
      </c>
      <c r="O514" s="19">
        <f>TAB_OFICINAS[[#This Row],[Data Retorno Produção]]-TAB_OFICINAS[[#This Row],[Data Prometida  Entrega]]</f>
        <v>-1</v>
      </c>
      <c r="P514" s="40" t="str">
        <f>IF(TAB_OFICINAS[[#This Row],[Dias Para Entrega]]&lt;=0,"Em dia","Dia de Atrasado")</f>
        <v>Em dia</v>
      </c>
      <c r="Q514" s="10">
        <v>0</v>
      </c>
      <c r="R514" s="10"/>
      <c r="S514" s="5">
        <v>785</v>
      </c>
      <c r="T514" s="5">
        <v>48</v>
      </c>
      <c r="U514" s="52">
        <v>3</v>
      </c>
      <c r="V514" s="44">
        <f>IFERROR(TAB_OFICINAS[[#This Row],[Valor Unit]]*TAB_OFICINAS[[#This Row],[Qtd pçs Enviadas]]," ")</f>
        <v>750</v>
      </c>
      <c r="W514" s="17">
        <v>46151</v>
      </c>
      <c r="X514" s="5" t="s">
        <v>6251</v>
      </c>
      <c r="Y514" s="27"/>
      <c r="Z514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515" spans="3:26" hidden="1">
      <c r="C515" s="28" t="s">
        <v>1</v>
      </c>
      <c r="D515" s="5">
        <v>1858</v>
      </c>
      <c r="E515" s="5">
        <v>23354</v>
      </c>
      <c r="F515" s="28" t="str">
        <f>IFERROR(VLOOKUP(TAB_OFICINAS[[#This Row],[Cliente]],LISTA_DE_CLIENTES[[Código]:[Nome Fantasia]],2,FALSE),"")</f>
        <v>SCP ADMINISTRADORA HOTEL PAMPULHA</v>
      </c>
      <c r="G515" s="5" t="str">
        <f>IFERROR(VLOOKUP(TAB_OFICINAS[[#This Row],[Cliente]],LISTA_DE_CLIENTES[[Código]:[Nome Fantasia]],3,FALSE),"")</f>
        <v>QUALITY PAMPULHA</v>
      </c>
      <c r="H515" s="63">
        <v>92115068916</v>
      </c>
      <c r="I515" s="28" t="s">
        <v>22470</v>
      </c>
      <c r="J515" s="91">
        <v>2</v>
      </c>
      <c r="K515" s="86">
        <v>46146</v>
      </c>
      <c r="L515" s="10">
        <v>2</v>
      </c>
      <c r="M515" s="6">
        <v>46150</v>
      </c>
      <c r="N515" s="6">
        <v>46147</v>
      </c>
      <c r="O515" s="19">
        <f>TAB_OFICINAS[[#This Row],[Data Retorno Produção]]-TAB_OFICINAS[[#This Row],[Data Prometida  Entrega]]</f>
        <v>-3</v>
      </c>
      <c r="P515" s="40" t="str">
        <f>IF(TAB_OFICINAS[[#This Row],[Dias Para Entrega]]&lt;=0,"Em dia","Dia de Atrasado")</f>
        <v>Em dia</v>
      </c>
      <c r="Q515" s="10">
        <f>IFERROR(TAB_OFICINAS[[#This Row],[Qtd pçs Enviadas]]-TAB_OFICINAS[[#This Row],[Qtd pçs Retornadas ]]," ")</f>
        <v>0</v>
      </c>
      <c r="R515" s="10"/>
      <c r="S515" s="5">
        <v>816</v>
      </c>
      <c r="T515" s="5">
        <v>49</v>
      </c>
      <c r="U515" s="52">
        <v>13</v>
      </c>
      <c r="V515" s="44">
        <f>IFERROR(TAB_OFICINAS[[#This Row],[Valor Unit]]*TAB_OFICINAS[[#This Row],[Qtd pçs Enviadas]]," ")</f>
        <v>26</v>
      </c>
      <c r="W515" s="17">
        <f>TAB_OFICINAS[[#This Row],[Data Retorno Produção]]+10</f>
        <v>46157</v>
      </c>
      <c r="X515" s="5" t="s">
        <v>6251</v>
      </c>
      <c r="Y515" s="27"/>
      <c r="Z5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6" spans="3:26" hidden="1">
      <c r="C516" s="28" t="s">
        <v>1</v>
      </c>
      <c r="D516" s="5">
        <v>1858</v>
      </c>
      <c r="E516" s="5">
        <v>23354</v>
      </c>
      <c r="F516" s="28" t="str">
        <f>IFERROR(VLOOKUP(TAB_OFICINAS[[#This Row],[Cliente]],LISTA_DE_CLIENTES[[Código]:[Nome Fantasia]],2,FALSE),"")</f>
        <v>SCP ADMINISTRADORA HOTEL PAMPULHA</v>
      </c>
      <c r="G516" s="5" t="str">
        <f>IFERROR(VLOOKUP(TAB_OFICINAS[[#This Row],[Cliente]],LISTA_DE_CLIENTES[[Código]:[Nome Fantasia]],3,FALSE),"")</f>
        <v>QUALITY PAMPULHA</v>
      </c>
      <c r="H516" s="63">
        <v>92101068610</v>
      </c>
      <c r="I516" s="28" t="s">
        <v>22458</v>
      </c>
      <c r="J516" s="91">
        <v>1</v>
      </c>
      <c r="K516" s="86">
        <v>46146</v>
      </c>
      <c r="L516" s="10">
        <v>1</v>
      </c>
      <c r="M516" s="6">
        <v>46150</v>
      </c>
      <c r="N516" s="6">
        <v>46147</v>
      </c>
      <c r="O516" s="19">
        <f>TAB_OFICINAS[[#This Row],[Data Retorno Produção]]-TAB_OFICINAS[[#This Row],[Data Prometida  Entrega]]</f>
        <v>-3</v>
      </c>
      <c r="P516" s="40" t="str">
        <f>IF(TAB_OFICINAS[[#This Row],[Dias Para Entrega]]&lt;=0,"Em dia","Dia de Atrasado")</f>
        <v>Em dia</v>
      </c>
      <c r="Q516" s="10">
        <f>IFERROR(TAB_OFICINAS[[#This Row],[Qtd pçs Enviadas]]-TAB_OFICINAS[[#This Row],[Qtd pçs Retornadas ]]," ")</f>
        <v>0</v>
      </c>
      <c r="R516" s="10"/>
      <c r="S516" s="5">
        <v>816</v>
      </c>
      <c r="T516" s="5">
        <v>49</v>
      </c>
      <c r="U516" s="52">
        <v>13</v>
      </c>
      <c r="V516" s="44">
        <f>IFERROR(TAB_OFICINAS[[#This Row],[Valor Unit]]*TAB_OFICINAS[[#This Row],[Qtd pçs Enviadas]]," ")</f>
        <v>13</v>
      </c>
      <c r="W516" s="17">
        <f>TAB_OFICINAS[[#This Row],[Data Retorno Produção]]+10</f>
        <v>46157</v>
      </c>
      <c r="X516" s="5" t="s">
        <v>6251</v>
      </c>
      <c r="Y516" s="27"/>
      <c r="Z5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7" spans="3:26" hidden="1">
      <c r="C517" s="28" t="s">
        <v>1</v>
      </c>
      <c r="D517" s="5">
        <v>1858</v>
      </c>
      <c r="E517" s="5">
        <v>23354</v>
      </c>
      <c r="F517" s="28" t="str">
        <f>IFERROR(VLOOKUP(TAB_OFICINAS[[#This Row],[Cliente]],LISTA_DE_CLIENTES[[Código]:[Nome Fantasia]],2,FALSE),"")</f>
        <v>SCP ADMINISTRADORA HOTEL PAMPULHA</v>
      </c>
      <c r="G517" s="5" t="str">
        <f>IFERROR(VLOOKUP(TAB_OFICINAS[[#This Row],[Cliente]],LISTA_DE_CLIENTES[[Código]:[Nome Fantasia]],3,FALSE),"")</f>
        <v>QUALITY PAMPULHA</v>
      </c>
      <c r="H517" s="63">
        <v>92115158605</v>
      </c>
      <c r="I517" s="28" t="s">
        <v>22472</v>
      </c>
      <c r="J517" s="91">
        <v>2</v>
      </c>
      <c r="K517" s="86">
        <v>46146</v>
      </c>
      <c r="L517" s="10">
        <v>2</v>
      </c>
      <c r="M517" s="6">
        <v>46150</v>
      </c>
      <c r="N517" s="6">
        <v>46147</v>
      </c>
      <c r="O517" s="19">
        <f>TAB_OFICINAS[[#This Row],[Data Retorno Produção]]-TAB_OFICINAS[[#This Row],[Data Prometida  Entrega]]</f>
        <v>-3</v>
      </c>
      <c r="P517" s="40" t="str">
        <f>IF(TAB_OFICINAS[[#This Row],[Dias Para Entrega]]&lt;=0,"Em dia","Dia de Atrasado")</f>
        <v>Em dia</v>
      </c>
      <c r="Q517" s="10">
        <f>IFERROR(TAB_OFICINAS[[#This Row],[Qtd pçs Enviadas]]-TAB_OFICINAS[[#This Row],[Qtd pçs Retornadas ]]," ")</f>
        <v>0</v>
      </c>
      <c r="R517" s="10"/>
      <c r="S517" s="5">
        <v>816</v>
      </c>
      <c r="T517" s="5">
        <v>49</v>
      </c>
      <c r="U517" s="52">
        <v>10.65</v>
      </c>
      <c r="V517" s="44">
        <f>IFERROR(TAB_OFICINAS[[#This Row],[Valor Unit]]*TAB_OFICINAS[[#This Row],[Qtd pçs Enviadas]]," ")</f>
        <v>21.3</v>
      </c>
      <c r="W517" s="17">
        <f>TAB_OFICINAS[[#This Row],[Data Retorno Produção]]+10</f>
        <v>46157</v>
      </c>
      <c r="X517" s="5" t="s">
        <v>6251</v>
      </c>
      <c r="Y517" s="27"/>
      <c r="Z5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8" spans="3:26" hidden="1">
      <c r="C518" s="28" t="s">
        <v>15</v>
      </c>
      <c r="D518" s="5" t="s">
        <v>20290</v>
      </c>
      <c r="E518" s="5">
        <v>450</v>
      </c>
      <c r="F518" s="28" t="s">
        <v>20385</v>
      </c>
      <c r="G518" s="5" t="str">
        <f>IFERROR(VLOOKUP(TAB_OFICINAS[[#This Row],[Cliente]],LISTA_DE_CLIENTES[[Código]:[Nome Fantasia]],3,FALSE),"")</f>
        <v/>
      </c>
      <c r="H518" s="51" t="s">
        <v>23962</v>
      </c>
      <c r="I518" s="28" t="s">
        <v>20414</v>
      </c>
      <c r="J518" s="91">
        <v>3</v>
      </c>
      <c r="K518" s="86">
        <v>46055</v>
      </c>
      <c r="L518" s="10">
        <v>3</v>
      </c>
      <c r="M518" s="6">
        <v>46062</v>
      </c>
      <c r="N518" s="6">
        <v>46062</v>
      </c>
      <c r="O518" s="19">
        <f>TAB_OFICINAS[[#This Row],[Data Retorno Produção]]-TAB_OFICINAS[[#This Row],[Data Prometida  Entrega]]</f>
        <v>0</v>
      </c>
      <c r="P518" s="40" t="str">
        <f>IF(TAB_OFICINAS[[#This Row],[Dias Para Entrega]]&lt;=0,"Em dia","Dia de Atrasado")</f>
        <v>Em dia</v>
      </c>
      <c r="Q518" s="10">
        <f>IFERROR(TAB_OFICINAS[[#This Row],[Qtd pçs Enviadas]]-TAB_OFICINAS[[#This Row],[Qtd pçs Retornadas ]],"N/D ")</f>
        <v>0</v>
      </c>
      <c r="R518" s="10">
        <v>0</v>
      </c>
      <c r="S518" s="5">
        <v>3106</v>
      </c>
      <c r="T518" s="5">
        <v>16903</v>
      </c>
      <c r="U518" s="52">
        <v>10</v>
      </c>
      <c r="V518" s="44">
        <f>IFERROR(TAB_OFICINAS[[#This Row],[Valor Unit]]*TAB_OFICINAS[[#This Row],[Qtd pçs Enviadas]]," ")</f>
        <v>30</v>
      </c>
      <c r="W518" s="17">
        <v>46069</v>
      </c>
      <c r="X518" s="5" t="s">
        <v>6251</v>
      </c>
      <c r="Y518" s="27"/>
      <c r="Z5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19" spans="3:26" hidden="1">
      <c r="C519" s="28" t="s">
        <v>15</v>
      </c>
      <c r="D519" s="5" t="s">
        <v>20290</v>
      </c>
      <c r="E519" s="5">
        <v>450</v>
      </c>
      <c r="F519" s="28" t="s">
        <v>20385</v>
      </c>
      <c r="G519" s="5" t="str">
        <f>IFERROR(VLOOKUP(TAB_OFICINAS[[#This Row],[Cliente]],LISTA_DE_CLIENTES[[Código]:[Nome Fantasia]],3,FALSE),"")</f>
        <v/>
      </c>
      <c r="H519" s="51" t="s">
        <v>23962</v>
      </c>
      <c r="I519" s="28" t="s">
        <v>20419</v>
      </c>
      <c r="J519" s="91">
        <v>3</v>
      </c>
      <c r="K519" s="86">
        <v>46055</v>
      </c>
      <c r="L519" s="10">
        <v>3</v>
      </c>
      <c r="M519" s="6">
        <v>46062</v>
      </c>
      <c r="N519" s="6">
        <v>46062</v>
      </c>
      <c r="O519" s="19">
        <f>TAB_OFICINAS[[#This Row],[Data Retorno Produção]]-TAB_OFICINAS[[#This Row],[Data Prometida  Entrega]]</f>
        <v>0</v>
      </c>
      <c r="P519" s="40" t="str">
        <f>IF(TAB_OFICINAS[[#This Row],[Dias Para Entrega]]&lt;=0,"Em dia","Dia de Atrasado")</f>
        <v>Em dia</v>
      </c>
      <c r="Q519" s="10">
        <f>IFERROR(TAB_OFICINAS[[#This Row],[Qtd pçs Enviadas]]-TAB_OFICINAS[[#This Row],[Qtd pçs Retornadas ]],"N/D ")</f>
        <v>0</v>
      </c>
      <c r="R519" s="10">
        <v>0</v>
      </c>
      <c r="S519" s="5">
        <v>3106</v>
      </c>
      <c r="T519" s="5">
        <v>16903</v>
      </c>
      <c r="U519" s="52">
        <v>10</v>
      </c>
      <c r="V519" s="44">
        <f>IFERROR(TAB_OFICINAS[[#This Row],[Valor Unit]]*TAB_OFICINAS[[#This Row],[Qtd pçs Enviadas]]," ")</f>
        <v>30</v>
      </c>
      <c r="W519" s="17">
        <v>46069</v>
      </c>
      <c r="X519" s="5" t="s">
        <v>6251</v>
      </c>
      <c r="Y519" s="27"/>
      <c r="Z5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0" spans="3:26" hidden="1">
      <c r="C520" s="28" t="s">
        <v>15</v>
      </c>
      <c r="D520" s="5" t="s">
        <v>20290</v>
      </c>
      <c r="E520" s="5">
        <v>450</v>
      </c>
      <c r="F520" s="28" t="s">
        <v>20385</v>
      </c>
      <c r="G520" s="5" t="str">
        <f>IFERROR(VLOOKUP(TAB_OFICINAS[[#This Row],[Cliente]],LISTA_DE_CLIENTES[[Código]:[Nome Fantasia]],3,FALSE),"")</f>
        <v/>
      </c>
      <c r="H520" s="51" t="s">
        <v>23962</v>
      </c>
      <c r="I520" s="28" t="s">
        <v>20415</v>
      </c>
      <c r="J520" s="91">
        <v>3</v>
      </c>
      <c r="K520" s="86">
        <v>46055</v>
      </c>
      <c r="L520" s="10">
        <v>3</v>
      </c>
      <c r="M520" s="6">
        <v>46062</v>
      </c>
      <c r="N520" s="6">
        <v>46062</v>
      </c>
      <c r="O520" s="19">
        <f>TAB_OFICINAS[[#This Row],[Data Retorno Produção]]-TAB_OFICINAS[[#This Row],[Data Prometida  Entrega]]</f>
        <v>0</v>
      </c>
      <c r="P520" s="40" t="str">
        <f>IF(TAB_OFICINAS[[#This Row],[Dias Para Entrega]]&lt;=0,"Em dia","Dia de Atrasado")</f>
        <v>Em dia</v>
      </c>
      <c r="Q520" s="10">
        <f>IFERROR(TAB_OFICINAS[[#This Row],[Qtd pçs Enviadas]]-TAB_OFICINAS[[#This Row],[Qtd pçs Retornadas ]],"N/D ")</f>
        <v>0</v>
      </c>
      <c r="R520" s="10">
        <v>0</v>
      </c>
      <c r="S520" s="5">
        <v>3106</v>
      </c>
      <c r="T520" s="5">
        <v>16903</v>
      </c>
      <c r="U520" s="52">
        <v>10</v>
      </c>
      <c r="V520" s="44">
        <f>IFERROR(TAB_OFICINAS[[#This Row],[Valor Unit]]*TAB_OFICINAS[[#This Row],[Qtd pçs Enviadas]]," ")</f>
        <v>30</v>
      </c>
      <c r="W520" s="17">
        <v>46069</v>
      </c>
      <c r="X520" s="5" t="s">
        <v>6251</v>
      </c>
      <c r="Y520" s="27"/>
      <c r="Z5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1" spans="3:26" ht="42.75" hidden="1">
      <c r="C521" s="28" t="s">
        <v>15</v>
      </c>
      <c r="D521" s="5">
        <v>5247</v>
      </c>
      <c r="E521" s="5">
        <v>22531</v>
      </c>
      <c r="F521" s="28" t="str">
        <f>IFERROR(VLOOKUP(TAB_OFICINAS[[#This Row],[Cliente]],LISTA_DE_CLIENTES[[Código]:[Nome Fantasia]],2,FALSE),"")</f>
        <v>MARIANA AURIEMO</v>
      </c>
      <c r="G521" s="5" t="str">
        <f>IFERROR(VLOOKUP(TAB_OFICINAS[[#This Row],[Cliente]],LISTA_DE_CLIENTES[[Código]:[Nome Fantasia]],3,FALSE),"")</f>
        <v>MARIANA AURIEMO</v>
      </c>
      <c r="H521" s="63">
        <v>3301098613</v>
      </c>
      <c r="I521" s="28" t="s">
        <v>21011</v>
      </c>
      <c r="J521" s="91">
        <v>3</v>
      </c>
      <c r="K521" s="86">
        <v>46085</v>
      </c>
      <c r="L521" s="10">
        <v>3</v>
      </c>
      <c r="M521" s="6">
        <v>46091</v>
      </c>
      <c r="N521" s="6">
        <v>46091</v>
      </c>
      <c r="O521" s="19">
        <f>TAB_OFICINAS[[#This Row],[Data Retorno Produção]]-TAB_OFICINAS[[#This Row],[Data Prometida  Entrega]]</f>
        <v>0</v>
      </c>
      <c r="P521" s="40" t="str">
        <f>IF(TAB_OFICINAS[[#This Row],[Dias Para Entrega]]&lt;=0,"Em dia","Dia de Atrasado")</f>
        <v>Em dia</v>
      </c>
      <c r="Q521" s="10">
        <f>IFERROR(TAB_OFICINAS[[#This Row],[Qtd pçs Enviadas]]-TAB_OFICINAS[[#This Row],[Qtd pçs Retornadas ]]," ")</f>
        <v>0</v>
      </c>
      <c r="R521" s="10">
        <v>0</v>
      </c>
      <c r="S521" s="5">
        <v>657</v>
      </c>
      <c r="T521" s="5">
        <v>16983</v>
      </c>
      <c r="U521" s="52">
        <v>4</v>
      </c>
      <c r="V521" s="44">
        <f>IFERROR(TAB_OFICINAS[[#This Row],[Valor Unit]]*TAB_OFICINAS[[#This Row],[Qtd pçs Enviadas]]," ")</f>
        <v>12</v>
      </c>
      <c r="W521" s="17">
        <v>46098</v>
      </c>
      <c r="X521" s="5" t="s">
        <v>6251</v>
      </c>
      <c r="Y521" s="27" t="s">
        <v>21373</v>
      </c>
      <c r="Z5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2" spans="3:26" hidden="1">
      <c r="C522" s="28" t="s">
        <v>15</v>
      </c>
      <c r="D522" s="5">
        <v>5247</v>
      </c>
      <c r="E522" s="5">
        <v>22531</v>
      </c>
      <c r="F522" s="28" t="str">
        <f>IFERROR(VLOOKUP(TAB_OFICINAS[[#This Row],[Cliente]],LISTA_DE_CLIENTES[[Código]:[Nome Fantasia]],2,FALSE),"")</f>
        <v>MARIANA AURIEMO</v>
      </c>
      <c r="G522" s="5" t="str">
        <f>IFERROR(VLOOKUP(TAB_OFICINAS[[#This Row],[Cliente]],LISTA_DE_CLIENTES[[Código]:[Nome Fantasia]],3,FALSE),"")</f>
        <v>MARIANA AURIEMO</v>
      </c>
      <c r="H522" s="51" t="s">
        <v>21359</v>
      </c>
      <c r="I522" s="28" t="s">
        <v>21368</v>
      </c>
      <c r="J522" s="91">
        <v>3</v>
      </c>
      <c r="K522" s="86">
        <v>46086</v>
      </c>
      <c r="L522" s="10">
        <v>3</v>
      </c>
      <c r="M522" s="6">
        <v>46090</v>
      </c>
      <c r="N522" s="6">
        <v>46090</v>
      </c>
      <c r="O522" s="19">
        <f>TAB_OFICINAS[[#This Row],[Data Retorno Produção]]-TAB_OFICINAS[[#This Row],[Data Prometida  Entrega]]</f>
        <v>0</v>
      </c>
      <c r="P522" s="40" t="str">
        <f>IF(TAB_OFICINAS[[#This Row],[Dias Para Entrega]]&lt;=0,"Em dia","Dia de Atrasado")</f>
        <v>Em dia</v>
      </c>
      <c r="Q522" s="10">
        <f>IFERROR(TAB_OFICINAS[[#This Row],[Qtd pçs Enviadas]]-TAB_OFICINAS[[#This Row],[Qtd pçs Retornadas ]]," ")</f>
        <v>0</v>
      </c>
      <c r="R522" s="10">
        <v>0</v>
      </c>
      <c r="S522" s="5">
        <v>659</v>
      </c>
      <c r="T522" s="5">
        <v>19684</v>
      </c>
      <c r="U522" s="52">
        <v>3.6</v>
      </c>
      <c r="V522" s="44">
        <f>IFERROR(TAB_OFICINAS[[#This Row],[Valor Unit]]*TAB_OFICINAS[[#This Row],[Qtd pçs Enviadas]]," ")</f>
        <v>10.8</v>
      </c>
      <c r="W522" s="17">
        <v>46101</v>
      </c>
      <c r="X522" s="5" t="s">
        <v>6251</v>
      </c>
      <c r="Y522" s="27" t="s">
        <v>21351</v>
      </c>
      <c r="Z5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3" spans="3:26" ht="28.5" hidden="1">
      <c r="C523" s="28" t="s">
        <v>15</v>
      </c>
      <c r="D523" s="5">
        <v>5247</v>
      </c>
      <c r="E523" s="5">
        <v>22531</v>
      </c>
      <c r="F523" s="28" t="str">
        <f>IFERROR(VLOOKUP(TAB_OFICINAS[[#This Row],[Cliente]],LISTA_DE_CLIENTES[[Código]:[Nome Fantasia]],2,FALSE),"")</f>
        <v>MARIANA AURIEMO</v>
      </c>
      <c r="G523" s="5" t="str">
        <f>IFERROR(VLOOKUP(TAB_OFICINAS[[#This Row],[Cliente]],LISTA_DE_CLIENTES[[Código]:[Nome Fantasia]],3,FALSE),"")</f>
        <v>MARIANA AURIEMO</v>
      </c>
      <c r="H523" s="51" t="s">
        <v>21355</v>
      </c>
      <c r="I523" s="28" t="s">
        <v>21362</v>
      </c>
      <c r="J523" s="91">
        <v>3</v>
      </c>
      <c r="K523" s="86">
        <v>46086</v>
      </c>
      <c r="L523" s="10">
        <v>3</v>
      </c>
      <c r="M523" s="6">
        <v>46094</v>
      </c>
      <c r="N523" s="6">
        <v>46094</v>
      </c>
      <c r="O523" s="19">
        <f>TAB_OFICINAS[[#This Row],[Data Retorno Produção]]-TAB_OFICINAS[[#This Row],[Data Prometida  Entrega]]</f>
        <v>0</v>
      </c>
      <c r="P523" s="40" t="str">
        <f>IF(TAB_OFICINAS[[#This Row],[Dias Para Entrega]]&lt;=0,"Em dia","Dia de Atrasado")</f>
        <v>Em dia</v>
      </c>
      <c r="Q523" s="10">
        <f>IFERROR(TAB_OFICINAS[[#This Row],[Qtd pçs Enviadas]]-TAB_OFICINAS[[#This Row],[Qtd pçs Retornadas ]]," ")</f>
        <v>0</v>
      </c>
      <c r="R523" s="10">
        <v>0</v>
      </c>
      <c r="S523" s="5">
        <v>659</v>
      </c>
      <c r="T523" s="5">
        <v>19689</v>
      </c>
      <c r="U523" s="52">
        <v>12</v>
      </c>
      <c r="V523" s="44">
        <f>IFERROR(TAB_OFICINAS[[#This Row],[Valor Unit]]*TAB_OFICINAS[[#This Row],[Qtd pçs Enviadas]]," ")</f>
        <v>36</v>
      </c>
      <c r="W523" s="17">
        <v>46101</v>
      </c>
      <c r="X523" s="5" t="s">
        <v>6251</v>
      </c>
      <c r="Y523" s="27" t="s">
        <v>21354</v>
      </c>
      <c r="Z5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4" spans="3:26" ht="28.5" hidden="1">
      <c r="C524" s="28" t="s">
        <v>15</v>
      </c>
      <c r="D524" s="5">
        <v>5247</v>
      </c>
      <c r="E524" s="5">
        <v>22531</v>
      </c>
      <c r="F524" s="28" t="str">
        <f>IFERROR(VLOOKUP(TAB_OFICINAS[[#This Row],[Cliente]],LISTA_DE_CLIENTES[[Código]:[Nome Fantasia]],2,FALSE),"")</f>
        <v>MARIANA AURIEMO</v>
      </c>
      <c r="G524" s="5" t="str">
        <f>IFERROR(VLOOKUP(TAB_OFICINAS[[#This Row],[Cliente]],LISTA_DE_CLIENTES[[Código]:[Nome Fantasia]],3,FALSE),"")</f>
        <v>MARIANA AURIEMO</v>
      </c>
      <c r="H524" s="51" t="s">
        <v>21359</v>
      </c>
      <c r="I524" s="28" t="s">
        <v>21366</v>
      </c>
      <c r="J524" s="91">
        <v>3</v>
      </c>
      <c r="K524" s="86">
        <v>46086</v>
      </c>
      <c r="L524" s="10">
        <v>3</v>
      </c>
      <c r="M524" s="6">
        <v>46094</v>
      </c>
      <c r="N524" s="6">
        <v>46094</v>
      </c>
      <c r="O524" s="19">
        <f>TAB_OFICINAS[[#This Row],[Data Retorno Produção]]-TAB_OFICINAS[[#This Row],[Data Prometida  Entrega]]</f>
        <v>0</v>
      </c>
      <c r="P524" s="40" t="str">
        <f>IF(TAB_OFICINAS[[#This Row],[Dias Para Entrega]]&lt;=0,"Em dia","Dia de Atrasado")</f>
        <v>Em dia</v>
      </c>
      <c r="Q524" s="10">
        <f>IFERROR(TAB_OFICINAS[[#This Row],[Qtd pçs Enviadas]]-TAB_OFICINAS[[#This Row],[Qtd pçs Retornadas ]]," ")</f>
        <v>0</v>
      </c>
      <c r="R524" s="10">
        <v>0</v>
      </c>
      <c r="S524" s="5">
        <v>659</v>
      </c>
      <c r="T524" s="5">
        <v>19689</v>
      </c>
      <c r="U524" s="52">
        <v>12</v>
      </c>
      <c r="V524" s="44">
        <f>IFERROR(TAB_OFICINAS[[#This Row],[Valor Unit]]*TAB_OFICINAS[[#This Row],[Qtd pçs Enviadas]]," ")</f>
        <v>36</v>
      </c>
      <c r="W524" s="17">
        <v>46101</v>
      </c>
      <c r="X524" s="5" t="s">
        <v>6251</v>
      </c>
      <c r="Y524" s="27" t="s">
        <v>21354</v>
      </c>
      <c r="Z5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5" spans="3:26" ht="28.5" hidden="1">
      <c r="C525" s="28" t="s">
        <v>15</v>
      </c>
      <c r="D525" s="5">
        <v>5247</v>
      </c>
      <c r="E525" s="5">
        <v>22531</v>
      </c>
      <c r="F525" s="28" t="str">
        <f>IFERROR(VLOOKUP(TAB_OFICINAS[[#This Row],[Cliente]],LISTA_DE_CLIENTES[[Código]:[Nome Fantasia]],2,FALSE),"")</f>
        <v>MARIANA AURIEMO</v>
      </c>
      <c r="G525" s="5" t="str">
        <f>IFERROR(VLOOKUP(TAB_OFICINAS[[#This Row],[Cliente]],LISTA_DE_CLIENTES[[Código]:[Nome Fantasia]],3,FALSE),"")</f>
        <v>MARIANA AURIEMO</v>
      </c>
      <c r="H525" s="51" t="s">
        <v>21359</v>
      </c>
      <c r="I525" s="28" t="s">
        <v>21367</v>
      </c>
      <c r="J525" s="91">
        <v>3</v>
      </c>
      <c r="K525" s="86">
        <v>46086</v>
      </c>
      <c r="L525" s="10">
        <v>3</v>
      </c>
      <c r="M525" s="6">
        <v>46094</v>
      </c>
      <c r="N525" s="6">
        <v>46094</v>
      </c>
      <c r="O525" s="19">
        <f>TAB_OFICINAS[[#This Row],[Data Retorno Produção]]-TAB_OFICINAS[[#This Row],[Data Prometida  Entrega]]</f>
        <v>0</v>
      </c>
      <c r="P525" s="40" t="str">
        <f>IF(TAB_OFICINAS[[#This Row],[Dias Para Entrega]]&lt;=0,"Em dia","Dia de Atrasado")</f>
        <v>Em dia</v>
      </c>
      <c r="Q525" s="10">
        <f>IFERROR(TAB_OFICINAS[[#This Row],[Qtd pçs Enviadas]]-TAB_OFICINAS[[#This Row],[Qtd pçs Retornadas ]]," ")</f>
        <v>0</v>
      </c>
      <c r="R525" s="10">
        <v>0</v>
      </c>
      <c r="S525" s="5">
        <v>659</v>
      </c>
      <c r="T525" s="5">
        <v>19689</v>
      </c>
      <c r="U525" s="52">
        <v>9</v>
      </c>
      <c r="V525" s="44">
        <f>IFERROR(TAB_OFICINAS[[#This Row],[Valor Unit]]*TAB_OFICINAS[[#This Row],[Qtd pçs Enviadas]]," ")</f>
        <v>27</v>
      </c>
      <c r="W525" s="17">
        <v>46101</v>
      </c>
      <c r="X525" s="5" t="s">
        <v>6251</v>
      </c>
      <c r="Y525" s="27" t="s">
        <v>21353</v>
      </c>
      <c r="Z5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6" spans="3:26" ht="28.5" hidden="1">
      <c r="C526" s="28" t="s">
        <v>15</v>
      </c>
      <c r="D526" s="5">
        <v>5247</v>
      </c>
      <c r="E526" s="5">
        <v>22531</v>
      </c>
      <c r="F526" s="28" t="str">
        <f>IFERROR(VLOOKUP(TAB_OFICINAS[[#This Row],[Cliente]],LISTA_DE_CLIENTES[[Código]:[Nome Fantasia]],2,FALSE),"")</f>
        <v>MARIANA AURIEMO</v>
      </c>
      <c r="G526" s="5" t="str">
        <f>IFERROR(VLOOKUP(TAB_OFICINAS[[#This Row],[Cliente]],LISTA_DE_CLIENTES[[Código]:[Nome Fantasia]],3,FALSE),"")</f>
        <v>MARIANA AURIEMO</v>
      </c>
      <c r="H526" s="63">
        <v>2105158566</v>
      </c>
      <c r="I526" s="28" t="s">
        <v>21013</v>
      </c>
      <c r="J526" s="91">
        <v>3</v>
      </c>
      <c r="K526" s="86">
        <v>46086</v>
      </c>
      <c r="L526" s="10">
        <v>3</v>
      </c>
      <c r="M526" s="6">
        <v>46094</v>
      </c>
      <c r="N526" s="6">
        <v>46094</v>
      </c>
      <c r="O526" s="19">
        <f>TAB_OFICINAS[[#This Row],[Data Retorno Produção]]-TAB_OFICINAS[[#This Row],[Data Prometida  Entrega]]</f>
        <v>0</v>
      </c>
      <c r="P526" s="40" t="str">
        <f>IF(TAB_OFICINAS[[#This Row],[Dias Para Entrega]]&lt;=0,"Em dia","Dia de Atrasado")</f>
        <v>Em dia</v>
      </c>
      <c r="Q526" s="10">
        <f>IFERROR(TAB_OFICINAS[[#This Row],[Qtd pçs Enviadas]]-TAB_OFICINAS[[#This Row],[Qtd pçs Retornadas ]]," ")</f>
        <v>0</v>
      </c>
      <c r="R526" s="10">
        <v>0</v>
      </c>
      <c r="S526" s="5">
        <v>659</v>
      </c>
      <c r="T526" s="5">
        <v>19689</v>
      </c>
      <c r="U526" s="52">
        <v>5.5</v>
      </c>
      <c r="V526" s="44">
        <f>IFERROR(TAB_OFICINAS[[#This Row],[Valor Unit]]*TAB_OFICINAS[[#This Row],[Qtd pçs Enviadas]]," ")</f>
        <v>16.5</v>
      </c>
      <c r="W526" s="17">
        <v>46101</v>
      </c>
      <c r="X526" s="5" t="s">
        <v>6251</v>
      </c>
      <c r="Y526" s="27" t="s">
        <v>21345</v>
      </c>
      <c r="Z5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7" spans="3:26" ht="28.5" hidden="1">
      <c r="C527" s="28" t="s">
        <v>15</v>
      </c>
      <c r="D527" s="5">
        <v>5247</v>
      </c>
      <c r="E527" s="5">
        <v>22531</v>
      </c>
      <c r="F527" s="28" t="str">
        <f>IFERROR(VLOOKUP(TAB_OFICINAS[[#This Row],[Cliente]],LISTA_DE_CLIENTES[[Código]:[Nome Fantasia]],2,FALSE),"")</f>
        <v>MARIANA AURIEMO</v>
      </c>
      <c r="G527" s="5" t="str">
        <f>IFERROR(VLOOKUP(TAB_OFICINAS[[#This Row],[Cliente]],LISTA_DE_CLIENTES[[Código]:[Nome Fantasia]],3,FALSE),"")</f>
        <v>MARIANA AURIEMO</v>
      </c>
      <c r="H527" s="63">
        <v>2102188564</v>
      </c>
      <c r="I527" s="28" t="s">
        <v>21223</v>
      </c>
      <c r="J527" s="91">
        <v>3</v>
      </c>
      <c r="K527" s="86">
        <v>46086</v>
      </c>
      <c r="L527" s="10">
        <v>3</v>
      </c>
      <c r="M527" s="6">
        <v>46094</v>
      </c>
      <c r="N527" s="6">
        <v>46094</v>
      </c>
      <c r="O527" s="19">
        <f>TAB_OFICINAS[[#This Row],[Data Retorno Produção]]-TAB_OFICINAS[[#This Row],[Data Prometida  Entrega]]</f>
        <v>0</v>
      </c>
      <c r="P527" s="40" t="str">
        <f>IF(TAB_OFICINAS[[#This Row],[Dias Para Entrega]]&lt;=0,"Em dia","Dia de Atrasado")</f>
        <v>Em dia</v>
      </c>
      <c r="Q527" s="10">
        <f>IFERROR(TAB_OFICINAS[[#This Row],[Qtd pçs Enviadas]]-TAB_OFICINAS[[#This Row],[Qtd pçs Retornadas ]]," ")</f>
        <v>0</v>
      </c>
      <c r="R527" s="10">
        <v>0</v>
      </c>
      <c r="S527" s="5">
        <v>659</v>
      </c>
      <c r="T527" s="5">
        <v>19689</v>
      </c>
      <c r="U527" s="52">
        <v>9</v>
      </c>
      <c r="V527" s="44">
        <f>IFERROR(TAB_OFICINAS[[#This Row],[Valor Unit]]*TAB_OFICINAS[[#This Row],[Qtd pçs Enviadas]]," ")</f>
        <v>27</v>
      </c>
      <c r="W527" s="17">
        <v>46101</v>
      </c>
      <c r="X527" s="5" t="s">
        <v>6251</v>
      </c>
      <c r="Y527" s="27" t="s">
        <v>21353</v>
      </c>
      <c r="Z5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8" spans="3:26" ht="28.5" hidden="1">
      <c r="C528" s="28" t="s">
        <v>15</v>
      </c>
      <c r="D528" s="5">
        <v>5247</v>
      </c>
      <c r="E528" s="5">
        <v>22531</v>
      </c>
      <c r="F528" s="28" t="str">
        <f>IFERROR(VLOOKUP(TAB_OFICINAS[[#This Row],[Cliente]],LISTA_DE_CLIENTES[[Código]:[Nome Fantasia]],2,FALSE),"")</f>
        <v>MARIANA AURIEMO</v>
      </c>
      <c r="G528" s="5" t="str">
        <f>IFERROR(VLOOKUP(TAB_OFICINAS[[#This Row],[Cliente]],LISTA_DE_CLIENTES[[Código]:[Nome Fantasia]],3,FALSE),"")</f>
        <v>MARIANA AURIEMO</v>
      </c>
      <c r="H528" s="63">
        <v>2101048565</v>
      </c>
      <c r="I528" s="28" t="s">
        <v>21012</v>
      </c>
      <c r="J528" s="91">
        <v>3</v>
      </c>
      <c r="K528" s="86">
        <v>46086</v>
      </c>
      <c r="L528" s="10">
        <v>3</v>
      </c>
      <c r="M528" s="6">
        <v>46094</v>
      </c>
      <c r="N528" s="6">
        <v>46094</v>
      </c>
      <c r="O528" s="19">
        <f>TAB_OFICINAS[[#This Row],[Data Retorno Produção]]-TAB_OFICINAS[[#This Row],[Data Prometida  Entrega]]</f>
        <v>0</v>
      </c>
      <c r="P528" s="40" t="str">
        <f>IF(TAB_OFICINAS[[#This Row],[Dias Para Entrega]]&lt;=0,"Em dia","Dia de Atrasado")</f>
        <v>Em dia</v>
      </c>
      <c r="Q528" s="10">
        <f>IFERROR(TAB_OFICINAS[[#This Row],[Qtd pçs Enviadas]]-TAB_OFICINAS[[#This Row],[Qtd pçs Retornadas ]]," ")</f>
        <v>0</v>
      </c>
      <c r="R528" s="10">
        <v>0</v>
      </c>
      <c r="S528" s="5">
        <v>659</v>
      </c>
      <c r="T528" s="5">
        <v>19689</v>
      </c>
      <c r="U528" s="52">
        <v>9</v>
      </c>
      <c r="V528" s="44">
        <f>IFERROR(TAB_OFICINAS[[#This Row],[Valor Unit]]*TAB_OFICINAS[[#This Row],[Qtd pçs Enviadas]]," ")</f>
        <v>27</v>
      </c>
      <c r="W528" s="17">
        <v>46101</v>
      </c>
      <c r="X528" s="5" t="s">
        <v>6251</v>
      </c>
      <c r="Y528" s="27" t="s">
        <v>21353</v>
      </c>
      <c r="Z5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29" spans="3:26" hidden="1">
      <c r="C529" s="28" t="s">
        <v>7</v>
      </c>
      <c r="D529" s="5">
        <v>2933</v>
      </c>
      <c r="E529" s="5">
        <v>23078</v>
      </c>
      <c r="F529" s="28" t="str">
        <f>IFERROR(VLOOKUP(TAB_OFICINAS[[#This Row],[Cliente]],LISTA_DE_CLIENTES[[Código]:[Nome Fantasia]],2,FALSE),"")</f>
        <v>J.F. GOMES POUSADA EIRELI</v>
      </c>
      <c r="G529" s="5" t="str">
        <f>IFERROR(VLOOKUP(TAB_OFICINAS[[#This Row],[Cliente]],LISTA_DE_CLIENTES[[Código]:[Nome Fantasia]],3,FALSE),"")</f>
        <v>POUSADA APPLE HOUSE</v>
      </c>
      <c r="H529" s="63">
        <v>2101083077</v>
      </c>
      <c r="I529" s="28" t="s">
        <v>20921</v>
      </c>
      <c r="J529" s="91">
        <v>100</v>
      </c>
      <c r="K529" s="86">
        <v>46139</v>
      </c>
      <c r="L529" s="10">
        <v>0</v>
      </c>
      <c r="M529" s="6">
        <v>46149</v>
      </c>
      <c r="N529" s="6">
        <v>46148</v>
      </c>
      <c r="O529" s="19">
        <f>TAB_OFICINAS[[#This Row],[Data Retorno Produção]]-TAB_OFICINAS[[#This Row],[Data Prometida  Entrega]]</f>
        <v>-1</v>
      </c>
      <c r="P529" s="40" t="str">
        <f>IF(TAB_OFICINAS[[#This Row],[Dias Para Entrega]]&lt;=0,"Em dia","Dia de Atrasado")</f>
        <v>Em dia</v>
      </c>
      <c r="Q529" s="10">
        <v>0</v>
      </c>
      <c r="R529" s="10"/>
      <c r="S529" s="5">
        <v>795</v>
      </c>
      <c r="T529" s="5">
        <v>36</v>
      </c>
      <c r="U529" s="52">
        <v>4.3</v>
      </c>
      <c r="V529" s="44">
        <f>IFERROR(TAB_OFICINAS[[#This Row],[Valor Unit]]*TAB_OFICINAS[[#This Row],[Qtd pçs Enviadas]]," ")</f>
        <v>430</v>
      </c>
      <c r="W529" s="17">
        <v>46157</v>
      </c>
      <c r="X529" s="5" t="s">
        <v>6251</v>
      </c>
      <c r="Y529" s="27"/>
      <c r="Z529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530" spans="3:26" hidden="1">
      <c r="C530" s="28" t="s">
        <v>7</v>
      </c>
      <c r="D530" s="5">
        <v>2933</v>
      </c>
      <c r="E530" s="5">
        <v>23078</v>
      </c>
      <c r="F530" s="28" t="str">
        <f>IFERROR(VLOOKUP(TAB_OFICINAS[[#This Row],[Cliente]],LISTA_DE_CLIENTES[[Código]:[Nome Fantasia]],2,FALSE),"")</f>
        <v>J.F. GOMES POUSADA EIRELI</v>
      </c>
      <c r="G530" s="5" t="str">
        <f>IFERROR(VLOOKUP(TAB_OFICINAS[[#This Row],[Cliente]],LISTA_DE_CLIENTES[[Código]:[Nome Fantasia]],3,FALSE),"")</f>
        <v>POUSADA APPLE HOUSE</v>
      </c>
      <c r="H530" s="63">
        <v>3301072701</v>
      </c>
      <c r="I530" s="28" t="s">
        <v>20907</v>
      </c>
      <c r="J530" s="91">
        <v>100</v>
      </c>
      <c r="K530" s="86">
        <v>46139</v>
      </c>
      <c r="L530" s="10">
        <v>0</v>
      </c>
      <c r="M530" s="6">
        <v>46149</v>
      </c>
      <c r="N530" s="6">
        <v>46148</v>
      </c>
      <c r="O530" s="19">
        <f>TAB_OFICINAS[[#This Row],[Data Retorno Produção]]-TAB_OFICINAS[[#This Row],[Data Prometida  Entrega]]</f>
        <v>-1</v>
      </c>
      <c r="P530" s="40" t="str">
        <f>IF(TAB_OFICINAS[[#This Row],[Dias Para Entrega]]&lt;=0,"Em dia","Dia de Atrasado")</f>
        <v>Em dia</v>
      </c>
      <c r="Q530" s="10">
        <v>0</v>
      </c>
      <c r="R530" s="10"/>
      <c r="S530" s="5">
        <v>795</v>
      </c>
      <c r="T530" s="5">
        <v>36</v>
      </c>
      <c r="U530" s="52">
        <v>4</v>
      </c>
      <c r="V530" s="44">
        <f>IFERROR(TAB_OFICINAS[[#This Row],[Valor Unit]]*TAB_OFICINAS[[#This Row],[Qtd pçs Enviadas]]," ")</f>
        <v>400</v>
      </c>
      <c r="W530" s="17">
        <v>46157</v>
      </c>
      <c r="X530" s="5" t="s">
        <v>6251</v>
      </c>
      <c r="Y530" s="27"/>
      <c r="Z530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531" spans="3:26" hidden="1">
      <c r="C531" s="28" t="s">
        <v>7</v>
      </c>
      <c r="D531" s="5">
        <v>526</v>
      </c>
      <c r="E531" s="5">
        <v>23230</v>
      </c>
      <c r="F531" s="28" t="str">
        <f>IFERROR(VLOOKUP(TAB_OFICINAS[[#This Row],[Cliente]],LISTA_DE_CLIENTES[[Código]:[Nome Fantasia]],2,FALSE),"")</f>
        <v>ATMOSFERA GESTAO E HIGIENIZACAO DE TEXTEIS S.A.</v>
      </c>
      <c r="G531" s="5" t="str">
        <f>IFERROR(VLOOKUP(TAB_OFICINAS[[#This Row],[Cliente]],LISTA_DE_CLIENTES[[Código]:[Nome Fantasia]],3,FALSE),"")</f>
        <v>ATMOSFERA ST BARBARA</v>
      </c>
      <c r="H531" s="63">
        <v>92115472176</v>
      </c>
      <c r="I531" s="28" t="s">
        <v>20503</v>
      </c>
      <c r="J531" s="91">
        <v>30</v>
      </c>
      <c r="K531" s="86">
        <v>46148</v>
      </c>
      <c r="L531" s="10">
        <v>30</v>
      </c>
      <c r="M531" s="6">
        <v>46160</v>
      </c>
      <c r="N531" s="6">
        <v>46160</v>
      </c>
      <c r="O531" s="19">
        <f>TAB_OFICINAS[[#This Row],[Data Retorno Produção]]-TAB_OFICINAS[[#This Row],[Data Prometida  Entrega]]</f>
        <v>0</v>
      </c>
      <c r="P531" s="40" t="str">
        <f>IF(TAB_OFICINAS[[#This Row],[Dias Para Entrega]]&lt;=0,"Em dia","Dia de Atrasado")</f>
        <v>Em dia</v>
      </c>
      <c r="Q531" s="10">
        <v>0</v>
      </c>
      <c r="R531" s="10"/>
      <c r="S531" s="5">
        <v>823</v>
      </c>
      <c r="T531" s="5">
        <v>38</v>
      </c>
      <c r="U531" s="52">
        <v>16</v>
      </c>
      <c r="V531" s="44">
        <f>IFERROR(TAB_OFICINAS[[#This Row],[Valor Unit]]*TAB_OFICINAS[[#This Row],[Qtd pçs Enviadas]]," ")</f>
        <v>480</v>
      </c>
      <c r="W531" s="17">
        <f>TAB_OFICINAS[[#This Row],[Data Retorno Produção]]+10</f>
        <v>46170</v>
      </c>
      <c r="X531" s="5" t="s">
        <v>6251</v>
      </c>
      <c r="Y531" s="27"/>
      <c r="Z5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2" spans="3:26" hidden="1">
      <c r="C532" s="28" t="s">
        <v>7</v>
      </c>
      <c r="D532" s="5">
        <v>526</v>
      </c>
      <c r="E532" s="5">
        <v>23230</v>
      </c>
      <c r="F532" s="28" t="str">
        <f>IFERROR(VLOOKUP(TAB_OFICINAS[[#This Row],[Cliente]],LISTA_DE_CLIENTES[[Código]:[Nome Fantasia]],2,FALSE),"")</f>
        <v>ATMOSFERA GESTAO E HIGIENIZACAO DE TEXTEIS S.A.</v>
      </c>
      <c r="G532" s="5" t="str">
        <f>IFERROR(VLOOKUP(TAB_OFICINAS[[#This Row],[Cliente]],LISTA_DE_CLIENTES[[Código]:[Nome Fantasia]],3,FALSE),"")</f>
        <v>ATMOSFERA ST BARBARA</v>
      </c>
      <c r="H532" s="63">
        <v>92115476413</v>
      </c>
      <c r="I532" s="28" t="s">
        <v>20505</v>
      </c>
      <c r="J532" s="91">
        <v>20</v>
      </c>
      <c r="K532" s="86">
        <v>46148</v>
      </c>
      <c r="L532" s="10">
        <v>20</v>
      </c>
      <c r="M532" s="6">
        <v>46160</v>
      </c>
      <c r="N532" s="6">
        <v>46160</v>
      </c>
      <c r="O532" s="19">
        <f>TAB_OFICINAS[[#This Row],[Data Retorno Produção]]-TAB_OFICINAS[[#This Row],[Data Prometida  Entrega]]</f>
        <v>0</v>
      </c>
      <c r="P532" s="40" t="str">
        <f>IF(TAB_OFICINAS[[#This Row],[Dias Para Entrega]]&lt;=0,"Em dia","Dia de Atrasado")</f>
        <v>Em dia</v>
      </c>
      <c r="Q532" s="10">
        <v>0</v>
      </c>
      <c r="R532" s="10"/>
      <c r="S532" s="5">
        <v>823</v>
      </c>
      <c r="T532" s="5">
        <v>38</v>
      </c>
      <c r="U532" s="52">
        <v>15</v>
      </c>
      <c r="V532" s="44">
        <f>IFERROR(TAB_OFICINAS[[#This Row],[Valor Unit]]*TAB_OFICINAS[[#This Row],[Qtd pçs Enviadas]]," ")</f>
        <v>300</v>
      </c>
      <c r="W532" s="17">
        <v>46170</v>
      </c>
      <c r="X532" s="5" t="s">
        <v>6251</v>
      </c>
      <c r="Y532" s="27"/>
      <c r="Z5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3" spans="3:26" hidden="1">
      <c r="C533" s="28" t="s">
        <v>15</v>
      </c>
      <c r="D533" s="5">
        <v>964</v>
      </c>
      <c r="E533" s="5">
        <v>23201</v>
      </c>
      <c r="F533" s="28" t="str">
        <f>IFERROR(VLOOKUP(TAB_OFICINAS[[#This Row],[Cliente]],LISTA_DE_CLIENTES[[Código]:[Nome Fantasia]],2,FALSE),"")</f>
        <v>TRU COMMERCE IMP. EXP. E COM. DE ROUPA EIRELI</v>
      </c>
      <c r="G533" s="5" t="str">
        <f>IFERROR(VLOOKUP(TAB_OFICINAS[[#This Row],[Cliente]],LISTA_DE_CLIENTES[[Código]:[Nome Fantasia]],3,FALSE),"")</f>
        <v>TRU COMMERCE</v>
      </c>
      <c r="H533" s="63">
        <v>3161099637</v>
      </c>
      <c r="I533" s="28" t="s">
        <v>21576</v>
      </c>
      <c r="J533" s="91">
        <v>3</v>
      </c>
      <c r="K533" s="86">
        <v>46127</v>
      </c>
      <c r="L533" s="10">
        <v>3</v>
      </c>
      <c r="M533" s="6">
        <v>46134</v>
      </c>
      <c r="N533" s="6">
        <v>46136</v>
      </c>
      <c r="O533" s="19">
        <f>TAB_OFICINAS[[#This Row],[Data Retorno Produção]]-TAB_OFICINAS[[#This Row],[Data Prometida  Entrega]]</f>
        <v>2</v>
      </c>
      <c r="P533" s="40" t="str">
        <f>IF(TAB_OFICINAS[[#This Row],[Dias Para Entrega]]&lt;=0,"Em dia","Dia de Atrasado")</f>
        <v>Dia de Atrasado</v>
      </c>
      <c r="Q533" s="10">
        <f>IFERROR(TAB_OFICINAS[[#This Row],[Qtd pçs Enviadas]]-TAB_OFICINAS[[#This Row],[Qtd pçs Retornadas ]]," ")</f>
        <v>0</v>
      </c>
      <c r="R533" s="10">
        <v>0</v>
      </c>
      <c r="S533" s="5">
        <v>759</v>
      </c>
      <c r="T533" s="5">
        <v>17149</v>
      </c>
      <c r="U533" s="52">
        <v>12</v>
      </c>
      <c r="V533" s="44">
        <f>IFERROR(TAB_OFICINAS[[#This Row],[Valor Unit]]*TAB_OFICINAS[[#This Row],[Qtd pçs Enviadas]]," ")</f>
        <v>36</v>
      </c>
      <c r="W533" s="17">
        <v>46142</v>
      </c>
      <c r="X533" s="5" t="s">
        <v>6251</v>
      </c>
      <c r="Y533" s="27" t="s">
        <v>21577</v>
      </c>
      <c r="Z5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4" spans="3:26" hidden="1">
      <c r="C534" s="28" t="s">
        <v>15</v>
      </c>
      <c r="D534" s="5">
        <v>5514</v>
      </c>
      <c r="E534" s="5">
        <v>23363</v>
      </c>
      <c r="F534" s="28" t="str">
        <f>IFERROR(VLOOKUP(TAB_OFICINAS[[#This Row],[Cliente]],LISTA_DE_CLIENTES[[Código]:[Nome Fantasia]],2,FALSE),"")</f>
        <v>CESAR AUGUSTO ANTUNES SILVA</v>
      </c>
      <c r="G534" s="2" t="str">
        <f>IFERROR(VLOOKUP(TAB_OFICINAS[[#This Row],[Cliente]],LISTA_DE_CLIENTES[[Código]:[Nome Fantasia]],3,FALSE),"")</f>
        <v>CESAR AUGUSTO</v>
      </c>
      <c r="H534" s="63">
        <v>3302309806</v>
      </c>
      <c r="I534" s="28" t="s">
        <v>22877</v>
      </c>
      <c r="J534" s="91">
        <v>3</v>
      </c>
      <c r="K534" s="86">
        <v>46167</v>
      </c>
      <c r="L534" s="34">
        <v>3</v>
      </c>
      <c r="M534" s="6">
        <v>46176</v>
      </c>
      <c r="N534" s="6">
        <v>46176</v>
      </c>
      <c r="O534" s="19">
        <f>TAB_OFICINAS[[#This Row],[Data Retorno Produção]]-TAB_OFICINAS[[#This Row],[Data Prometida  Entrega]]</f>
        <v>0</v>
      </c>
      <c r="P534" s="40" t="str">
        <f>IF(TAB_OFICINAS[[#This Row],[Dias Para Entrega]]&lt;=0,"Em dia","Dia de Atrasado")</f>
        <v>Em dia</v>
      </c>
      <c r="Q534" s="10">
        <f>IFERROR(TAB_OFICINAS[[#This Row],[Qtd pçs Enviadas]]-TAB_OFICINAS[[#This Row],[Qtd pçs Retornadas ]]," ")</f>
        <v>0</v>
      </c>
      <c r="R534" s="10">
        <v>0</v>
      </c>
      <c r="S534" s="5">
        <v>855</v>
      </c>
      <c r="T534" s="5">
        <v>17272</v>
      </c>
      <c r="U534" s="1">
        <v>11.6</v>
      </c>
      <c r="V534" s="3">
        <f>IFERROR(TAB_OFICINAS[[#This Row],[Valor Unit]]*TAB_OFICINAS[[#This Row],[Qtd pçs Enviadas]]," ")</f>
        <v>34.799999999999997</v>
      </c>
      <c r="W534" s="17">
        <v>46185</v>
      </c>
      <c r="X534" s="5" t="s">
        <v>6251</v>
      </c>
      <c r="Y534" s="4" t="s">
        <v>22880</v>
      </c>
      <c r="Z5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5" spans="3:26" hidden="1">
      <c r="C535" s="28" t="s">
        <v>15</v>
      </c>
      <c r="D535" s="5">
        <v>5514</v>
      </c>
      <c r="E535" s="5">
        <v>23363</v>
      </c>
      <c r="F535" s="28" t="str">
        <f>IFERROR(VLOOKUP(TAB_OFICINAS[[#This Row],[Cliente]],LISTA_DE_CLIENTES[[Código]:[Nome Fantasia]],2,FALSE),"")</f>
        <v>CESAR AUGUSTO ANTUNES SILVA</v>
      </c>
      <c r="G535" s="2" t="str">
        <f>IFERROR(VLOOKUP(TAB_OFICINAS[[#This Row],[Cliente]],LISTA_DE_CLIENTES[[Código]:[Nome Fantasia]],3,FALSE),"")</f>
        <v>CESAR AUGUSTO</v>
      </c>
      <c r="H535" s="63">
        <v>3302309807</v>
      </c>
      <c r="I535" s="28" t="s">
        <v>22878</v>
      </c>
      <c r="J535" s="91">
        <v>3</v>
      </c>
      <c r="K535" s="86">
        <v>46167</v>
      </c>
      <c r="L535" s="34">
        <v>3</v>
      </c>
      <c r="M535" s="6">
        <v>46176</v>
      </c>
      <c r="N535" s="6">
        <v>46176</v>
      </c>
      <c r="O535" s="19">
        <f>TAB_OFICINAS[[#This Row],[Data Retorno Produção]]-TAB_OFICINAS[[#This Row],[Data Prometida  Entrega]]</f>
        <v>0</v>
      </c>
      <c r="P535" s="40" t="str">
        <f>IF(TAB_OFICINAS[[#This Row],[Dias Para Entrega]]&lt;=0,"Em dia","Dia de Atrasado")</f>
        <v>Em dia</v>
      </c>
      <c r="Q535" s="10">
        <f>IFERROR(TAB_OFICINAS[[#This Row],[Qtd pçs Enviadas]]-TAB_OFICINAS[[#This Row],[Qtd pçs Retornadas ]]," ")</f>
        <v>0</v>
      </c>
      <c r="R535" s="10">
        <v>0</v>
      </c>
      <c r="S535" s="5">
        <v>855</v>
      </c>
      <c r="T535" s="5">
        <v>17272</v>
      </c>
      <c r="U535" s="1">
        <v>11.6</v>
      </c>
      <c r="V535" s="3">
        <f>IFERROR(TAB_OFICINAS[[#This Row],[Valor Unit]]*TAB_OFICINAS[[#This Row],[Qtd pçs Enviadas]]," ")</f>
        <v>34.799999999999997</v>
      </c>
      <c r="W535" s="17">
        <v>46185</v>
      </c>
      <c r="X535" s="5" t="s">
        <v>6251</v>
      </c>
      <c r="Y535" s="4" t="s">
        <v>22879</v>
      </c>
      <c r="Z5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6" spans="3:26" hidden="1">
      <c r="C536" s="28" t="s">
        <v>15</v>
      </c>
      <c r="D536" s="5">
        <v>5514</v>
      </c>
      <c r="E536" s="5">
        <v>23363</v>
      </c>
      <c r="F536" s="28" t="str">
        <f>IFERROR(VLOOKUP(TAB_OFICINAS[[#This Row],[Cliente]],LISTA_DE_CLIENTES[[Código]:[Nome Fantasia]],2,FALSE),"")</f>
        <v>CESAR AUGUSTO ANTUNES SILVA</v>
      </c>
      <c r="G536" s="2" t="str">
        <f>IFERROR(VLOOKUP(TAB_OFICINAS[[#This Row],[Cliente]],LISTA_DE_CLIENTES[[Código]:[Nome Fantasia]],3,FALSE),"")</f>
        <v>CESAR AUGUSTO</v>
      </c>
      <c r="H536" s="63">
        <v>3302309804</v>
      </c>
      <c r="I536" s="28" t="s">
        <v>22881</v>
      </c>
      <c r="J536" s="91">
        <v>3</v>
      </c>
      <c r="K536" s="86">
        <v>46167</v>
      </c>
      <c r="L536" s="34">
        <v>3</v>
      </c>
      <c r="M536" s="6">
        <v>46176</v>
      </c>
      <c r="N536" s="6">
        <v>46176</v>
      </c>
      <c r="O536" s="19">
        <f>TAB_OFICINAS[[#This Row],[Data Retorno Produção]]-TAB_OFICINAS[[#This Row],[Data Prometida  Entrega]]</f>
        <v>0</v>
      </c>
      <c r="P536" s="40" t="str">
        <f>IF(TAB_OFICINAS[[#This Row],[Dias Para Entrega]]&lt;=0,"Em dia","Dia de Atrasado")</f>
        <v>Em dia</v>
      </c>
      <c r="Q536" s="10">
        <f>IFERROR(TAB_OFICINAS[[#This Row],[Qtd pçs Enviadas]]-TAB_OFICINAS[[#This Row],[Qtd pçs Retornadas ]]," ")</f>
        <v>0</v>
      </c>
      <c r="R536" s="10">
        <v>0</v>
      </c>
      <c r="S536" s="5">
        <v>855</v>
      </c>
      <c r="T536" s="5">
        <v>17272</v>
      </c>
      <c r="U536" s="1">
        <v>11.6</v>
      </c>
      <c r="V536" s="3">
        <f>IFERROR(TAB_OFICINAS[[#This Row],[Valor Unit]]*TAB_OFICINAS[[#This Row],[Qtd pçs Enviadas]]," ")</f>
        <v>34.799999999999997</v>
      </c>
      <c r="W536" s="17">
        <v>46185</v>
      </c>
      <c r="X536" s="5" t="s">
        <v>6251</v>
      </c>
      <c r="Y536" s="4" t="s">
        <v>22883</v>
      </c>
      <c r="Z5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7" spans="3:26" hidden="1">
      <c r="C537" s="28" t="s">
        <v>15</v>
      </c>
      <c r="D537" s="5">
        <v>5514</v>
      </c>
      <c r="E537" s="5">
        <v>23363</v>
      </c>
      <c r="F537" s="28" t="str">
        <f>IFERROR(VLOOKUP(TAB_OFICINAS[[#This Row],[Cliente]],LISTA_DE_CLIENTES[[Código]:[Nome Fantasia]],2,FALSE),"")</f>
        <v>CESAR AUGUSTO ANTUNES SILVA</v>
      </c>
      <c r="G537" s="2" t="str">
        <f>IFERROR(VLOOKUP(TAB_OFICINAS[[#This Row],[Cliente]],LISTA_DE_CLIENTES[[Código]:[Nome Fantasia]],3,FALSE),"")</f>
        <v>CESAR AUGUSTO</v>
      </c>
      <c r="H537" s="63">
        <v>3302309805</v>
      </c>
      <c r="I537" s="28" t="s">
        <v>22882</v>
      </c>
      <c r="J537" s="91">
        <v>3</v>
      </c>
      <c r="K537" s="86">
        <v>46167</v>
      </c>
      <c r="L537" s="34">
        <v>3</v>
      </c>
      <c r="M537" s="6">
        <v>46176</v>
      </c>
      <c r="N537" s="6">
        <v>46176</v>
      </c>
      <c r="O537" s="19">
        <f>TAB_OFICINAS[[#This Row],[Data Retorno Produção]]-TAB_OFICINAS[[#This Row],[Data Prometida  Entrega]]</f>
        <v>0</v>
      </c>
      <c r="P537" s="40" t="str">
        <f>IF(TAB_OFICINAS[[#This Row],[Dias Para Entrega]]&lt;=0,"Em dia","Dia de Atrasado")</f>
        <v>Em dia</v>
      </c>
      <c r="Q537" s="10">
        <f>IFERROR(TAB_OFICINAS[[#This Row],[Qtd pçs Enviadas]]-TAB_OFICINAS[[#This Row],[Qtd pçs Retornadas ]]," ")</f>
        <v>0</v>
      </c>
      <c r="R537" s="10">
        <v>0</v>
      </c>
      <c r="S537" s="5">
        <v>855</v>
      </c>
      <c r="T537" s="5">
        <v>17272</v>
      </c>
      <c r="U537" s="1">
        <v>11.6</v>
      </c>
      <c r="V537" s="3">
        <f>IFERROR(TAB_OFICINAS[[#This Row],[Valor Unit]]*TAB_OFICINAS[[#This Row],[Qtd pçs Enviadas]]," ")</f>
        <v>34.799999999999997</v>
      </c>
      <c r="W537" s="17">
        <v>46185</v>
      </c>
      <c r="X537" s="5" t="s">
        <v>6251</v>
      </c>
      <c r="Y537" s="4" t="s">
        <v>22884</v>
      </c>
      <c r="Z5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8" spans="3:26" hidden="1">
      <c r="C538" s="28" t="s">
        <v>15</v>
      </c>
      <c r="D538" s="5">
        <v>5514</v>
      </c>
      <c r="E538" s="5">
        <v>23363</v>
      </c>
      <c r="F538" s="28" t="str">
        <f>IFERROR(VLOOKUP(TAB_OFICINAS[[#This Row],[Cliente]],LISTA_DE_CLIENTES[[Código]:[Nome Fantasia]],2,FALSE),"")</f>
        <v>CESAR AUGUSTO ANTUNES SILVA</v>
      </c>
      <c r="G538" s="2" t="str">
        <f>IFERROR(VLOOKUP(TAB_OFICINAS[[#This Row],[Cliente]],LISTA_DE_CLIENTES[[Código]:[Nome Fantasia]],3,FALSE),"")</f>
        <v>CESAR AUGUSTO</v>
      </c>
      <c r="H538" s="63">
        <v>3302309802</v>
      </c>
      <c r="I538" s="28" t="s">
        <v>22885</v>
      </c>
      <c r="J538" s="91">
        <v>3</v>
      </c>
      <c r="K538" s="86">
        <v>46167</v>
      </c>
      <c r="L538" s="34">
        <v>3</v>
      </c>
      <c r="M538" s="6">
        <v>46176</v>
      </c>
      <c r="N538" s="6">
        <v>46176</v>
      </c>
      <c r="O538" s="19">
        <f>TAB_OFICINAS[[#This Row],[Data Retorno Produção]]-TAB_OFICINAS[[#This Row],[Data Prometida  Entrega]]</f>
        <v>0</v>
      </c>
      <c r="P538" s="40" t="str">
        <f>IF(TAB_OFICINAS[[#This Row],[Dias Para Entrega]]&lt;=0,"Em dia","Dia de Atrasado")</f>
        <v>Em dia</v>
      </c>
      <c r="Q538" s="10">
        <f>IFERROR(TAB_OFICINAS[[#This Row],[Qtd pçs Enviadas]]-TAB_OFICINAS[[#This Row],[Qtd pçs Retornadas ]]," ")</f>
        <v>0</v>
      </c>
      <c r="R538" s="10">
        <v>0</v>
      </c>
      <c r="S538" s="5">
        <v>855</v>
      </c>
      <c r="T538" s="5">
        <v>17272</v>
      </c>
      <c r="U538" s="1">
        <v>11.6</v>
      </c>
      <c r="V538" s="3">
        <f>IFERROR(TAB_OFICINAS[[#This Row],[Valor Unit]]*TAB_OFICINAS[[#This Row],[Qtd pçs Enviadas]]," ")</f>
        <v>34.799999999999997</v>
      </c>
      <c r="W538" s="17">
        <v>46185</v>
      </c>
      <c r="X538" s="5" t="s">
        <v>6251</v>
      </c>
      <c r="Y538" s="4" t="s">
        <v>22888</v>
      </c>
      <c r="Z5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39" spans="3:26" hidden="1">
      <c r="C539" s="28" t="s">
        <v>15</v>
      </c>
      <c r="D539" s="5">
        <v>5514</v>
      </c>
      <c r="E539" s="5">
        <v>23363</v>
      </c>
      <c r="F539" s="28" t="str">
        <f>IFERROR(VLOOKUP(TAB_OFICINAS[[#This Row],[Cliente]],LISTA_DE_CLIENTES[[Código]:[Nome Fantasia]],2,FALSE),"")</f>
        <v>CESAR AUGUSTO ANTUNES SILVA</v>
      </c>
      <c r="G539" s="2" t="str">
        <f>IFERROR(VLOOKUP(TAB_OFICINAS[[#This Row],[Cliente]],LISTA_DE_CLIENTES[[Código]:[Nome Fantasia]],3,FALSE),"")</f>
        <v>CESAR AUGUSTO</v>
      </c>
      <c r="H539" s="63">
        <v>3302309803</v>
      </c>
      <c r="I539" s="28" t="s">
        <v>22886</v>
      </c>
      <c r="J539" s="91">
        <v>3</v>
      </c>
      <c r="K539" s="86">
        <v>46167</v>
      </c>
      <c r="L539" s="34">
        <v>3</v>
      </c>
      <c r="M539" s="6">
        <v>46176</v>
      </c>
      <c r="N539" s="6">
        <v>46176</v>
      </c>
      <c r="O539" s="19">
        <f>TAB_OFICINAS[[#This Row],[Data Retorno Produção]]-TAB_OFICINAS[[#This Row],[Data Prometida  Entrega]]</f>
        <v>0</v>
      </c>
      <c r="P539" s="40" t="str">
        <f>IF(TAB_OFICINAS[[#This Row],[Dias Para Entrega]]&lt;=0,"Em dia","Dia de Atrasado")</f>
        <v>Em dia</v>
      </c>
      <c r="Q539" s="10">
        <f>IFERROR(TAB_OFICINAS[[#This Row],[Qtd pçs Enviadas]]-TAB_OFICINAS[[#This Row],[Qtd pçs Retornadas ]]," ")</f>
        <v>0</v>
      </c>
      <c r="R539" s="10">
        <v>0</v>
      </c>
      <c r="S539" s="5">
        <v>855</v>
      </c>
      <c r="T539" s="5">
        <v>17272</v>
      </c>
      <c r="U539" s="1">
        <v>11.6</v>
      </c>
      <c r="V539" s="3">
        <f>IFERROR(TAB_OFICINAS[[#This Row],[Valor Unit]]*TAB_OFICINAS[[#This Row],[Qtd pçs Enviadas]]," ")</f>
        <v>34.799999999999997</v>
      </c>
      <c r="W539" s="17">
        <v>46185</v>
      </c>
      <c r="X539" s="5" t="s">
        <v>6251</v>
      </c>
      <c r="Y539" s="4" t="s">
        <v>22887</v>
      </c>
      <c r="Z5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0" spans="3:26" ht="28.5" hidden="1">
      <c r="C540" s="28" t="s">
        <v>15</v>
      </c>
      <c r="D540" s="5">
        <v>5514</v>
      </c>
      <c r="E540" s="5">
        <v>23363</v>
      </c>
      <c r="F540" s="28" t="str">
        <f>IFERROR(VLOOKUP(TAB_OFICINAS[[#This Row],[Cliente]],LISTA_DE_CLIENTES[[Código]:[Nome Fantasia]],2,FALSE),"")</f>
        <v>CESAR AUGUSTO ANTUNES SILVA</v>
      </c>
      <c r="G540" s="2" t="str">
        <f>IFERROR(VLOOKUP(TAB_OFICINAS[[#This Row],[Cliente]],LISTA_DE_CLIENTES[[Código]:[Nome Fantasia]],3,FALSE),"")</f>
        <v>CESAR AUGUSTO</v>
      </c>
      <c r="H540" s="63">
        <v>3302309808</v>
      </c>
      <c r="I540" s="28" t="s">
        <v>22889</v>
      </c>
      <c r="J540" s="91">
        <v>3</v>
      </c>
      <c r="K540" s="86">
        <v>46167</v>
      </c>
      <c r="L540" s="34">
        <v>3</v>
      </c>
      <c r="M540" s="6">
        <v>46176</v>
      </c>
      <c r="N540" s="6">
        <v>46176</v>
      </c>
      <c r="O540" s="19">
        <f>TAB_OFICINAS[[#This Row],[Data Retorno Produção]]-TAB_OFICINAS[[#This Row],[Data Prometida  Entrega]]</f>
        <v>0</v>
      </c>
      <c r="P540" s="40" t="str">
        <f>IF(TAB_OFICINAS[[#This Row],[Dias Para Entrega]]&lt;=0,"Em dia","Dia de Atrasado")</f>
        <v>Em dia</v>
      </c>
      <c r="Q540" s="10">
        <f>IFERROR(TAB_OFICINAS[[#This Row],[Qtd pçs Enviadas]]-TAB_OFICINAS[[#This Row],[Qtd pçs Retornadas ]]," ")</f>
        <v>0</v>
      </c>
      <c r="R540" s="10">
        <v>0</v>
      </c>
      <c r="S540" s="5">
        <v>855</v>
      </c>
      <c r="T540" s="5">
        <v>17272</v>
      </c>
      <c r="U540" s="1">
        <v>11.6</v>
      </c>
      <c r="V540" s="3">
        <f>IFERROR(TAB_OFICINAS[[#This Row],[Valor Unit]]*TAB_OFICINAS[[#This Row],[Qtd pçs Enviadas]]," ")</f>
        <v>34.799999999999997</v>
      </c>
      <c r="W540" s="17">
        <v>46185</v>
      </c>
      <c r="X540" s="5" t="s">
        <v>6251</v>
      </c>
      <c r="Y540" s="4" t="s">
        <v>22891</v>
      </c>
      <c r="Z5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1" spans="3:26" ht="28.5" hidden="1">
      <c r="C541" s="28" t="s">
        <v>15</v>
      </c>
      <c r="D541" s="5">
        <v>5514</v>
      </c>
      <c r="E541" s="5">
        <v>23363</v>
      </c>
      <c r="F541" s="28" t="str">
        <f>IFERROR(VLOOKUP(TAB_OFICINAS[[#This Row],[Cliente]],LISTA_DE_CLIENTES[[Código]:[Nome Fantasia]],2,FALSE),"")</f>
        <v>CESAR AUGUSTO ANTUNES SILVA</v>
      </c>
      <c r="G541" s="2" t="str">
        <f>IFERROR(VLOOKUP(TAB_OFICINAS[[#This Row],[Cliente]],LISTA_DE_CLIENTES[[Código]:[Nome Fantasia]],3,FALSE),"")</f>
        <v>CESAR AUGUSTO</v>
      </c>
      <c r="H541" s="63">
        <v>3302309809</v>
      </c>
      <c r="I541" s="28" t="s">
        <v>22890</v>
      </c>
      <c r="J541" s="91">
        <v>3</v>
      </c>
      <c r="K541" s="86">
        <v>46167</v>
      </c>
      <c r="L541" s="34">
        <v>3</v>
      </c>
      <c r="M541" s="6">
        <v>46176</v>
      </c>
      <c r="N541" s="6">
        <v>46176</v>
      </c>
      <c r="O541" s="19">
        <f>TAB_OFICINAS[[#This Row],[Data Retorno Produção]]-TAB_OFICINAS[[#This Row],[Data Prometida  Entrega]]</f>
        <v>0</v>
      </c>
      <c r="P541" s="40" t="str">
        <f>IF(TAB_OFICINAS[[#This Row],[Dias Para Entrega]]&lt;=0,"Em dia","Dia de Atrasado")</f>
        <v>Em dia</v>
      </c>
      <c r="Q541" s="10">
        <f>IFERROR(TAB_OFICINAS[[#This Row],[Qtd pçs Enviadas]]-TAB_OFICINAS[[#This Row],[Qtd pçs Retornadas ]]," ")</f>
        <v>0</v>
      </c>
      <c r="R541" s="10">
        <v>0</v>
      </c>
      <c r="S541" s="5">
        <v>855</v>
      </c>
      <c r="T541" s="5">
        <v>17272</v>
      </c>
      <c r="U541" s="1">
        <v>11.6</v>
      </c>
      <c r="V541" s="3">
        <f>IFERROR(TAB_OFICINAS[[#This Row],[Valor Unit]]*TAB_OFICINAS[[#This Row],[Qtd pçs Enviadas]]," ")</f>
        <v>34.799999999999997</v>
      </c>
      <c r="W541" s="17">
        <v>46185</v>
      </c>
      <c r="X541" s="5" t="s">
        <v>6251</v>
      </c>
      <c r="Y541" s="4" t="s">
        <v>22892</v>
      </c>
      <c r="Z5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2" spans="3:26" ht="28.5" hidden="1">
      <c r="C542" s="28" t="s">
        <v>15</v>
      </c>
      <c r="D542" s="5">
        <v>5514</v>
      </c>
      <c r="E542" s="5">
        <v>23363</v>
      </c>
      <c r="F542" s="28" t="str">
        <f>IFERROR(VLOOKUP(TAB_OFICINAS[[#This Row],[Cliente]],LISTA_DE_CLIENTES[[Código]:[Nome Fantasia]],2,FALSE),"")</f>
        <v>CESAR AUGUSTO ANTUNES SILVA</v>
      </c>
      <c r="G542" s="2" t="str">
        <f>IFERROR(VLOOKUP(TAB_OFICINAS[[#This Row],[Cliente]],LISTA_DE_CLIENTES[[Código]:[Nome Fantasia]],3,FALSE),"")</f>
        <v>CESAR AUGUSTO</v>
      </c>
      <c r="H542" s="63">
        <v>2101069814</v>
      </c>
      <c r="I542" s="28" t="s">
        <v>22893</v>
      </c>
      <c r="J542" s="91">
        <v>3</v>
      </c>
      <c r="K542" s="86">
        <v>46167</v>
      </c>
      <c r="L542" s="34">
        <v>3</v>
      </c>
      <c r="M542" s="6">
        <v>46176</v>
      </c>
      <c r="N542" s="6">
        <v>46176</v>
      </c>
      <c r="O542" s="19">
        <f>TAB_OFICINAS[[#This Row],[Data Retorno Produção]]-TAB_OFICINAS[[#This Row],[Data Prometida  Entrega]]</f>
        <v>0</v>
      </c>
      <c r="P542" s="40" t="str">
        <f>IF(TAB_OFICINAS[[#This Row],[Dias Para Entrega]]&lt;=0,"Em dia","Dia de Atrasado")</f>
        <v>Em dia</v>
      </c>
      <c r="Q542" s="10">
        <f>IFERROR(TAB_OFICINAS[[#This Row],[Qtd pçs Enviadas]]-TAB_OFICINAS[[#This Row],[Qtd pçs Retornadas ]]," ")</f>
        <v>0</v>
      </c>
      <c r="R542" s="10">
        <v>0</v>
      </c>
      <c r="S542" s="5">
        <v>855</v>
      </c>
      <c r="T542" s="5">
        <v>17272</v>
      </c>
      <c r="U542" s="1">
        <v>7.6</v>
      </c>
      <c r="V542" s="3">
        <f>IFERROR(TAB_OFICINAS[[#This Row],[Valor Unit]]*TAB_OFICINAS[[#This Row],[Qtd pçs Enviadas]]," ")</f>
        <v>22.799999999999997</v>
      </c>
      <c r="W542" s="17">
        <v>46185</v>
      </c>
      <c r="X542" s="5" t="s">
        <v>6251</v>
      </c>
      <c r="Y542" s="4" t="s">
        <v>22895</v>
      </c>
      <c r="Z5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3" spans="3:26" ht="28.5" hidden="1">
      <c r="C543" s="28" t="s">
        <v>15</v>
      </c>
      <c r="D543" s="5">
        <v>5514</v>
      </c>
      <c r="E543" s="5">
        <v>23363</v>
      </c>
      <c r="F543" s="28" t="str">
        <f>IFERROR(VLOOKUP(TAB_OFICINAS[[#This Row],[Cliente]],LISTA_DE_CLIENTES[[Código]:[Nome Fantasia]],2,FALSE),"")</f>
        <v>CESAR AUGUSTO ANTUNES SILVA</v>
      </c>
      <c r="G543" s="2" t="str">
        <f>IFERROR(VLOOKUP(TAB_OFICINAS[[#This Row],[Cliente]],LISTA_DE_CLIENTES[[Código]:[Nome Fantasia]],3,FALSE),"")</f>
        <v>CESAR AUGUSTO</v>
      </c>
      <c r="H543" s="51">
        <v>2101069815</v>
      </c>
      <c r="I543" s="28" t="s">
        <v>22894</v>
      </c>
      <c r="J543" s="91">
        <v>3</v>
      </c>
      <c r="K543" s="86">
        <v>46167</v>
      </c>
      <c r="L543" s="34">
        <v>3</v>
      </c>
      <c r="M543" s="6">
        <v>46176</v>
      </c>
      <c r="N543" s="6">
        <v>46176</v>
      </c>
      <c r="O543" s="19">
        <f>TAB_OFICINAS[[#This Row],[Data Retorno Produção]]-TAB_OFICINAS[[#This Row],[Data Prometida  Entrega]]</f>
        <v>0</v>
      </c>
      <c r="P543" s="40" t="str">
        <f>IF(TAB_OFICINAS[[#This Row],[Dias Para Entrega]]&lt;=0,"Em dia","Dia de Atrasado")</f>
        <v>Em dia</v>
      </c>
      <c r="Q543" s="10">
        <f>IFERROR(TAB_OFICINAS[[#This Row],[Qtd pçs Enviadas]]-TAB_OFICINAS[[#This Row],[Qtd pçs Retornadas ]]," ")</f>
        <v>0</v>
      </c>
      <c r="R543" s="10">
        <v>0</v>
      </c>
      <c r="S543" s="5">
        <v>855</v>
      </c>
      <c r="T543" s="5">
        <v>17272</v>
      </c>
      <c r="U543" s="1">
        <v>7.6</v>
      </c>
      <c r="V543" s="3">
        <f>IFERROR(TAB_OFICINAS[[#This Row],[Valor Unit]]*TAB_OFICINAS[[#This Row],[Qtd pçs Enviadas]]," ")</f>
        <v>22.799999999999997</v>
      </c>
      <c r="W543" s="17">
        <v>46185</v>
      </c>
      <c r="X543" s="5" t="s">
        <v>6251</v>
      </c>
      <c r="Y543" s="4" t="s">
        <v>22896</v>
      </c>
      <c r="Z5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4" spans="3:26" ht="28.5" hidden="1">
      <c r="C544" s="28" t="s">
        <v>15</v>
      </c>
      <c r="D544" s="5">
        <v>5514</v>
      </c>
      <c r="E544" s="5">
        <v>23363</v>
      </c>
      <c r="F544" s="28" t="str">
        <f>IFERROR(VLOOKUP(TAB_OFICINAS[[#This Row],[Cliente]],LISTA_DE_CLIENTES[[Código]:[Nome Fantasia]],2,FALSE),"")</f>
        <v>CESAR AUGUSTO ANTUNES SILVA</v>
      </c>
      <c r="G544" s="2" t="str">
        <f>IFERROR(VLOOKUP(TAB_OFICINAS[[#This Row],[Cliente]],LISTA_DE_CLIENTES[[Código]:[Nome Fantasia]],3,FALSE),"")</f>
        <v>CESAR AUGUSTO</v>
      </c>
      <c r="H544" s="51">
        <v>2101069810</v>
      </c>
      <c r="I544" s="28" t="s">
        <v>22899</v>
      </c>
      <c r="J544" s="91">
        <v>3</v>
      </c>
      <c r="K544" s="86">
        <v>46167</v>
      </c>
      <c r="L544" s="34">
        <v>3</v>
      </c>
      <c r="M544" s="6">
        <v>46176</v>
      </c>
      <c r="N544" s="6">
        <v>46176</v>
      </c>
      <c r="O544" s="19">
        <f>TAB_OFICINAS[[#This Row],[Data Retorno Produção]]-TAB_OFICINAS[[#This Row],[Data Prometida  Entrega]]</f>
        <v>0</v>
      </c>
      <c r="P544" s="40" t="str">
        <f>IF(TAB_OFICINAS[[#This Row],[Dias Para Entrega]]&lt;=0,"Em dia","Dia de Atrasado")</f>
        <v>Em dia</v>
      </c>
      <c r="Q544" s="10">
        <f>IFERROR(TAB_OFICINAS[[#This Row],[Qtd pçs Enviadas]]-TAB_OFICINAS[[#This Row],[Qtd pçs Retornadas ]]," ")</f>
        <v>0</v>
      </c>
      <c r="R544" s="10">
        <v>0</v>
      </c>
      <c r="S544" s="5">
        <v>855</v>
      </c>
      <c r="T544" s="5">
        <v>17272</v>
      </c>
      <c r="U544" s="1">
        <v>7.6</v>
      </c>
      <c r="V544" s="3">
        <f>IFERROR(TAB_OFICINAS[[#This Row],[Valor Unit]]*TAB_OFICINAS[[#This Row],[Qtd pçs Enviadas]]," ")</f>
        <v>22.799999999999997</v>
      </c>
      <c r="W544" s="17">
        <v>46185</v>
      </c>
      <c r="X544" s="5" t="s">
        <v>6251</v>
      </c>
      <c r="Y544" s="4" t="s">
        <v>22897</v>
      </c>
      <c r="Z5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5" spans="3:26" ht="28.5" hidden="1">
      <c r="C545" s="28" t="s">
        <v>15</v>
      </c>
      <c r="D545" s="5">
        <v>5514</v>
      </c>
      <c r="E545" s="5">
        <v>23363</v>
      </c>
      <c r="F545" s="28" t="str">
        <f>IFERROR(VLOOKUP(TAB_OFICINAS[[#This Row],[Cliente]],LISTA_DE_CLIENTES[[Código]:[Nome Fantasia]],2,FALSE),"")</f>
        <v>CESAR AUGUSTO ANTUNES SILVA</v>
      </c>
      <c r="G545" s="2" t="str">
        <f>IFERROR(VLOOKUP(TAB_OFICINAS[[#This Row],[Cliente]],LISTA_DE_CLIENTES[[Código]:[Nome Fantasia]],3,FALSE),"")</f>
        <v>CESAR AUGUSTO</v>
      </c>
      <c r="H545" s="51">
        <v>2101069811</v>
      </c>
      <c r="I545" s="28" t="s">
        <v>22900</v>
      </c>
      <c r="J545" s="91">
        <v>3</v>
      </c>
      <c r="K545" s="86">
        <v>46167</v>
      </c>
      <c r="L545" s="34">
        <v>3</v>
      </c>
      <c r="M545" s="6">
        <v>46176</v>
      </c>
      <c r="N545" s="6">
        <v>46176</v>
      </c>
      <c r="O545" s="19">
        <f>TAB_OFICINAS[[#This Row],[Data Retorno Produção]]-TAB_OFICINAS[[#This Row],[Data Prometida  Entrega]]</f>
        <v>0</v>
      </c>
      <c r="P545" s="40" t="str">
        <f>IF(TAB_OFICINAS[[#This Row],[Dias Para Entrega]]&lt;=0,"Em dia","Dia de Atrasado")</f>
        <v>Em dia</v>
      </c>
      <c r="Q545" s="10">
        <f>IFERROR(TAB_OFICINAS[[#This Row],[Qtd pçs Enviadas]]-TAB_OFICINAS[[#This Row],[Qtd pçs Retornadas ]]," ")</f>
        <v>0</v>
      </c>
      <c r="R545" s="10">
        <v>0</v>
      </c>
      <c r="S545" s="5">
        <v>855</v>
      </c>
      <c r="T545" s="5">
        <v>17272</v>
      </c>
      <c r="U545" s="1">
        <v>7.6</v>
      </c>
      <c r="V545" s="3">
        <f>IFERROR(TAB_OFICINAS[[#This Row],[Valor Unit]]*TAB_OFICINAS[[#This Row],[Qtd pçs Enviadas]]," ")</f>
        <v>22.799999999999997</v>
      </c>
      <c r="W545" s="17">
        <v>46185</v>
      </c>
      <c r="X545" s="5" t="s">
        <v>6251</v>
      </c>
      <c r="Y545" s="4" t="s">
        <v>22898</v>
      </c>
      <c r="Z5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6" spans="3:26" ht="28.5" hidden="1">
      <c r="C546" s="28" t="s">
        <v>15</v>
      </c>
      <c r="D546" s="5">
        <v>5514</v>
      </c>
      <c r="E546" s="5">
        <v>23363</v>
      </c>
      <c r="F546" s="28" t="str">
        <f>IFERROR(VLOOKUP(TAB_OFICINAS[[#This Row],[Cliente]],LISTA_DE_CLIENTES[[Código]:[Nome Fantasia]],2,FALSE),"")</f>
        <v>CESAR AUGUSTO ANTUNES SILVA</v>
      </c>
      <c r="G546" s="2" t="str">
        <f>IFERROR(VLOOKUP(TAB_OFICINAS[[#This Row],[Cliente]],LISTA_DE_CLIENTES[[Código]:[Nome Fantasia]],3,FALSE),"")</f>
        <v>CESAR AUGUSTO</v>
      </c>
      <c r="H546" s="63">
        <v>2101069812</v>
      </c>
      <c r="I546" s="28" t="s">
        <v>22904</v>
      </c>
      <c r="J546" s="91">
        <v>3</v>
      </c>
      <c r="K546" s="86">
        <v>46167</v>
      </c>
      <c r="L546" s="34">
        <v>3</v>
      </c>
      <c r="M546" s="6">
        <v>46176</v>
      </c>
      <c r="N546" s="6">
        <v>46176</v>
      </c>
      <c r="O546" s="19">
        <f>TAB_OFICINAS[[#This Row],[Data Retorno Produção]]-TAB_OFICINAS[[#This Row],[Data Prometida  Entrega]]</f>
        <v>0</v>
      </c>
      <c r="P546" s="40" t="str">
        <f>IF(TAB_OFICINAS[[#This Row],[Dias Para Entrega]]&lt;=0,"Em dia","Dia de Atrasado")</f>
        <v>Em dia</v>
      </c>
      <c r="Q546" s="10">
        <f>IFERROR(TAB_OFICINAS[[#This Row],[Qtd pçs Enviadas]]-TAB_OFICINAS[[#This Row],[Qtd pçs Retornadas ]]," ")</f>
        <v>0</v>
      </c>
      <c r="R546" s="10">
        <v>0</v>
      </c>
      <c r="S546" s="5">
        <v>855</v>
      </c>
      <c r="T546" s="5">
        <v>17272</v>
      </c>
      <c r="U546" s="1">
        <v>7.6</v>
      </c>
      <c r="V546" s="3">
        <f>IFERROR(TAB_OFICINAS[[#This Row],[Valor Unit]]*TAB_OFICINAS[[#This Row],[Qtd pçs Enviadas]]," ")</f>
        <v>22.799999999999997</v>
      </c>
      <c r="W546" s="17">
        <v>46185</v>
      </c>
      <c r="X546" s="5" t="s">
        <v>6251</v>
      </c>
      <c r="Y546" s="4" t="s">
        <v>22906</v>
      </c>
      <c r="Z5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7" spans="3:26" ht="28.5" hidden="1">
      <c r="C547" s="28" t="s">
        <v>15</v>
      </c>
      <c r="D547" s="5">
        <v>5514</v>
      </c>
      <c r="E547" s="5">
        <v>23363</v>
      </c>
      <c r="F547" s="28" t="str">
        <f>IFERROR(VLOOKUP(TAB_OFICINAS[[#This Row],[Cliente]],LISTA_DE_CLIENTES[[Código]:[Nome Fantasia]],2,FALSE),"")</f>
        <v>CESAR AUGUSTO ANTUNES SILVA</v>
      </c>
      <c r="G547" s="2" t="str">
        <f>IFERROR(VLOOKUP(TAB_OFICINAS[[#This Row],[Cliente]],LISTA_DE_CLIENTES[[Código]:[Nome Fantasia]],3,FALSE),"")</f>
        <v>CESAR AUGUSTO</v>
      </c>
      <c r="H547" s="63">
        <v>2101069813</v>
      </c>
      <c r="I547" s="28" t="s">
        <v>22905</v>
      </c>
      <c r="J547" s="91">
        <v>3</v>
      </c>
      <c r="K547" s="86">
        <v>46167</v>
      </c>
      <c r="L547" s="34">
        <v>3</v>
      </c>
      <c r="M547" s="6">
        <v>46176</v>
      </c>
      <c r="N547" s="6">
        <v>46176</v>
      </c>
      <c r="O547" s="19">
        <f>TAB_OFICINAS[[#This Row],[Data Retorno Produção]]-TAB_OFICINAS[[#This Row],[Data Prometida  Entrega]]</f>
        <v>0</v>
      </c>
      <c r="P547" s="40" t="str">
        <f>IF(TAB_OFICINAS[[#This Row],[Dias Para Entrega]]&lt;=0,"Em dia","Dia de Atrasado")</f>
        <v>Em dia</v>
      </c>
      <c r="Q547" s="10">
        <f>IFERROR(TAB_OFICINAS[[#This Row],[Qtd pçs Enviadas]]-TAB_OFICINAS[[#This Row],[Qtd pçs Retornadas ]]," ")</f>
        <v>0</v>
      </c>
      <c r="R547" s="10">
        <v>0</v>
      </c>
      <c r="S547" s="5">
        <v>855</v>
      </c>
      <c r="T547" s="5">
        <v>17272</v>
      </c>
      <c r="U547" s="1">
        <v>7.6</v>
      </c>
      <c r="V547" s="3">
        <f>IFERROR(TAB_OFICINAS[[#This Row],[Valor Unit]]*TAB_OFICINAS[[#This Row],[Qtd pçs Enviadas]]," ")</f>
        <v>22.799999999999997</v>
      </c>
      <c r="W547" s="17">
        <v>46185</v>
      </c>
      <c r="X547" s="5" t="s">
        <v>6251</v>
      </c>
      <c r="Y547" s="4" t="s">
        <v>22907</v>
      </c>
      <c r="Z5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8" spans="3:26" ht="28.5" hidden="1">
      <c r="C548" s="28" t="s">
        <v>15</v>
      </c>
      <c r="D548" s="5">
        <v>5514</v>
      </c>
      <c r="E548" s="5">
        <v>23363</v>
      </c>
      <c r="F548" s="28" t="str">
        <f>IFERROR(VLOOKUP(TAB_OFICINAS[[#This Row],[Cliente]],LISTA_DE_CLIENTES[[Código]:[Nome Fantasia]],2,FALSE),"")</f>
        <v>CESAR AUGUSTO ANTUNES SILVA</v>
      </c>
      <c r="G548" s="2" t="str">
        <f>IFERROR(VLOOKUP(TAB_OFICINAS[[#This Row],[Cliente]],LISTA_DE_CLIENTES[[Código]:[Nome Fantasia]],3,FALSE),"")</f>
        <v>CESAR AUGUSTO</v>
      </c>
      <c r="H548" s="63">
        <v>2101069816</v>
      </c>
      <c r="I548" s="28" t="s">
        <v>22910</v>
      </c>
      <c r="J548" s="91">
        <v>3</v>
      </c>
      <c r="K548" s="86">
        <v>46167</v>
      </c>
      <c r="L548" s="34">
        <v>3</v>
      </c>
      <c r="M548" s="6">
        <v>46176</v>
      </c>
      <c r="N548" s="6">
        <v>46176</v>
      </c>
      <c r="O548" s="19">
        <f>TAB_OFICINAS[[#This Row],[Data Retorno Produção]]-TAB_OFICINAS[[#This Row],[Data Prometida  Entrega]]</f>
        <v>0</v>
      </c>
      <c r="P548" s="40" t="str">
        <f>IF(TAB_OFICINAS[[#This Row],[Dias Para Entrega]]&lt;=0,"Em dia","Dia de Atrasado")</f>
        <v>Em dia</v>
      </c>
      <c r="Q548" s="10">
        <f>IFERROR(TAB_OFICINAS[[#This Row],[Qtd pçs Enviadas]]-TAB_OFICINAS[[#This Row],[Qtd pçs Retornadas ]]," ")</f>
        <v>0</v>
      </c>
      <c r="R548" s="10">
        <v>0</v>
      </c>
      <c r="S548" s="5">
        <v>855</v>
      </c>
      <c r="T548" s="5">
        <v>17272</v>
      </c>
      <c r="U548" s="1">
        <v>7.6</v>
      </c>
      <c r="V548" s="3">
        <f>IFERROR(TAB_OFICINAS[[#This Row],[Valor Unit]]*TAB_OFICINAS[[#This Row],[Qtd pçs Enviadas]]," ")</f>
        <v>22.799999999999997</v>
      </c>
      <c r="W548" s="17">
        <v>46185</v>
      </c>
      <c r="X548" s="5" t="s">
        <v>6251</v>
      </c>
      <c r="Y548" s="4" t="s">
        <v>22908</v>
      </c>
      <c r="Z5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49" spans="3:26" ht="28.5" hidden="1">
      <c r="C549" s="28" t="s">
        <v>15</v>
      </c>
      <c r="D549" s="5">
        <v>5514</v>
      </c>
      <c r="E549" s="5">
        <v>23363</v>
      </c>
      <c r="F549" s="28" t="str">
        <f>IFERROR(VLOOKUP(TAB_OFICINAS[[#This Row],[Cliente]],LISTA_DE_CLIENTES[[Código]:[Nome Fantasia]],2,FALSE),"")</f>
        <v>CESAR AUGUSTO ANTUNES SILVA</v>
      </c>
      <c r="G549" s="2" t="str">
        <f>IFERROR(VLOOKUP(TAB_OFICINAS[[#This Row],[Cliente]],LISTA_DE_CLIENTES[[Código]:[Nome Fantasia]],3,FALSE),"")</f>
        <v>CESAR AUGUSTO</v>
      </c>
      <c r="H549" s="63">
        <v>2101069817</v>
      </c>
      <c r="I549" s="28" t="s">
        <v>22911</v>
      </c>
      <c r="J549" s="91">
        <v>3</v>
      </c>
      <c r="K549" s="86">
        <v>46167</v>
      </c>
      <c r="L549" s="34">
        <v>3</v>
      </c>
      <c r="M549" s="6">
        <v>46176</v>
      </c>
      <c r="N549" s="6">
        <v>46176</v>
      </c>
      <c r="O549" s="19">
        <f>TAB_OFICINAS[[#This Row],[Data Retorno Produção]]-TAB_OFICINAS[[#This Row],[Data Prometida  Entrega]]</f>
        <v>0</v>
      </c>
      <c r="P549" s="40" t="str">
        <f>IF(TAB_OFICINAS[[#This Row],[Dias Para Entrega]]&lt;=0,"Em dia","Dia de Atrasado")</f>
        <v>Em dia</v>
      </c>
      <c r="Q549" s="10">
        <f>IFERROR(TAB_OFICINAS[[#This Row],[Qtd pçs Enviadas]]-TAB_OFICINAS[[#This Row],[Qtd pçs Retornadas ]]," ")</f>
        <v>0</v>
      </c>
      <c r="R549" s="10">
        <v>0</v>
      </c>
      <c r="S549" s="5">
        <v>855</v>
      </c>
      <c r="T549" s="5">
        <v>17272</v>
      </c>
      <c r="U549" s="1">
        <v>7.6</v>
      </c>
      <c r="V549" s="3">
        <f>IFERROR(TAB_OFICINAS[[#This Row],[Valor Unit]]*TAB_OFICINAS[[#This Row],[Qtd pçs Enviadas]]," ")</f>
        <v>22.799999999999997</v>
      </c>
      <c r="W549" s="17">
        <v>46185</v>
      </c>
      <c r="X549" s="5" t="s">
        <v>6251</v>
      </c>
      <c r="Y549" s="4" t="s">
        <v>22909</v>
      </c>
      <c r="Z5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0" spans="3:26" hidden="1">
      <c r="C550" s="28" t="s">
        <v>15</v>
      </c>
      <c r="D550" s="5">
        <v>5514</v>
      </c>
      <c r="E550" s="5">
        <v>23363</v>
      </c>
      <c r="F550" s="28" t="str">
        <f>IFERROR(VLOOKUP(TAB_OFICINAS[[#This Row],[Cliente]],LISTA_DE_CLIENTES[[Código]:[Nome Fantasia]],2,FALSE),"")</f>
        <v>CESAR AUGUSTO ANTUNES SILVA</v>
      </c>
      <c r="G550" s="2" t="str">
        <f>IFERROR(VLOOKUP(TAB_OFICINAS[[#This Row],[Cliente]],LISTA_DE_CLIENTES[[Código]:[Nome Fantasia]],3,FALSE),"")</f>
        <v>CESAR AUGUSTO</v>
      </c>
      <c r="H550" s="51" t="s">
        <v>23962</v>
      </c>
      <c r="I550" s="28" t="s">
        <v>23163</v>
      </c>
      <c r="J550" s="91">
        <v>3</v>
      </c>
      <c r="K550" s="86">
        <v>46169</v>
      </c>
      <c r="L550" s="34">
        <v>3</v>
      </c>
      <c r="M550" s="6">
        <v>46176</v>
      </c>
      <c r="N550" s="6">
        <v>46176</v>
      </c>
      <c r="O550" s="19">
        <f>TAB_OFICINAS[[#This Row],[Data Retorno Produção]]-TAB_OFICINAS[[#This Row],[Data Prometida  Entrega]]</f>
        <v>0</v>
      </c>
      <c r="P550" s="40" t="str">
        <f>IF(TAB_OFICINAS[[#This Row],[Dias Para Entrega]]&lt;=0,"Em dia","Dia de Atrasado")</f>
        <v>Em dia</v>
      </c>
      <c r="Q550" s="10">
        <f>IFERROR(TAB_OFICINAS[[#This Row],[Qtd pçs Enviadas]]-TAB_OFICINAS[[#This Row],[Qtd pçs Retornadas ]]," ")</f>
        <v>0</v>
      </c>
      <c r="R550" s="10">
        <v>0</v>
      </c>
      <c r="S550" s="5">
        <v>3233</v>
      </c>
      <c r="T550" s="5">
        <v>17274</v>
      </c>
      <c r="U550" s="1">
        <v>8</v>
      </c>
      <c r="V550" s="3">
        <f>IFERROR(TAB_OFICINAS[[#This Row],[Valor Unit]]*TAB_OFICINAS[[#This Row],[Qtd pçs Enviadas]]," ")</f>
        <v>24</v>
      </c>
      <c r="W550" s="17">
        <v>46185</v>
      </c>
      <c r="X550" s="5" t="s">
        <v>6251</v>
      </c>
      <c r="Y550" s="4" t="s">
        <v>23144</v>
      </c>
      <c r="Z5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1" spans="3:26" hidden="1">
      <c r="C551" s="28" t="s">
        <v>15</v>
      </c>
      <c r="D551" s="5">
        <v>5514</v>
      </c>
      <c r="E551" s="5">
        <v>23363</v>
      </c>
      <c r="F551" s="28" t="str">
        <f>IFERROR(VLOOKUP(TAB_OFICINAS[[#This Row],[Cliente]],LISTA_DE_CLIENTES[[Código]:[Nome Fantasia]],2,FALSE),"")</f>
        <v>CESAR AUGUSTO ANTUNES SILVA</v>
      </c>
      <c r="G551" s="2" t="str">
        <f>IFERROR(VLOOKUP(TAB_OFICINAS[[#This Row],[Cliente]],LISTA_DE_CLIENTES[[Código]:[Nome Fantasia]],3,FALSE),"")</f>
        <v>CESAR AUGUSTO</v>
      </c>
      <c r="H551" s="51" t="s">
        <v>23962</v>
      </c>
      <c r="I551" s="28" t="s">
        <v>23162</v>
      </c>
      <c r="J551" s="91">
        <v>3</v>
      </c>
      <c r="K551" s="86">
        <v>46169</v>
      </c>
      <c r="L551" s="34">
        <v>3</v>
      </c>
      <c r="M551" s="6">
        <v>46176</v>
      </c>
      <c r="N551" s="6">
        <v>46176</v>
      </c>
      <c r="O551" s="19">
        <f>TAB_OFICINAS[[#This Row],[Data Retorno Produção]]-TAB_OFICINAS[[#This Row],[Data Prometida  Entrega]]</f>
        <v>0</v>
      </c>
      <c r="P551" s="40" t="str">
        <f>IF(TAB_OFICINAS[[#This Row],[Dias Para Entrega]]&lt;=0,"Em dia","Dia de Atrasado")</f>
        <v>Em dia</v>
      </c>
      <c r="Q551" s="10">
        <f>IFERROR(TAB_OFICINAS[[#This Row],[Qtd pçs Enviadas]]-TAB_OFICINAS[[#This Row],[Qtd pçs Retornadas ]]," ")</f>
        <v>0</v>
      </c>
      <c r="R551" s="10">
        <v>0</v>
      </c>
      <c r="S551" s="5">
        <v>3233</v>
      </c>
      <c r="T551" s="5">
        <v>17274</v>
      </c>
      <c r="U551" s="1">
        <v>8</v>
      </c>
      <c r="V551" s="3">
        <f>IFERROR(TAB_OFICINAS[[#This Row],[Valor Unit]]*TAB_OFICINAS[[#This Row],[Qtd pçs Enviadas]]," ")</f>
        <v>24</v>
      </c>
      <c r="W551" s="17">
        <v>46185</v>
      </c>
      <c r="X551" s="5" t="s">
        <v>6251</v>
      </c>
      <c r="Y551" s="4" t="s">
        <v>23143</v>
      </c>
      <c r="Z5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2" spans="3:26" hidden="1">
      <c r="C552" s="28" t="s">
        <v>15</v>
      </c>
      <c r="D552" s="5">
        <v>5514</v>
      </c>
      <c r="E552" s="5">
        <v>23363</v>
      </c>
      <c r="F552" s="28" t="str">
        <f>IFERROR(VLOOKUP(TAB_OFICINAS[[#This Row],[Cliente]],LISTA_DE_CLIENTES[[Código]:[Nome Fantasia]],2,FALSE),"")</f>
        <v>CESAR AUGUSTO ANTUNES SILVA</v>
      </c>
      <c r="G552" s="2" t="str">
        <f>IFERROR(VLOOKUP(TAB_OFICINAS[[#This Row],[Cliente]],LISTA_DE_CLIENTES[[Código]:[Nome Fantasia]],3,FALSE),"")</f>
        <v>CESAR AUGUSTO</v>
      </c>
      <c r="H552" s="51" t="s">
        <v>23962</v>
      </c>
      <c r="I552" s="28" t="s">
        <v>23161</v>
      </c>
      <c r="J552" s="91">
        <v>3</v>
      </c>
      <c r="K552" s="86">
        <v>46169</v>
      </c>
      <c r="L552" s="34">
        <v>3</v>
      </c>
      <c r="M552" s="6">
        <v>46176</v>
      </c>
      <c r="N552" s="6">
        <v>46176</v>
      </c>
      <c r="O552" s="19">
        <f>TAB_OFICINAS[[#This Row],[Data Retorno Produção]]-TAB_OFICINAS[[#This Row],[Data Prometida  Entrega]]</f>
        <v>0</v>
      </c>
      <c r="P552" s="40" t="str">
        <f>IF(TAB_OFICINAS[[#This Row],[Dias Para Entrega]]&lt;=0,"Em dia","Dia de Atrasado")</f>
        <v>Em dia</v>
      </c>
      <c r="Q552" s="10">
        <f>IFERROR(TAB_OFICINAS[[#This Row],[Qtd pçs Enviadas]]-TAB_OFICINAS[[#This Row],[Qtd pçs Retornadas ]]," ")</f>
        <v>0</v>
      </c>
      <c r="R552" s="10">
        <v>0</v>
      </c>
      <c r="S552" s="5">
        <v>3233</v>
      </c>
      <c r="T552" s="5">
        <v>17274</v>
      </c>
      <c r="U552" s="1">
        <v>8</v>
      </c>
      <c r="V552" s="3">
        <f>IFERROR(TAB_OFICINAS[[#This Row],[Valor Unit]]*TAB_OFICINAS[[#This Row],[Qtd pçs Enviadas]]," ")</f>
        <v>24</v>
      </c>
      <c r="W552" s="17">
        <v>46185</v>
      </c>
      <c r="X552" s="5" t="s">
        <v>6251</v>
      </c>
      <c r="Y552" s="4" t="s">
        <v>23146</v>
      </c>
      <c r="Z5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3" spans="3:26" hidden="1">
      <c r="C553" s="28" t="s">
        <v>15</v>
      </c>
      <c r="D553" s="5">
        <v>5514</v>
      </c>
      <c r="E553" s="5">
        <v>23363</v>
      </c>
      <c r="F553" s="28" t="str">
        <f>IFERROR(VLOOKUP(TAB_OFICINAS[[#This Row],[Cliente]],LISTA_DE_CLIENTES[[Código]:[Nome Fantasia]],2,FALSE),"")</f>
        <v>CESAR AUGUSTO ANTUNES SILVA</v>
      </c>
      <c r="G553" s="2" t="str">
        <f>IFERROR(VLOOKUP(TAB_OFICINAS[[#This Row],[Cliente]],LISTA_DE_CLIENTES[[Código]:[Nome Fantasia]],3,FALSE),"")</f>
        <v>CESAR AUGUSTO</v>
      </c>
      <c r="H553" s="51" t="s">
        <v>23962</v>
      </c>
      <c r="I553" s="28" t="s">
        <v>23158</v>
      </c>
      <c r="J553" s="91">
        <v>3</v>
      </c>
      <c r="K553" s="86">
        <v>46169</v>
      </c>
      <c r="L553" s="34">
        <v>3</v>
      </c>
      <c r="M553" s="6">
        <v>46176</v>
      </c>
      <c r="N553" s="6">
        <v>46176</v>
      </c>
      <c r="O553" s="19">
        <f>TAB_OFICINAS[[#This Row],[Data Retorno Produção]]-TAB_OFICINAS[[#This Row],[Data Prometida  Entrega]]</f>
        <v>0</v>
      </c>
      <c r="P553" s="40" t="str">
        <f>IF(TAB_OFICINAS[[#This Row],[Dias Para Entrega]]&lt;=0,"Em dia","Dia de Atrasado")</f>
        <v>Em dia</v>
      </c>
      <c r="Q553" s="10">
        <f>IFERROR(TAB_OFICINAS[[#This Row],[Qtd pçs Enviadas]]-TAB_OFICINAS[[#This Row],[Qtd pçs Retornadas ]]," ")</f>
        <v>0</v>
      </c>
      <c r="R553" s="10">
        <v>0</v>
      </c>
      <c r="S553" s="5">
        <v>3233</v>
      </c>
      <c r="T553" s="5">
        <v>17274</v>
      </c>
      <c r="U553" s="1">
        <v>8</v>
      </c>
      <c r="V553" s="3">
        <f>IFERROR(TAB_OFICINAS[[#This Row],[Valor Unit]]*TAB_OFICINAS[[#This Row],[Qtd pçs Enviadas]]," ")</f>
        <v>24</v>
      </c>
      <c r="W553" s="17">
        <v>46185</v>
      </c>
      <c r="X553" s="5" t="s">
        <v>6251</v>
      </c>
      <c r="Y553" s="4" t="s">
        <v>23155</v>
      </c>
      <c r="Z5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4" spans="3:26" hidden="1">
      <c r="C554" s="28" t="s">
        <v>7</v>
      </c>
      <c r="D554" s="5">
        <v>526</v>
      </c>
      <c r="E554" s="5">
        <v>23230</v>
      </c>
      <c r="F554" s="28" t="str">
        <f>IFERROR(VLOOKUP(TAB_OFICINAS[[#This Row],[Cliente]],LISTA_DE_CLIENTES[[Código]:[Nome Fantasia]],2,FALSE),"")</f>
        <v>ATMOSFERA GESTAO E HIGIENIZACAO DE TEXTEIS S.A.</v>
      </c>
      <c r="G554" s="5" t="str">
        <f>IFERROR(VLOOKUP(TAB_OFICINAS[[#This Row],[Cliente]],LISTA_DE_CLIENTES[[Código]:[Nome Fantasia]],3,FALSE),"")</f>
        <v>ATMOSFERA ST BARBARA</v>
      </c>
      <c r="H554" s="63">
        <v>92101472178</v>
      </c>
      <c r="I554" s="28" t="s">
        <v>20507</v>
      </c>
      <c r="J554" s="91">
        <v>45</v>
      </c>
      <c r="K554" s="86">
        <v>46148</v>
      </c>
      <c r="L554" s="10">
        <v>45</v>
      </c>
      <c r="M554" s="6">
        <v>46160</v>
      </c>
      <c r="N554" s="6">
        <v>46160</v>
      </c>
      <c r="O554" s="19">
        <f>TAB_OFICINAS[[#This Row],[Data Retorno Produção]]-TAB_OFICINAS[[#This Row],[Data Prometida  Entrega]]</f>
        <v>0</v>
      </c>
      <c r="P554" s="40" t="str">
        <f>IF(TAB_OFICINAS[[#This Row],[Dias Para Entrega]]&lt;=0,"Em dia","Dia de Atrasado")</f>
        <v>Em dia</v>
      </c>
      <c r="Q554" s="10">
        <v>0</v>
      </c>
      <c r="R554" s="10"/>
      <c r="S554" s="5">
        <v>823</v>
      </c>
      <c r="T554" s="5">
        <v>38</v>
      </c>
      <c r="U554" s="52">
        <v>12</v>
      </c>
      <c r="V554" s="44">
        <f>IFERROR(TAB_OFICINAS[[#This Row],[Valor Unit]]*TAB_OFICINAS[[#This Row],[Qtd pçs Enviadas]]," ")</f>
        <v>540</v>
      </c>
      <c r="W554" s="17">
        <v>46170</v>
      </c>
      <c r="X554" s="5" t="s">
        <v>6251</v>
      </c>
      <c r="Y554" s="27"/>
      <c r="Z5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5" spans="3:26" hidden="1">
      <c r="C555" s="28" t="s">
        <v>7</v>
      </c>
      <c r="D555" s="5">
        <v>526</v>
      </c>
      <c r="E555" s="5">
        <v>23230</v>
      </c>
      <c r="F555" s="28" t="str">
        <f>IFERROR(VLOOKUP(TAB_OFICINAS[[#This Row],[Cliente]],LISTA_DE_CLIENTES[[Código]:[Nome Fantasia]],2,FALSE),"")</f>
        <v>ATMOSFERA GESTAO E HIGIENIZACAO DE TEXTEIS S.A.</v>
      </c>
      <c r="G555" s="5" t="str">
        <f>IFERROR(VLOOKUP(TAB_OFICINAS[[#This Row],[Cliente]],LISTA_DE_CLIENTES[[Código]:[Nome Fantasia]],3,FALSE),"")</f>
        <v>ATMOSFERA ST BARBARA</v>
      </c>
      <c r="H555" s="63">
        <v>92101042462</v>
      </c>
      <c r="I555" s="28" t="s">
        <v>20509</v>
      </c>
      <c r="J555" s="91">
        <v>30</v>
      </c>
      <c r="K555" s="86">
        <v>46148</v>
      </c>
      <c r="L555" s="10">
        <v>30</v>
      </c>
      <c r="M555" s="6">
        <v>46160</v>
      </c>
      <c r="N555" s="6">
        <v>46160</v>
      </c>
      <c r="O555" s="19">
        <f>TAB_OFICINAS[[#This Row],[Data Retorno Produção]]-TAB_OFICINAS[[#This Row],[Data Prometida  Entrega]]</f>
        <v>0</v>
      </c>
      <c r="P555" s="40" t="str">
        <f>IF(TAB_OFICINAS[[#This Row],[Dias Para Entrega]]&lt;=0,"Em dia","Dia de Atrasado")</f>
        <v>Em dia</v>
      </c>
      <c r="Q555" s="10">
        <v>0</v>
      </c>
      <c r="R555" s="10"/>
      <c r="S555" s="5">
        <v>823</v>
      </c>
      <c r="T555" s="5">
        <v>38</v>
      </c>
      <c r="U555" s="52">
        <v>8</v>
      </c>
      <c r="V555" s="44">
        <f>IFERROR(TAB_OFICINAS[[#This Row],[Valor Unit]]*TAB_OFICINAS[[#This Row],[Qtd pçs Enviadas]]," ")</f>
        <v>240</v>
      </c>
      <c r="W555" s="17">
        <v>46170</v>
      </c>
      <c r="X555" s="5" t="s">
        <v>6251</v>
      </c>
      <c r="Y555" s="27"/>
      <c r="Z5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6" spans="3:26" hidden="1">
      <c r="C556" s="28" t="s">
        <v>7</v>
      </c>
      <c r="D556" s="5">
        <v>526</v>
      </c>
      <c r="E556" s="5">
        <v>23230</v>
      </c>
      <c r="F556" s="28" t="str">
        <f>IFERROR(VLOOKUP(TAB_OFICINAS[[#This Row],[Cliente]],LISTA_DE_CLIENTES[[Código]:[Nome Fantasia]],2,FALSE),"")</f>
        <v>ATMOSFERA GESTAO E HIGIENIZACAO DE TEXTEIS S.A.</v>
      </c>
      <c r="G556" s="5" t="str">
        <f>IFERROR(VLOOKUP(TAB_OFICINAS[[#This Row],[Cliente]],LISTA_DE_CLIENTES[[Código]:[Nome Fantasia]],3,FALSE),"")</f>
        <v>ATMOSFERA ST BARBARA</v>
      </c>
      <c r="H556" s="63">
        <v>92102156032</v>
      </c>
      <c r="I556" s="28" t="s">
        <v>20511</v>
      </c>
      <c r="J556" s="91">
        <v>45</v>
      </c>
      <c r="K556" s="86">
        <v>46148</v>
      </c>
      <c r="L556" s="10">
        <v>45</v>
      </c>
      <c r="M556" s="6">
        <v>46160</v>
      </c>
      <c r="N556" s="6">
        <v>46160</v>
      </c>
      <c r="O556" s="19">
        <f>TAB_OFICINAS[[#This Row],[Data Retorno Produção]]-TAB_OFICINAS[[#This Row],[Data Prometida  Entrega]]</f>
        <v>0</v>
      </c>
      <c r="P556" s="40" t="str">
        <f>IF(TAB_OFICINAS[[#This Row],[Dias Para Entrega]]&lt;=0,"Em dia","Dia de Atrasado")</f>
        <v>Em dia</v>
      </c>
      <c r="Q556" s="10">
        <v>0</v>
      </c>
      <c r="R556" s="10"/>
      <c r="S556" s="5">
        <v>823</v>
      </c>
      <c r="T556" s="5">
        <v>38</v>
      </c>
      <c r="U556" s="52">
        <v>14</v>
      </c>
      <c r="V556" s="44">
        <f>IFERROR(TAB_OFICINAS[[#This Row],[Valor Unit]]*TAB_OFICINAS[[#This Row],[Qtd pçs Enviadas]]," ")</f>
        <v>630</v>
      </c>
      <c r="W556" s="17">
        <v>46170</v>
      </c>
      <c r="X556" s="5" t="s">
        <v>6251</v>
      </c>
      <c r="Y556" s="27"/>
      <c r="Z5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7" spans="3:26" hidden="1">
      <c r="C557" s="28" t="s">
        <v>7</v>
      </c>
      <c r="D557" s="5">
        <v>526</v>
      </c>
      <c r="E557" s="5">
        <v>23230</v>
      </c>
      <c r="F557" s="28" t="str">
        <f>IFERROR(VLOOKUP(TAB_OFICINAS[[#This Row],[Cliente]],LISTA_DE_CLIENTES[[Código]:[Nome Fantasia]],2,FALSE),"")</f>
        <v>ATMOSFERA GESTAO E HIGIENIZACAO DE TEXTEIS S.A.</v>
      </c>
      <c r="G557" s="5" t="str">
        <f>IFERROR(VLOOKUP(TAB_OFICINAS[[#This Row],[Cliente]],LISTA_DE_CLIENTES[[Código]:[Nome Fantasia]],3,FALSE),"")</f>
        <v>ATMOSFERA ST BARBARA</v>
      </c>
      <c r="H557" s="63">
        <v>92101119171</v>
      </c>
      <c r="I557" s="28" t="s">
        <v>20513</v>
      </c>
      <c r="J557" s="91">
        <v>30</v>
      </c>
      <c r="K557" s="86">
        <v>46148</v>
      </c>
      <c r="L557" s="10">
        <v>30</v>
      </c>
      <c r="M557" s="6">
        <v>46160</v>
      </c>
      <c r="N557" s="6">
        <v>46160</v>
      </c>
      <c r="O557" s="19">
        <f>TAB_OFICINAS[[#This Row],[Data Retorno Produção]]-TAB_OFICINAS[[#This Row],[Data Prometida  Entrega]]</f>
        <v>0</v>
      </c>
      <c r="P557" s="40" t="str">
        <f>IF(TAB_OFICINAS[[#This Row],[Dias Para Entrega]]&lt;=0,"Em dia","Dia de Atrasado")</f>
        <v>Em dia</v>
      </c>
      <c r="Q557" s="10">
        <v>0</v>
      </c>
      <c r="R557" s="10"/>
      <c r="S557" s="5">
        <v>823</v>
      </c>
      <c r="T557" s="5">
        <v>38</v>
      </c>
      <c r="U557" s="52">
        <v>12</v>
      </c>
      <c r="V557" s="44">
        <f>IFERROR(TAB_OFICINAS[[#This Row],[Valor Unit]]*TAB_OFICINAS[[#This Row],[Qtd pçs Enviadas]]," ")</f>
        <v>360</v>
      </c>
      <c r="W557" s="17">
        <v>46170</v>
      </c>
      <c r="X557" s="5" t="s">
        <v>6251</v>
      </c>
      <c r="Y557" s="27"/>
      <c r="Z5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8" spans="3:26" hidden="1">
      <c r="C558" s="28" t="s">
        <v>17</v>
      </c>
      <c r="D558" s="5">
        <v>5338</v>
      </c>
      <c r="E558" s="5">
        <v>22740</v>
      </c>
      <c r="F558" s="28" t="str">
        <f>IFERROR(VLOOKUP(TAB_OFICINAS[[#This Row],[Cliente]],LISTA_DE_CLIENTES[[Código]:[Nome Fantasia]],2,FALSE),"")</f>
        <v>MAISON CARMELO INCORPORACOES SPE LTDA</v>
      </c>
      <c r="G558" s="5" t="str">
        <f>IFERROR(VLOOKUP(TAB_OFICINAS[[#This Row],[Cliente]],LISTA_DE_CLIENTES[[Código]:[Nome Fantasia]],3,FALSE),"")</f>
        <v>SAN REMO</v>
      </c>
      <c r="H558" s="51">
        <v>3301098591</v>
      </c>
      <c r="I558" s="28" t="s">
        <v>20352</v>
      </c>
      <c r="J558" s="91">
        <v>2</v>
      </c>
      <c r="K558" s="86">
        <v>46077</v>
      </c>
      <c r="L558" s="10">
        <v>2</v>
      </c>
      <c r="M558" s="6">
        <v>46083</v>
      </c>
      <c r="N558" s="6">
        <v>46083</v>
      </c>
      <c r="O558" s="19">
        <f>TAB_OFICINAS[[#This Row],[Data Retorno Produção]]-TAB_OFICINAS[[#This Row],[Data Prometida  Entrega]]</f>
        <v>0</v>
      </c>
      <c r="P558" s="40" t="str">
        <f>IF(TAB_OFICINAS[[#This Row],[Dias Para Entrega]]&lt;=0,"Em dia","Dia de Atrasado")</f>
        <v>Em dia</v>
      </c>
      <c r="Q558" s="10">
        <f>IFERROR(TAB_OFICINAS[[#This Row],[Qtd pçs Enviadas]]-TAB_OFICINAS[[#This Row],[Qtd pçs Retornadas ]],"N/D ")</f>
        <v>0</v>
      </c>
      <c r="R558" s="10">
        <v>0</v>
      </c>
      <c r="S558" s="5">
        <v>624</v>
      </c>
      <c r="T558" s="5">
        <v>45</v>
      </c>
      <c r="U558" s="52">
        <v>14</v>
      </c>
      <c r="V558" s="44">
        <f>IFERROR(TAB_OFICINAS[[#This Row],[Valor Unit]]*TAB_OFICINAS[[#This Row],[Qtd pçs Enviadas]]," ")</f>
        <v>28</v>
      </c>
      <c r="W558" s="17">
        <v>46092</v>
      </c>
      <c r="X558" s="5" t="s">
        <v>6251</v>
      </c>
      <c r="Y558" s="27"/>
      <c r="Z5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59" spans="3:26" hidden="1">
      <c r="C559" s="28" t="s">
        <v>15</v>
      </c>
      <c r="D559" s="5">
        <v>5338</v>
      </c>
      <c r="E559" s="5">
        <v>22740</v>
      </c>
      <c r="F559" s="28" t="str">
        <f>IFERROR(VLOOKUP(TAB_OFICINAS[[#This Row],[Cliente]],LISTA_DE_CLIENTES[[Código]:[Nome Fantasia]],2,FALSE),"")</f>
        <v>MAISON CARMELO INCORPORACOES SPE LTDA</v>
      </c>
      <c r="G559" s="5" t="str">
        <f>IFERROR(VLOOKUP(TAB_OFICINAS[[#This Row],[Cliente]],LISTA_DE_CLIENTES[[Código]:[Nome Fantasia]],3,FALSE),"")</f>
        <v>SAN REMO</v>
      </c>
      <c r="H559" s="63">
        <v>3301098591</v>
      </c>
      <c r="I559" s="28" t="s">
        <v>21054</v>
      </c>
      <c r="J559" s="91">
        <v>2</v>
      </c>
      <c r="K559" s="86">
        <v>46078</v>
      </c>
      <c r="L559" s="10">
        <v>2</v>
      </c>
      <c r="M559" s="6">
        <v>46080</v>
      </c>
      <c r="N559" s="6">
        <v>46080</v>
      </c>
      <c r="O559" s="19">
        <f>TAB_OFICINAS[[#This Row],[Data Retorno Produção]]-TAB_OFICINAS[[#This Row],[Data Prometida  Entrega]]</f>
        <v>0</v>
      </c>
      <c r="P559" s="40" t="str">
        <f>IF(TAB_OFICINAS[[#This Row],[Dias Para Entrega]]&lt;=0,"Em dia","Dia de Atrasado")</f>
        <v>Em dia</v>
      </c>
      <c r="Q559" s="10">
        <f>IFERROR(TAB_OFICINAS[[#This Row],[Qtd pçs Enviadas]]-TAB_OFICINAS[[#This Row],[Qtd pçs Retornadas ]]," ")</f>
        <v>0</v>
      </c>
      <c r="R559" s="10">
        <v>0</v>
      </c>
      <c r="S559" s="5">
        <v>625</v>
      </c>
      <c r="T559" s="5">
        <v>16976</v>
      </c>
      <c r="U559" s="52">
        <v>6</v>
      </c>
      <c r="V559" s="44">
        <f>IFERROR(TAB_OFICINAS[[#This Row],[Valor Unit]]*TAB_OFICINAS[[#This Row],[Qtd pçs Enviadas]]," ")</f>
        <v>12</v>
      </c>
      <c r="W559" s="17">
        <v>46087</v>
      </c>
      <c r="X559" s="5" t="s">
        <v>6251</v>
      </c>
      <c r="Y559" s="27" t="s">
        <v>21334</v>
      </c>
      <c r="Z5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0" spans="3:26" ht="57" hidden="1">
      <c r="C560" s="28" t="s">
        <v>15</v>
      </c>
      <c r="D560" s="5">
        <v>5247</v>
      </c>
      <c r="E560" s="5">
        <v>22531</v>
      </c>
      <c r="F560" s="28" t="str">
        <f>IFERROR(VLOOKUP(TAB_OFICINAS[[#This Row],[Cliente]],LISTA_DE_CLIENTES[[Código]:[Nome Fantasia]],2,FALSE),"")</f>
        <v>MARIANA AURIEMO</v>
      </c>
      <c r="G560" s="5" t="str">
        <f>IFERROR(VLOOKUP(TAB_OFICINAS[[#This Row],[Cliente]],LISTA_DE_CLIENTES[[Código]:[Nome Fantasia]],3,FALSE),"")</f>
        <v>MARIANA AURIEMO</v>
      </c>
      <c r="H560" s="63">
        <v>3301098568</v>
      </c>
      <c r="I560" s="28" t="s">
        <v>21011</v>
      </c>
      <c r="J560" s="91">
        <v>2</v>
      </c>
      <c r="K560" s="86">
        <v>46085</v>
      </c>
      <c r="L560" s="10">
        <v>2</v>
      </c>
      <c r="M560" s="6">
        <v>46091</v>
      </c>
      <c r="N560" s="6">
        <v>46091</v>
      </c>
      <c r="O560" s="19">
        <f>TAB_OFICINAS[[#This Row],[Data Retorno Produção]]-TAB_OFICINAS[[#This Row],[Data Prometida  Entrega]]</f>
        <v>0</v>
      </c>
      <c r="P560" s="40" t="str">
        <f>IF(TAB_OFICINAS[[#This Row],[Dias Para Entrega]]&lt;=0,"Em dia","Dia de Atrasado")</f>
        <v>Em dia</v>
      </c>
      <c r="Q560" s="10">
        <f>IFERROR(TAB_OFICINAS[[#This Row],[Qtd pçs Enviadas]]-TAB_OFICINAS[[#This Row],[Qtd pçs Retornadas ]]," ")</f>
        <v>0</v>
      </c>
      <c r="R560" s="10">
        <v>0</v>
      </c>
      <c r="S560" s="5">
        <v>657</v>
      </c>
      <c r="T560" s="5">
        <v>16983</v>
      </c>
      <c r="U560" s="52">
        <v>12</v>
      </c>
      <c r="V560" s="44">
        <f>IFERROR(TAB_OFICINAS[[#This Row],[Valor Unit]]*TAB_OFICINAS[[#This Row],[Qtd pçs Enviadas]]," ")</f>
        <v>24</v>
      </c>
      <c r="W560" s="17">
        <v>46098</v>
      </c>
      <c r="X560" s="5" t="s">
        <v>6251</v>
      </c>
      <c r="Y560" s="27" t="s">
        <v>21374</v>
      </c>
      <c r="Z5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1" spans="3:26" hidden="1">
      <c r="C561" s="28" t="s">
        <v>17</v>
      </c>
      <c r="D561" s="5">
        <v>5386</v>
      </c>
      <c r="E561" s="5">
        <v>22904</v>
      </c>
      <c r="F561" s="28" t="str">
        <f>IFERROR(VLOOKUP(TAB_OFICINAS[[#This Row],[Cliente]],LISTA_DE_CLIENTES[[Código]:[Nome Fantasia]],2,FALSE),"")</f>
        <v>FLOW CITY SPE 1 CASAS LTDA</v>
      </c>
      <c r="G561" s="5" t="str">
        <f>IFERROR(VLOOKUP(TAB_OFICINAS[[#This Row],[Cliente]],LISTA_DE_CLIENTES[[Código]:[Nome Fantasia]],3,FALSE),"")</f>
        <v>FLOW CITY SPE 1 CASA</v>
      </c>
      <c r="H561" s="63">
        <v>3301093955</v>
      </c>
      <c r="I561" s="28" t="s">
        <v>21127</v>
      </c>
      <c r="J561" s="91">
        <v>2</v>
      </c>
      <c r="K561" s="86">
        <v>46092</v>
      </c>
      <c r="L561" s="10">
        <v>2</v>
      </c>
      <c r="M561" s="6">
        <v>46105</v>
      </c>
      <c r="N561" s="6">
        <v>46098</v>
      </c>
      <c r="O561" s="19">
        <f>TAB_OFICINAS[[#This Row],[Data Retorno Produção]]-TAB_OFICINAS[[#This Row],[Data Prometida  Entrega]]</f>
        <v>-7</v>
      </c>
      <c r="P561" s="40" t="str">
        <f>IF(TAB_OFICINAS[[#This Row],[Dias Para Entrega]]&lt;=0,"Em dia","Dia de Atrasado")</f>
        <v>Em dia</v>
      </c>
      <c r="Q561" s="10">
        <f>IFERROR(TAB_OFICINAS[[#This Row],[Qtd pçs Enviadas]]-TAB_OFICINAS[[#This Row],[Qtd pçs Retornadas ]]," ")</f>
        <v>0</v>
      </c>
      <c r="R561" s="10">
        <v>0</v>
      </c>
      <c r="S561" s="5">
        <v>681</v>
      </c>
      <c r="T561" s="5">
        <v>47</v>
      </c>
      <c r="U561" s="52">
        <v>16</v>
      </c>
      <c r="V561" s="44">
        <f>IFERROR(TAB_OFICINAS[[#This Row],[Valor Unit]]*TAB_OFICINAS[[#This Row],[Qtd pçs Enviadas]]," ")</f>
        <v>32</v>
      </c>
      <c r="W561" s="17">
        <v>46111</v>
      </c>
      <c r="X561" s="5" t="s">
        <v>6251</v>
      </c>
      <c r="Y561" s="27"/>
      <c r="Z5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2" spans="3:26" hidden="1">
      <c r="C562" s="28" t="s">
        <v>15</v>
      </c>
      <c r="D562" s="5">
        <v>5415</v>
      </c>
      <c r="E562" s="5">
        <v>22923</v>
      </c>
      <c r="F562" s="28" t="str">
        <f>IFERROR(VLOOKUP(TAB_OFICINAS[[#This Row],[Cliente]],LISTA_DE_CLIENTES[[Código]:[Nome Fantasia]],2,FALSE),"")</f>
        <v>PATRICIA LUNARDELLI</v>
      </c>
      <c r="G562" s="5" t="str">
        <f>IFERROR(VLOOKUP(TAB_OFICINAS[[#This Row],[Cliente]],LISTA_DE_CLIENTES[[Código]:[Nome Fantasia]],3,FALSE),"")</f>
        <v>PATRICIA LUNARDELLI</v>
      </c>
      <c r="H562" s="63">
        <v>2111239536</v>
      </c>
      <c r="I562" s="28" t="s">
        <v>21137</v>
      </c>
      <c r="J562" s="91">
        <v>2</v>
      </c>
      <c r="K562" s="86">
        <v>46094</v>
      </c>
      <c r="L562" s="10">
        <v>2</v>
      </c>
      <c r="M562" s="6">
        <v>46097</v>
      </c>
      <c r="N562" s="6">
        <v>46097</v>
      </c>
      <c r="O562" s="19">
        <f>TAB_OFICINAS[[#This Row],[Data Retorno Produção]]-TAB_OFICINAS[[#This Row],[Data Prometida  Entrega]]</f>
        <v>0</v>
      </c>
      <c r="P562" s="40" t="str">
        <f>IF(TAB_OFICINAS[[#This Row],[Dias Para Entrega]]&lt;=0,"Em dia","Dia de Atrasado")</f>
        <v>Em dia</v>
      </c>
      <c r="Q562" s="10">
        <f>IFERROR(TAB_OFICINAS[[#This Row],[Qtd pçs Enviadas]]-TAB_OFICINAS[[#This Row],[Qtd pçs Retornadas ]]," ")</f>
        <v>0</v>
      </c>
      <c r="R562" s="10">
        <v>0</v>
      </c>
      <c r="S562" s="5">
        <v>683</v>
      </c>
      <c r="T562" s="5">
        <v>19692</v>
      </c>
      <c r="U562" s="52">
        <v>12</v>
      </c>
      <c r="V562" s="44">
        <f>IFERROR(TAB_OFICINAS[[#This Row],[Valor Unit]]*TAB_OFICINAS[[#This Row],[Qtd pçs Enviadas]]," ")</f>
        <v>24</v>
      </c>
      <c r="W562" s="17">
        <v>46104</v>
      </c>
      <c r="X562" s="5" t="s">
        <v>6251</v>
      </c>
      <c r="Y562" s="27" t="s">
        <v>21377</v>
      </c>
      <c r="Z5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3" spans="3:26" hidden="1">
      <c r="C563" s="28" t="s">
        <v>15</v>
      </c>
      <c r="D563" s="5">
        <v>2770</v>
      </c>
      <c r="E563" s="5">
        <v>22954</v>
      </c>
      <c r="F563" s="28" t="str">
        <f>IFERROR(VLOOKUP(TAB_OFICINAS[[#This Row],[Cliente]],LISTA_DE_CLIENTES[[Código]:[Nome Fantasia]],2,FALSE),"")</f>
        <v>SNC DO BRASIL COMERCIO DE EQUIPAMENTOS EIRELI</v>
      </c>
      <c r="G563" s="5" t="str">
        <f>IFERROR(VLOOKUP(TAB_OFICINAS[[#This Row],[Cliente]],LISTA_DE_CLIENTES[[Código]:[Nome Fantasia]],3,FALSE),"")</f>
        <v>TOTAL BABY STORE</v>
      </c>
      <c r="H563" s="63">
        <v>3161099669</v>
      </c>
      <c r="I563" s="28" t="s">
        <v>21384</v>
      </c>
      <c r="J563" s="91">
        <v>2</v>
      </c>
      <c r="K563" s="86">
        <v>46097</v>
      </c>
      <c r="L563" s="10">
        <v>2</v>
      </c>
      <c r="M563" s="6">
        <v>46099</v>
      </c>
      <c r="N563" s="6">
        <v>46099</v>
      </c>
      <c r="O563" s="19">
        <f>TAB_OFICINAS[[#This Row],[Data Retorno Produção]]-TAB_OFICINAS[[#This Row],[Data Prometida  Entrega]]</f>
        <v>0</v>
      </c>
      <c r="P563" s="40" t="str">
        <f>IF(TAB_OFICINAS[[#This Row],[Dias Para Entrega]]&lt;=0,"Em dia","Dia de Atrasado")</f>
        <v>Em dia</v>
      </c>
      <c r="Q563" s="10">
        <f>IFERROR(TAB_OFICINAS[[#This Row],[Qtd pçs Enviadas]]-TAB_OFICINAS[[#This Row],[Qtd pçs Retornadas ]]," ")</f>
        <v>0</v>
      </c>
      <c r="R563" s="10">
        <v>0</v>
      </c>
      <c r="S563" s="5">
        <v>689</v>
      </c>
      <c r="T563" s="5">
        <v>17040</v>
      </c>
      <c r="U563" s="52">
        <v>12</v>
      </c>
      <c r="V563" s="44">
        <f>IFERROR(TAB_OFICINAS[[#This Row],[Valor Unit]]*TAB_OFICINAS[[#This Row],[Qtd pçs Enviadas]]," ")</f>
        <v>24</v>
      </c>
      <c r="W563" s="17">
        <v>46106</v>
      </c>
      <c r="X563" s="5" t="s">
        <v>6251</v>
      </c>
      <c r="Y563" s="27" t="s">
        <v>21382</v>
      </c>
      <c r="Z5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4" spans="3:26" ht="57" hidden="1">
      <c r="C564" s="28" t="s">
        <v>15</v>
      </c>
      <c r="D564" s="5">
        <v>2770</v>
      </c>
      <c r="E564" s="5">
        <v>22954</v>
      </c>
      <c r="F564" s="28" t="str">
        <f>IFERROR(VLOOKUP(TAB_OFICINAS[[#This Row],[Cliente]],LISTA_DE_CLIENTES[[Código]:[Nome Fantasia]],2,FALSE),"")</f>
        <v>SNC DO BRASIL COMERCIO DE EQUIPAMENTOS EIRELI</v>
      </c>
      <c r="G564" s="5" t="str">
        <f>IFERROR(VLOOKUP(TAB_OFICINAS[[#This Row],[Cliente]],LISTA_DE_CLIENTES[[Código]:[Nome Fantasia]],3,FALSE),"")</f>
        <v>TOTAL BABY STORE</v>
      </c>
      <c r="H564" s="63">
        <v>3161099669</v>
      </c>
      <c r="I564" s="28" t="s">
        <v>21383</v>
      </c>
      <c r="J564" s="91">
        <v>2</v>
      </c>
      <c r="K564" s="86">
        <v>46097</v>
      </c>
      <c r="L564" s="10">
        <v>2</v>
      </c>
      <c r="M564" s="6">
        <v>46099</v>
      </c>
      <c r="N564" s="6">
        <v>46099</v>
      </c>
      <c r="O564" s="19">
        <f>TAB_OFICINAS[[#This Row],[Data Retorno Produção]]-TAB_OFICINAS[[#This Row],[Data Prometida  Entrega]]</f>
        <v>0</v>
      </c>
      <c r="P564" s="40" t="str">
        <f>IF(TAB_OFICINAS[[#This Row],[Dias Para Entrega]]&lt;=0,"Em dia","Dia de Atrasado")</f>
        <v>Em dia</v>
      </c>
      <c r="Q564" s="10">
        <f>IFERROR(TAB_OFICINAS[[#This Row],[Qtd pçs Enviadas]]-TAB_OFICINAS[[#This Row],[Qtd pçs Retornadas ]]," ")</f>
        <v>0</v>
      </c>
      <c r="R564" s="10">
        <v>0</v>
      </c>
      <c r="S564" s="5">
        <v>689</v>
      </c>
      <c r="T564" s="5">
        <v>17040</v>
      </c>
      <c r="U564" s="52">
        <v>12</v>
      </c>
      <c r="V564" s="44">
        <f>IFERROR(TAB_OFICINAS[[#This Row],[Valor Unit]]*TAB_OFICINAS[[#This Row],[Qtd pçs Enviadas]]," ")</f>
        <v>24</v>
      </c>
      <c r="W564" s="17">
        <v>46106</v>
      </c>
      <c r="X564" s="5" t="s">
        <v>6251</v>
      </c>
      <c r="Y564" s="27" t="s">
        <v>21385</v>
      </c>
      <c r="Z5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5" spans="3:26" ht="42.75" hidden="1">
      <c r="C565" s="28" t="s">
        <v>15</v>
      </c>
      <c r="D565" s="5">
        <v>2770</v>
      </c>
      <c r="E565" s="5">
        <v>22954</v>
      </c>
      <c r="F565" s="28" t="str">
        <f>IFERROR(VLOOKUP(TAB_OFICINAS[[#This Row],[Cliente]],LISTA_DE_CLIENTES[[Código]:[Nome Fantasia]],2,FALSE),"")</f>
        <v>SNC DO BRASIL COMERCIO DE EQUIPAMENTOS EIRELI</v>
      </c>
      <c r="G565" s="5" t="str">
        <f>IFERROR(VLOOKUP(TAB_OFICINAS[[#This Row],[Cliente]],LISTA_DE_CLIENTES[[Código]:[Nome Fantasia]],3,FALSE),"")</f>
        <v>TOTAL BABY STORE</v>
      </c>
      <c r="H565" s="63">
        <v>3161099669</v>
      </c>
      <c r="I565" s="28" t="s">
        <v>21386</v>
      </c>
      <c r="J565" s="91">
        <v>2</v>
      </c>
      <c r="K565" s="86">
        <v>46097</v>
      </c>
      <c r="L565" s="10">
        <v>2</v>
      </c>
      <c r="M565" s="6">
        <v>46099</v>
      </c>
      <c r="N565" s="6">
        <v>46099</v>
      </c>
      <c r="O565" s="19">
        <f>TAB_OFICINAS[[#This Row],[Data Retorno Produção]]-TAB_OFICINAS[[#This Row],[Data Prometida  Entrega]]</f>
        <v>0</v>
      </c>
      <c r="P565" s="40" t="str">
        <f>IF(TAB_OFICINAS[[#This Row],[Dias Para Entrega]]&lt;=0,"Em dia","Dia de Atrasado")</f>
        <v>Em dia</v>
      </c>
      <c r="Q565" s="10">
        <f>IFERROR(TAB_OFICINAS[[#This Row],[Qtd pçs Enviadas]]-TAB_OFICINAS[[#This Row],[Qtd pçs Retornadas ]]," ")</f>
        <v>0</v>
      </c>
      <c r="R565" s="10">
        <v>1</v>
      </c>
      <c r="S565" s="5">
        <v>689</v>
      </c>
      <c r="T565" s="5">
        <v>17040</v>
      </c>
      <c r="U565" s="52">
        <v>12</v>
      </c>
      <c r="V565" s="44">
        <f>IFERROR(TAB_OFICINAS[[#This Row],[Valor Unit]]*TAB_OFICINAS[[#This Row],[Qtd pçs Enviadas]]," ")</f>
        <v>24</v>
      </c>
      <c r="W565" s="17">
        <v>46106</v>
      </c>
      <c r="X565" s="5" t="s">
        <v>6251</v>
      </c>
      <c r="Y565" s="27" t="s">
        <v>21387</v>
      </c>
      <c r="Z5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6" spans="3:26" ht="28.5" hidden="1">
      <c r="C566" s="28" t="s">
        <v>15</v>
      </c>
      <c r="D566" s="5">
        <v>5434</v>
      </c>
      <c r="E566" s="5">
        <v>23001</v>
      </c>
      <c r="F566" s="28" t="str">
        <f>IFERROR(VLOOKUP(TAB_OFICINAS[[#This Row],[Cliente]],LISTA_DE_CLIENTES[[Código]:[Nome Fantasia]],2,FALSE),"")</f>
        <v>MARTA DA ROCHA</v>
      </c>
      <c r="G566" s="5" t="str">
        <f>IFERROR(VLOOKUP(TAB_OFICINAS[[#This Row],[Cliente]],LISTA_DE_CLIENTES[[Código]:[Nome Fantasia]],3,FALSE),"")</f>
        <v>MARTA DA ROCHA</v>
      </c>
      <c r="H566" s="63">
        <v>2111239744</v>
      </c>
      <c r="I566" s="28" t="s">
        <v>21404</v>
      </c>
      <c r="J566" s="91">
        <v>2</v>
      </c>
      <c r="K566" s="86">
        <v>46106</v>
      </c>
      <c r="L566" s="10">
        <v>2</v>
      </c>
      <c r="M566" s="6">
        <v>46108</v>
      </c>
      <c r="N566" s="6">
        <v>46108</v>
      </c>
      <c r="O566" s="19">
        <f>TAB_OFICINAS[[#This Row],[Data Retorno Produção]]-TAB_OFICINAS[[#This Row],[Data Prometida  Entrega]]</f>
        <v>0</v>
      </c>
      <c r="P566" s="40" t="str">
        <f>IF(TAB_OFICINAS[[#This Row],[Dias Para Entrega]]&lt;=0,"Em dia","Dia de Atrasado")</f>
        <v>Em dia</v>
      </c>
      <c r="Q566" s="10">
        <f>IFERROR(TAB_OFICINAS[[#This Row],[Qtd pçs Enviadas]]-TAB_OFICINAS[[#This Row],[Qtd pçs Retornadas ]]," ")</f>
        <v>0</v>
      </c>
      <c r="R566" s="10">
        <v>0</v>
      </c>
      <c r="S566" s="5">
        <v>712</v>
      </c>
      <c r="T566" s="5">
        <v>17067</v>
      </c>
      <c r="U566" s="52">
        <v>17</v>
      </c>
      <c r="V566" s="44">
        <f>IFERROR(TAB_OFICINAS[[#This Row],[Valor Unit]]*TAB_OFICINAS[[#This Row],[Qtd pçs Enviadas]]," ")</f>
        <v>34</v>
      </c>
      <c r="W566" s="17">
        <v>46118</v>
      </c>
      <c r="X566" s="5" t="s">
        <v>6251</v>
      </c>
      <c r="Y566" s="27" t="s">
        <v>21453</v>
      </c>
      <c r="Z5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7" spans="3:26" ht="28.5" hidden="1">
      <c r="C567" s="28" t="s">
        <v>15</v>
      </c>
      <c r="D567" s="5">
        <v>1942</v>
      </c>
      <c r="E567" s="5">
        <v>22842</v>
      </c>
      <c r="F567" s="28" t="str">
        <f>IFERROR(VLOOKUP(TAB_OFICINAS[[#This Row],[Cliente]],LISTA_DE_CLIENTES[[Código]:[Nome Fantasia]],2,FALSE),"")</f>
        <v>ONCO STAR SP ONCOLOGIA LTDA (REDE D´OR)</v>
      </c>
      <c r="G567" s="5" t="str">
        <f>IFERROR(VLOOKUP(TAB_OFICINAS[[#This Row],[Cliente]],LISTA_DE_CLIENTES[[Código]:[Nome Fantasia]],3,FALSE),"")</f>
        <v>R DOR VILA NOVA STAR</v>
      </c>
      <c r="H567" s="63">
        <v>3301085795</v>
      </c>
      <c r="I567" s="28" t="s">
        <v>21239</v>
      </c>
      <c r="J567" s="91">
        <v>2</v>
      </c>
      <c r="K567" s="86">
        <v>46106</v>
      </c>
      <c r="L567" s="10">
        <v>2</v>
      </c>
      <c r="M567" s="6">
        <v>46108</v>
      </c>
      <c r="N567" s="6">
        <v>46108</v>
      </c>
      <c r="O567" s="19">
        <f>TAB_OFICINAS[[#This Row],[Data Retorno Produção]]-TAB_OFICINAS[[#This Row],[Data Prometida  Entrega]]</f>
        <v>0</v>
      </c>
      <c r="P567" s="40" t="str">
        <f>IF(TAB_OFICINAS[[#This Row],[Dias Para Entrega]]&lt;=0,"Em dia","Dia de Atrasado")</f>
        <v>Em dia</v>
      </c>
      <c r="Q567" s="10">
        <f>IFERROR(TAB_OFICINAS[[#This Row],[Qtd pçs Enviadas]]-TAB_OFICINAS[[#This Row],[Qtd pçs Retornadas ]]," ")</f>
        <v>0</v>
      </c>
      <c r="R567" s="10">
        <v>0</v>
      </c>
      <c r="S567" s="5" t="s">
        <v>21371</v>
      </c>
      <c r="T567" s="5" t="s">
        <v>21371</v>
      </c>
      <c r="U567" s="52" t="s">
        <v>21371</v>
      </c>
      <c r="V567" s="44" t="str">
        <f>IFERROR(TAB_OFICINAS[[#This Row],[Valor Unit]]*TAB_OFICINAS[[#This Row],[Qtd pçs Enviadas]]," ")</f>
        <v xml:space="preserve"> </v>
      </c>
      <c r="W567" s="17"/>
      <c r="X567" s="5" t="s">
        <v>6251</v>
      </c>
      <c r="Y567" s="27" t="s">
        <v>21454</v>
      </c>
      <c r="Z5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8" spans="3:26" hidden="1">
      <c r="C568" s="28" t="s">
        <v>7</v>
      </c>
      <c r="D568" s="5">
        <v>526</v>
      </c>
      <c r="E568" s="5">
        <v>23230</v>
      </c>
      <c r="F568" s="28" t="str">
        <f>IFERROR(VLOOKUP(TAB_OFICINAS[[#This Row],[Cliente]],LISTA_DE_CLIENTES[[Código]:[Nome Fantasia]],2,FALSE),"")</f>
        <v>ATMOSFERA GESTAO E HIGIENIZACAO DE TEXTEIS S.A.</v>
      </c>
      <c r="G568" s="5" t="str">
        <f>IFERROR(VLOOKUP(TAB_OFICINAS[[#This Row],[Cliente]],LISTA_DE_CLIENTES[[Código]:[Nome Fantasia]],3,FALSE),"")</f>
        <v>ATMOSFERA ST BARBARA</v>
      </c>
      <c r="H568" s="63">
        <v>92102156030</v>
      </c>
      <c r="I568" s="28" t="s">
        <v>21017</v>
      </c>
      <c r="J568" s="91">
        <v>20</v>
      </c>
      <c r="K568" s="86">
        <v>46148</v>
      </c>
      <c r="L568" s="10">
        <v>20</v>
      </c>
      <c r="M568" s="6">
        <v>46160</v>
      </c>
      <c r="N568" s="6">
        <v>46160</v>
      </c>
      <c r="O568" s="19">
        <f>TAB_OFICINAS[[#This Row],[Data Retorno Produção]]-TAB_OFICINAS[[#This Row],[Data Prometida  Entrega]]</f>
        <v>0</v>
      </c>
      <c r="P568" s="40" t="str">
        <f>IF(TAB_OFICINAS[[#This Row],[Dias Para Entrega]]&lt;=0,"Em dia","Dia de Atrasado")</f>
        <v>Em dia</v>
      </c>
      <c r="Q568" s="10">
        <v>0</v>
      </c>
      <c r="R568" s="10"/>
      <c r="S568" s="5">
        <v>823</v>
      </c>
      <c r="T568" s="5">
        <v>38</v>
      </c>
      <c r="U568" s="52">
        <v>10.3</v>
      </c>
      <c r="V568" s="44">
        <f>IFERROR(TAB_OFICINAS[[#This Row],[Valor Unit]]*TAB_OFICINAS[[#This Row],[Qtd pçs Enviadas]]," ")</f>
        <v>206</v>
      </c>
      <c r="W568" s="17">
        <v>46170</v>
      </c>
      <c r="X568" s="5" t="s">
        <v>6251</v>
      </c>
      <c r="Y568" s="27"/>
      <c r="Z5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69" spans="3:26" hidden="1">
      <c r="C569" s="28" t="s">
        <v>7</v>
      </c>
      <c r="D569" s="5">
        <v>5506</v>
      </c>
      <c r="E569" s="5">
        <v>23296</v>
      </c>
      <c r="F569" s="28" t="str">
        <f>IFERROR(VLOOKUP(TAB_OFICINAS[[#This Row],[Cliente]],LISTA_DE_CLIENTES[[Código]:[Nome Fantasia]],2,FALSE),"")</f>
        <v>CH 9 IMOVEIS LTDA.</v>
      </c>
      <c r="G569" s="5" t="str">
        <f>IFERROR(VLOOKUP(TAB_OFICINAS[[#This Row],[Cliente]],LISTA_DE_CLIENTES[[Código]:[Nome Fantasia]],3,FALSE),"")</f>
        <v>CH 9 IMOVEIS LTDA.</v>
      </c>
      <c r="H569" s="63">
        <v>2104869760</v>
      </c>
      <c r="I569" s="28" t="s">
        <v>22359</v>
      </c>
      <c r="J569" s="91">
        <v>8</v>
      </c>
      <c r="K569" s="86">
        <v>46162</v>
      </c>
      <c r="L569" s="10">
        <v>8</v>
      </c>
      <c r="M569" s="6">
        <v>46170</v>
      </c>
      <c r="N569" s="6">
        <v>46164</v>
      </c>
      <c r="O569" s="19">
        <f>TAB_OFICINAS[[#This Row],[Data Retorno Produção]]-TAB_OFICINAS[[#This Row],[Data Prometida  Entrega]]</f>
        <v>-6</v>
      </c>
      <c r="P569" s="40" t="str">
        <f>IF(TAB_OFICINAS[[#This Row],[Dias Para Entrega]]&lt;=0,"Em dia","Dia de Atrasado")</f>
        <v>Em dia</v>
      </c>
      <c r="Q569" s="10">
        <f>IFERROR(TAB_OFICINAS[[#This Row],[Qtd pçs Enviadas]]-TAB_OFICINAS[[#This Row],[Qtd pçs Retornadas ]]," ")</f>
        <v>0</v>
      </c>
      <c r="R569" s="10"/>
      <c r="S569" s="5">
        <v>848</v>
      </c>
      <c r="T569" s="5">
        <v>39</v>
      </c>
      <c r="U569" s="52">
        <v>4</v>
      </c>
      <c r="V569" s="44">
        <f>IFERROR(TAB_OFICINAS[[#This Row],[Valor Unit]]*TAB_OFICINAS[[#This Row],[Qtd pçs Enviadas]]," ")</f>
        <v>32</v>
      </c>
      <c r="W569" s="17">
        <v>46174</v>
      </c>
      <c r="X569" s="5" t="s">
        <v>6251</v>
      </c>
      <c r="Y569" s="27"/>
      <c r="Z5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0" spans="3:26" hidden="1">
      <c r="C570" s="28" t="s">
        <v>7</v>
      </c>
      <c r="D570" s="5">
        <v>5508</v>
      </c>
      <c r="E570" s="5">
        <v>23291</v>
      </c>
      <c r="F570" s="28" t="str">
        <f>IFERROR(VLOOKUP(TAB_OFICINAS[[#This Row],[Cliente]],LISTA_DE_CLIENTES[[Código]:[Nome Fantasia]],2,FALSE),"")</f>
        <v>FERRARI MARINHO MEDICOS ASSOCIADOS LTDA.</v>
      </c>
      <c r="G570" s="5" t="str">
        <f>IFERROR(VLOOKUP(TAB_OFICINAS[[#This Row],[Cliente]],LISTA_DE_CLIENTES[[Código]:[Nome Fantasia]],3,FALSE),"")</f>
        <v>DYNAPLAN</v>
      </c>
      <c r="H570" s="63">
        <v>2104869760</v>
      </c>
      <c r="I570" s="28" t="s">
        <v>22359</v>
      </c>
      <c r="J570" s="91">
        <v>8</v>
      </c>
      <c r="K570" s="86">
        <v>46162</v>
      </c>
      <c r="L570" s="10">
        <v>8</v>
      </c>
      <c r="M570" s="6">
        <v>46170</v>
      </c>
      <c r="N570" s="6">
        <v>46164</v>
      </c>
      <c r="O570" s="19">
        <f>TAB_OFICINAS[[#This Row],[Data Retorno Produção]]-TAB_OFICINAS[[#This Row],[Data Prometida  Entrega]]</f>
        <v>-6</v>
      </c>
      <c r="P570" s="40" t="str">
        <f>IF(TAB_OFICINAS[[#This Row],[Dias Para Entrega]]&lt;=0,"Em dia","Dia de Atrasado")</f>
        <v>Em dia</v>
      </c>
      <c r="Q570" s="10">
        <f>IFERROR(TAB_OFICINAS[[#This Row],[Qtd pçs Enviadas]]-TAB_OFICINAS[[#This Row],[Qtd pçs Retornadas ]]," ")</f>
        <v>0</v>
      </c>
      <c r="R570" s="10"/>
      <c r="S570" s="5">
        <v>848</v>
      </c>
      <c r="T570" s="5">
        <v>39</v>
      </c>
      <c r="U570" s="52">
        <v>4</v>
      </c>
      <c r="V570" s="44">
        <f>IFERROR(TAB_OFICINAS[[#This Row],[Valor Unit]]*TAB_OFICINAS[[#This Row],[Qtd pçs Enviadas]]," ")</f>
        <v>32</v>
      </c>
      <c r="W570" s="17">
        <v>46174</v>
      </c>
      <c r="X570" s="5" t="s">
        <v>6251</v>
      </c>
      <c r="Y570" s="27"/>
      <c r="Z5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1" spans="3:26" hidden="1">
      <c r="C571" s="28" t="s">
        <v>7</v>
      </c>
      <c r="D571" s="5">
        <v>5505</v>
      </c>
      <c r="E571" s="5">
        <v>23301</v>
      </c>
      <c r="F571" s="28" t="str">
        <f>IFERROR(VLOOKUP(TAB_OFICINAS[[#This Row],[Cliente]],LISTA_DE_CLIENTES[[Código]:[Nome Fantasia]],2,FALSE),"")</f>
        <v>F T CAMARGO SERVICOS MEDICOS LTDA</v>
      </c>
      <c r="G571" s="5" t="str">
        <f>IFERROR(VLOOKUP(TAB_OFICINAS[[#This Row],[Cliente]],LISTA_DE_CLIENTES[[Código]:[Nome Fantasia]],3,FALSE),"")</f>
        <v>DYNAPLAN</v>
      </c>
      <c r="H571" s="63">
        <v>2104869760</v>
      </c>
      <c r="I571" s="28" t="s">
        <v>22359</v>
      </c>
      <c r="J571" s="91">
        <v>4</v>
      </c>
      <c r="K571" s="86">
        <v>46162</v>
      </c>
      <c r="L571" s="10">
        <v>4</v>
      </c>
      <c r="M571" s="6">
        <v>46170</v>
      </c>
      <c r="N571" s="6">
        <v>46164</v>
      </c>
      <c r="O571" s="19">
        <f>TAB_OFICINAS[[#This Row],[Data Retorno Produção]]-TAB_OFICINAS[[#This Row],[Data Prometida  Entrega]]</f>
        <v>-6</v>
      </c>
      <c r="P571" s="40" t="str">
        <f>IF(TAB_OFICINAS[[#This Row],[Dias Para Entrega]]&lt;=0,"Em dia","Dia de Atrasado")</f>
        <v>Em dia</v>
      </c>
      <c r="Q571" s="10">
        <f>IFERROR(TAB_OFICINAS[[#This Row],[Qtd pçs Enviadas]]-TAB_OFICINAS[[#This Row],[Qtd pçs Retornadas ]]," ")</f>
        <v>0</v>
      </c>
      <c r="R571" s="10"/>
      <c r="S571" s="5">
        <v>848</v>
      </c>
      <c r="T571" s="5">
        <v>39</v>
      </c>
      <c r="U571" s="52">
        <v>4</v>
      </c>
      <c r="V571" s="44">
        <f>IFERROR(TAB_OFICINAS[[#This Row],[Valor Unit]]*TAB_OFICINAS[[#This Row],[Qtd pçs Enviadas]]," ")</f>
        <v>16</v>
      </c>
      <c r="W571" s="17">
        <v>46174</v>
      </c>
      <c r="X571" s="5" t="s">
        <v>6251</v>
      </c>
      <c r="Y571" s="27"/>
      <c r="Z5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2" spans="3:26" hidden="1">
      <c r="C572" s="28" t="s">
        <v>7</v>
      </c>
      <c r="D572" s="5">
        <v>5506</v>
      </c>
      <c r="E572" s="5">
        <v>23296</v>
      </c>
      <c r="F572" s="28" t="str">
        <f>IFERROR(VLOOKUP(TAB_OFICINAS[[#This Row],[Cliente]],LISTA_DE_CLIENTES[[Código]:[Nome Fantasia]],2,FALSE),"")</f>
        <v>CH 9 IMOVEIS LTDA.</v>
      </c>
      <c r="G572" s="5" t="str">
        <f>IFERROR(VLOOKUP(TAB_OFICINAS[[#This Row],[Cliente]],LISTA_DE_CLIENTES[[Código]:[Nome Fantasia]],3,FALSE),"")</f>
        <v>CH 9 IMOVEIS LTDA.</v>
      </c>
      <c r="H572" s="63">
        <v>2115108588</v>
      </c>
      <c r="I572" s="28" t="s">
        <v>21052</v>
      </c>
      <c r="J572" s="91">
        <v>4</v>
      </c>
      <c r="K572" s="86">
        <v>46162</v>
      </c>
      <c r="L572" s="10">
        <v>4</v>
      </c>
      <c r="M572" s="6">
        <v>46170</v>
      </c>
      <c r="N572" s="6">
        <v>46164</v>
      </c>
      <c r="O572" s="19">
        <f>TAB_OFICINAS[[#This Row],[Data Retorno Produção]]-TAB_OFICINAS[[#This Row],[Data Prometida  Entrega]]</f>
        <v>-6</v>
      </c>
      <c r="P572" s="40" t="str">
        <f>IF(TAB_OFICINAS[[#This Row],[Dias Para Entrega]]&lt;=0,"Em dia","Dia de Atrasado")</f>
        <v>Em dia</v>
      </c>
      <c r="Q572" s="10">
        <f>IFERROR(TAB_OFICINAS[[#This Row],[Qtd pçs Enviadas]]-TAB_OFICINAS[[#This Row],[Qtd pçs Retornadas ]]," ")</f>
        <v>0</v>
      </c>
      <c r="R572" s="10"/>
      <c r="S572" s="5">
        <v>848</v>
      </c>
      <c r="T572" s="5">
        <v>39</v>
      </c>
      <c r="U572" s="52">
        <v>16</v>
      </c>
      <c r="V572" s="44">
        <f>IFERROR(TAB_OFICINAS[[#This Row],[Valor Unit]]*TAB_OFICINAS[[#This Row],[Qtd pçs Enviadas]]," ")</f>
        <v>64</v>
      </c>
      <c r="W572" s="17">
        <v>46174</v>
      </c>
      <c r="X572" s="5" t="s">
        <v>6251</v>
      </c>
      <c r="Y572" s="27"/>
      <c r="Z5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3" spans="3:26" hidden="1">
      <c r="C573" s="28" t="s">
        <v>7</v>
      </c>
      <c r="D573" s="5">
        <v>5506</v>
      </c>
      <c r="E573" s="5">
        <v>23296</v>
      </c>
      <c r="F573" s="28" t="str">
        <f>IFERROR(VLOOKUP(TAB_OFICINAS[[#This Row],[Cliente]],LISTA_DE_CLIENTES[[Código]:[Nome Fantasia]],2,FALSE),"")</f>
        <v>CH 9 IMOVEIS LTDA.</v>
      </c>
      <c r="G573" s="5" t="str">
        <f>IFERROR(VLOOKUP(TAB_OFICINAS[[#This Row],[Cliente]],LISTA_DE_CLIENTES[[Código]:[Nome Fantasia]],3,FALSE),"")</f>
        <v>CH 9 IMOVEIS LTDA.</v>
      </c>
      <c r="H573" s="63">
        <v>2101862252</v>
      </c>
      <c r="I573" s="28" t="s">
        <v>22355</v>
      </c>
      <c r="J573" s="91">
        <v>4</v>
      </c>
      <c r="K573" s="86">
        <v>46162</v>
      </c>
      <c r="L573" s="10">
        <v>4</v>
      </c>
      <c r="M573" s="6">
        <v>46170</v>
      </c>
      <c r="N573" s="6">
        <v>46164</v>
      </c>
      <c r="O573" s="19">
        <f>TAB_OFICINAS[[#This Row],[Data Retorno Produção]]-TAB_OFICINAS[[#This Row],[Data Prometida  Entrega]]</f>
        <v>-6</v>
      </c>
      <c r="P573" s="40" t="str">
        <f>IF(TAB_OFICINAS[[#This Row],[Dias Para Entrega]]&lt;=0,"Em dia","Dia de Atrasado")</f>
        <v>Em dia</v>
      </c>
      <c r="Q573" s="10">
        <f>IFERROR(TAB_OFICINAS[[#This Row],[Qtd pçs Enviadas]]-TAB_OFICINAS[[#This Row],[Qtd pçs Retornadas ]]," ")</f>
        <v>0</v>
      </c>
      <c r="R573" s="10"/>
      <c r="S573" s="5">
        <v>848</v>
      </c>
      <c r="T573" s="5">
        <v>39</v>
      </c>
      <c r="U573" s="52">
        <v>6</v>
      </c>
      <c r="V573" s="44">
        <f>IFERROR(TAB_OFICINAS[[#This Row],[Valor Unit]]*TAB_OFICINAS[[#This Row],[Qtd pçs Enviadas]]," ")</f>
        <v>24</v>
      </c>
      <c r="W573" s="17">
        <v>46174</v>
      </c>
      <c r="X573" s="5" t="s">
        <v>6251</v>
      </c>
      <c r="Y573" s="27"/>
      <c r="Z5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4" spans="3:26" hidden="1">
      <c r="C574" s="28" t="s">
        <v>7</v>
      </c>
      <c r="D574" s="5">
        <v>5506</v>
      </c>
      <c r="E574" s="5">
        <v>23296</v>
      </c>
      <c r="F574" s="28" t="str">
        <f>IFERROR(VLOOKUP(TAB_OFICINAS[[#This Row],[Cliente]],LISTA_DE_CLIENTES[[Código]:[Nome Fantasia]],2,FALSE),"")</f>
        <v>CH 9 IMOVEIS LTDA.</v>
      </c>
      <c r="G574" s="5" t="str">
        <f>IFERROR(VLOOKUP(TAB_OFICINAS[[#This Row],[Cliente]],LISTA_DE_CLIENTES[[Código]:[Nome Fantasia]],3,FALSE),"")</f>
        <v>CH 9 IMOVEIS LTDA.</v>
      </c>
      <c r="H574" s="63">
        <v>2102229759</v>
      </c>
      <c r="I574" s="28" t="s">
        <v>22357</v>
      </c>
      <c r="J574" s="91">
        <v>4</v>
      </c>
      <c r="K574" s="86">
        <v>46162</v>
      </c>
      <c r="L574" s="10">
        <v>4</v>
      </c>
      <c r="M574" s="6">
        <v>46170</v>
      </c>
      <c r="N574" s="6">
        <v>46164</v>
      </c>
      <c r="O574" s="19">
        <f>TAB_OFICINAS[[#This Row],[Data Retorno Produção]]-TAB_OFICINAS[[#This Row],[Data Prometida  Entrega]]</f>
        <v>-6</v>
      </c>
      <c r="P574" s="40" t="str">
        <f>IF(TAB_OFICINAS[[#This Row],[Dias Para Entrega]]&lt;=0,"Em dia","Dia de Atrasado")</f>
        <v>Em dia</v>
      </c>
      <c r="Q574" s="10">
        <f>IFERROR(TAB_OFICINAS[[#This Row],[Qtd pçs Enviadas]]-TAB_OFICINAS[[#This Row],[Qtd pçs Retornadas ]]," ")</f>
        <v>0</v>
      </c>
      <c r="R574" s="10"/>
      <c r="S574" s="5">
        <v>848</v>
      </c>
      <c r="T574" s="5">
        <v>39</v>
      </c>
      <c r="U574" s="52">
        <v>7.5</v>
      </c>
      <c r="V574" s="44">
        <f>IFERROR(TAB_OFICINAS[[#This Row],[Valor Unit]]*TAB_OFICINAS[[#This Row],[Qtd pçs Enviadas]]," ")</f>
        <v>30</v>
      </c>
      <c r="W574" s="17">
        <v>46174</v>
      </c>
      <c r="X574" s="5" t="s">
        <v>6251</v>
      </c>
      <c r="Y574" s="27"/>
      <c r="Z5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5" spans="3:26" hidden="1">
      <c r="C575" s="28" t="s">
        <v>16</v>
      </c>
      <c r="D575" s="5" t="s">
        <v>20290</v>
      </c>
      <c r="E575" s="5">
        <v>455</v>
      </c>
      <c r="F575" s="28" t="s">
        <v>20290</v>
      </c>
      <c r="G575" s="5" t="str">
        <f>IFERROR(VLOOKUP(TAB_OFICINAS[[#This Row],[Cliente]],LISTA_DE_CLIENTES[[Código]:[Nome Fantasia]],3,FALSE),"")</f>
        <v/>
      </c>
      <c r="H575" s="63">
        <v>3301072340</v>
      </c>
      <c r="I575" s="28" t="s">
        <v>20571</v>
      </c>
      <c r="J575" s="91">
        <v>2</v>
      </c>
      <c r="K575" s="86">
        <v>46128</v>
      </c>
      <c r="L575" s="10">
        <v>2</v>
      </c>
      <c r="M575" s="6">
        <v>46136</v>
      </c>
      <c r="N575" s="6">
        <v>46136</v>
      </c>
      <c r="O575" s="19">
        <f>TAB_OFICINAS[[#This Row],[Data Retorno Produção]]-TAB_OFICINAS[[#This Row],[Data Prometida  Entrega]]</f>
        <v>0</v>
      </c>
      <c r="P575" s="40" t="str">
        <f>IF(TAB_OFICINAS[[#This Row],[Dias Para Entrega]]&lt;=0,"Em dia","Dia de Atrasado")</f>
        <v>Em dia</v>
      </c>
      <c r="Q575" s="10">
        <f>IFERROR(TAB_OFICINAS[[#This Row],[Qtd pçs Enviadas]]-TAB_OFICINAS[[#This Row],[Qtd pçs Retornadas ]]," ")</f>
        <v>0</v>
      </c>
      <c r="R575" s="10">
        <v>0</v>
      </c>
      <c r="S575" s="5">
        <v>761</v>
      </c>
      <c r="T575" s="5">
        <v>46</v>
      </c>
      <c r="U575" s="52">
        <v>10</v>
      </c>
      <c r="V575" s="44">
        <f>IFERROR(TAB_OFICINAS[[#This Row],[Valor Unit]]*TAB_OFICINAS[[#This Row],[Qtd pçs Enviadas]]," ")</f>
        <v>20</v>
      </c>
      <c r="W575" s="17">
        <v>46157</v>
      </c>
      <c r="X575" s="5" t="s">
        <v>6251</v>
      </c>
      <c r="Y575" s="27" t="s">
        <v>21578</v>
      </c>
      <c r="Z5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6" spans="3:26" hidden="1">
      <c r="C576" s="28" t="s">
        <v>16</v>
      </c>
      <c r="D576" s="5" t="s">
        <v>20290</v>
      </c>
      <c r="E576" s="5">
        <v>455</v>
      </c>
      <c r="F576" s="28" t="s">
        <v>20290</v>
      </c>
      <c r="G576" s="5" t="str">
        <f>IFERROR(VLOOKUP(TAB_OFICINAS[[#This Row],[Cliente]],LISTA_DE_CLIENTES[[Código]:[Nome Fantasia]],3,FALSE),"")</f>
        <v/>
      </c>
      <c r="H576" s="63">
        <v>3301072339</v>
      </c>
      <c r="I576" s="28" t="s">
        <v>20571</v>
      </c>
      <c r="J576" s="91">
        <v>2</v>
      </c>
      <c r="K576" s="86">
        <v>46128</v>
      </c>
      <c r="L576" s="10">
        <v>2</v>
      </c>
      <c r="M576" s="6">
        <v>46136</v>
      </c>
      <c r="N576" s="6">
        <v>46136</v>
      </c>
      <c r="O576" s="19">
        <f>TAB_OFICINAS[[#This Row],[Data Retorno Produção]]-TAB_OFICINAS[[#This Row],[Data Prometida  Entrega]]</f>
        <v>0</v>
      </c>
      <c r="P576" s="40" t="str">
        <f>IF(TAB_OFICINAS[[#This Row],[Dias Para Entrega]]&lt;=0,"Em dia","Dia de Atrasado")</f>
        <v>Em dia</v>
      </c>
      <c r="Q576" s="10">
        <f>IFERROR(TAB_OFICINAS[[#This Row],[Qtd pçs Enviadas]]-TAB_OFICINAS[[#This Row],[Qtd pçs Retornadas ]]," ")</f>
        <v>0</v>
      </c>
      <c r="R576" s="10">
        <v>0</v>
      </c>
      <c r="S576" s="5">
        <v>761</v>
      </c>
      <c r="T576" s="5">
        <v>46</v>
      </c>
      <c r="U576" s="52">
        <v>10</v>
      </c>
      <c r="V576" s="44">
        <f>IFERROR(TAB_OFICINAS[[#This Row],[Valor Unit]]*TAB_OFICINAS[[#This Row],[Qtd pçs Enviadas]]," ")</f>
        <v>20</v>
      </c>
      <c r="W576" s="17">
        <v>46157</v>
      </c>
      <c r="X576" s="5" t="s">
        <v>6251</v>
      </c>
      <c r="Y576" s="27" t="s">
        <v>21579</v>
      </c>
      <c r="Z5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7" spans="3:26" hidden="1">
      <c r="C577" s="28" t="s">
        <v>16</v>
      </c>
      <c r="D577" s="5" t="s">
        <v>20290</v>
      </c>
      <c r="E577" s="5">
        <v>455</v>
      </c>
      <c r="F577" s="28" t="s">
        <v>20290</v>
      </c>
      <c r="G577" s="5" t="str">
        <f>IFERROR(VLOOKUP(TAB_OFICINAS[[#This Row],[Cliente]],LISTA_DE_CLIENTES[[Código]:[Nome Fantasia]],3,FALSE),"")</f>
        <v/>
      </c>
      <c r="H577" s="63">
        <v>3301072338</v>
      </c>
      <c r="I577" s="28" t="s">
        <v>20571</v>
      </c>
      <c r="J577" s="91">
        <v>2</v>
      </c>
      <c r="K577" s="86">
        <v>46128</v>
      </c>
      <c r="L577" s="10">
        <v>2</v>
      </c>
      <c r="M577" s="6">
        <v>46136</v>
      </c>
      <c r="N577" s="6">
        <v>46136</v>
      </c>
      <c r="O577" s="19">
        <f>TAB_OFICINAS[[#This Row],[Data Retorno Produção]]-TAB_OFICINAS[[#This Row],[Data Prometida  Entrega]]</f>
        <v>0</v>
      </c>
      <c r="P577" s="40" t="str">
        <f>IF(TAB_OFICINAS[[#This Row],[Dias Para Entrega]]&lt;=0,"Em dia","Dia de Atrasado")</f>
        <v>Em dia</v>
      </c>
      <c r="Q577" s="10">
        <f>IFERROR(TAB_OFICINAS[[#This Row],[Qtd pçs Enviadas]]-TAB_OFICINAS[[#This Row],[Qtd pçs Retornadas ]]," ")</f>
        <v>0</v>
      </c>
      <c r="R577" s="10">
        <v>0</v>
      </c>
      <c r="S577" s="5">
        <v>761</v>
      </c>
      <c r="T577" s="5">
        <v>46</v>
      </c>
      <c r="U577" s="52">
        <v>10</v>
      </c>
      <c r="V577" s="44">
        <f>IFERROR(TAB_OFICINAS[[#This Row],[Valor Unit]]*TAB_OFICINAS[[#This Row],[Qtd pçs Enviadas]]," ")</f>
        <v>20</v>
      </c>
      <c r="W577" s="17">
        <v>46157</v>
      </c>
      <c r="X577" s="5" t="s">
        <v>6251</v>
      </c>
      <c r="Y577" s="27" t="s">
        <v>21580</v>
      </c>
      <c r="Z5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8" spans="3:26" hidden="1">
      <c r="C578" s="28" t="s">
        <v>16</v>
      </c>
      <c r="D578" s="5" t="s">
        <v>20290</v>
      </c>
      <c r="E578" s="5">
        <v>455</v>
      </c>
      <c r="F578" s="28" t="s">
        <v>20290</v>
      </c>
      <c r="G578" s="5" t="str">
        <f>IFERROR(VLOOKUP(TAB_OFICINAS[[#This Row],[Cliente]],LISTA_DE_CLIENTES[[Código]:[Nome Fantasia]],3,FALSE),"")</f>
        <v/>
      </c>
      <c r="H578" s="63">
        <v>3301075166</v>
      </c>
      <c r="I578" s="28" t="s">
        <v>20575</v>
      </c>
      <c r="J578" s="91">
        <v>2</v>
      </c>
      <c r="K578" s="86">
        <v>46128</v>
      </c>
      <c r="L578" s="10">
        <v>2</v>
      </c>
      <c r="M578" s="6">
        <v>46136</v>
      </c>
      <c r="N578" s="6">
        <v>46136</v>
      </c>
      <c r="O578" s="19">
        <f>TAB_OFICINAS[[#This Row],[Data Retorno Produção]]-TAB_OFICINAS[[#This Row],[Data Prometida  Entrega]]</f>
        <v>0</v>
      </c>
      <c r="P578" s="40" t="str">
        <f>IF(TAB_OFICINAS[[#This Row],[Dias Para Entrega]]&lt;=0,"Em dia","Dia de Atrasado")</f>
        <v>Em dia</v>
      </c>
      <c r="Q578" s="10">
        <f>IFERROR(TAB_OFICINAS[[#This Row],[Qtd pçs Enviadas]]-TAB_OFICINAS[[#This Row],[Qtd pçs Retornadas ]]," ")</f>
        <v>0</v>
      </c>
      <c r="R578" s="10">
        <v>0</v>
      </c>
      <c r="S578" s="5">
        <v>761</v>
      </c>
      <c r="T578" s="5">
        <v>46</v>
      </c>
      <c r="U578" s="52">
        <v>10</v>
      </c>
      <c r="V578" s="44">
        <f>IFERROR(TAB_OFICINAS[[#This Row],[Valor Unit]]*TAB_OFICINAS[[#This Row],[Qtd pçs Enviadas]]," ")</f>
        <v>20</v>
      </c>
      <c r="W578" s="17">
        <v>46157</v>
      </c>
      <c r="X578" s="5" t="s">
        <v>6251</v>
      </c>
      <c r="Y578" s="27" t="s">
        <v>21578</v>
      </c>
      <c r="Z57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79" spans="3:26" hidden="1">
      <c r="C579" s="28" t="s">
        <v>16</v>
      </c>
      <c r="D579" s="5" t="s">
        <v>20290</v>
      </c>
      <c r="E579" s="5">
        <v>455</v>
      </c>
      <c r="F579" s="28" t="s">
        <v>20290</v>
      </c>
      <c r="G579" s="5" t="str">
        <f>IFERROR(VLOOKUP(TAB_OFICINAS[[#This Row],[Cliente]],LISTA_DE_CLIENTES[[Código]:[Nome Fantasia]],3,FALSE),"")</f>
        <v/>
      </c>
      <c r="H579" s="63">
        <v>3301075165</v>
      </c>
      <c r="I579" s="28" t="s">
        <v>20575</v>
      </c>
      <c r="J579" s="91">
        <v>2</v>
      </c>
      <c r="K579" s="86">
        <v>46128</v>
      </c>
      <c r="L579" s="10">
        <v>2</v>
      </c>
      <c r="M579" s="6">
        <v>46136</v>
      </c>
      <c r="N579" s="6">
        <v>46136</v>
      </c>
      <c r="O579" s="19">
        <f>TAB_OFICINAS[[#This Row],[Data Retorno Produção]]-TAB_OFICINAS[[#This Row],[Data Prometida  Entrega]]</f>
        <v>0</v>
      </c>
      <c r="P579" s="40" t="str">
        <f>IF(TAB_OFICINAS[[#This Row],[Dias Para Entrega]]&lt;=0,"Em dia","Dia de Atrasado")</f>
        <v>Em dia</v>
      </c>
      <c r="Q579" s="10">
        <f>IFERROR(TAB_OFICINAS[[#This Row],[Qtd pçs Enviadas]]-TAB_OFICINAS[[#This Row],[Qtd pçs Retornadas ]]," ")</f>
        <v>0</v>
      </c>
      <c r="R579" s="10">
        <v>0</v>
      </c>
      <c r="S579" s="5">
        <v>761</v>
      </c>
      <c r="T579" s="5">
        <v>46</v>
      </c>
      <c r="U579" s="52">
        <v>10</v>
      </c>
      <c r="V579" s="44">
        <f>IFERROR(TAB_OFICINAS[[#This Row],[Valor Unit]]*TAB_OFICINAS[[#This Row],[Qtd pçs Enviadas]]," ")</f>
        <v>20</v>
      </c>
      <c r="W579" s="17">
        <v>46157</v>
      </c>
      <c r="X579" s="5" t="s">
        <v>6251</v>
      </c>
      <c r="Y579" s="27" t="s">
        <v>21579</v>
      </c>
      <c r="Z5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0" spans="3:26" hidden="1">
      <c r="C580" s="28" t="s">
        <v>16</v>
      </c>
      <c r="D580" s="5" t="s">
        <v>20290</v>
      </c>
      <c r="E580" s="5">
        <v>455</v>
      </c>
      <c r="F580" s="28" t="s">
        <v>20290</v>
      </c>
      <c r="G580" s="5" t="str">
        <f>IFERROR(VLOOKUP(TAB_OFICINAS[[#This Row],[Cliente]],LISTA_DE_CLIENTES[[Código]:[Nome Fantasia]],3,FALSE),"")</f>
        <v/>
      </c>
      <c r="H580" s="63">
        <v>3301075164</v>
      </c>
      <c r="I580" s="28" t="s">
        <v>20575</v>
      </c>
      <c r="J580" s="91">
        <v>2</v>
      </c>
      <c r="K580" s="86">
        <v>46128</v>
      </c>
      <c r="L580" s="10">
        <v>2</v>
      </c>
      <c r="M580" s="6">
        <v>46136</v>
      </c>
      <c r="N580" s="6">
        <v>46136</v>
      </c>
      <c r="O580" s="19">
        <f>TAB_OFICINAS[[#This Row],[Data Retorno Produção]]-TAB_OFICINAS[[#This Row],[Data Prometida  Entrega]]</f>
        <v>0</v>
      </c>
      <c r="P580" s="40" t="str">
        <f>IF(TAB_OFICINAS[[#This Row],[Dias Para Entrega]]&lt;=0,"Em dia","Dia de Atrasado")</f>
        <v>Em dia</v>
      </c>
      <c r="Q580" s="10">
        <f>IFERROR(TAB_OFICINAS[[#This Row],[Qtd pçs Enviadas]]-TAB_OFICINAS[[#This Row],[Qtd pçs Retornadas ]]," ")</f>
        <v>0</v>
      </c>
      <c r="R580" s="10">
        <v>0</v>
      </c>
      <c r="S580" s="5">
        <v>761</v>
      </c>
      <c r="T580" s="5">
        <v>46</v>
      </c>
      <c r="U580" s="52">
        <v>10</v>
      </c>
      <c r="V580" s="44">
        <f>IFERROR(TAB_OFICINAS[[#This Row],[Valor Unit]]*TAB_OFICINAS[[#This Row],[Qtd pçs Enviadas]]," ")</f>
        <v>20</v>
      </c>
      <c r="W580" s="17">
        <v>46157</v>
      </c>
      <c r="X580" s="5" t="s">
        <v>6251</v>
      </c>
      <c r="Y580" s="27" t="s">
        <v>21580</v>
      </c>
      <c r="Z5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1" spans="3:26" hidden="1">
      <c r="C581" s="28" t="s">
        <v>16</v>
      </c>
      <c r="D581" s="5" t="s">
        <v>20290</v>
      </c>
      <c r="E581" s="5">
        <v>455</v>
      </c>
      <c r="F581" s="28" t="s">
        <v>20290</v>
      </c>
      <c r="G581" s="5" t="str">
        <f>IFERROR(VLOOKUP(TAB_OFICINAS[[#This Row],[Cliente]],LISTA_DE_CLIENTES[[Código]:[Nome Fantasia]],3,FALSE),"")</f>
        <v/>
      </c>
      <c r="H581" s="63">
        <v>3301075192</v>
      </c>
      <c r="I581" s="28" t="s">
        <v>20579</v>
      </c>
      <c r="J581" s="91">
        <v>2</v>
      </c>
      <c r="K581" s="86">
        <v>46128</v>
      </c>
      <c r="L581" s="10">
        <v>2</v>
      </c>
      <c r="M581" s="6">
        <v>46136</v>
      </c>
      <c r="N581" s="6">
        <v>46136</v>
      </c>
      <c r="O581" s="19">
        <f>TAB_OFICINAS[[#This Row],[Data Retorno Produção]]-TAB_OFICINAS[[#This Row],[Data Prometida  Entrega]]</f>
        <v>0</v>
      </c>
      <c r="P581" s="40" t="str">
        <f>IF(TAB_OFICINAS[[#This Row],[Dias Para Entrega]]&lt;=0,"Em dia","Dia de Atrasado")</f>
        <v>Em dia</v>
      </c>
      <c r="Q581" s="10">
        <f>IFERROR(TAB_OFICINAS[[#This Row],[Qtd pçs Enviadas]]-TAB_OFICINAS[[#This Row],[Qtd pçs Retornadas ]]," ")</f>
        <v>0</v>
      </c>
      <c r="R581" s="10">
        <v>0</v>
      </c>
      <c r="S581" s="5">
        <v>761</v>
      </c>
      <c r="T581" s="5">
        <v>46</v>
      </c>
      <c r="U581" s="52">
        <v>10</v>
      </c>
      <c r="V581" s="44">
        <f>IFERROR(TAB_OFICINAS[[#This Row],[Valor Unit]]*TAB_OFICINAS[[#This Row],[Qtd pçs Enviadas]]," ")</f>
        <v>20</v>
      </c>
      <c r="W581" s="17">
        <v>46157</v>
      </c>
      <c r="X581" s="5" t="s">
        <v>6251</v>
      </c>
      <c r="Y581" s="27" t="s">
        <v>21578</v>
      </c>
      <c r="Z5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2" spans="3:26" hidden="1">
      <c r="C582" s="28" t="s">
        <v>16</v>
      </c>
      <c r="D582" s="5" t="s">
        <v>20290</v>
      </c>
      <c r="E582" s="5">
        <v>455</v>
      </c>
      <c r="F582" s="28" t="s">
        <v>20290</v>
      </c>
      <c r="G582" s="5" t="str">
        <f>IFERROR(VLOOKUP(TAB_OFICINAS[[#This Row],[Cliente]],LISTA_DE_CLIENTES[[Código]:[Nome Fantasia]],3,FALSE),"")</f>
        <v/>
      </c>
      <c r="H582" s="63">
        <v>3301075191</v>
      </c>
      <c r="I582" s="28" t="s">
        <v>20579</v>
      </c>
      <c r="J582" s="91">
        <v>2</v>
      </c>
      <c r="K582" s="86">
        <v>46128</v>
      </c>
      <c r="L582" s="10">
        <v>2</v>
      </c>
      <c r="M582" s="6">
        <v>46136</v>
      </c>
      <c r="N582" s="6">
        <v>46136</v>
      </c>
      <c r="O582" s="19">
        <f>TAB_OFICINAS[[#This Row],[Data Retorno Produção]]-TAB_OFICINAS[[#This Row],[Data Prometida  Entrega]]</f>
        <v>0</v>
      </c>
      <c r="P582" s="40" t="str">
        <f>IF(TAB_OFICINAS[[#This Row],[Dias Para Entrega]]&lt;=0,"Em dia","Dia de Atrasado")</f>
        <v>Em dia</v>
      </c>
      <c r="Q582" s="10">
        <f>IFERROR(TAB_OFICINAS[[#This Row],[Qtd pçs Enviadas]]-TAB_OFICINAS[[#This Row],[Qtd pçs Retornadas ]]," ")</f>
        <v>0</v>
      </c>
      <c r="R582" s="10">
        <v>0</v>
      </c>
      <c r="S582" s="5">
        <v>761</v>
      </c>
      <c r="T582" s="5">
        <v>46</v>
      </c>
      <c r="U582" s="52">
        <v>10</v>
      </c>
      <c r="V582" s="44">
        <f>IFERROR(TAB_OFICINAS[[#This Row],[Valor Unit]]*TAB_OFICINAS[[#This Row],[Qtd pçs Enviadas]]," ")</f>
        <v>20</v>
      </c>
      <c r="W582" s="17">
        <v>46157</v>
      </c>
      <c r="X582" s="5" t="s">
        <v>6251</v>
      </c>
      <c r="Y582" s="27" t="s">
        <v>21579</v>
      </c>
      <c r="Z5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3" spans="3:26" hidden="1">
      <c r="C583" s="28" t="s">
        <v>16</v>
      </c>
      <c r="D583" s="5" t="s">
        <v>20290</v>
      </c>
      <c r="E583" s="5">
        <v>455</v>
      </c>
      <c r="F583" s="28" t="s">
        <v>20290</v>
      </c>
      <c r="G583" s="5" t="str">
        <f>IFERROR(VLOOKUP(TAB_OFICINAS[[#This Row],[Cliente]],LISTA_DE_CLIENTES[[Código]:[Nome Fantasia]],3,FALSE),"")</f>
        <v/>
      </c>
      <c r="H583" s="63">
        <v>3301075190</v>
      </c>
      <c r="I583" s="28" t="s">
        <v>20579</v>
      </c>
      <c r="J583" s="91">
        <v>2</v>
      </c>
      <c r="K583" s="86">
        <v>46128</v>
      </c>
      <c r="L583" s="10">
        <v>2</v>
      </c>
      <c r="M583" s="6">
        <v>46136</v>
      </c>
      <c r="N583" s="6">
        <v>46136</v>
      </c>
      <c r="O583" s="19">
        <f>TAB_OFICINAS[[#This Row],[Data Retorno Produção]]-TAB_OFICINAS[[#This Row],[Data Prometida  Entrega]]</f>
        <v>0</v>
      </c>
      <c r="P583" s="40" t="str">
        <f>IF(TAB_OFICINAS[[#This Row],[Dias Para Entrega]]&lt;=0,"Em dia","Dia de Atrasado")</f>
        <v>Em dia</v>
      </c>
      <c r="Q583" s="10">
        <f>IFERROR(TAB_OFICINAS[[#This Row],[Qtd pçs Enviadas]]-TAB_OFICINAS[[#This Row],[Qtd pçs Retornadas ]]," ")</f>
        <v>0</v>
      </c>
      <c r="R583" s="10">
        <v>0</v>
      </c>
      <c r="S583" s="5">
        <v>761</v>
      </c>
      <c r="T583" s="5">
        <v>46</v>
      </c>
      <c r="U583" s="52">
        <v>10</v>
      </c>
      <c r="V583" s="44">
        <f>IFERROR(TAB_OFICINAS[[#This Row],[Valor Unit]]*TAB_OFICINAS[[#This Row],[Qtd pçs Enviadas]]," ")</f>
        <v>20</v>
      </c>
      <c r="W583" s="17">
        <v>46157</v>
      </c>
      <c r="X583" s="5" t="s">
        <v>6251</v>
      </c>
      <c r="Y583" s="27" t="s">
        <v>21580</v>
      </c>
      <c r="Z5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4" spans="3:26" hidden="1">
      <c r="C584" s="28" t="s">
        <v>16</v>
      </c>
      <c r="D584" s="5" t="s">
        <v>20290</v>
      </c>
      <c r="E584" s="5">
        <v>455</v>
      </c>
      <c r="F584" s="28" t="s">
        <v>20290</v>
      </c>
      <c r="G584" s="5" t="str">
        <f>IFERROR(VLOOKUP(TAB_OFICINAS[[#This Row],[Cliente]],LISTA_DE_CLIENTES[[Código]:[Nome Fantasia]],3,FALSE),"")</f>
        <v/>
      </c>
      <c r="H584" s="63">
        <v>3301072346</v>
      </c>
      <c r="I584" s="28" t="s">
        <v>20583</v>
      </c>
      <c r="J584" s="91">
        <v>2</v>
      </c>
      <c r="K584" s="86">
        <v>46128</v>
      </c>
      <c r="L584" s="10">
        <v>2</v>
      </c>
      <c r="M584" s="6">
        <v>46136</v>
      </c>
      <c r="N584" s="6">
        <v>46136</v>
      </c>
      <c r="O584" s="19">
        <f>TAB_OFICINAS[[#This Row],[Data Retorno Produção]]-TAB_OFICINAS[[#This Row],[Data Prometida  Entrega]]</f>
        <v>0</v>
      </c>
      <c r="P584" s="40" t="str">
        <f>IF(TAB_OFICINAS[[#This Row],[Dias Para Entrega]]&lt;=0,"Em dia","Dia de Atrasado")</f>
        <v>Em dia</v>
      </c>
      <c r="Q584" s="10">
        <f>IFERROR(TAB_OFICINAS[[#This Row],[Qtd pçs Enviadas]]-TAB_OFICINAS[[#This Row],[Qtd pçs Retornadas ]]," ")</f>
        <v>0</v>
      </c>
      <c r="R584" s="10">
        <v>0</v>
      </c>
      <c r="S584" s="5">
        <v>761</v>
      </c>
      <c r="T584" s="5">
        <v>46</v>
      </c>
      <c r="U584" s="52">
        <v>10</v>
      </c>
      <c r="V584" s="44">
        <f>IFERROR(TAB_OFICINAS[[#This Row],[Valor Unit]]*TAB_OFICINAS[[#This Row],[Qtd pçs Enviadas]]," ")</f>
        <v>20</v>
      </c>
      <c r="W584" s="17">
        <v>46157</v>
      </c>
      <c r="X584" s="5" t="s">
        <v>6251</v>
      </c>
      <c r="Y584" s="27" t="s">
        <v>21578</v>
      </c>
      <c r="Z5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5" spans="3:26" hidden="1">
      <c r="C585" s="28" t="s">
        <v>16</v>
      </c>
      <c r="D585" s="5" t="s">
        <v>20290</v>
      </c>
      <c r="E585" s="5">
        <v>455</v>
      </c>
      <c r="F585" s="28" t="s">
        <v>20290</v>
      </c>
      <c r="G585" s="5" t="str">
        <f>IFERROR(VLOOKUP(TAB_OFICINAS[[#This Row],[Cliente]],LISTA_DE_CLIENTES[[Código]:[Nome Fantasia]],3,FALSE),"")</f>
        <v/>
      </c>
      <c r="H585" s="63">
        <v>3301072345</v>
      </c>
      <c r="I585" s="28" t="s">
        <v>20583</v>
      </c>
      <c r="J585" s="91">
        <v>2</v>
      </c>
      <c r="K585" s="86">
        <v>46128</v>
      </c>
      <c r="L585" s="10">
        <v>2</v>
      </c>
      <c r="M585" s="6">
        <v>46136</v>
      </c>
      <c r="N585" s="6">
        <v>46136</v>
      </c>
      <c r="O585" s="19">
        <f>TAB_OFICINAS[[#This Row],[Data Retorno Produção]]-TAB_OFICINAS[[#This Row],[Data Prometida  Entrega]]</f>
        <v>0</v>
      </c>
      <c r="P585" s="40" t="str">
        <f>IF(TAB_OFICINAS[[#This Row],[Dias Para Entrega]]&lt;=0,"Em dia","Dia de Atrasado")</f>
        <v>Em dia</v>
      </c>
      <c r="Q585" s="10">
        <f>IFERROR(TAB_OFICINAS[[#This Row],[Qtd pçs Enviadas]]-TAB_OFICINAS[[#This Row],[Qtd pçs Retornadas ]]," ")</f>
        <v>0</v>
      </c>
      <c r="R585" s="10">
        <v>0</v>
      </c>
      <c r="S585" s="5">
        <v>761</v>
      </c>
      <c r="T585" s="5">
        <v>46</v>
      </c>
      <c r="U585" s="52">
        <v>10</v>
      </c>
      <c r="V585" s="44">
        <f>IFERROR(TAB_OFICINAS[[#This Row],[Valor Unit]]*TAB_OFICINAS[[#This Row],[Qtd pçs Enviadas]]," ")</f>
        <v>20</v>
      </c>
      <c r="W585" s="17">
        <v>46157</v>
      </c>
      <c r="X585" s="5" t="s">
        <v>6251</v>
      </c>
      <c r="Y585" s="27" t="s">
        <v>21579</v>
      </c>
      <c r="Z5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6" spans="3:26" hidden="1">
      <c r="C586" s="28" t="s">
        <v>16</v>
      </c>
      <c r="D586" s="5" t="s">
        <v>20290</v>
      </c>
      <c r="E586" s="5">
        <v>455</v>
      </c>
      <c r="F586" s="28" t="s">
        <v>20290</v>
      </c>
      <c r="G586" s="5" t="str">
        <f>IFERROR(VLOOKUP(TAB_OFICINAS[[#This Row],[Cliente]],LISTA_DE_CLIENTES[[Código]:[Nome Fantasia]],3,FALSE),"")</f>
        <v/>
      </c>
      <c r="H586" s="63">
        <v>3301072344</v>
      </c>
      <c r="I586" s="28" t="s">
        <v>20583</v>
      </c>
      <c r="J586" s="91">
        <v>2</v>
      </c>
      <c r="K586" s="86">
        <v>46128</v>
      </c>
      <c r="L586" s="10">
        <v>2</v>
      </c>
      <c r="M586" s="6">
        <v>46136</v>
      </c>
      <c r="N586" s="6">
        <v>46136</v>
      </c>
      <c r="O586" s="19">
        <f>TAB_OFICINAS[[#This Row],[Data Retorno Produção]]-TAB_OFICINAS[[#This Row],[Data Prometida  Entrega]]</f>
        <v>0</v>
      </c>
      <c r="P586" s="40" t="str">
        <f>IF(TAB_OFICINAS[[#This Row],[Dias Para Entrega]]&lt;=0,"Em dia","Dia de Atrasado")</f>
        <v>Em dia</v>
      </c>
      <c r="Q586" s="10">
        <f>IFERROR(TAB_OFICINAS[[#This Row],[Qtd pçs Enviadas]]-TAB_OFICINAS[[#This Row],[Qtd pçs Retornadas ]]," ")</f>
        <v>0</v>
      </c>
      <c r="R586" s="10">
        <v>0</v>
      </c>
      <c r="S586" s="5">
        <v>761</v>
      </c>
      <c r="T586" s="5">
        <v>46</v>
      </c>
      <c r="U586" s="52">
        <v>10</v>
      </c>
      <c r="V586" s="44">
        <f>IFERROR(TAB_OFICINAS[[#This Row],[Valor Unit]]*TAB_OFICINAS[[#This Row],[Qtd pçs Enviadas]]," ")</f>
        <v>20</v>
      </c>
      <c r="W586" s="17">
        <v>46157</v>
      </c>
      <c r="X586" s="5" t="s">
        <v>6251</v>
      </c>
      <c r="Y586" s="27" t="s">
        <v>21580</v>
      </c>
      <c r="Z5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7" spans="3:26" hidden="1">
      <c r="C587" s="28" t="s">
        <v>16</v>
      </c>
      <c r="D587" s="5" t="s">
        <v>20290</v>
      </c>
      <c r="E587" s="5">
        <v>455</v>
      </c>
      <c r="F587" s="28" t="s">
        <v>20290</v>
      </c>
      <c r="G587" s="5" t="str">
        <f>IFERROR(VLOOKUP(TAB_OFICINAS[[#This Row],[Cliente]],LISTA_DE_CLIENTES[[Código]:[Nome Fantasia]],3,FALSE),"")</f>
        <v/>
      </c>
      <c r="H587" s="63">
        <v>3301072343</v>
      </c>
      <c r="I587" s="28" t="s">
        <v>20587</v>
      </c>
      <c r="J587" s="91">
        <v>2</v>
      </c>
      <c r="K587" s="86">
        <v>46128</v>
      </c>
      <c r="L587" s="10">
        <v>2</v>
      </c>
      <c r="M587" s="6">
        <v>46136</v>
      </c>
      <c r="N587" s="6">
        <v>46136</v>
      </c>
      <c r="O587" s="19">
        <f>TAB_OFICINAS[[#This Row],[Data Retorno Produção]]-TAB_OFICINAS[[#This Row],[Data Prometida  Entrega]]</f>
        <v>0</v>
      </c>
      <c r="P587" s="40" t="str">
        <f>IF(TAB_OFICINAS[[#This Row],[Dias Para Entrega]]&lt;=0,"Em dia","Dia de Atrasado")</f>
        <v>Em dia</v>
      </c>
      <c r="Q587" s="10">
        <f>IFERROR(TAB_OFICINAS[[#This Row],[Qtd pçs Enviadas]]-TAB_OFICINAS[[#This Row],[Qtd pçs Retornadas ]]," ")</f>
        <v>0</v>
      </c>
      <c r="R587" s="10">
        <v>0</v>
      </c>
      <c r="S587" s="5">
        <v>761</v>
      </c>
      <c r="T587" s="5">
        <v>46</v>
      </c>
      <c r="U587" s="52">
        <v>10</v>
      </c>
      <c r="V587" s="44">
        <f>IFERROR(TAB_OFICINAS[[#This Row],[Valor Unit]]*TAB_OFICINAS[[#This Row],[Qtd pçs Enviadas]]," ")</f>
        <v>20</v>
      </c>
      <c r="W587" s="17">
        <v>46157</v>
      </c>
      <c r="X587" s="5" t="s">
        <v>6251</v>
      </c>
      <c r="Y587" s="27" t="s">
        <v>21578</v>
      </c>
      <c r="Z5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8" spans="3:26" hidden="1">
      <c r="C588" s="28" t="s">
        <v>16</v>
      </c>
      <c r="D588" s="5" t="s">
        <v>20290</v>
      </c>
      <c r="E588" s="5">
        <v>455</v>
      </c>
      <c r="F588" s="28" t="s">
        <v>20290</v>
      </c>
      <c r="G588" s="5" t="str">
        <f>IFERROR(VLOOKUP(TAB_OFICINAS[[#This Row],[Cliente]],LISTA_DE_CLIENTES[[Código]:[Nome Fantasia]],3,FALSE),"")</f>
        <v/>
      </c>
      <c r="H588" s="63">
        <v>3301072342</v>
      </c>
      <c r="I588" s="28" t="s">
        <v>20587</v>
      </c>
      <c r="J588" s="91">
        <v>2</v>
      </c>
      <c r="K588" s="86">
        <v>46128</v>
      </c>
      <c r="L588" s="10">
        <v>2</v>
      </c>
      <c r="M588" s="6">
        <v>46136</v>
      </c>
      <c r="N588" s="6">
        <v>46136</v>
      </c>
      <c r="O588" s="19">
        <f>TAB_OFICINAS[[#This Row],[Data Retorno Produção]]-TAB_OFICINAS[[#This Row],[Data Prometida  Entrega]]</f>
        <v>0</v>
      </c>
      <c r="P588" s="40" t="str">
        <f>IF(TAB_OFICINAS[[#This Row],[Dias Para Entrega]]&lt;=0,"Em dia","Dia de Atrasado")</f>
        <v>Em dia</v>
      </c>
      <c r="Q588" s="10">
        <f>IFERROR(TAB_OFICINAS[[#This Row],[Qtd pçs Enviadas]]-TAB_OFICINAS[[#This Row],[Qtd pçs Retornadas ]]," ")</f>
        <v>0</v>
      </c>
      <c r="R588" s="10">
        <v>0</v>
      </c>
      <c r="S588" s="5">
        <v>761</v>
      </c>
      <c r="T588" s="5">
        <v>46</v>
      </c>
      <c r="U588" s="52">
        <v>10</v>
      </c>
      <c r="V588" s="44">
        <f>IFERROR(TAB_OFICINAS[[#This Row],[Valor Unit]]*TAB_OFICINAS[[#This Row],[Qtd pçs Enviadas]]," ")</f>
        <v>20</v>
      </c>
      <c r="W588" s="17">
        <v>46157</v>
      </c>
      <c r="X588" s="5" t="s">
        <v>6251</v>
      </c>
      <c r="Y588" s="27" t="s">
        <v>21579</v>
      </c>
      <c r="Z5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89" spans="3:26" hidden="1">
      <c r="C589" s="28" t="s">
        <v>16</v>
      </c>
      <c r="D589" s="5" t="s">
        <v>20290</v>
      </c>
      <c r="E589" s="5">
        <v>455</v>
      </c>
      <c r="F589" s="28" t="s">
        <v>20290</v>
      </c>
      <c r="G589" s="5" t="str">
        <f>IFERROR(VLOOKUP(TAB_OFICINAS[[#This Row],[Cliente]],LISTA_DE_CLIENTES[[Código]:[Nome Fantasia]],3,FALSE),"")</f>
        <v/>
      </c>
      <c r="H589" s="63">
        <v>3301072341</v>
      </c>
      <c r="I589" s="28" t="s">
        <v>20587</v>
      </c>
      <c r="J589" s="91">
        <v>2</v>
      </c>
      <c r="K589" s="86">
        <v>46128</v>
      </c>
      <c r="L589" s="10">
        <v>2</v>
      </c>
      <c r="M589" s="6">
        <v>46136</v>
      </c>
      <c r="N589" s="6">
        <v>46136</v>
      </c>
      <c r="O589" s="19">
        <f>TAB_OFICINAS[[#This Row],[Data Retorno Produção]]-TAB_OFICINAS[[#This Row],[Data Prometida  Entrega]]</f>
        <v>0</v>
      </c>
      <c r="P589" s="40" t="str">
        <f>IF(TAB_OFICINAS[[#This Row],[Dias Para Entrega]]&lt;=0,"Em dia","Dia de Atrasado")</f>
        <v>Em dia</v>
      </c>
      <c r="Q589" s="10">
        <f>IFERROR(TAB_OFICINAS[[#This Row],[Qtd pçs Enviadas]]-TAB_OFICINAS[[#This Row],[Qtd pçs Retornadas ]]," ")</f>
        <v>0</v>
      </c>
      <c r="R589" s="10">
        <v>0</v>
      </c>
      <c r="S589" s="5">
        <v>761</v>
      </c>
      <c r="T589" s="5">
        <v>46</v>
      </c>
      <c r="U589" s="52">
        <v>10</v>
      </c>
      <c r="V589" s="44">
        <f>IFERROR(TAB_OFICINAS[[#This Row],[Valor Unit]]*TAB_OFICINAS[[#This Row],[Qtd pçs Enviadas]]," ")</f>
        <v>20</v>
      </c>
      <c r="W589" s="17">
        <v>46157</v>
      </c>
      <c r="X589" s="5" t="s">
        <v>6251</v>
      </c>
      <c r="Y589" s="27" t="s">
        <v>21580</v>
      </c>
      <c r="Z5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0" spans="3:26" hidden="1">
      <c r="C590" s="28" t="s">
        <v>16</v>
      </c>
      <c r="D590" s="5" t="s">
        <v>20290</v>
      </c>
      <c r="E590" s="5">
        <v>453</v>
      </c>
      <c r="F590" s="28" t="s">
        <v>20290</v>
      </c>
      <c r="G590" s="5" t="str">
        <f>IFERROR(VLOOKUP(TAB_OFICINAS[[#This Row],[Cliente]],LISTA_DE_CLIENTES[[Código]:[Nome Fantasia]],3,FALSE),"")</f>
        <v/>
      </c>
      <c r="H590" s="51" t="s">
        <v>23962</v>
      </c>
      <c r="I590" s="28" t="s">
        <v>21581</v>
      </c>
      <c r="J590" s="91">
        <v>2</v>
      </c>
      <c r="K590" s="86">
        <v>46128</v>
      </c>
      <c r="L590" s="10">
        <v>2</v>
      </c>
      <c r="M590" s="6">
        <v>46155</v>
      </c>
      <c r="N590" s="6">
        <v>46148</v>
      </c>
      <c r="O590" s="19">
        <f>TAB_OFICINAS[[#This Row],[Data Retorno Produção]]-TAB_OFICINAS[[#This Row],[Data Prometida  Entrega]]</f>
        <v>-7</v>
      </c>
      <c r="P590" s="40" t="str">
        <f>IF(TAB_OFICINAS[[#This Row],[Dias Para Entrega]]&lt;=0,"Em dia","Dia de Atrasado")</f>
        <v>Em dia</v>
      </c>
      <c r="Q590" s="10">
        <f>IFERROR(TAB_OFICINAS[[#This Row],[Qtd pçs Enviadas]]-TAB_OFICINAS[[#This Row],[Qtd pçs Retornadas ]]," ")</f>
        <v>0</v>
      </c>
      <c r="R590" s="10"/>
      <c r="S590" s="5">
        <v>761</v>
      </c>
      <c r="T590" s="5">
        <v>46</v>
      </c>
      <c r="U590" s="52">
        <v>6</v>
      </c>
      <c r="V590" s="44">
        <f>IFERROR(TAB_OFICINAS[[#This Row],[Valor Unit]]*TAB_OFICINAS[[#This Row],[Qtd pçs Enviadas]]," ")</f>
        <v>12</v>
      </c>
      <c r="W590" s="17">
        <v>46157</v>
      </c>
      <c r="X590" s="5" t="s">
        <v>6251</v>
      </c>
      <c r="Y590" s="27"/>
      <c r="Z5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1" spans="3:26" hidden="1">
      <c r="C591" s="28" t="s">
        <v>16</v>
      </c>
      <c r="D591" s="5" t="s">
        <v>20290</v>
      </c>
      <c r="E591" s="5">
        <v>453</v>
      </c>
      <c r="F591" s="28" t="s">
        <v>20290</v>
      </c>
      <c r="G591" s="5" t="str">
        <f>IFERROR(VLOOKUP(TAB_OFICINAS[[#This Row],[Cliente]],LISTA_DE_CLIENTES[[Código]:[Nome Fantasia]],3,FALSE),"")</f>
        <v/>
      </c>
      <c r="H591" s="51" t="s">
        <v>23962</v>
      </c>
      <c r="I591" s="28" t="s">
        <v>21582</v>
      </c>
      <c r="J591" s="91">
        <v>2</v>
      </c>
      <c r="K591" s="86">
        <v>46128</v>
      </c>
      <c r="L591" s="10">
        <v>2</v>
      </c>
      <c r="M591" s="6">
        <v>46155</v>
      </c>
      <c r="N591" s="6">
        <v>46148</v>
      </c>
      <c r="O591" s="19">
        <f>TAB_OFICINAS[[#This Row],[Data Retorno Produção]]-TAB_OFICINAS[[#This Row],[Data Prometida  Entrega]]</f>
        <v>-7</v>
      </c>
      <c r="P591" s="40" t="str">
        <f>IF(TAB_OFICINAS[[#This Row],[Dias Para Entrega]]&lt;=0,"Em dia","Dia de Atrasado")</f>
        <v>Em dia</v>
      </c>
      <c r="Q591" s="10">
        <f>IFERROR(TAB_OFICINAS[[#This Row],[Qtd pçs Enviadas]]-TAB_OFICINAS[[#This Row],[Qtd pçs Retornadas ]]," ")</f>
        <v>0</v>
      </c>
      <c r="R591" s="10"/>
      <c r="S591" s="5">
        <v>761</v>
      </c>
      <c r="T591" s="5">
        <v>46</v>
      </c>
      <c r="U591" s="52">
        <v>4</v>
      </c>
      <c r="V591" s="44">
        <f>IFERROR(TAB_OFICINAS[[#This Row],[Valor Unit]]*TAB_OFICINAS[[#This Row],[Qtd pçs Enviadas]]," ")</f>
        <v>8</v>
      </c>
      <c r="W591" s="17">
        <v>46157</v>
      </c>
      <c r="X591" s="5" t="s">
        <v>6251</v>
      </c>
      <c r="Y591" s="27"/>
      <c r="Z5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2" spans="3:26" hidden="1">
      <c r="C592" s="28" t="s">
        <v>16</v>
      </c>
      <c r="D592" s="5" t="s">
        <v>20290</v>
      </c>
      <c r="E592" s="5">
        <v>453</v>
      </c>
      <c r="F592" s="28" t="s">
        <v>20290</v>
      </c>
      <c r="G592" s="5" t="str">
        <f>IFERROR(VLOOKUP(TAB_OFICINAS[[#This Row],[Cliente]],LISTA_DE_CLIENTES[[Código]:[Nome Fantasia]],3,FALSE),"")</f>
        <v/>
      </c>
      <c r="H592" s="51" t="s">
        <v>23962</v>
      </c>
      <c r="I592" s="28" t="s">
        <v>21584</v>
      </c>
      <c r="J592" s="91">
        <v>2</v>
      </c>
      <c r="K592" s="86">
        <v>46128</v>
      </c>
      <c r="L592" s="10">
        <v>2</v>
      </c>
      <c r="M592" s="6">
        <v>46155</v>
      </c>
      <c r="N592" s="6">
        <v>46148</v>
      </c>
      <c r="O592" s="19">
        <f>TAB_OFICINAS[[#This Row],[Data Retorno Produção]]-TAB_OFICINAS[[#This Row],[Data Prometida  Entrega]]</f>
        <v>-7</v>
      </c>
      <c r="P592" s="40" t="str">
        <f>IF(TAB_OFICINAS[[#This Row],[Dias Para Entrega]]&lt;=0,"Em dia","Dia de Atrasado")</f>
        <v>Em dia</v>
      </c>
      <c r="Q592" s="10">
        <f>IFERROR(TAB_OFICINAS[[#This Row],[Qtd pçs Enviadas]]-TAB_OFICINAS[[#This Row],[Qtd pçs Retornadas ]]," ")</f>
        <v>0</v>
      </c>
      <c r="R592" s="10"/>
      <c r="S592" s="5">
        <v>761</v>
      </c>
      <c r="T592" s="5">
        <v>46</v>
      </c>
      <c r="U592" s="52">
        <v>2.9</v>
      </c>
      <c r="V592" s="44">
        <f>IFERROR(TAB_OFICINAS[[#This Row],[Valor Unit]]*TAB_OFICINAS[[#This Row],[Qtd pçs Enviadas]]," ")</f>
        <v>5.8</v>
      </c>
      <c r="W592" s="17">
        <v>46157</v>
      </c>
      <c r="X592" s="5" t="s">
        <v>6251</v>
      </c>
      <c r="Y592" s="27"/>
      <c r="Z5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3" spans="3:26" hidden="1">
      <c r="C593" s="28" t="s">
        <v>16</v>
      </c>
      <c r="D593" s="5" t="s">
        <v>20290</v>
      </c>
      <c r="E593" s="5">
        <v>453</v>
      </c>
      <c r="F593" s="28" t="s">
        <v>20290</v>
      </c>
      <c r="G593" s="5" t="str">
        <f>IFERROR(VLOOKUP(TAB_OFICINAS[[#This Row],[Cliente]],LISTA_DE_CLIENTES[[Código]:[Nome Fantasia]],3,FALSE),"")</f>
        <v/>
      </c>
      <c r="H593" s="51" t="s">
        <v>23962</v>
      </c>
      <c r="I593" s="28" t="s">
        <v>21583</v>
      </c>
      <c r="J593" s="91">
        <v>2</v>
      </c>
      <c r="K593" s="86">
        <v>46128</v>
      </c>
      <c r="L593" s="10">
        <v>2</v>
      </c>
      <c r="M593" s="6">
        <v>46155</v>
      </c>
      <c r="N593" s="6">
        <v>46148</v>
      </c>
      <c r="O593" s="19">
        <f>TAB_OFICINAS[[#This Row],[Data Retorno Produção]]-TAB_OFICINAS[[#This Row],[Data Prometida  Entrega]]</f>
        <v>-7</v>
      </c>
      <c r="P593" s="40" t="str">
        <f>IF(TAB_OFICINAS[[#This Row],[Dias Para Entrega]]&lt;=0,"Em dia","Dia de Atrasado")</f>
        <v>Em dia</v>
      </c>
      <c r="Q593" s="10">
        <f>IFERROR(TAB_OFICINAS[[#This Row],[Qtd pçs Enviadas]]-TAB_OFICINAS[[#This Row],[Qtd pçs Retornadas ]]," ")</f>
        <v>0</v>
      </c>
      <c r="R593" s="10"/>
      <c r="S593" s="5">
        <v>761</v>
      </c>
      <c r="T593" s="5">
        <v>46</v>
      </c>
      <c r="U593" s="52">
        <v>6</v>
      </c>
      <c r="V593" s="44">
        <f>IFERROR(TAB_OFICINAS[[#This Row],[Valor Unit]]*TAB_OFICINAS[[#This Row],[Qtd pçs Enviadas]]," ")</f>
        <v>12</v>
      </c>
      <c r="W593" s="17">
        <v>46157</v>
      </c>
      <c r="X593" s="5" t="s">
        <v>6251</v>
      </c>
      <c r="Y593" s="27"/>
      <c r="Z5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4" spans="3:26" hidden="1">
      <c r="C594" s="28" t="s">
        <v>16</v>
      </c>
      <c r="D594" s="5" t="s">
        <v>20290</v>
      </c>
      <c r="E594" s="5">
        <v>453</v>
      </c>
      <c r="F594" s="28" t="s">
        <v>20290</v>
      </c>
      <c r="G594" s="5" t="str">
        <f>IFERROR(VLOOKUP(TAB_OFICINAS[[#This Row],[Cliente]],LISTA_DE_CLIENTES[[Código]:[Nome Fantasia]],3,FALSE),"")</f>
        <v/>
      </c>
      <c r="H594" s="51" t="s">
        <v>23962</v>
      </c>
      <c r="I594" s="28" t="s">
        <v>21582</v>
      </c>
      <c r="J594" s="91">
        <v>2</v>
      </c>
      <c r="K594" s="86">
        <v>46128</v>
      </c>
      <c r="L594" s="10">
        <v>2</v>
      </c>
      <c r="M594" s="6">
        <v>46155</v>
      </c>
      <c r="N594" s="6">
        <v>46148</v>
      </c>
      <c r="O594" s="19">
        <f>TAB_OFICINAS[[#This Row],[Data Retorno Produção]]-TAB_OFICINAS[[#This Row],[Data Prometida  Entrega]]</f>
        <v>-7</v>
      </c>
      <c r="P594" s="40" t="str">
        <f>IF(TAB_OFICINAS[[#This Row],[Dias Para Entrega]]&lt;=0,"Em dia","Dia de Atrasado")</f>
        <v>Em dia</v>
      </c>
      <c r="Q594" s="10">
        <f>IFERROR(TAB_OFICINAS[[#This Row],[Qtd pçs Enviadas]]-TAB_OFICINAS[[#This Row],[Qtd pçs Retornadas ]]," ")</f>
        <v>0</v>
      </c>
      <c r="R594" s="10"/>
      <c r="S594" s="5">
        <v>761</v>
      </c>
      <c r="T594" s="5">
        <v>46</v>
      </c>
      <c r="U594" s="52">
        <v>4</v>
      </c>
      <c r="V594" s="44">
        <f>IFERROR(TAB_OFICINAS[[#This Row],[Valor Unit]]*TAB_OFICINAS[[#This Row],[Qtd pçs Enviadas]]," ")</f>
        <v>8</v>
      </c>
      <c r="W594" s="17">
        <v>46157</v>
      </c>
      <c r="X594" s="5" t="s">
        <v>6251</v>
      </c>
      <c r="Y594" s="27"/>
      <c r="Z5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5" spans="3:26" hidden="1">
      <c r="C595" s="28" t="s">
        <v>16</v>
      </c>
      <c r="D595" s="5" t="s">
        <v>20290</v>
      </c>
      <c r="E595" s="5">
        <v>453</v>
      </c>
      <c r="F595" s="28" t="s">
        <v>20290</v>
      </c>
      <c r="G595" s="5" t="str">
        <f>IFERROR(VLOOKUP(TAB_OFICINAS[[#This Row],[Cliente]],LISTA_DE_CLIENTES[[Código]:[Nome Fantasia]],3,FALSE),"")</f>
        <v/>
      </c>
      <c r="H595" s="51" t="s">
        <v>23962</v>
      </c>
      <c r="I595" s="28" t="s">
        <v>21585</v>
      </c>
      <c r="J595" s="91">
        <v>2</v>
      </c>
      <c r="K595" s="86">
        <v>46128</v>
      </c>
      <c r="L595" s="10">
        <v>2</v>
      </c>
      <c r="M595" s="6">
        <v>46155</v>
      </c>
      <c r="N595" s="6">
        <v>46148</v>
      </c>
      <c r="O595" s="19">
        <f>TAB_OFICINAS[[#This Row],[Data Retorno Produção]]-TAB_OFICINAS[[#This Row],[Data Prometida  Entrega]]</f>
        <v>-7</v>
      </c>
      <c r="P595" s="40" t="str">
        <f>IF(TAB_OFICINAS[[#This Row],[Dias Para Entrega]]&lt;=0,"Em dia","Dia de Atrasado")</f>
        <v>Em dia</v>
      </c>
      <c r="Q595" s="10">
        <f>IFERROR(TAB_OFICINAS[[#This Row],[Qtd pçs Enviadas]]-TAB_OFICINAS[[#This Row],[Qtd pçs Retornadas ]]," ")</f>
        <v>0</v>
      </c>
      <c r="R595" s="10"/>
      <c r="S595" s="5">
        <v>761</v>
      </c>
      <c r="T595" s="5">
        <v>46</v>
      </c>
      <c r="U595" s="52">
        <v>2.9</v>
      </c>
      <c r="V595" s="44">
        <f>IFERROR(TAB_OFICINAS[[#This Row],[Valor Unit]]*TAB_OFICINAS[[#This Row],[Qtd pçs Enviadas]]," ")</f>
        <v>5.8</v>
      </c>
      <c r="W595" s="17">
        <v>46157</v>
      </c>
      <c r="X595" s="5" t="s">
        <v>6251</v>
      </c>
      <c r="Y595" s="27"/>
      <c r="Z5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6" spans="3:26" hidden="1">
      <c r="C596" s="28" t="s">
        <v>16</v>
      </c>
      <c r="D596" s="5" t="s">
        <v>20290</v>
      </c>
      <c r="E596" s="5">
        <v>453</v>
      </c>
      <c r="F596" s="28" t="s">
        <v>20290</v>
      </c>
      <c r="G596" s="5" t="str">
        <f>IFERROR(VLOOKUP(TAB_OFICINAS[[#This Row],[Cliente]],LISTA_DE_CLIENTES[[Código]:[Nome Fantasia]],3,FALSE),"")</f>
        <v/>
      </c>
      <c r="H596" s="51" t="s">
        <v>23962</v>
      </c>
      <c r="I596" s="28" t="s">
        <v>21586</v>
      </c>
      <c r="J596" s="91">
        <v>2</v>
      </c>
      <c r="K596" s="86">
        <v>46128</v>
      </c>
      <c r="L596" s="10">
        <v>2</v>
      </c>
      <c r="M596" s="6">
        <v>46155</v>
      </c>
      <c r="N596" s="6">
        <v>46148</v>
      </c>
      <c r="O596" s="19">
        <f>TAB_OFICINAS[[#This Row],[Data Retorno Produção]]-TAB_OFICINAS[[#This Row],[Data Prometida  Entrega]]</f>
        <v>-7</v>
      </c>
      <c r="P596" s="40" t="str">
        <f>IF(TAB_OFICINAS[[#This Row],[Dias Para Entrega]]&lt;=0,"Em dia","Dia de Atrasado")</f>
        <v>Em dia</v>
      </c>
      <c r="Q596" s="10">
        <f>IFERROR(TAB_OFICINAS[[#This Row],[Qtd pçs Enviadas]]-TAB_OFICINAS[[#This Row],[Qtd pçs Retornadas ]]," ")</f>
        <v>0</v>
      </c>
      <c r="R596" s="10"/>
      <c r="S596" s="5">
        <v>761</v>
      </c>
      <c r="T596" s="5">
        <v>46</v>
      </c>
      <c r="U596" s="52">
        <v>6</v>
      </c>
      <c r="V596" s="44">
        <f>IFERROR(TAB_OFICINAS[[#This Row],[Valor Unit]]*TAB_OFICINAS[[#This Row],[Qtd pçs Enviadas]]," ")</f>
        <v>12</v>
      </c>
      <c r="W596" s="17">
        <v>46157</v>
      </c>
      <c r="X596" s="5" t="s">
        <v>6251</v>
      </c>
      <c r="Y596" s="27"/>
      <c r="Z5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7" spans="3:26" hidden="1">
      <c r="C597" s="28" t="s">
        <v>16</v>
      </c>
      <c r="D597" s="5" t="s">
        <v>20290</v>
      </c>
      <c r="E597" s="5">
        <v>453</v>
      </c>
      <c r="F597" s="28" t="s">
        <v>20290</v>
      </c>
      <c r="G597" s="5" t="str">
        <f>IFERROR(VLOOKUP(TAB_OFICINAS[[#This Row],[Cliente]],LISTA_DE_CLIENTES[[Código]:[Nome Fantasia]],3,FALSE),"")</f>
        <v/>
      </c>
      <c r="H597" s="51" t="s">
        <v>23962</v>
      </c>
      <c r="I597" s="28" t="s">
        <v>21582</v>
      </c>
      <c r="J597" s="91">
        <v>2</v>
      </c>
      <c r="K597" s="86">
        <v>46128</v>
      </c>
      <c r="L597" s="10">
        <v>2</v>
      </c>
      <c r="M597" s="6">
        <v>46155</v>
      </c>
      <c r="N597" s="6">
        <v>46148</v>
      </c>
      <c r="O597" s="19">
        <f>TAB_OFICINAS[[#This Row],[Data Retorno Produção]]-TAB_OFICINAS[[#This Row],[Data Prometida  Entrega]]</f>
        <v>-7</v>
      </c>
      <c r="P597" s="40" t="str">
        <f>IF(TAB_OFICINAS[[#This Row],[Dias Para Entrega]]&lt;=0,"Em dia","Dia de Atrasado")</f>
        <v>Em dia</v>
      </c>
      <c r="Q597" s="10">
        <f>IFERROR(TAB_OFICINAS[[#This Row],[Qtd pçs Enviadas]]-TAB_OFICINAS[[#This Row],[Qtd pçs Retornadas ]]," ")</f>
        <v>0</v>
      </c>
      <c r="R597" s="10"/>
      <c r="S597" s="5">
        <v>761</v>
      </c>
      <c r="T597" s="5">
        <v>46</v>
      </c>
      <c r="U597" s="52">
        <v>4</v>
      </c>
      <c r="V597" s="44">
        <f>IFERROR(TAB_OFICINAS[[#This Row],[Valor Unit]]*TAB_OFICINAS[[#This Row],[Qtd pçs Enviadas]]," ")</f>
        <v>8</v>
      </c>
      <c r="W597" s="17">
        <v>46157</v>
      </c>
      <c r="X597" s="5" t="s">
        <v>6251</v>
      </c>
      <c r="Y597" s="27"/>
      <c r="Z5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8" spans="3:26" hidden="1">
      <c r="C598" s="28" t="s">
        <v>16</v>
      </c>
      <c r="D598" s="5" t="s">
        <v>20290</v>
      </c>
      <c r="E598" s="5">
        <v>453</v>
      </c>
      <c r="F598" s="28" t="s">
        <v>20290</v>
      </c>
      <c r="G598" s="5" t="str">
        <f>IFERROR(VLOOKUP(TAB_OFICINAS[[#This Row],[Cliente]],LISTA_DE_CLIENTES[[Código]:[Nome Fantasia]],3,FALSE),"")</f>
        <v/>
      </c>
      <c r="H598" s="51" t="s">
        <v>23962</v>
      </c>
      <c r="I598" s="28" t="s">
        <v>21589</v>
      </c>
      <c r="J598" s="91">
        <v>2</v>
      </c>
      <c r="K598" s="86">
        <v>46128</v>
      </c>
      <c r="L598" s="10">
        <v>2</v>
      </c>
      <c r="M598" s="6">
        <v>46155</v>
      </c>
      <c r="N598" s="6">
        <v>46148</v>
      </c>
      <c r="O598" s="19">
        <f>TAB_OFICINAS[[#This Row],[Data Retorno Produção]]-TAB_OFICINAS[[#This Row],[Data Prometida  Entrega]]</f>
        <v>-7</v>
      </c>
      <c r="P598" s="40" t="str">
        <f>IF(TAB_OFICINAS[[#This Row],[Dias Para Entrega]]&lt;=0,"Em dia","Dia de Atrasado")</f>
        <v>Em dia</v>
      </c>
      <c r="Q598" s="10">
        <f>IFERROR(TAB_OFICINAS[[#This Row],[Qtd pçs Enviadas]]-TAB_OFICINAS[[#This Row],[Qtd pçs Retornadas ]]," ")</f>
        <v>0</v>
      </c>
      <c r="R598" s="10"/>
      <c r="S598" s="5">
        <v>761</v>
      </c>
      <c r="T598" s="5">
        <v>46</v>
      </c>
      <c r="U598" s="52">
        <v>2.9</v>
      </c>
      <c r="V598" s="44">
        <f>IFERROR(TAB_OFICINAS[[#This Row],[Valor Unit]]*TAB_OFICINAS[[#This Row],[Qtd pçs Enviadas]]," ")</f>
        <v>5.8</v>
      </c>
      <c r="W598" s="17">
        <v>46157</v>
      </c>
      <c r="X598" s="5" t="s">
        <v>6251</v>
      </c>
      <c r="Y598" s="27"/>
      <c r="Z5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599" spans="3:26" hidden="1">
      <c r="C599" s="28" t="s">
        <v>16</v>
      </c>
      <c r="D599" s="5" t="s">
        <v>20290</v>
      </c>
      <c r="E599" s="5">
        <v>453</v>
      </c>
      <c r="F599" s="28" t="s">
        <v>20290</v>
      </c>
      <c r="G599" s="5" t="str">
        <f>IFERROR(VLOOKUP(TAB_OFICINAS[[#This Row],[Cliente]],LISTA_DE_CLIENTES[[Código]:[Nome Fantasia]],3,FALSE),"")</f>
        <v/>
      </c>
      <c r="H599" s="51" t="s">
        <v>23962</v>
      </c>
      <c r="I599" s="28" t="s">
        <v>21588</v>
      </c>
      <c r="J599" s="91">
        <v>2</v>
      </c>
      <c r="K599" s="86">
        <v>46128</v>
      </c>
      <c r="L599" s="10">
        <v>2</v>
      </c>
      <c r="M599" s="6">
        <v>46155</v>
      </c>
      <c r="N599" s="6">
        <v>46148</v>
      </c>
      <c r="O599" s="19">
        <f>TAB_OFICINAS[[#This Row],[Data Retorno Produção]]-TAB_OFICINAS[[#This Row],[Data Prometida  Entrega]]</f>
        <v>-7</v>
      </c>
      <c r="P599" s="40" t="str">
        <f>IF(TAB_OFICINAS[[#This Row],[Dias Para Entrega]]&lt;=0,"Em dia","Dia de Atrasado")</f>
        <v>Em dia</v>
      </c>
      <c r="Q599" s="10">
        <f>IFERROR(TAB_OFICINAS[[#This Row],[Qtd pçs Enviadas]]-TAB_OFICINAS[[#This Row],[Qtd pçs Retornadas ]]," ")</f>
        <v>0</v>
      </c>
      <c r="R599" s="10"/>
      <c r="S599" s="5">
        <v>761</v>
      </c>
      <c r="T599" s="5">
        <v>46</v>
      </c>
      <c r="U599" s="52">
        <v>6</v>
      </c>
      <c r="V599" s="44">
        <f>IFERROR(TAB_OFICINAS[[#This Row],[Valor Unit]]*TAB_OFICINAS[[#This Row],[Qtd pçs Enviadas]]," ")</f>
        <v>12</v>
      </c>
      <c r="W599" s="17">
        <v>46157</v>
      </c>
      <c r="X599" s="5" t="s">
        <v>6251</v>
      </c>
      <c r="Y599" s="27"/>
      <c r="Z5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0" spans="3:26" hidden="1">
      <c r="C600" s="28" t="s">
        <v>16</v>
      </c>
      <c r="D600" s="5" t="s">
        <v>20290</v>
      </c>
      <c r="E600" s="5">
        <v>453</v>
      </c>
      <c r="F600" s="28" t="s">
        <v>20290</v>
      </c>
      <c r="G600" s="5" t="str">
        <f>IFERROR(VLOOKUP(TAB_OFICINAS[[#This Row],[Cliente]],LISTA_DE_CLIENTES[[Código]:[Nome Fantasia]],3,FALSE),"")</f>
        <v/>
      </c>
      <c r="H600" s="51" t="s">
        <v>23962</v>
      </c>
      <c r="I600" s="28" t="s">
        <v>21582</v>
      </c>
      <c r="J600" s="91">
        <v>2</v>
      </c>
      <c r="K600" s="86">
        <v>46128</v>
      </c>
      <c r="L600" s="10">
        <v>2</v>
      </c>
      <c r="M600" s="6">
        <v>46155</v>
      </c>
      <c r="N600" s="6">
        <v>46148</v>
      </c>
      <c r="O600" s="19">
        <f>TAB_OFICINAS[[#This Row],[Data Retorno Produção]]-TAB_OFICINAS[[#This Row],[Data Prometida  Entrega]]</f>
        <v>-7</v>
      </c>
      <c r="P600" s="40" t="str">
        <f>IF(TAB_OFICINAS[[#This Row],[Dias Para Entrega]]&lt;=0,"Em dia","Dia de Atrasado")</f>
        <v>Em dia</v>
      </c>
      <c r="Q600" s="10">
        <f>IFERROR(TAB_OFICINAS[[#This Row],[Qtd pçs Enviadas]]-TAB_OFICINAS[[#This Row],[Qtd pçs Retornadas ]]," ")</f>
        <v>0</v>
      </c>
      <c r="R600" s="10"/>
      <c r="S600" s="5">
        <v>761</v>
      </c>
      <c r="T600" s="5">
        <v>46</v>
      </c>
      <c r="U600" s="52">
        <v>4</v>
      </c>
      <c r="V600" s="44">
        <f>IFERROR(TAB_OFICINAS[[#This Row],[Valor Unit]]*TAB_OFICINAS[[#This Row],[Qtd pçs Enviadas]]," ")</f>
        <v>8</v>
      </c>
      <c r="W600" s="17">
        <v>46157</v>
      </c>
      <c r="X600" s="5" t="s">
        <v>6251</v>
      </c>
      <c r="Y600" s="27"/>
      <c r="Z6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1" spans="3:26" hidden="1">
      <c r="C601" s="28" t="s">
        <v>16</v>
      </c>
      <c r="D601" s="5" t="s">
        <v>20290</v>
      </c>
      <c r="E601" s="5">
        <v>453</v>
      </c>
      <c r="F601" s="28" t="s">
        <v>20290</v>
      </c>
      <c r="G601" s="5" t="str">
        <f>IFERROR(VLOOKUP(TAB_OFICINAS[[#This Row],[Cliente]],LISTA_DE_CLIENTES[[Código]:[Nome Fantasia]],3,FALSE),"")</f>
        <v/>
      </c>
      <c r="H601" s="51" t="s">
        <v>23962</v>
      </c>
      <c r="I601" s="28" t="s">
        <v>21587</v>
      </c>
      <c r="J601" s="91">
        <v>2</v>
      </c>
      <c r="K601" s="86">
        <v>46128</v>
      </c>
      <c r="L601" s="10">
        <v>2</v>
      </c>
      <c r="M601" s="6">
        <v>46155</v>
      </c>
      <c r="N601" s="6">
        <v>46148</v>
      </c>
      <c r="O601" s="19">
        <f>TAB_OFICINAS[[#This Row],[Data Retorno Produção]]-TAB_OFICINAS[[#This Row],[Data Prometida  Entrega]]</f>
        <v>-7</v>
      </c>
      <c r="P601" s="40" t="str">
        <f>IF(TAB_OFICINAS[[#This Row],[Dias Para Entrega]]&lt;=0,"Em dia","Dia de Atrasado")</f>
        <v>Em dia</v>
      </c>
      <c r="Q601" s="10">
        <f>IFERROR(TAB_OFICINAS[[#This Row],[Qtd pçs Enviadas]]-TAB_OFICINAS[[#This Row],[Qtd pçs Retornadas ]]," ")</f>
        <v>0</v>
      </c>
      <c r="R601" s="10"/>
      <c r="S601" s="5">
        <v>761</v>
      </c>
      <c r="T601" s="5">
        <v>46</v>
      </c>
      <c r="U601" s="52">
        <v>2.9</v>
      </c>
      <c r="V601" s="44">
        <f>IFERROR(TAB_OFICINAS[[#This Row],[Valor Unit]]*TAB_OFICINAS[[#This Row],[Qtd pçs Enviadas]]," ")</f>
        <v>5.8</v>
      </c>
      <c r="W601" s="17">
        <v>46157</v>
      </c>
      <c r="X601" s="5" t="s">
        <v>6251</v>
      </c>
      <c r="Y601" s="27"/>
      <c r="Z6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2" spans="3:26" hidden="1">
      <c r="C602" s="28" t="s">
        <v>16</v>
      </c>
      <c r="D602" s="5" t="s">
        <v>20290</v>
      </c>
      <c r="E602" s="5">
        <v>453</v>
      </c>
      <c r="F602" s="28" t="s">
        <v>20290</v>
      </c>
      <c r="G602" s="5" t="str">
        <f>IFERROR(VLOOKUP(TAB_OFICINAS[[#This Row],[Cliente]],LISTA_DE_CLIENTES[[Código]:[Nome Fantasia]],3,FALSE),"")</f>
        <v/>
      </c>
      <c r="H602" s="51" t="s">
        <v>23962</v>
      </c>
      <c r="I602" s="28" t="s">
        <v>21590</v>
      </c>
      <c r="J602" s="91">
        <v>2</v>
      </c>
      <c r="K602" s="86">
        <v>46128</v>
      </c>
      <c r="L602" s="10">
        <v>2</v>
      </c>
      <c r="M602" s="6">
        <v>46155</v>
      </c>
      <c r="N602" s="6">
        <v>46148</v>
      </c>
      <c r="O602" s="19">
        <f>TAB_OFICINAS[[#This Row],[Data Retorno Produção]]-TAB_OFICINAS[[#This Row],[Data Prometida  Entrega]]</f>
        <v>-7</v>
      </c>
      <c r="P602" s="40" t="str">
        <f>IF(TAB_OFICINAS[[#This Row],[Dias Para Entrega]]&lt;=0,"Em dia","Dia de Atrasado")</f>
        <v>Em dia</v>
      </c>
      <c r="Q602" s="10">
        <f>IFERROR(TAB_OFICINAS[[#This Row],[Qtd pçs Enviadas]]-TAB_OFICINAS[[#This Row],[Qtd pçs Retornadas ]]," ")</f>
        <v>0</v>
      </c>
      <c r="R602" s="10"/>
      <c r="S602" s="5">
        <v>761</v>
      </c>
      <c r="T602" s="5">
        <v>46</v>
      </c>
      <c r="U602" s="52">
        <v>6</v>
      </c>
      <c r="V602" s="44">
        <f>IFERROR(TAB_OFICINAS[[#This Row],[Valor Unit]]*TAB_OFICINAS[[#This Row],[Qtd pçs Enviadas]]," ")</f>
        <v>12</v>
      </c>
      <c r="W602" s="17">
        <v>46157</v>
      </c>
      <c r="X602" s="5" t="s">
        <v>6251</v>
      </c>
      <c r="Y602" s="27"/>
      <c r="Z6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3" spans="3:26" hidden="1">
      <c r="C603" s="28" t="s">
        <v>16</v>
      </c>
      <c r="D603" s="5" t="s">
        <v>20290</v>
      </c>
      <c r="E603" s="5">
        <v>453</v>
      </c>
      <c r="F603" s="28" t="s">
        <v>20290</v>
      </c>
      <c r="G603" s="5" t="str">
        <f>IFERROR(VLOOKUP(TAB_OFICINAS[[#This Row],[Cliente]],LISTA_DE_CLIENTES[[Código]:[Nome Fantasia]],3,FALSE),"")</f>
        <v/>
      </c>
      <c r="H603" s="51" t="s">
        <v>23962</v>
      </c>
      <c r="I603" s="28" t="s">
        <v>21582</v>
      </c>
      <c r="J603" s="91">
        <v>2</v>
      </c>
      <c r="K603" s="86">
        <v>46128</v>
      </c>
      <c r="L603" s="10">
        <v>2</v>
      </c>
      <c r="M603" s="6">
        <v>46155</v>
      </c>
      <c r="N603" s="6">
        <v>46148</v>
      </c>
      <c r="O603" s="19">
        <f>TAB_OFICINAS[[#This Row],[Data Retorno Produção]]-TAB_OFICINAS[[#This Row],[Data Prometida  Entrega]]</f>
        <v>-7</v>
      </c>
      <c r="P603" s="40" t="str">
        <f>IF(TAB_OFICINAS[[#This Row],[Dias Para Entrega]]&lt;=0,"Em dia","Dia de Atrasado")</f>
        <v>Em dia</v>
      </c>
      <c r="Q603" s="10">
        <f>IFERROR(TAB_OFICINAS[[#This Row],[Qtd pçs Enviadas]]-TAB_OFICINAS[[#This Row],[Qtd pçs Retornadas ]]," ")</f>
        <v>0</v>
      </c>
      <c r="R603" s="10"/>
      <c r="S603" s="5">
        <v>761</v>
      </c>
      <c r="T603" s="5">
        <v>46</v>
      </c>
      <c r="U603" s="52">
        <v>4</v>
      </c>
      <c r="V603" s="44">
        <f>IFERROR(TAB_OFICINAS[[#This Row],[Valor Unit]]*TAB_OFICINAS[[#This Row],[Qtd pçs Enviadas]]," ")</f>
        <v>8</v>
      </c>
      <c r="W603" s="17">
        <v>46157</v>
      </c>
      <c r="X603" s="5" t="s">
        <v>6251</v>
      </c>
      <c r="Y603" s="27"/>
      <c r="Z6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4" spans="3:26" hidden="1">
      <c r="C604" s="28" t="s">
        <v>16</v>
      </c>
      <c r="D604" s="5" t="s">
        <v>20290</v>
      </c>
      <c r="E604" s="5">
        <v>453</v>
      </c>
      <c r="F604" s="28" t="s">
        <v>20290</v>
      </c>
      <c r="G604" s="5" t="str">
        <f>IFERROR(VLOOKUP(TAB_OFICINAS[[#This Row],[Cliente]],LISTA_DE_CLIENTES[[Código]:[Nome Fantasia]],3,FALSE),"")</f>
        <v/>
      </c>
      <c r="H604" s="51" t="s">
        <v>23962</v>
      </c>
      <c r="I604" s="28" t="s">
        <v>21591</v>
      </c>
      <c r="J604" s="91">
        <v>2</v>
      </c>
      <c r="K604" s="86">
        <v>46128</v>
      </c>
      <c r="L604" s="10">
        <v>2</v>
      </c>
      <c r="M604" s="6">
        <v>46155</v>
      </c>
      <c r="N604" s="6">
        <v>46148</v>
      </c>
      <c r="O604" s="19">
        <f>TAB_OFICINAS[[#This Row],[Data Retorno Produção]]-TAB_OFICINAS[[#This Row],[Data Prometida  Entrega]]</f>
        <v>-7</v>
      </c>
      <c r="P604" s="40" t="str">
        <f>IF(TAB_OFICINAS[[#This Row],[Dias Para Entrega]]&lt;=0,"Em dia","Dia de Atrasado")</f>
        <v>Em dia</v>
      </c>
      <c r="Q604" s="10">
        <f>IFERROR(TAB_OFICINAS[[#This Row],[Qtd pçs Enviadas]]-TAB_OFICINAS[[#This Row],[Qtd pçs Retornadas ]]," ")</f>
        <v>0</v>
      </c>
      <c r="R604" s="10"/>
      <c r="S604" s="5">
        <v>761</v>
      </c>
      <c r="T604" s="5">
        <v>46</v>
      </c>
      <c r="U604" s="52">
        <v>2.9</v>
      </c>
      <c r="V604" s="44">
        <f>IFERROR(TAB_OFICINAS[[#This Row],[Valor Unit]]*TAB_OFICINAS[[#This Row],[Qtd pçs Enviadas]]," ")</f>
        <v>5.8</v>
      </c>
      <c r="W604" s="17">
        <v>46157</v>
      </c>
      <c r="X604" s="5" t="s">
        <v>6251</v>
      </c>
      <c r="Y604" s="27"/>
      <c r="Z6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5" spans="3:26" hidden="1">
      <c r="C605" s="28" t="s">
        <v>16</v>
      </c>
      <c r="D605" s="5" t="s">
        <v>20290</v>
      </c>
      <c r="E605" s="5">
        <v>453</v>
      </c>
      <c r="F605" s="28" t="s">
        <v>20290</v>
      </c>
      <c r="G605" s="5" t="str">
        <f>IFERROR(VLOOKUP(TAB_OFICINAS[[#This Row],[Cliente]],LISTA_DE_CLIENTES[[Código]:[Nome Fantasia]],3,FALSE),"")</f>
        <v/>
      </c>
      <c r="H605" s="51" t="s">
        <v>23962</v>
      </c>
      <c r="I605" s="28" t="s">
        <v>21592</v>
      </c>
      <c r="J605" s="91">
        <v>2</v>
      </c>
      <c r="K605" s="86">
        <v>46128</v>
      </c>
      <c r="L605" s="10">
        <v>2</v>
      </c>
      <c r="M605" s="6">
        <v>46155</v>
      </c>
      <c r="N605" s="6">
        <v>46148</v>
      </c>
      <c r="O605" s="19">
        <f>TAB_OFICINAS[[#This Row],[Data Retorno Produção]]-TAB_OFICINAS[[#This Row],[Data Prometida  Entrega]]</f>
        <v>-7</v>
      </c>
      <c r="P605" s="40" t="str">
        <f>IF(TAB_OFICINAS[[#This Row],[Dias Para Entrega]]&lt;=0,"Em dia","Dia de Atrasado")</f>
        <v>Em dia</v>
      </c>
      <c r="Q605" s="10">
        <f>IFERROR(TAB_OFICINAS[[#This Row],[Qtd pçs Enviadas]]-TAB_OFICINAS[[#This Row],[Qtd pçs Retornadas ]]," ")</f>
        <v>0</v>
      </c>
      <c r="R605" s="10"/>
      <c r="S605" s="5">
        <v>761</v>
      </c>
      <c r="T605" s="5">
        <v>46</v>
      </c>
      <c r="U605" s="52">
        <v>6</v>
      </c>
      <c r="V605" s="44">
        <f>IFERROR(TAB_OFICINAS[[#This Row],[Valor Unit]]*TAB_OFICINAS[[#This Row],[Qtd pçs Enviadas]]," ")</f>
        <v>12</v>
      </c>
      <c r="W605" s="17">
        <v>46157</v>
      </c>
      <c r="X605" s="5" t="s">
        <v>6251</v>
      </c>
      <c r="Y605" s="27"/>
      <c r="Z6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6" spans="3:26" hidden="1">
      <c r="C606" s="28" t="s">
        <v>16</v>
      </c>
      <c r="D606" s="5" t="s">
        <v>20290</v>
      </c>
      <c r="E606" s="5">
        <v>453</v>
      </c>
      <c r="F606" s="28" t="s">
        <v>20290</v>
      </c>
      <c r="G606" s="5" t="str">
        <f>IFERROR(VLOOKUP(TAB_OFICINAS[[#This Row],[Cliente]],LISTA_DE_CLIENTES[[Código]:[Nome Fantasia]],3,FALSE),"")</f>
        <v/>
      </c>
      <c r="H606" s="51" t="s">
        <v>23962</v>
      </c>
      <c r="I606" s="28" t="s">
        <v>21582</v>
      </c>
      <c r="J606" s="91">
        <v>2</v>
      </c>
      <c r="K606" s="86">
        <v>46128</v>
      </c>
      <c r="L606" s="10">
        <v>2</v>
      </c>
      <c r="M606" s="6">
        <v>46155</v>
      </c>
      <c r="N606" s="6">
        <v>46148</v>
      </c>
      <c r="O606" s="19">
        <f>TAB_OFICINAS[[#This Row],[Data Retorno Produção]]-TAB_OFICINAS[[#This Row],[Data Prometida  Entrega]]</f>
        <v>-7</v>
      </c>
      <c r="P606" s="40" t="str">
        <f>IF(TAB_OFICINAS[[#This Row],[Dias Para Entrega]]&lt;=0,"Em dia","Dia de Atrasado")</f>
        <v>Em dia</v>
      </c>
      <c r="Q606" s="10">
        <f>IFERROR(TAB_OFICINAS[[#This Row],[Qtd pçs Enviadas]]-TAB_OFICINAS[[#This Row],[Qtd pçs Retornadas ]]," ")</f>
        <v>0</v>
      </c>
      <c r="R606" s="10"/>
      <c r="S606" s="5">
        <v>761</v>
      </c>
      <c r="T606" s="5">
        <v>46</v>
      </c>
      <c r="U606" s="52">
        <v>4</v>
      </c>
      <c r="V606" s="44">
        <f>IFERROR(TAB_OFICINAS[[#This Row],[Valor Unit]]*TAB_OFICINAS[[#This Row],[Qtd pçs Enviadas]]," ")</f>
        <v>8</v>
      </c>
      <c r="W606" s="17">
        <v>46157</v>
      </c>
      <c r="X606" s="5" t="s">
        <v>6251</v>
      </c>
      <c r="Y606" s="27"/>
      <c r="Z6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7" spans="3:26" hidden="1">
      <c r="C607" s="28" t="s">
        <v>16</v>
      </c>
      <c r="D607" s="5" t="s">
        <v>20290</v>
      </c>
      <c r="E607" s="5">
        <v>453</v>
      </c>
      <c r="F607" s="28" t="s">
        <v>20290</v>
      </c>
      <c r="G607" s="5" t="str">
        <f>IFERROR(VLOOKUP(TAB_OFICINAS[[#This Row],[Cliente]],LISTA_DE_CLIENTES[[Código]:[Nome Fantasia]],3,FALSE),"")</f>
        <v/>
      </c>
      <c r="H607" s="51" t="s">
        <v>23962</v>
      </c>
      <c r="I607" s="28" t="s">
        <v>21593</v>
      </c>
      <c r="J607" s="91">
        <v>2</v>
      </c>
      <c r="K607" s="86">
        <v>46128</v>
      </c>
      <c r="L607" s="10">
        <v>2</v>
      </c>
      <c r="M607" s="6">
        <v>46155</v>
      </c>
      <c r="N607" s="6">
        <v>46148</v>
      </c>
      <c r="O607" s="19">
        <f>TAB_OFICINAS[[#This Row],[Data Retorno Produção]]-TAB_OFICINAS[[#This Row],[Data Prometida  Entrega]]</f>
        <v>-7</v>
      </c>
      <c r="P607" s="40" t="str">
        <f>IF(TAB_OFICINAS[[#This Row],[Dias Para Entrega]]&lt;=0,"Em dia","Dia de Atrasado")</f>
        <v>Em dia</v>
      </c>
      <c r="Q607" s="10">
        <f>IFERROR(TAB_OFICINAS[[#This Row],[Qtd pçs Enviadas]]-TAB_OFICINAS[[#This Row],[Qtd pçs Retornadas ]]," ")</f>
        <v>0</v>
      </c>
      <c r="R607" s="10"/>
      <c r="S607" s="5">
        <v>761</v>
      </c>
      <c r="T607" s="5">
        <v>46</v>
      </c>
      <c r="U607" s="52">
        <v>2.9</v>
      </c>
      <c r="V607" s="44">
        <f>IFERROR(TAB_OFICINAS[[#This Row],[Valor Unit]]*TAB_OFICINAS[[#This Row],[Qtd pçs Enviadas]]," ")</f>
        <v>5.8</v>
      </c>
      <c r="W607" s="17">
        <v>46157</v>
      </c>
      <c r="X607" s="5" t="s">
        <v>6251</v>
      </c>
      <c r="Y607" s="27"/>
      <c r="Z6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8" spans="3:26" hidden="1">
      <c r="C608" s="28" t="s">
        <v>16</v>
      </c>
      <c r="D608" s="5" t="s">
        <v>20290</v>
      </c>
      <c r="E608" s="5">
        <v>453</v>
      </c>
      <c r="F608" s="28" t="s">
        <v>20290</v>
      </c>
      <c r="G608" s="5" t="str">
        <f>IFERROR(VLOOKUP(TAB_OFICINAS[[#This Row],[Cliente]],LISTA_DE_CLIENTES[[Código]:[Nome Fantasia]],3,FALSE),"")</f>
        <v/>
      </c>
      <c r="H608" s="51" t="s">
        <v>23962</v>
      </c>
      <c r="I608" s="28" t="s">
        <v>21594</v>
      </c>
      <c r="J608" s="91">
        <v>2</v>
      </c>
      <c r="K608" s="86">
        <v>46128</v>
      </c>
      <c r="L608" s="10">
        <v>2</v>
      </c>
      <c r="M608" s="6">
        <v>46155</v>
      </c>
      <c r="N608" s="6">
        <v>46148</v>
      </c>
      <c r="O608" s="19">
        <f>TAB_OFICINAS[[#This Row],[Data Retorno Produção]]-TAB_OFICINAS[[#This Row],[Data Prometida  Entrega]]</f>
        <v>-7</v>
      </c>
      <c r="P608" s="40" t="str">
        <f>IF(TAB_OFICINAS[[#This Row],[Dias Para Entrega]]&lt;=0,"Em dia","Dia de Atrasado")</f>
        <v>Em dia</v>
      </c>
      <c r="Q608" s="10">
        <f>IFERROR(TAB_OFICINAS[[#This Row],[Qtd pçs Enviadas]]-TAB_OFICINAS[[#This Row],[Qtd pçs Retornadas ]]," ")</f>
        <v>0</v>
      </c>
      <c r="R608" s="10"/>
      <c r="S608" s="5">
        <v>761</v>
      </c>
      <c r="T608" s="5">
        <v>46</v>
      </c>
      <c r="U608" s="52">
        <v>7</v>
      </c>
      <c r="V608" s="44">
        <f>IFERROR(TAB_OFICINAS[[#This Row],[Valor Unit]]*TAB_OFICINAS[[#This Row],[Qtd pçs Enviadas]]," ")</f>
        <v>14</v>
      </c>
      <c r="W608" s="17">
        <v>46157</v>
      </c>
      <c r="X608" s="5" t="s">
        <v>6251</v>
      </c>
      <c r="Y608" s="27"/>
      <c r="Z6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09" spans="3:26" hidden="1">
      <c r="C609" s="28" t="s">
        <v>16</v>
      </c>
      <c r="D609" s="5" t="s">
        <v>20290</v>
      </c>
      <c r="E609" s="5">
        <v>453</v>
      </c>
      <c r="F609" s="28" t="s">
        <v>20290</v>
      </c>
      <c r="G609" s="5" t="str">
        <f>IFERROR(VLOOKUP(TAB_OFICINAS[[#This Row],[Cliente]],LISTA_DE_CLIENTES[[Código]:[Nome Fantasia]],3,FALSE),"")</f>
        <v/>
      </c>
      <c r="H609" s="51" t="s">
        <v>23962</v>
      </c>
      <c r="I609" s="28" t="s">
        <v>21595</v>
      </c>
      <c r="J609" s="91">
        <v>2</v>
      </c>
      <c r="K609" s="86">
        <v>46128</v>
      </c>
      <c r="L609" s="10">
        <v>2</v>
      </c>
      <c r="M609" s="6">
        <v>46155</v>
      </c>
      <c r="N609" s="6">
        <v>46148</v>
      </c>
      <c r="O609" s="19">
        <f>TAB_OFICINAS[[#This Row],[Data Retorno Produção]]-TAB_OFICINAS[[#This Row],[Data Prometida  Entrega]]</f>
        <v>-7</v>
      </c>
      <c r="P609" s="40" t="str">
        <f>IF(TAB_OFICINAS[[#This Row],[Dias Para Entrega]]&lt;=0,"Em dia","Dia de Atrasado")</f>
        <v>Em dia</v>
      </c>
      <c r="Q609" s="10">
        <f>IFERROR(TAB_OFICINAS[[#This Row],[Qtd pçs Enviadas]]-TAB_OFICINAS[[#This Row],[Qtd pçs Retornadas ]]," ")</f>
        <v>0</v>
      </c>
      <c r="R609" s="10"/>
      <c r="S609" s="5">
        <v>761</v>
      </c>
      <c r="T609" s="5">
        <v>46</v>
      </c>
      <c r="U609" s="52">
        <v>5</v>
      </c>
      <c r="V609" s="44">
        <f>IFERROR(TAB_OFICINAS[[#This Row],[Valor Unit]]*TAB_OFICINAS[[#This Row],[Qtd pçs Enviadas]]," ")</f>
        <v>10</v>
      </c>
      <c r="W609" s="17">
        <v>46157</v>
      </c>
      <c r="X609" s="5" t="s">
        <v>6251</v>
      </c>
      <c r="Y609" s="27"/>
      <c r="Z6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0" spans="3:26" hidden="1">
      <c r="C610" s="28" t="s">
        <v>16</v>
      </c>
      <c r="D610" s="5" t="s">
        <v>20290</v>
      </c>
      <c r="E610" s="5">
        <v>453</v>
      </c>
      <c r="F610" s="28" t="s">
        <v>20290</v>
      </c>
      <c r="G610" s="5" t="str">
        <f>IFERROR(VLOOKUP(TAB_OFICINAS[[#This Row],[Cliente]],LISTA_DE_CLIENTES[[Código]:[Nome Fantasia]],3,FALSE),"")</f>
        <v/>
      </c>
      <c r="H610" s="51" t="s">
        <v>23962</v>
      </c>
      <c r="I610" s="28" t="s">
        <v>21596</v>
      </c>
      <c r="J610" s="91">
        <v>2</v>
      </c>
      <c r="K610" s="86">
        <v>46128</v>
      </c>
      <c r="L610" s="10">
        <v>2</v>
      </c>
      <c r="M610" s="6">
        <v>46155</v>
      </c>
      <c r="N610" s="6">
        <v>46148</v>
      </c>
      <c r="O610" s="19">
        <f>TAB_OFICINAS[[#This Row],[Data Retorno Produção]]-TAB_OFICINAS[[#This Row],[Data Prometida  Entrega]]</f>
        <v>-7</v>
      </c>
      <c r="P610" s="40" t="str">
        <f>IF(TAB_OFICINAS[[#This Row],[Dias Para Entrega]]&lt;=0,"Em dia","Dia de Atrasado")</f>
        <v>Em dia</v>
      </c>
      <c r="Q610" s="10">
        <f>IFERROR(TAB_OFICINAS[[#This Row],[Qtd pçs Enviadas]]-TAB_OFICINAS[[#This Row],[Qtd pçs Retornadas ]]," ")</f>
        <v>0</v>
      </c>
      <c r="R610" s="10"/>
      <c r="S610" s="5">
        <v>761</v>
      </c>
      <c r="T610" s="5">
        <v>46</v>
      </c>
      <c r="U610" s="52">
        <v>4</v>
      </c>
      <c r="V610" s="44">
        <f>IFERROR(TAB_OFICINAS[[#This Row],[Valor Unit]]*TAB_OFICINAS[[#This Row],[Qtd pçs Enviadas]]," ")</f>
        <v>8</v>
      </c>
      <c r="W610" s="17">
        <v>46157</v>
      </c>
      <c r="X610" s="5" t="s">
        <v>6251</v>
      </c>
      <c r="Y610" s="27"/>
      <c r="Z6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1" spans="3:26" hidden="1">
      <c r="C611" s="28" t="s">
        <v>16</v>
      </c>
      <c r="D611" s="5" t="s">
        <v>20290</v>
      </c>
      <c r="E611" s="5">
        <v>453</v>
      </c>
      <c r="F611" s="28" t="s">
        <v>20290</v>
      </c>
      <c r="G611" s="5" t="str">
        <f>IFERROR(VLOOKUP(TAB_OFICINAS[[#This Row],[Cliente]],LISTA_DE_CLIENTES[[Código]:[Nome Fantasia]],3,FALSE),"")</f>
        <v/>
      </c>
      <c r="H611" s="51" t="s">
        <v>23962</v>
      </c>
      <c r="I611" s="28" t="s">
        <v>21597</v>
      </c>
      <c r="J611" s="91">
        <v>2</v>
      </c>
      <c r="K611" s="86">
        <v>46128</v>
      </c>
      <c r="L611" s="10">
        <v>2</v>
      </c>
      <c r="M611" s="6">
        <v>46155</v>
      </c>
      <c r="N611" s="6">
        <v>46148</v>
      </c>
      <c r="O611" s="19">
        <f>TAB_OFICINAS[[#This Row],[Data Retorno Produção]]-TAB_OFICINAS[[#This Row],[Data Prometida  Entrega]]</f>
        <v>-7</v>
      </c>
      <c r="P611" s="40" t="str">
        <f>IF(TAB_OFICINAS[[#This Row],[Dias Para Entrega]]&lt;=0,"Em dia","Dia de Atrasado")</f>
        <v>Em dia</v>
      </c>
      <c r="Q611" s="10">
        <f>IFERROR(TAB_OFICINAS[[#This Row],[Qtd pçs Enviadas]]-TAB_OFICINAS[[#This Row],[Qtd pçs Retornadas ]]," ")</f>
        <v>0</v>
      </c>
      <c r="R611" s="10"/>
      <c r="S611" s="5">
        <v>761</v>
      </c>
      <c r="T611" s="5">
        <v>46</v>
      </c>
      <c r="U611" s="52">
        <v>7</v>
      </c>
      <c r="V611" s="44">
        <f>IFERROR(TAB_OFICINAS[[#This Row],[Valor Unit]]*TAB_OFICINAS[[#This Row],[Qtd pçs Enviadas]]," ")</f>
        <v>14</v>
      </c>
      <c r="W611" s="17">
        <v>46157</v>
      </c>
      <c r="X611" s="5" t="s">
        <v>6251</v>
      </c>
      <c r="Y611" s="27"/>
      <c r="Z6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2" spans="3:26" hidden="1">
      <c r="C612" s="28" t="s">
        <v>16</v>
      </c>
      <c r="D612" s="5" t="s">
        <v>20290</v>
      </c>
      <c r="E612" s="5">
        <v>453</v>
      </c>
      <c r="F612" s="28" t="s">
        <v>20290</v>
      </c>
      <c r="G612" s="5" t="str">
        <f>IFERROR(VLOOKUP(TAB_OFICINAS[[#This Row],[Cliente]],LISTA_DE_CLIENTES[[Código]:[Nome Fantasia]],3,FALSE),"")</f>
        <v/>
      </c>
      <c r="H612" s="51" t="s">
        <v>23962</v>
      </c>
      <c r="I612" s="28" t="s">
        <v>21595</v>
      </c>
      <c r="J612" s="91">
        <v>2</v>
      </c>
      <c r="K612" s="86">
        <v>46128</v>
      </c>
      <c r="L612" s="10">
        <v>2</v>
      </c>
      <c r="M612" s="6">
        <v>46155</v>
      </c>
      <c r="N612" s="6">
        <v>46148</v>
      </c>
      <c r="O612" s="19">
        <f>TAB_OFICINAS[[#This Row],[Data Retorno Produção]]-TAB_OFICINAS[[#This Row],[Data Prometida  Entrega]]</f>
        <v>-7</v>
      </c>
      <c r="P612" s="40" t="str">
        <f>IF(TAB_OFICINAS[[#This Row],[Dias Para Entrega]]&lt;=0,"Em dia","Dia de Atrasado")</f>
        <v>Em dia</v>
      </c>
      <c r="Q612" s="10">
        <f>IFERROR(TAB_OFICINAS[[#This Row],[Qtd pçs Enviadas]]-TAB_OFICINAS[[#This Row],[Qtd pçs Retornadas ]]," ")</f>
        <v>0</v>
      </c>
      <c r="R612" s="10"/>
      <c r="S612" s="5">
        <v>761</v>
      </c>
      <c r="T612" s="5">
        <v>46</v>
      </c>
      <c r="U612" s="52">
        <v>5</v>
      </c>
      <c r="V612" s="44">
        <f>IFERROR(TAB_OFICINAS[[#This Row],[Valor Unit]]*TAB_OFICINAS[[#This Row],[Qtd pçs Enviadas]]," ")</f>
        <v>10</v>
      </c>
      <c r="W612" s="17">
        <v>46157</v>
      </c>
      <c r="X612" s="5" t="s">
        <v>6251</v>
      </c>
      <c r="Y612" s="27"/>
      <c r="Z6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3" spans="3:26" hidden="1">
      <c r="C613" s="28" t="s">
        <v>16</v>
      </c>
      <c r="D613" s="5" t="s">
        <v>20290</v>
      </c>
      <c r="E613" s="5">
        <v>453</v>
      </c>
      <c r="F613" s="28" t="s">
        <v>20290</v>
      </c>
      <c r="G613" s="5" t="str">
        <f>IFERROR(VLOOKUP(TAB_OFICINAS[[#This Row],[Cliente]],LISTA_DE_CLIENTES[[Código]:[Nome Fantasia]],3,FALSE),"")</f>
        <v/>
      </c>
      <c r="H613" s="51" t="s">
        <v>23962</v>
      </c>
      <c r="I613" s="28" t="s">
        <v>21598</v>
      </c>
      <c r="J613" s="91">
        <v>2</v>
      </c>
      <c r="K613" s="86">
        <v>46128</v>
      </c>
      <c r="L613" s="10">
        <v>2</v>
      </c>
      <c r="M613" s="6">
        <v>46155</v>
      </c>
      <c r="N613" s="6">
        <v>46148</v>
      </c>
      <c r="O613" s="19">
        <f>TAB_OFICINAS[[#This Row],[Data Retorno Produção]]-TAB_OFICINAS[[#This Row],[Data Prometida  Entrega]]</f>
        <v>-7</v>
      </c>
      <c r="P613" s="40" t="str">
        <f>IF(TAB_OFICINAS[[#This Row],[Dias Para Entrega]]&lt;=0,"Em dia","Dia de Atrasado")</f>
        <v>Em dia</v>
      </c>
      <c r="Q613" s="10">
        <f>IFERROR(TAB_OFICINAS[[#This Row],[Qtd pçs Enviadas]]-TAB_OFICINAS[[#This Row],[Qtd pçs Retornadas ]]," ")</f>
        <v>0</v>
      </c>
      <c r="R613" s="10"/>
      <c r="S613" s="5">
        <v>761</v>
      </c>
      <c r="T613" s="5">
        <v>46</v>
      </c>
      <c r="U613" s="52">
        <v>4</v>
      </c>
      <c r="V613" s="44">
        <f>IFERROR(TAB_OFICINAS[[#This Row],[Valor Unit]]*TAB_OFICINAS[[#This Row],[Qtd pçs Enviadas]]," ")</f>
        <v>8</v>
      </c>
      <c r="W613" s="17">
        <v>46157</v>
      </c>
      <c r="X613" s="5" t="s">
        <v>6251</v>
      </c>
      <c r="Y613" s="27"/>
      <c r="Z6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4" spans="3:26" hidden="1">
      <c r="C614" s="28" t="s">
        <v>16</v>
      </c>
      <c r="D614" s="5" t="s">
        <v>20290</v>
      </c>
      <c r="E614" s="5">
        <v>453</v>
      </c>
      <c r="F614" s="28" t="s">
        <v>20290</v>
      </c>
      <c r="G614" s="5" t="str">
        <f>IFERROR(VLOOKUP(TAB_OFICINAS[[#This Row],[Cliente]],LISTA_DE_CLIENTES[[Código]:[Nome Fantasia]],3,FALSE),"")</f>
        <v/>
      </c>
      <c r="H614" s="51" t="s">
        <v>23962</v>
      </c>
      <c r="I614" s="28" t="s">
        <v>21599</v>
      </c>
      <c r="J614" s="91">
        <v>2</v>
      </c>
      <c r="K614" s="86">
        <v>46128</v>
      </c>
      <c r="L614" s="10">
        <v>2</v>
      </c>
      <c r="M614" s="6">
        <v>46155</v>
      </c>
      <c r="N614" s="6">
        <v>46148</v>
      </c>
      <c r="O614" s="19">
        <f>TAB_OFICINAS[[#This Row],[Data Retorno Produção]]-TAB_OFICINAS[[#This Row],[Data Prometida  Entrega]]</f>
        <v>-7</v>
      </c>
      <c r="P614" s="40" t="str">
        <f>IF(TAB_OFICINAS[[#This Row],[Dias Para Entrega]]&lt;=0,"Em dia","Dia de Atrasado")</f>
        <v>Em dia</v>
      </c>
      <c r="Q614" s="10">
        <f>IFERROR(TAB_OFICINAS[[#This Row],[Qtd pçs Enviadas]]-TAB_OFICINAS[[#This Row],[Qtd pçs Retornadas ]]," ")</f>
        <v>0</v>
      </c>
      <c r="R614" s="10"/>
      <c r="S614" s="5">
        <v>761</v>
      </c>
      <c r="T614" s="5">
        <v>46</v>
      </c>
      <c r="U614" s="52">
        <v>7</v>
      </c>
      <c r="V614" s="44">
        <f>IFERROR(TAB_OFICINAS[[#This Row],[Valor Unit]]*TAB_OFICINAS[[#This Row],[Qtd pçs Enviadas]]," ")</f>
        <v>14</v>
      </c>
      <c r="W614" s="17">
        <v>46157</v>
      </c>
      <c r="X614" s="5" t="s">
        <v>6251</v>
      </c>
      <c r="Y614" s="27"/>
      <c r="Z6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5" spans="3:26" hidden="1">
      <c r="C615" s="28" t="s">
        <v>16</v>
      </c>
      <c r="D615" s="5" t="s">
        <v>20290</v>
      </c>
      <c r="E615" s="5">
        <v>453</v>
      </c>
      <c r="F615" s="28" t="s">
        <v>20290</v>
      </c>
      <c r="G615" s="5" t="str">
        <f>IFERROR(VLOOKUP(TAB_OFICINAS[[#This Row],[Cliente]],LISTA_DE_CLIENTES[[Código]:[Nome Fantasia]],3,FALSE),"")</f>
        <v/>
      </c>
      <c r="H615" s="51" t="s">
        <v>23962</v>
      </c>
      <c r="I615" s="28" t="s">
        <v>21595</v>
      </c>
      <c r="J615" s="91">
        <v>2</v>
      </c>
      <c r="K615" s="86">
        <v>46128</v>
      </c>
      <c r="L615" s="10">
        <v>2</v>
      </c>
      <c r="M615" s="6">
        <v>46155</v>
      </c>
      <c r="N615" s="6">
        <v>46148</v>
      </c>
      <c r="O615" s="19">
        <f>TAB_OFICINAS[[#This Row],[Data Retorno Produção]]-TAB_OFICINAS[[#This Row],[Data Prometida  Entrega]]</f>
        <v>-7</v>
      </c>
      <c r="P615" s="40" t="str">
        <f>IF(TAB_OFICINAS[[#This Row],[Dias Para Entrega]]&lt;=0,"Em dia","Dia de Atrasado")</f>
        <v>Em dia</v>
      </c>
      <c r="Q615" s="10">
        <f>IFERROR(TAB_OFICINAS[[#This Row],[Qtd pçs Enviadas]]-TAB_OFICINAS[[#This Row],[Qtd pçs Retornadas ]]," ")</f>
        <v>0</v>
      </c>
      <c r="R615" s="10"/>
      <c r="S615" s="5">
        <v>761</v>
      </c>
      <c r="T615" s="5">
        <v>46</v>
      </c>
      <c r="U615" s="52">
        <v>5</v>
      </c>
      <c r="V615" s="44">
        <f>IFERROR(TAB_OFICINAS[[#This Row],[Valor Unit]]*TAB_OFICINAS[[#This Row],[Qtd pçs Enviadas]]," ")</f>
        <v>10</v>
      </c>
      <c r="W615" s="17">
        <v>46157</v>
      </c>
      <c r="X615" s="5" t="s">
        <v>6251</v>
      </c>
      <c r="Y615" s="27"/>
      <c r="Z6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6" spans="3:26" hidden="1">
      <c r="C616" s="28" t="s">
        <v>16</v>
      </c>
      <c r="D616" s="5" t="s">
        <v>20290</v>
      </c>
      <c r="E616" s="5">
        <v>453</v>
      </c>
      <c r="F616" s="28" t="s">
        <v>20290</v>
      </c>
      <c r="G616" s="5" t="str">
        <f>IFERROR(VLOOKUP(TAB_OFICINAS[[#This Row],[Cliente]],LISTA_DE_CLIENTES[[Código]:[Nome Fantasia]],3,FALSE),"")</f>
        <v/>
      </c>
      <c r="H616" s="51" t="s">
        <v>23962</v>
      </c>
      <c r="I616" s="28" t="s">
        <v>21600</v>
      </c>
      <c r="J616" s="91">
        <v>2</v>
      </c>
      <c r="K616" s="86">
        <v>46128</v>
      </c>
      <c r="L616" s="10">
        <v>2</v>
      </c>
      <c r="M616" s="6">
        <v>46155</v>
      </c>
      <c r="N616" s="6">
        <v>46148</v>
      </c>
      <c r="O616" s="19">
        <f>TAB_OFICINAS[[#This Row],[Data Retorno Produção]]-TAB_OFICINAS[[#This Row],[Data Prometida  Entrega]]</f>
        <v>-7</v>
      </c>
      <c r="P616" s="40" t="str">
        <f>IF(TAB_OFICINAS[[#This Row],[Dias Para Entrega]]&lt;=0,"Em dia","Dia de Atrasado")</f>
        <v>Em dia</v>
      </c>
      <c r="Q616" s="10">
        <f>IFERROR(TAB_OFICINAS[[#This Row],[Qtd pçs Enviadas]]-TAB_OFICINAS[[#This Row],[Qtd pçs Retornadas ]]," ")</f>
        <v>0</v>
      </c>
      <c r="R616" s="10"/>
      <c r="S616" s="5">
        <v>761</v>
      </c>
      <c r="T616" s="5">
        <v>46</v>
      </c>
      <c r="U616" s="52">
        <v>4</v>
      </c>
      <c r="V616" s="44">
        <f>IFERROR(TAB_OFICINAS[[#This Row],[Valor Unit]]*TAB_OFICINAS[[#This Row],[Qtd pçs Enviadas]]," ")</f>
        <v>8</v>
      </c>
      <c r="W616" s="17">
        <v>46157</v>
      </c>
      <c r="X616" s="5" t="s">
        <v>6251</v>
      </c>
      <c r="Y616" s="27"/>
      <c r="Z6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7" spans="3:26" ht="1.5" hidden="1" customHeight="1">
      <c r="C617" s="28" t="s">
        <v>16</v>
      </c>
      <c r="D617" s="5" t="s">
        <v>20290</v>
      </c>
      <c r="E617" s="5">
        <v>453</v>
      </c>
      <c r="F617" s="28" t="s">
        <v>20290</v>
      </c>
      <c r="G617" s="5" t="str">
        <f>IFERROR(VLOOKUP(TAB_OFICINAS[[#This Row],[Cliente]],LISTA_DE_CLIENTES[[Código]:[Nome Fantasia]],3,FALSE),"")</f>
        <v/>
      </c>
      <c r="H617" s="51" t="s">
        <v>23962</v>
      </c>
      <c r="I617" s="28" t="s">
        <v>21601</v>
      </c>
      <c r="J617" s="91">
        <v>2</v>
      </c>
      <c r="K617" s="86">
        <v>46128</v>
      </c>
      <c r="L617" s="10">
        <v>2</v>
      </c>
      <c r="M617" s="6">
        <v>46155</v>
      </c>
      <c r="N617" s="6">
        <v>46148</v>
      </c>
      <c r="O617" s="19">
        <f>TAB_OFICINAS[[#This Row],[Data Retorno Produção]]-TAB_OFICINAS[[#This Row],[Data Prometida  Entrega]]</f>
        <v>-7</v>
      </c>
      <c r="P617" s="40" t="str">
        <f>IF(TAB_OFICINAS[[#This Row],[Dias Para Entrega]]&lt;=0,"Em dia","Dia de Atrasado")</f>
        <v>Em dia</v>
      </c>
      <c r="Q617" s="10">
        <f>IFERROR(TAB_OFICINAS[[#This Row],[Qtd pçs Enviadas]]-TAB_OFICINAS[[#This Row],[Qtd pçs Retornadas ]]," ")</f>
        <v>0</v>
      </c>
      <c r="R617" s="10"/>
      <c r="S617" s="5">
        <v>761</v>
      </c>
      <c r="T617" s="5">
        <v>46</v>
      </c>
      <c r="U617" s="52">
        <v>7</v>
      </c>
      <c r="V617" s="44">
        <f>IFERROR(TAB_OFICINAS[[#This Row],[Valor Unit]]*TAB_OFICINAS[[#This Row],[Qtd pçs Enviadas]]," ")</f>
        <v>14</v>
      </c>
      <c r="W617" s="17">
        <v>46157</v>
      </c>
      <c r="X617" s="5" t="s">
        <v>6251</v>
      </c>
      <c r="Y617" s="27"/>
      <c r="Z6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8" spans="3:26" hidden="1">
      <c r="C618" s="28" t="s">
        <v>16</v>
      </c>
      <c r="D618" s="5" t="s">
        <v>20290</v>
      </c>
      <c r="E618" s="5">
        <v>453</v>
      </c>
      <c r="F618" s="28" t="s">
        <v>20290</v>
      </c>
      <c r="G618" s="5" t="str">
        <f>IFERROR(VLOOKUP(TAB_OFICINAS[[#This Row],[Cliente]],LISTA_DE_CLIENTES[[Código]:[Nome Fantasia]],3,FALSE),"")</f>
        <v/>
      </c>
      <c r="H618" s="51" t="s">
        <v>23962</v>
      </c>
      <c r="I618" s="28" t="s">
        <v>21595</v>
      </c>
      <c r="J618" s="91">
        <v>2</v>
      </c>
      <c r="K618" s="86">
        <v>46128</v>
      </c>
      <c r="L618" s="10">
        <v>2</v>
      </c>
      <c r="M618" s="6">
        <v>46155</v>
      </c>
      <c r="N618" s="6">
        <v>46148</v>
      </c>
      <c r="O618" s="19">
        <f>TAB_OFICINAS[[#This Row],[Data Retorno Produção]]-TAB_OFICINAS[[#This Row],[Data Prometida  Entrega]]</f>
        <v>-7</v>
      </c>
      <c r="P618" s="40" t="str">
        <f>IF(TAB_OFICINAS[[#This Row],[Dias Para Entrega]]&lt;=0,"Em dia","Dia de Atrasado")</f>
        <v>Em dia</v>
      </c>
      <c r="Q618" s="10">
        <f>IFERROR(TAB_OFICINAS[[#This Row],[Qtd pçs Enviadas]]-TAB_OFICINAS[[#This Row],[Qtd pçs Retornadas ]]," ")</f>
        <v>0</v>
      </c>
      <c r="R618" s="10"/>
      <c r="S618" s="5">
        <v>761</v>
      </c>
      <c r="T618" s="5">
        <v>46</v>
      </c>
      <c r="U618" s="52">
        <v>5</v>
      </c>
      <c r="V618" s="44">
        <f>IFERROR(TAB_OFICINAS[[#This Row],[Valor Unit]]*TAB_OFICINAS[[#This Row],[Qtd pçs Enviadas]]," ")</f>
        <v>10</v>
      </c>
      <c r="W618" s="17">
        <v>46157</v>
      </c>
      <c r="X618" s="5" t="s">
        <v>6251</v>
      </c>
      <c r="Y618" s="27"/>
      <c r="Z6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19" spans="3:26" hidden="1">
      <c r="C619" s="28" t="s">
        <v>16</v>
      </c>
      <c r="D619" s="5" t="s">
        <v>20290</v>
      </c>
      <c r="E619" s="5">
        <v>453</v>
      </c>
      <c r="F619" s="28" t="s">
        <v>20290</v>
      </c>
      <c r="G619" s="5" t="str">
        <f>IFERROR(VLOOKUP(TAB_OFICINAS[[#This Row],[Cliente]],LISTA_DE_CLIENTES[[Código]:[Nome Fantasia]],3,FALSE),"")</f>
        <v/>
      </c>
      <c r="H619" s="51" t="s">
        <v>23962</v>
      </c>
      <c r="I619" s="28" t="s">
        <v>21602</v>
      </c>
      <c r="J619" s="91">
        <v>2</v>
      </c>
      <c r="K619" s="86">
        <v>46128</v>
      </c>
      <c r="L619" s="10">
        <v>2</v>
      </c>
      <c r="M619" s="6">
        <v>46155</v>
      </c>
      <c r="N619" s="6">
        <v>46148</v>
      </c>
      <c r="O619" s="19">
        <f>TAB_OFICINAS[[#This Row],[Data Retorno Produção]]-TAB_OFICINAS[[#This Row],[Data Prometida  Entrega]]</f>
        <v>-7</v>
      </c>
      <c r="P619" s="40" t="str">
        <f>IF(TAB_OFICINAS[[#This Row],[Dias Para Entrega]]&lt;=0,"Em dia","Dia de Atrasado")</f>
        <v>Em dia</v>
      </c>
      <c r="Q619" s="10">
        <f>IFERROR(TAB_OFICINAS[[#This Row],[Qtd pçs Enviadas]]-TAB_OFICINAS[[#This Row],[Qtd pçs Retornadas ]]," ")</f>
        <v>0</v>
      </c>
      <c r="R619" s="10"/>
      <c r="S619" s="5">
        <v>761</v>
      </c>
      <c r="T619" s="5">
        <v>46</v>
      </c>
      <c r="U619" s="52">
        <v>4</v>
      </c>
      <c r="V619" s="44">
        <f>IFERROR(TAB_OFICINAS[[#This Row],[Valor Unit]]*TAB_OFICINAS[[#This Row],[Qtd pçs Enviadas]]," ")</f>
        <v>8</v>
      </c>
      <c r="W619" s="17">
        <v>46157</v>
      </c>
      <c r="X619" s="5" t="s">
        <v>6251</v>
      </c>
      <c r="Y619" s="27"/>
      <c r="Z6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0" spans="3:26" hidden="1">
      <c r="C620" s="28" t="s">
        <v>16</v>
      </c>
      <c r="D620" s="5" t="s">
        <v>20290</v>
      </c>
      <c r="E620" s="5">
        <v>453</v>
      </c>
      <c r="F620" s="28" t="s">
        <v>20290</v>
      </c>
      <c r="G620" s="5" t="str">
        <f>IFERROR(VLOOKUP(TAB_OFICINAS[[#This Row],[Cliente]],LISTA_DE_CLIENTES[[Código]:[Nome Fantasia]],3,FALSE),"")</f>
        <v/>
      </c>
      <c r="H620" s="51" t="s">
        <v>23962</v>
      </c>
      <c r="I620" s="28" t="s">
        <v>21603</v>
      </c>
      <c r="J620" s="91">
        <v>2</v>
      </c>
      <c r="K620" s="86">
        <v>46128</v>
      </c>
      <c r="L620" s="10">
        <v>2</v>
      </c>
      <c r="M620" s="6">
        <v>46155</v>
      </c>
      <c r="N620" s="6">
        <v>46148</v>
      </c>
      <c r="O620" s="19">
        <f>TAB_OFICINAS[[#This Row],[Data Retorno Produção]]-TAB_OFICINAS[[#This Row],[Data Prometida  Entrega]]</f>
        <v>-7</v>
      </c>
      <c r="P620" s="40" t="str">
        <f>IF(TAB_OFICINAS[[#This Row],[Dias Para Entrega]]&lt;=0,"Em dia","Dia de Atrasado")</f>
        <v>Em dia</v>
      </c>
      <c r="Q620" s="10">
        <f>IFERROR(TAB_OFICINAS[[#This Row],[Qtd pçs Enviadas]]-TAB_OFICINAS[[#This Row],[Qtd pçs Retornadas ]]," ")</f>
        <v>0</v>
      </c>
      <c r="R620" s="10"/>
      <c r="S620" s="5">
        <v>761</v>
      </c>
      <c r="T620" s="5">
        <v>46</v>
      </c>
      <c r="U620" s="52">
        <v>7</v>
      </c>
      <c r="V620" s="44">
        <f>IFERROR(TAB_OFICINAS[[#This Row],[Valor Unit]]*TAB_OFICINAS[[#This Row],[Qtd pçs Enviadas]]," ")</f>
        <v>14</v>
      </c>
      <c r="W620" s="17">
        <v>46157</v>
      </c>
      <c r="X620" s="5" t="s">
        <v>6251</v>
      </c>
      <c r="Y620" s="27"/>
      <c r="Z6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1" spans="3:26" hidden="1">
      <c r="C621" s="28" t="s">
        <v>16</v>
      </c>
      <c r="D621" s="5" t="s">
        <v>20290</v>
      </c>
      <c r="E621" s="5">
        <v>453</v>
      </c>
      <c r="F621" s="28" t="s">
        <v>20290</v>
      </c>
      <c r="G621" s="5" t="str">
        <f>IFERROR(VLOOKUP(TAB_OFICINAS[[#This Row],[Cliente]],LISTA_DE_CLIENTES[[Código]:[Nome Fantasia]],3,FALSE),"")</f>
        <v/>
      </c>
      <c r="H621" s="51" t="s">
        <v>23962</v>
      </c>
      <c r="I621" s="28" t="s">
        <v>21595</v>
      </c>
      <c r="J621" s="91">
        <v>2</v>
      </c>
      <c r="K621" s="86">
        <v>46128</v>
      </c>
      <c r="L621" s="10">
        <v>2</v>
      </c>
      <c r="M621" s="6">
        <v>46155</v>
      </c>
      <c r="N621" s="6">
        <v>46148</v>
      </c>
      <c r="O621" s="19">
        <f>TAB_OFICINAS[[#This Row],[Data Retorno Produção]]-TAB_OFICINAS[[#This Row],[Data Prometida  Entrega]]</f>
        <v>-7</v>
      </c>
      <c r="P621" s="40" t="str">
        <f>IF(TAB_OFICINAS[[#This Row],[Dias Para Entrega]]&lt;=0,"Em dia","Dia de Atrasado")</f>
        <v>Em dia</v>
      </c>
      <c r="Q621" s="10">
        <f>IFERROR(TAB_OFICINAS[[#This Row],[Qtd pçs Enviadas]]-TAB_OFICINAS[[#This Row],[Qtd pçs Retornadas ]]," ")</f>
        <v>0</v>
      </c>
      <c r="R621" s="10"/>
      <c r="S621" s="5">
        <v>761</v>
      </c>
      <c r="T621" s="5">
        <v>46</v>
      </c>
      <c r="U621" s="52">
        <v>5</v>
      </c>
      <c r="V621" s="44">
        <f>IFERROR(TAB_OFICINAS[[#This Row],[Valor Unit]]*TAB_OFICINAS[[#This Row],[Qtd pçs Enviadas]]," ")</f>
        <v>10</v>
      </c>
      <c r="W621" s="17">
        <v>46157</v>
      </c>
      <c r="X621" s="5" t="s">
        <v>6251</v>
      </c>
      <c r="Y621" s="27"/>
      <c r="Z6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2" spans="3:26" hidden="1">
      <c r="C622" s="28" t="s">
        <v>16</v>
      </c>
      <c r="D622" s="5" t="s">
        <v>20290</v>
      </c>
      <c r="E622" s="5">
        <v>453</v>
      </c>
      <c r="F622" s="28" t="s">
        <v>20290</v>
      </c>
      <c r="G622" s="5" t="str">
        <f>IFERROR(VLOOKUP(TAB_OFICINAS[[#This Row],[Cliente]],LISTA_DE_CLIENTES[[Código]:[Nome Fantasia]],3,FALSE),"")</f>
        <v/>
      </c>
      <c r="H622" s="51" t="s">
        <v>23962</v>
      </c>
      <c r="I622" s="28" t="s">
        <v>21604</v>
      </c>
      <c r="J622" s="91">
        <v>2</v>
      </c>
      <c r="K622" s="86">
        <v>46128</v>
      </c>
      <c r="L622" s="10">
        <v>2</v>
      </c>
      <c r="M622" s="6">
        <v>46155</v>
      </c>
      <c r="N622" s="6">
        <v>46148</v>
      </c>
      <c r="O622" s="19">
        <f>TAB_OFICINAS[[#This Row],[Data Retorno Produção]]-TAB_OFICINAS[[#This Row],[Data Prometida  Entrega]]</f>
        <v>-7</v>
      </c>
      <c r="P622" s="40" t="str">
        <f>IF(TAB_OFICINAS[[#This Row],[Dias Para Entrega]]&lt;=0,"Em dia","Dia de Atrasado")</f>
        <v>Em dia</v>
      </c>
      <c r="Q622" s="10">
        <f>IFERROR(TAB_OFICINAS[[#This Row],[Qtd pçs Enviadas]]-TAB_OFICINAS[[#This Row],[Qtd pçs Retornadas ]]," ")</f>
        <v>0</v>
      </c>
      <c r="R622" s="10"/>
      <c r="S622" s="5">
        <v>761</v>
      </c>
      <c r="T622" s="5">
        <v>46</v>
      </c>
      <c r="U622" s="52">
        <v>4</v>
      </c>
      <c r="V622" s="44">
        <f>IFERROR(TAB_OFICINAS[[#This Row],[Valor Unit]]*TAB_OFICINAS[[#This Row],[Qtd pçs Enviadas]]," ")</f>
        <v>8</v>
      </c>
      <c r="W622" s="17">
        <v>46157</v>
      </c>
      <c r="X622" s="5" t="s">
        <v>6251</v>
      </c>
      <c r="Y622" s="27"/>
      <c r="Z6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3" spans="3:26" hidden="1">
      <c r="C623" s="28" t="s">
        <v>16</v>
      </c>
      <c r="D623" s="5" t="s">
        <v>20290</v>
      </c>
      <c r="E623" s="5">
        <v>453</v>
      </c>
      <c r="F623" s="28" t="s">
        <v>20290</v>
      </c>
      <c r="G623" s="5" t="str">
        <f>IFERROR(VLOOKUP(TAB_OFICINAS[[#This Row],[Cliente]],LISTA_DE_CLIENTES[[Código]:[Nome Fantasia]],3,FALSE),"")</f>
        <v/>
      </c>
      <c r="H623" s="51" t="s">
        <v>23962</v>
      </c>
      <c r="I623" s="28" t="s">
        <v>21605</v>
      </c>
      <c r="J623" s="91">
        <v>2</v>
      </c>
      <c r="K623" s="86">
        <v>46128</v>
      </c>
      <c r="L623" s="10">
        <v>2</v>
      </c>
      <c r="M623" s="6">
        <v>46155</v>
      </c>
      <c r="N623" s="6">
        <v>46148</v>
      </c>
      <c r="O623" s="19">
        <f>TAB_OFICINAS[[#This Row],[Data Retorno Produção]]-TAB_OFICINAS[[#This Row],[Data Prometida  Entrega]]</f>
        <v>-7</v>
      </c>
      <c r="P623" s="40" t="str">
        <f>IF(TAB_OFICINAS[[#This Row],[Dias Para Entrega]]&lt;=0,"Em dia","Dia de Atrasado")</f>
        <v>Em dia</v>
      </c>
      <c r="Q623" s="10">
        <f>IFERROR(TAB_OFICINAS[[#This Row],[Qtd pçs Enviadas]]-TAB_OFICINAS[[#This Row],[Qtd pçs Retornadas ]]," ")</f>
        <v>0</v>
      </c>
      <c r="R623" s="10"/>
      <c r="S623" s="5">
        <v>761</v>
      </c>
      <c r="T623" s="5">
        <v>46</v>
      </c>
      <c r="U623" s="52">
        <v>7</v>
      </c>
      <c r="V623" s="44">
        <f>IFERROR(TAB_OFICINAS[[#This Row],[Valor Unit]]*TAB_OFICINAS[[#This Row],[Qtd pçs Enviadas]]," ")</f>
        <v>14</v>
      </c>
      <c r="W623" s="17">
        <v>46157</v>
      </c>
      <c r="X623" s="5" t="s">
        <v>6251</v>
      </c>
      <c r="Y623" s="27"/>
      <c r="Z6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4" spans="3:26" hidden="1">
      <c r="C624" s="28" t="s">
        <v>16</v>
      </c>
      <c r="D624" s="5" t="s">
        <v>20290</v>
      </c>
      <c r="E624" s="5">
        <v>453</v>
      </c>
      <c r="F624" s="28" t="s">
        <v>20290</v>
      </c>
      <c r="G624" s="5" t="str">
        <f>IFERROR(VLOOKUP(TAB_OFICINAS[[#This Row],[Cliente]],LISTA_DE_CLIENTES[[Código]:[Nome Fantasia]],3,FALSE),"")</f>
        <v/>
      </c>
      <c r="H624" s="51" t="s">
        <v>23962</v>
      </c>
      <c r="I624" s="28" t="s">
        <v>21595</v>
      </c>
      <c r="J624" s="91">
        <v>2</v>
      </c>
      <c r="K624" s="86">
        <v>46128</v>
      </c>
      <c r="L624" s="10">
        <v>2</v>
      </c>
      <c r="M624" s="6">
        <v>46155</v>
      </c>
      <c r="N624" s="6">
        <v>46148</v>
      </c>
      <c r="O624" s="19">
        <f>TAB_OFICINAS[[#This Row],[Data Retorno Produção]]-TAB_OFICINAS[[#This Row],[Data Prometida  Entrega]]</f>
        <v>-7</v>
      </c>
      <c r="P624" s="40" t="str">
        <f>IF(TAB_OFICINAS[[#This Row],[Dias Para Entrega]]&lt;=0,"Em dia","Dia de Atrasado")</f>
        <v>Em dia</v>
      </c>
      <c r="Q624" s="10">
        <f>IFERROR(TAB_OFICINAS[[#This Row],[Qtd pçs Enviadas]]-TAB_OFICINAS[[#This Row],[Qtd pçs Retornadas ]]," ")</f>
        <v>0</v>
      </c>
      <c r="R624" s="10"/>
      <c r="S624" s="5">
        <v>761</v>
      </c>
      <c r="T624" s="5">
        <v>46</v>
      </c>
      <c r="U624" s="52">
        <v>5</v>
      </c>
      <c r="V624" s="44">
        <f>IFERROR(TAB_OFICINAS[[#This Row],[Valor Unit]]*TAB_OFICINAS[[#This Row],[Qtd pçs Enviadas]]," ")</f>
        <v>10</v>
      </c>
      <c r="W624" s="17">
        <v>46157</v>
      </c>
      <c r="X624" s="5" t="s">
        <v>6251</v>
      </c>
      <c r="Y624" s="27"/>
      <c r="Z6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5" spans="3:26" hidden="1">
      <c r="C625" s="28" t="s">
        <v>16</v>
      </c>
      <c r="D625" s="5" t="s">
        <v>20290</v>
      </c>
      <c r="E625" s="5">
        <v>453</v>
      </c>
      <c r="F625" s="28" t="s">
        <v>20290</v>
      </c>
      <c r="G625" s="5" t="str">
        <f>IFERROR(VLOOKUP(TAB_OFICINAS[[#This Row],[Cliente]],LISTA_DE_CLIENTES[[Código]:[Nome Fantasia]],3,FALSE),"")</f>
        <v/>
      </c>
      <c r="H625" s="51" t="s">
        <v>23962</v>
      </c>
      <c r="I625" s="28" t="s">
        <v>21606</v>
      </c>
      <c r="J625" s="91">
        <v>2</v>
      </c>
      <c r="K625" s="86">
        <v>46128</v>
      </c>
      <c r="L625" s="10">
        <v>2</v>
      </c>
      <c r="M625" s="6">
        <v>46155</v>
      </c>
      <c r="N625" s="6">
        <v>46148</v>
      </c>
      <c r="O625" s="19">
        <f>TAB_OFICINAS[[#This Row],[Data Retorno Produção]]-TAB_OFICINAS[[#This Row],[Data Prometida  Entrega]]</f>
        <v>-7</v>
      </c>
      <c r="P625" s="40" t="str">
        <f>IF(TAB_OFICINAS[[#This Row],[Dias Para Entrega]]&lt;=0,"Em dia","Dia de Atrasado")</f>
        <v>Em dia</v>
      </c>
      <c r="Q625" s="10">
        <f>IFERROR(TAB_OFICINAS[[#This Row],[Qtd pçs Enviadas]]-TAB_OFICINAS[[#This Row],[Qtd pçs Retornadas ]]," ")</f>
        <v>0</v>
      </c>
      <c r="R625" s="10"/>
      <c r="S625" s="5">
        <v>761</v>
      </c>
      <c r="T625" s="5">
        <v>46</v>
      </c>
      <c r="U625" s="52">
        <v>4</v>
      </c>
      <c r="V625" s="44">
        <f>IFERROR(TAB_OFICINAS[[#This Row],[Valor Unit]]*TAB_OFICINAS[[#This Row],[Qtd pçs Enviadas]]," ")</f>
        <v>8</v>
      </c>
      <c r="W625" s="17">
        <v>46157</v>
      </c>
      <c r="X625" s="5" t="s">
        <v>6251</v>
      </c>
      <c r="Y625" s="27"/>
      <c r="Z6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6" spans="3:26" hidden="1">
      <c r="C626" s="28" t="s">
        <v>16</v>
      </c>
      <c r="D626" s="5" t="s">
        <v>20290</v>
      </c>
      <c r="E626" s="5">
        <v>453</v>
      </c>
      <c r="F626" s="28" t="s">
        <v>20290</v>
      </c>
      <c r="G626" s="5" t="str">
        <f>IFERROR(VLOOKUP(TAB_OFICINAS[[#This Row],[Cliente]],LISTA_DE_CLIENTES[[Código]:[Nome Fantasia]],3,FALSE),"")</f>
        <v/>
      </c>
      <c r="H626" s="63">
        <v>3301072340</v>
      </c>
      <c r="I626" s="28" t="s">
        <v>20571</v>
      </c>
      <c r="J626" s="91">
        <v>2</v>
      </c>
      <c r="K626" s="86">
        <v>46128</v>
      </c>
      <c r="L626" s="10">
        <v>2</v>
      </c>
      <c r="M626" s="6">
        <v>46155</v>
      </c>
      <c r="N626" s="6">
        <v>46148</v>
      </c>
      <c r="O626" s="19">
        <f>TAB_OFICINAS[[#This Row],[Data Retorno Produção]]-TAB_OFICINAS[[#This Row],[Data Prometida  Entrega]]</f>
        <v>-7</v>
      </c>
      <c r="P626" s="40" t="str">
        <f>IF(TAB_OFICINAS[[#This Row],[Dias Para Entrega]]&lt;=0,"Em dia","Dia de Atrasado")</f>
        <v>Em dia</v>
      </c>
      <c r="Q626" s="10">
        <f>IFERROR(TAB_OFICINAS[[#This Row],[Qtd pçs Enviadas]]-TAB_OFICINAS[[#This Row],[Qtd pçs Retornadas ]]," ")</f>
        <v>0</v>
      </c>
      <c r="R626" s="10"/>
      <c r="S626" s="5">
        <v>761</v>
      </c>
      <c r="T626" s="5">
        <v>46</v>
      </c>
      <c r="U626" s="52">
        <v>10</v>
      </c>
      <c r="V626" s="44">
        <f>IFERROR(TAB_OFICINAS[[#This Row],[Valor Unit]]*TAB_OFICINAS[[#This Row],[Qtd pçs Enviadas]]," ")</f>
        <v>20</v>
      </c>
      <c r="W626" s="17">
        <v>46157</v>
      </c>
      <c r="X626" s="5" t="s">
        <v>6251</v>
      </c>
      <c r="Y626" s="27" t="s">
        <v>21578</v>
      </c>
      <c r="Z6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7" spans="3:26" hidden="1">
      <c r="C627" s="28" t="s">
        <v>16</v>
      </c>
      <c r="D627" s="5" t="s">
        <v>20290</v>
      </c>
      <c r="E627" s="5">
        <v>453</v>
      </c>
      <c r="F627" s="28" t="s">
        <v>20290</v>
      </c>
      <c r="G627" s="5" t="str">
        <f>IFERROR(VLOOKUP(TAB_OFICINAS[[#This Row],[Cliente]],LISTA_DE_CLIENTES[[Código]:[Nome Fantasia]],3,FALSE),"")</f>
        <v/>
      </c>
      <c r="H627" s="63">
        <v>3301072339</v>
      </c>
      <c r="I627" s="28" t="s">
        <v>20571</v>
      </c>
      <c r="J627" s="91">
        <v>2</v>
      </c>
      <c r="K627" s="86">
        <v>46128</v>
      </c>
      <c r="L627" s="10">
        <v>2</v>
      </c>
      <c r="M627" s="6">
        <v>46155</v>
      </c>
      <c r="N627" s="6">
        <v>46148</v>
      </c>
      <c r="O627" s="19">
        <f>TAB_OFICINAS[[#This Row],[Data Retorno Produção]]-TAB_OFICINAS[[#This Row],[Data Prometida  Entrega]]</f>
        <v>-7</v>
      </c>
      <c r="P627" s="40" t="str">
        <f>IF(TAB_OFICINAS[[#This Row],[Dias Para Entrega]]&lt;=0,"Em dia","Dia de Atrasado")</f>
        <v>Em dia</v>
      </c>
      <c r="Q627" s="10">
        <f>IFERROR(TAB_OFICINAS[[#This Row],[Qtd pçs Enviadas]]-TAB_OFICINAS[[#This Row],[Qtd pçs Retornadas ]]," ")</f>
        <v>0</v>
      </c>
      <c r="R627" s="10"/>
      <c r="S627" s="5">
        <v>761</v>
      </c>
      <c r="T627" s="5">
        <v>46</v>
      </c>
      <c r="U627" s="52">
        <v>10</v>
      </c>
      <c r="V627" s="44">
        <f>IFERROR(TAB_OFICINAS[[#This Row],[Valor Unit]]*TAB_OFICINAS[[#This Row],[Qtd pçs Enviadas]]," ")</f>
        <v>20</v>
      </c>
      <c r="W627" s="17">
        <v>46157</v>
      </c>
      <c r="X627" s="5" t="s">
        <v>6251</v>
      </c>
      <c r="Y627" s="27" t="s">
        <v>21579</v>
      </c>
      <c r="Z6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8" spans="3:26" hidden="1">
      <c r="C628" s="28" t="s">
        <v>16</v>
      </c>
      <c r="D628" s="5" t="s">
        <v>20290</v>
      </c>
      <c r="E628" s="5">
        <v>453</v>
      </c>
      <c r="F628" s="28" t="s">
        <v>20290</v>
      </c>
      <c r="G628" s="5" t="str">
        <f>IFERROR(VLOOKUP(TAB_OFICINAS[[#This Row],[Cliente]],LISTA_DE_CLIENTES[[Código]:[Nome Fantasia]],3,FALSE),"")</f>
        <v/>
      </c>
      <c r="H628" s="63">
        <v>3301072338</v>
      </c>
      <c r="I628" s="28" t="s">
        <v>20571</v>
      </c>
      <c r="J628" s="91">
        <v>2</v>
      </c>
      <c r="K628" s="86">
        <v>46128</v>
      </c>
      <c r="L628" s="10">
        <v>2</v>
      </c>
      <c r="M628" s="6">
        <v>46155</v>
      </c>
      <c r="N628" s="6">
        <v>46148</v>
      </c>
      <c r="O628" s="19">
        <f>TAB_OFICINAS[[#This Row],[Data Retorno Produção]]-TAB_OFICINAS[[#This Row],[Data Prometida  Entrega]]</f>
        <v>-7</v>
      </c>
      <c r="P628" s="40" t="str">
        <f>IF(TAB_OFICINAS[[#This Row],[Dias Para Entrega]]&lt;=0,"Em dia","Dia de Atrasado")</f>
        <v>Em dia</v>
      </c>
      <c r="Q628" s="10">
        <f>IFERROR(TAB_OFICINAS[[#This Row],[Qtd pçs Enviadas]]-TAB_OFICINAS[[#This Row],[Qtd pçs Retornadas ]]," ")</f>
        <v>0</v>
      </c>
      <c r="R628" s="10"/>
      <c r="S628" s="5">
        <v>761</v>
      </c>
      <c r="T628" s="5">
        <v>46</v>
      </c>
      <c r="U628" s="52">
        <v>10</v>
      </c>
      <c r="V628" s="44">
        <f>IFERROR(TAB_OFICINAS[[#This Row],[Valor Unit]]*TAB_OFICINAS[[#This Row],[Qtd pçs Enviadas]]," ")</f>
        <v>20</v>
      </c>
      <c r="W628" s="17">
        <v>46157</v>
      </c>
      <c r="X628" s="5" t="s">
        <v>6251</v>
      </c>
      <c r="Y628" s="27" t="s">
        <v>21580</v>
      </c>
      <c r="Z6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29" spans="3:26" hidden="1">
      <c r="C629" s="28" t="s">
        <v>16</v>
      </c>
      <c r="D629" s="5" t="s">
        <v>20290</v>
      </c>
      <c r="E629" s="5">
        <v>453</v>
      </c>
      <c r="F629" s="28" t="s">
        <v>20290</v>
      </c>
      <c r="G629" s="5" t="str">
        <f>IFERROR(VLOOKUP(TAB_OFICINAS[[#This Row],[Cliente]],LISTA_DE_CLIENTES[[Código]:[Nome Fantasia]],3,FALSE),"")</f>
        <v/>
      </c>
      <c r="H629" s="63">
        <v>3301075166</v>
      </c>
      <c r="I629" s="28" t="s">
        <v>20575</v>
      </c>
      <c r="J629" s="91">
        <v>2</v>
      </c>
      <c r="K629" s="86">
        <v>46128</v>
      </c>
      <c r="L629" s="10">
        <v>2</v>
      </c>
      <c r="M629" s="6">
        <v>46155</v>
      </c>
      <c r="N629" s="6">
        <v>46148</v>
      </c>
      <c r="O629" s="19">
        <f>TAB_OFICINAS[[#This Row],[Data Retorno Produção]]-TAB_OFICINAS[[#This Row],[Data Prometida  Entrega]]</f>
        <v>-7</v>
      </c>
      <c r="P629" s="40" t="str">
        <f>IF(TAB_OFICINAS[[#This Row],[Dias Para Entrega]]&lt;=0,"Em dia","Dia de Atrasado")</f>
        <v>Em dia</v>
      </c>
      <c r="Q629" s="10">
        <f>IFERROR(TAB_OFICINAS[[#This Row],[Qtd pçs Enviadas]]-TAB_OFICINAS[[#This Row],[Qtd pçs Retornadas ]]," ")</f>
        <v>0</v>
      </c>
      <c r="R629" s="10"/>
      <c r="S629" s="5">
        <v>761</v>
      </c>
      <c r="T629" s="5">
        <v>46</v>
      </c>
      <c r="U629" s="52">
        <v>10</v>
      </c>
      <c r="V629" s="44">
        <f>IFERROR(TAB_OFICINAS[[#This Row],[Valor Unit]]*TAB_OFICINAS[[#This Row],[Qtd pçs Enviadas]]," ")</f>
        <v>20</v>
      </c>
      <c r="W629" s="17">
        <v>46157</v>
      </c>
      <c r="X629" s="5" t="s">
        <v>6251</v>
      </c>
      <c r="Y629" s="27" t="s">
        <v>21578</v>
      </c>
      <c r="Z6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0" spans="3:26" hidden="1">
      <c r="C630" s="28" t="s">
        <v>16</v>
      </c>
      <c r="D630" s="5" t="s">
        <v>20290</v>
      </c>
      <c r="E630" s="5">
        <v>453</v>
      </c>
      <c r="F630" s="28" t="s">
        <v>20290</v>
      </c>
      <c r="G630" s="5" t="str">
        <f>IFERROR(VLOOKUP(TAB_OFICINAS[[#This Row],[Cliente]],LISTA_DE_CLIENTES[[Código]:[Nome Fantasia]],3,FALSE),"")</f>
        <v/>
      </c>
      <c r="H630" s="63">
        <v>3301075165</v>
      </c>
      <c r="I630" s="28" t="s">
        <v>20575</v>
      </c>
      <c r="J630" s="91">
        <v>2</v>
      </c>
      <c r="K630" s="86">
        <v>46128</v>
      </c>
      <c r="L630" s="10">
        <v>2</v>
      </c>
      <c r="M630" s="6">
        <v>46155</v>
      </c>
      <c r="N630" s="6">
        <v>46148</v>
      </c>
      <c r="O630" s="19">
        <f>TAB_OFICINAS[[#This Row],[Data Retorno Produção]]-TAB_OFICINAS[[#This Row],[Data Prometida  Entrega]]</f>
        <v>-7</v>
      </c>
      <c r="P630" s="40" t="str">
        <f>IF(TAB_OFICINAS[[#This Row],[Dias Para Entrega]]&lt;=0,"Em dia","Dia de Atrasado")</f>
        <v>Em dia</v>
      </c>
      <c r="Q630" s="10">
        <f>IFERROR(TAB_OFICINAS[[#This Row],[Qtd pçs Enviadas]]-TAB_OFICINAS[[#This Row],[Qtd pçs Retornadas ]]," ")</f>
        <v>0</v>
      </c>
      <c r="R630" s="10"/>
      <c r="S630" s="5">
        <v>761</v>
      </c>
      <c r="T630" s="5">
        <v>46</v>
      </c>
      <c r="U630" s="52">
        <v>10</v>
      </c>
      <c r="V630" s="44">
        <f>IFERROR(TAB_OFICINAS[[#This Row],[Valor Unit]]*TAB_OFICINAS[[#This Row],[Qtd pçs Enviadas]]," ")</f>
        <v>20</v>
      </c>
      <c r="W630" s="17">
        <v>46157</v>
      </c>
      <c r="X630" s="5" t="s">
        <v>6251</v>
      </c>
      <c r="Y630" s="27" t="s">
        <v>21579</v>
      </c>
      <c r="Z6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1" spans="3:26" hidden="1">
      <c r="C631" s="28" t="s">
        <v>16</v>
      </c>
      <c r="D631" s="5" t="s">
        <v>20290</v>
      </c>
      <c r="E631" s="5">
        <v>453</v>
      </c>
      <c r="F631" s="28" t="s">
        <v>20290</v>
      </c>
      <c r="G631" s="5" t="str">
        <f>IFERROR(VLOOKUP(TAB_OFICINAS[[#This Row],[Cliente]],LISTA_DE_CLIENTES[[Código]:[Nome Fantasia]],3,FALSE),"")</f>
        <v/>
      </c>
      <c r="H631" s="63">
        <v>3301075164</v>
      </c>
      <c r="I631" s="28" t="s">
        <v>20575</v>
      </c>
      <c r="J631" s="91">
        <v>2</v>
      </c>
      <c r="K631" s="86">
        <v>46128</v>
      </c>
      <c r="L631" s="10">
        <v>2</v>
      </c>
      <c r="M631" s="6">
        <v>46155</v>
      </c>
      <c r="N631" s="6">
        <v>46148</v>
      </c>
      <c r="O631" s="19">
        <f>TAB_OFICINAS[[#This Row],[Data Retorno Produção]]-TAB_OFICINAS[[#This Row],[Data Prometida  Entrega]]</f>
        <v>-7</v>
      </c>
      <c r="P631" s="40" t="str">
        <f>IF(TAB_OFICINAS[[#This Row],[Dias Para Entrega]]&lt;=0,"Em dia","Dia de Atrasado")</f>
        <v>Em dia</v>
      </c>
      <c r="Q631" s="10">
        <f>IFERROR(TAB_OFICINAS[[#This Row],[Qtd pçs Enviadas]]-TAB_OFICINAS[[#This Row],[Qtd pçs Retornadas ]]," ")</f>
        <v>0</v>
      </c>
      <c r="R631" s="10"/>
      <c r="S631" s="5">
        <v>761</v>
      </c>
      <c r="T631" s="5">
        <v>46</v>
      </c>
      <c r="U631" s="52">
        <v>10</v>
      </c>
      <c r="V631" s="44">
        <f>IFERROR(TAB_OFICINAS[[#This Row],[Valor Unit]]*TAB_OFICINAS[[#This Row],[Qtd pçs Enviadas]]," ")</f>
        <v>20</v>
      </c>
      <c r="W631" s="17">
        <v>46157</v>
      </c>
      <c r="X631" s="5" t="s">
        <v>6251</v>
      </c>
      <c r="Y631" s="27" t="s">
        <v>21580</v>
      </c>
      <c r="Z6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2" spans="3:26" hidden="1">
      <c r="C632" s="28" t="s">
        <v>16</v>
      </c>
      <c r="D632" s="5" t="s">
        <v>20290</v>
      </c>
      <c r="E632" s="5">
        <v>453</v>
      </c>
      <c r="F632" s="28" t="s">
        <v>20290</v>
      </c>
      <c r="G632" s="5" t="str">
        <f>IFERROR(VLOOKUP(TAB_OFICINAS[[#This Row],[Cliente]],LISTA_DE_CLIENTES[[Código]:[Nome Fantasia]],3,FALSE),"")</f>
        <v/>
      </c>
      <c r="H632" s="63">
        <v>3301075192</v>
      </c>
      <c r="I632" s="28" t="s">
        <v>20579</v>
      </c>
      <c r="J632" s="91">
        <v>2</v>
      </c>
      <c r="K632" s="86">
        <v>46128</v>
      </c>
      <c r="L632" s="10">
        <v>2</v>
      </c>
      <c r="M632" s="6">
        <v>46155</v>
      </c>
      <c r="N632" s="6">
        <v>46148</v>
      </c>
      <c r="O632" s="19">
        <f>TAB_OFICINAS[[#This Row],[Data Retorno Produção]]-TAB_OFICINAS[[#This Row],[Data Prometida  Entrega]]</f>
        <v>-7</v>
      </c>
      <c r="P632" s="40" t="str">
        <f>IF(TAB_OFICINAS[[#This Row],[Dias Para Entrega]]&lt;=0,"Em dia","Dia de Atrasado")</f>
        <v>Em dia</v>
      </c>
      <c r="Q632" s="10">
        <f>IFERROR(TAB_OFICINAS[[#This Row],[Qtd pçs Enviadas]]-TAB_OFICINAS[[#This Row],[Qtd pçs Retornadas ]]," ")</f>
        <v>0</v>
      </c>
      <c r="R632" s="10"/>
      <c r="S632" s="5">
        <v>761</v>
      </c>
      <c r="T632" s="5">
        <v>46</v>
      </c>
      <c r="U632" s="52">
        <v>10</v>
      </c>
      <c r="V632" s="44">
        <f>IFERROR(TAB_OFICINAS[[#This Row],[Valor Unit]]*TAB_OFICINAS[[#This Row],[Qtd pçs Enviadas]]," ")</f>
        <v>20</v>
      </c>
      <c r="W632" s="17">
        <v>46157</v>
      </c>
      <c r="X632" s="5" t="s">
        <v>6251</v>
      </c>
      <c r="Y632" s="27" t="s">
        <v>21578</v>
      </c>
      <c r="Z6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3" spans="3:26" hidden="1">
      <c r="C633" s="28" t="s">
        <v>16</v>
      </c>
      <c r="D633" s="5" t="s">
        <v>20290</v>
      </c>
      <c r="E633" s="5">
        <v>453</v>
      </c>
      <c r="F633" s="28" t="s">
        <v>20290</v>
      </c>
      <c r="G633" s="5" t="str">
        <f>IFERROR(VLOOKUP(TAB_OFICINAS[[#This Row],[Cliente]],LISTA_DE_CLIENTES[[Código]:[Nome Fantasia]],3,FALSE),"")</f>
        <v/>
      </c>
      <c r="H633" s="63">
        <v>3301075191</v>
      </c>
      <c r="I633" s="28" t="s">
        <v>20579</v>
      </c>
      <c r="J633" s="91">
        <v>2</v>
      </c>
      <c r="K633" s="86">
        <v>46128</v>
      </c>
      <c r="L633" s="10">
        <v>2</v>
      </c>
      <c r="M633" s="6">
        <v>46155</v>
      </c>
      <c r="N633" s="6">
        <v>46148</v>
      </c>
      <c r="O633" s="19">
        <f>TAB_OFICINAS[[#This Row],[Data Retorno Produção]]-TAB_OFICINAS[[#This Row],[Data Prometida  Entrega]]</f>
        <v>-7</v>
      </c>
      <c r="P633" s="40" t="str">
        <f>IF(TAB_OFICINAS[[#This Row],[Dias Para Entrega]]&lt;=0,"Em dia","Dia de Atrasado")</f>
        <v>Em dia</v>
      </c>
      <c r="Q633" s="10">
        <f>IFERROR(TAB_OFICINAS[[#This Row],[Qtd pçs Enviadas]]-TAB_OFICINAS[[#This Row],[Qtd pçs Retornadas ]]," ")</f>
        <v>0</v>
      </c>
      <c r="R633" s="10"/>
      <c r="S633" s="5">
        <v>761</v>
      </c>
      <c r="T633" s="5">
        <v>46</v>
      </c>
      <c r="U633" s="52">
        <v>10</v>
      </c>
      <c r="V633" s="44">
        <f>IFERROR(TAB_OFICINAS[[#This Row],[Valor Unit]]*TAB_OFICINAS[[#This Row],[Qtd pçs Enviadas]]," ")</f>
        <v>20</v>
      </c>
      <c r="W633" s="17">
        <v>46157</v>
      </c>
      <c r="X633" s="5" t="s">
        <v>6251</v>
      </c>
      <c r="Y633" s="27" t="s">
        <v>21579</v>
      </c>
      <c r="Z6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4" spans="3:26" hidden="1">
      <c r="C634" s="28" t="s">
        <v>16</v>
      </c>
      <c r="D634" s="5" t="s">
        <v>20290</v>
      </c>
      <c r="E634" s="5">
        <v>453</v>
      </c>
      <c r="F634" s="28" t="s">
        <v>20290</v>
      </c>
      <c r="G634" s="5" t="str">
        <f>IFERROR(VLOOKUP(TAB_OFICINAS[[#This Row],[Cliente]],LISTA_DE_CLIENTES[[Código]:[Nome Fantasia]],3,FALSE),"")</f>
        <v/>
      </c>
      <c r="H634" s="63">
        <v>3301075190</v>
      </c>
      <c r="I634" s="28" t="s">
        <v>20579</v>
      </c>
      <c r="J634" s="91">
        <v>2</v>
      </c>
      <c r="K634" s="86">
        <v>46128</v>
      </c>
      <c r="L634" s="10">
        <v>2</v>
      </c>
      <c r="M634" s="6">
        <v>46155</v>
      </c>
      <c r="N634" s="6">
        <v>46148</v>
      </c>
      <c r="O634" s="19">
        <f>TAB_OFICINAS[[#This Row],[Data Retorno Produção]]-TAB_OFICINAS[[#This Row],[Data Prometida  Entrega]]</f>
        <v>-7</v>
      </c>
      <c r="P634" s="40" t="str">
        <f>IF(TAB_OFICINAS[[#This Row],[Dias Para Entrega]]&lt;=0,"Em dia","Dia de Atrasado")</f>
        <v>Em dia</v>
      </c>
      <c r="Q634" s="10">
        <f>IFERROR(TAB_OFICINAS[[#This Row],[Qtd pçs Enviadas]]-TAB_OFICINAS[[#This Row],[Qtd pçs Retornadas ]]," ")</f>
        <v>0</v>
      </c>
      <c r="R634" s="10"/>
      <c r="S634" s="5">
        <v>761</v>
      </c>
      <c r="T634" s="5">
        <v>46</v>
      </c>
      <c r="U634" s="52">
        <v>10</v>
      </c>
      <c r="V634" s="44">
        <f>IFERROR(TAB_OFICINAS[[#This Row],[Valor Unit]]*TAB_OFICINAS[[#This Row],[Qtd pçs Enviadas]]," ")</f>
        <v>20</v>
      </c>
      <c r="W634" s="17">
        <v>46157</v>
      </c>
      <c r="X634" s="5" t="s">
        <v>6251</v>
      </c>
      <c r="Y634" s="27" t="s">
        <v>21580</v>
      </c>
      <c r="Z6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5" spans="3:26" hidden="1">
      <c r="C635" s="28" t="s">
        <v>16</v>
      </c>
      <c r="D635" s="5" t="s">
        <v>20290</v>
      </c>
      <c r="E635" s="5">
        <v>453</v>
      </c>
      <c r="F635" s="28" t="s">
        <v>20290</v>
      </c>
      <c r="G635" s="5" t="str">
        <f>IFERROR(VLOOKUP(TAB_OFICINAS[[#This Row],[Cliente]],LISTA_DE_CLIENTES[[Código]:[Nome Fantasia]],3,FALSE),"")</f>
        <v/>
      </c>
      <c r="H635" s="63">
        <v>3301072346</v>
      </c>
      <c r="I635" s="28" t="s">
        <v>20583</v>
      </c>
      <c r="J635" s="91">
        <v>2</v>
      </c>
      <c r="K635" s="86">
        <v>46128</v>
      </c>
      <c r="L635" s="10">
        <v>2</v>
      </c>
      <c r="M635" s="6">
        <v>46155</v>
      </c>
      <c r="N635" s="6">
        <v>46148</v>
      </c>
      <c r="O635" s="19">
        <f>TAB_OFICINAS[[#This Row],[Data Retorno Produção]]-TAB_OFICINAS[[#This Row],[Data Prometida  Entrega]]</f>
        <v>-7</v>
      </c>
      <c r="P635" s="40" t="str">
        <f>IF(TAB_OFICINAS[[#This Row],[Dias Para Entrega]]&lt;=0,"Em dia","Dia de Atrasado")</f>
        <v>Em dia</v>
      </c>
      <c r="Q635" s="10">
        <f>IFERROR(TAB_OFICINAS[[#This Row],[Qtd pçs Enviadas]]-TAB_OFICINAS[[#This Row],[Qtd pçs Retornadas ]]," ")</f>
        <v>0</v>
      </c>
      <c r="R635" s="10"/>
      <c r="S635" s="5">
        <v>761</v>
      </c>
      <c r="T635" s="5">
        <v>46</v>
      </c>
      <c r="U635" s="52">
        <v>10</v>
      </c>
      <c r="V635" s="44">
        <f>IFERROR(TAB_OFICINAS[[#This Row],[Valor Unit]]*TAB_OFICINAS[[#This Row],[Qtd pçs Enviadas]]," ")</f>
        <v>20</v>
      </c>
      <c r="W635" s="17">
        <v>46157</v>
      </c>
      <c r="X635" s="5" t="s">
        <v>6251</v>
      </c>
      <c r="Y635" s="27" t="s">
        <v>21578</v>
      </c>
      <c r="Z6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6" spans="3:26" hidden="1">
      <c r="C636" s="28" t="s">
        <v>16</v>
      </c>
      <c r="D636" s="5" t="s">
        <v>20290</v>
      </c>
      <c r="E636" s="5">
        <v>453</v>
      </c>
      <c r="F636" s="28" t="s">
        <v>20290</v>
      </c>
      <c r="G636" s="5" t="str">
        <f>IFERROR(VLOOKUP(TAB_OFICINAS[[#This Row],[Cliente]],LISTA_DE_CLIENTES[[Código]:[Nome Fantasia]],3,FALSE),"")</f>
        <v/>
      </c>
      <c r="H636" s="63">
        <v>3301072345</v>
      </c>
      <c r="I636" s="28" t="s">
        <v>20583</v>
      </c>
      <c r="J636" s="91">
        <v>2</v>
      </c>
      <c r="K636" s="86">
        <v>46128</v>
      </c>
      <c r="L636" s="10">
        <v>2</v>
      </c>
      <c r="M636" s="6">
        <v>46155</v>
      </c>
      <c r="N636" s="6">
        <v>46148</v>
      </c>
      <c r="O636" s="19">
        <f>TAB_OFICINAS[[#This Row],[Data Retorno Produção]]-TAB_OFICINAS[[#This Row],[Data Prometida  Entrega]]</f>
        <v>-7</v>
      </c>
      <c r="P636" s="40" t="str">
        <f>IF(TAB_OFICINAS[[#This Row],[Dias Para Entrega]]&lt;=0,"Em dia","Dia de Atrasado")</f>
        <v>Em dia</v>
      </c>
      <c r="Q636" s="10">
        <f>IFERROR(TAB_OFICINAS[[#This Row],[Qtd pçs Enviadas]]-TAB_OFICINAS[[#This Row],[Qtd pçs Retornadas ]]," ")</f>
        <v>0</v>
      </c>
      <c r="R636" s="10"/>
      <c r="S636" s="5">
        <v>761</v>
      </c>
      <c r="T636" s="5">
        <v>46</v>
      </c>
      <c r="U636" s="52">
        <v>10</v>
      </c>
      <c r="V636" s="44">
        <f>IFERROR(TAB_OFICINAS[[#This Row],[Valor Unit]]*TAB_OFICINAS[[#This Row],[Qtd pçs Enviadas]]," ")</f>
        <v>20</v>
      </c>
      <c r="W636" s="17">
        <v>46157</v>
      </c>
      <c r="X636" s="5" t="s">
        <v>6251</v>
      </c>
      <c r="Y636" s="27" t="s">
        <v>21579</v>
      </c>
      <c r="Z6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7" spans="3:26" hidden="1">
      <c r="C637" s="28" t="s">
        <v>16</v>
      </c>
      <c r="D637" s="5" t="s">
        <v>20290</v>
      </c>
      <c r="E637" s="5">
        <v>453</v>
      </c>
      <c r="F637" s="28" t="s">
        <v>20290</v>
      </c>
      <c r="G637" s="5" t="str">
        <f>IFERROR(VLOOKUP(TAB_OFICINAS[[#This Row],[Cliente]],LISTA_DE_CLIENTES[[Código]:[Nome Fantasia]],3,FALSE),"")</f>
        <v/>
      </c>
      <c r="H637" s="63">
        <v>3301072344</v>
      </c>
      <c r="I637" s="28" t="s">
        <v>20583</v>
      </c>
      <c r="J637" s="91">
        <v>2</v>
      </c>
      <c r="K637" s="86">
        <v>46128</v>
      </c>
      <c r="L637" s="10">
        <v>2</v>
      </c>
      <c r="M637" s="6">
        <v>46155</v>
      </c>
      <c r="N637" s="6">
        <v>46148</v>
      </c>
      <c r="O637" s="19">
        <f>TAB_OFICINAS[[#This Row],[Data Retorno Produção]]-TAB_OFICINAS[[#This Row],[Data Prometida  Entrega]]</f>
        <v>-7</v>
      </c>
      <c r="P637" s="40" t="str">
        <f>IF(TAB_OFICINAS[[#This Row],[Dias Para Entrega]]&lt;=0,"Em dia","Dia de Atrasado")</f>
        <v>Em dia</v>
      </c>
      <c r="Q637" s="10">
        <f>IFERROR(TAB_OFICINAS[[#This Row],[Qtd pçs Enviadas]]-TAB_OFICINAS[[#This Row],[Qtd pçs Retornadas ]]," ")</f>
        <v>0</v>
      </c>
      <c r="R637" s="10"/>
      <c r="S637" s="5">
        <v>761</v>
      </c>
      <c r="T637" s="5">
        <v>46</v>
      </c>
      <c r="U637" s="52">
        <v>10</v>
      </c>
      <c r="V637" s="44">
        <f>IFERROR(TAB_OFICINAS[[#This Row],[Valor Unit]]*TAB_OFICINAS[[#This Row],[Qtd pçs Enviadas]]," ")</f>
        <v>20</v>
      </c>
      <c r="W637" s="17">
        <v>46157</v>
      </c>
      <c r="X637" s="5" t="s">
        <v>6251</v>
      </c>
      <c r="Y637" s="27" t="s">
        <v>21580</v>
      </c>
      <c r="Z6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8" spans="3:26" hidden="1">
      <c r="C638" s="28" t="s">
        <v>16</v>
      </c>
      <c r="D638" s="5" t="s">
        <v>20290</v>
      </c>
      <c r="E638" s="5">
        <v>453</v>
      </c>
      <c r="F638" s="28" t="s">
        <v>20290</v>
      </c>
      <c r="G638" s="5" t="str">
        <f>IFERROR(VLOOKUP(TAB_OFICINAS[[#This Row],[Cliente]],LISTA_DE_CLIENTES[[Código]:[Nome Fantasia]],3,FALSE),"")</f>
        <v/>
      </c>
      <c r="H638" s="63">
        <v>3301072343</v>
      </c>
      <c r="I638" s="28" t="s">
        <v>20587</v>
      </c>
      <c r="J638" s="91">
        <v>2</v>
      </c>
      <c r="K638" s="86">
        <v>46128</v>
      </c>
      <c r="L638" s="10">
        <v>2</v>
      </c>
      <c r="M638" s="6">
        <v>46155</v>
      </c>
      <c r="N638" s="6">
        <v>46148</v>
      </c>
      <c r="O638" s="19">
        <f>TAB_OFICINAS[[#This Row],[Data Retorno Produção]]-TAB_OFICINAS[[#This Row],[Data Prometida  Entrega]]</f>
        <v>-7</v>
      </c>
      <c r="P638" s="40" t="str">
        <f>IF(TAB_OFICINAS[[#This Row],[Dias Para Entrega]]&lt;=0,"Em dia","Dia de Atrasado")</f>
        <v>Em dia</v>
      </c>
      <c r="Q638" s="10">
        <f>IFERROR(TAB_OFICINAS[[#This Row],[Qtd pçs Enviadas]]-TAB_OFICINAS[[#This Row],[Qtd pçs Retornadas ]]," ")</f>
        <v>0</v>
      </c>
      <c r="R638" s="10"/>
      <c r="S638" s="5">
        <v>761</v>
      </c>
      <c r="T638" s="5">
        <v>46</v>
      </c>
      <c r="U638" s="52">
        <v>10</v>
      </c>
      <c r="V638" s="44">
        <f>IFERROR(TAB_OFICINAS[[#This Row],[Valor Unit]]*TAB_OFICINAS[[#This Row],[Qtd pçs Enviadas]]," ")</f>
        <v>20</v>
      </c>
      <c r="W638" s="17">
        <v>46157</v>
      </c>
      <c r="X638" s="5" t="s">
        <v>6251</v>
      </c>
      <c r="Y638" s="27" t="s">
        <v>21578</v>
      </c>
      <c r="Z6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39" spans="3:26" hidden="1">
      <c r="C639" s="28" t="s">
        <v>16</v>
      </c>
      <c r="D639" s="5" t="s">
        <v>20290</v>
      </c>
      <c r="E639" s="5">
        <v>453</v>
      </c>
      <c r="F639" s="28" t="s">
        <v>20290</v>
      </c>
      <c r="G639" s="5" t="str">
        <f>IFERROR(VLOOKUP(TAB_OFICINAS[[#This Row],[Cliente]],LISTA_DE_CLIENTES[[Código]:[Nome Fantasia]],3,FALSE),"")</f>
        <v/>
      </c>
      <c r="H639" s="63">
        <v>3301072342</v>
      </c>
      <c r="I639" s="28" t="s">
        <v>20587</v>
      </c>
      <c r="J639" s="91">
        <v>2</v>
      </c>
      <c r="K639" s="86">
        <v>46128</v>
      </c>
      <c r="L639" s="10">
        <v>2</v>
      </c>
      <c r="M639" s="6">
        <v>46155</v>
      </c>
      <c r="N639" s="6">
        <v>46148</v>
      </c>
      <c r="O639" s="19">
        <f>TAB_OFICINAS[[#This Row],[Data Retorno Produção]]-TAB_OFICINAS[[#This Row],[Data Prometida  Entrega]]</f>
        <v>-7</v>
      </c>
      <c r="P639" s="40" t="str">
        <f>IF(TAB_OFICINAS[[#This Row],[Dias Para Entrega]]&lt;=0,"Em dia","Dia de Atrasado")</f>
        <v>Em dia</v>
      </c>
      <c r="Q639" s="10">
        <f>IFERROR(TAB_OFICINAS[[#This Row],[Qtd pçs Enviadas]]-TAB_OFICINAS[[#This Row],[Qtd pçs Retornadas ]]," ")</f>
        <v>0</v>
      </c>
      <c r="R639" s="10"/>
      <c r="S639" s="5">
        <v>761</v>
      </c>
      <c r="T639" s="5">
        <v>46</v>
      </c>
      <c r="U639" s="52">
        <v>10</v>
      </c>
      <c r="V639" s="44">
        <f>IFERROR(TAB_OFICINAS[[#This Row],[Valor Unit]]*TAB_OFICINAS[[#This Row],[Qtd pçs Enviadas]]," ")</f>
        <v>20</v>
      </c>
      <c r="W639" s="17">
        <v>46157</v>
      </c>
      <c r="X639" s="5" t="s">
        <v>6251</v>
      </c>
      <c r="Y639" s="27" t="s">
        <v>21579</v>
      </c>
      <c r="Z6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0" spans="3:26" hidden="1">
      <c r="C640" s="28" t="s">
        <v>16</v>
      </c>
      <c r="D640" s="5" t="s">
        <v>20290</v>
      </c>
      <c r="E640" s="5">
        <v>453</v>
      </c>
      <c r="F640" s="28" t="s">
        <v>20290</v>
      </c>
      <c r="G640" s="5" t="str">
        <f>IFERROR(VLOOKUP(TAB_OFICINAS[[#This Row],[Cliente]],LISTA_DE_CLIENTES[[Código]:[Nome Fantasia]],3,FALSE),"")</f>
        <v/>
      </c>
      <c r="H640" s="63">
        <v>3301072341</v>
      </c>
      <c r="I640" s="28" t="s">
        <v>20587</v>
      </c>
      <c r="J640" s="91">
        <v>2</v>
      </c>
      <c r="K640" s="86">
        <v>46128</v>
      </c>
      <c r="L640" s="10">
        <v>2</v>
      </c>
      <c r="M640" s="6">
        <v>46155</v>
      </c>
      <c r="N640" s="6">
        <v>46148</v>
      </c>
      <c r="O640" s="19">
        <f>TAB_OFICINAS[[#This Row],[Data Retorno Produção]]-TAB_OFICINAS[[#This Row],[Data Prometida  Entrega]]</f>
        <v>-7</v>
      </c>
      <c r="P640" s="40" t="str">
        <f>IF(TAB_OFICINAS[[#This Row],[Dias Para Entrega]]&lt;=0,"Em dia","Dia de Atrasado")</f>
        <v>Em dia</v>
      </c>
      <c r="Q640" s="10">
        <f>IFERROR(TAB_OFICINAS[[#This Row],[Qtd pçs Enviadas]]-TAB_OFICINAS[[#This Row],[Qtd pçs Retornadas ]]," ")</f>
        <v>0</v>
      </c>
      <c r="R640" s="10"/>
      <c r="S640" s="5">
        <v>761</v>
      </c>
      <c r="T640" s="5">
        <v>46</v>
      </c>
      <c r="U640" s="52">
        <v>10</v>
      </c>
      <c r="V640" s="44">
        <f>IFERROR(TAB_OFICINAS[[#This Row],[Valor Unit]]*TAB_OFICINAS[[#This Row],[Qtd pçs Enviadas]]," ")</f>
        <v>20</v>
      </c>
      <c r="W640" s="17">
        <v>46157</v>
      </c>
      <c r="X640" s="5" t="s">
        <v>6251</v>
      </c>
      <c r="Y640" s="27" t="s">
        <v>21580</v>
      </c>
      <c r="Z6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1" spans="3:26" hidden="1">
      <c r="C641" s="28" t="s">
        <v>17</v>
      </c>
      <c r="D641" s="5">
        <v>5506</v>
      </c>
      <c r="E641" s="5">
        <v>23296</v>
      </c>
      <c r="F641" s="28" t="str">
        <f>IFERROR(VLOOKUP(TAB_OFICINAS[[#This Row],[Cliente]],LISTA_DE_CLIENTES[[Código]:[Nome Fantasia]],2,FALSE),"")</f>
        <v>CH 9 IMOVEIS LTDA.</v>
      </c>
      <c r="G641" s="5" t="str">
        <f>IFERROR(VLOOKUP(TAB_OFICINAS[[#This Row],[Cliente]],LISTA_DE_CLIENTES[[Código]:[Nome Fantasia]],3,FALSE),"")</f>
        <v>CH 9 IMOVEIS LTDA.</v>
      </c>
      <c r="H641" s="63">
        <v>3105019764</v>
      </c>
      <c r="I641" s="28" t="s">
        <v>22368</v>
      </c>
      <c r="J641" s="91">
        <v>2</v>
      </c>
      <c r="K641" s="86">
        <v>46162</v>
      </c>
      <c r="L641" s="10">
        <v>2</v>
      </c>
      <c r="M641" s="6">
        <v>46168</v>
      </c>
      <c r="N641" s="6">
        <v>46168</v>
      </c>
      <c r="O641" s="19">
        <f>TAB_OFICINAS[[#This Row],[Data Retorno Produção]]-TAB_OFICINAS[[#This Row],[Data Prometida  Entrega]]</f>
        <v>0</v>
      </c>
      <c r="P641" s="40" t="str">
        <f>IF(TAB_OFICINAS[[#This Row],[Dias Para Entrega]]&lt;=0,"Em dia","Dia de Atrasado")</f>
        <v>Em dia</v>
      </c>
      <c r="Q641" s="10">
        <f>IFERROR(TAB_OFICINAS[[#This Row],[Qtd pçs Enviadas]]-TAB_OFICINAS[[#This Row],[Qtd pçs Retornadas ]]," ")</f>
        <v>0</v>
      </c>
      <c r="R641" s="10">
        <v>0</v>
      </c>
      <c r="S641" s="5">
        <v>3220</v>
      </c>
      <c r="T641" s="5">
        <v>54</v>
      </c>
      <c r="U641" s="52">
        <v>14</v>
      </c>
      <c r="V641" s="44">
        <f>IFERROR(TAB_OFICINAS[[#This Row],[Valor Unit]]*TAB_OFICINAS[[#This Row],[Qtd pçs Enviadas]]," ")</f>
        <v>28</v>
      </c>
      <c r="W641" s="17">
        <v>46178</v>
      </c>
      <c r="X641" s="5" t="s">
        <v>6251</v>
      </c>
      <c r="Y641" s="27"/>
      <c r="Z6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2" spans="3:26" hidden="1">
      <c r="C642" s="28" t="s">
        <v>17</v>
      </c>
      <c r="D642" s="5">
        <v>5508</v>
      </c>
      <c r="E642" s="5">
        <v>23291</v>
      </c>
      <c r="F642" s="28" t="str">
        <f>IFERROR(VLOOKUP(TAB_OFICINAS[[#This Row],[Cliente]],LISTA_DE_CLIENTES[[Código]:[Nome Fantasia]],2,FALSE),"")</f>
        <v>FERRARI MARINHO MEDICOS ASSOCIADOS LTDA.</v>
      </c>
      <c r="G642" s="5" t="str">
        <f>IFERROR(VLOOKUP(TAB_OFICINAS[[#This Row],[Cliente]],LISTA_DE_CLIENTES[[Código]:[Nome Fantasia]],3,FALSE),"")</f>
        <v>DYNAPLAN</v>
      </c>
      <c r="H642" s="63">
        <v>3105019764</v>
      </c>
      <c r="I642" s="28" t="s">
        <v>22368</v>
      </c>
      <c r="J642" s="91">
        <v>2</v>
      </c>
      <c r="K642" s="86">
        <v>46162</v>
      </c>
      <c r="L642" s="10">
        <v>2</v>
      </c>
      <c r="M642" s="6">
        <v>46168</v>
      </c>
      <c r="N642" s="6">
        <v>46168</v>
      </c>
      <c r="O642" s="19">
        <f>TAB_OFICINAS[[#This Row],[Data Retorno Produção]]-TAB_OFICINAS[[#This Row],[Data Prometida  Entrega]]</f>
        <v>0</v>
      </c>
      <c r="P642" s="40" t="str">
        <f>IF(TAB_OFICINAS[[#This Row],[Dias Para Entrega]]&lt;=0,"Em dia","Dia de Atrasado")</f>
        <v>Em dia</v>
      </c>
      <c r="Q642" s="10">
        <f>IFERROR(TAB_OFICINAS[[#This Row],[Qtd pçs Enviadas]]-TAB_OFICINAS[[#This Row],[Qtd pçs Retornadas ]]," ")</f>
        <v>0</v>
      </c>
      <c r="R642" s="10">
        <v>0</v>
      </c>
      <c r="S642" s="5">
        <v>3220</v>
      </c>
      <c r="T642" s="5">
        <v>54</v>
      </c>
      <c r="U642" s="52">
        <v>14</v>
      </c>
      <c r="V642" s="44">
        <f>IFERROR(TAB_OFICINAS[[#This Row],[Valor Unit]]*TAB_OFICINAS[[#This Row],[Qtd pçs Enviadas]]," ")</f>
        <v>28</v>
      </c>
      <c r="W642" s="17">
        <v>46178</v>
      </c>
      <c r="X642" s="5" t="s">
        <v>6251</v>
      </c>
      <c r="Y642" s="27"/>
      <c r="Z6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3" spans="3:26" hidden="1">
      <c r="C643" s="28" t="s">
        <v>7</v>
      </c>
      <c r="D643" s="5">
        <v>5507</v>
      </c>
      <c r="E643" s="5">
        <v>23285</v>
      </c>
      <c r="F643" s="28" t="str">
        <f>IFERROR(VLOOKUP(TAB_OFICINAS[[#This Row],[Cliente]],LISTA_DE_CLIENTES[[Código]:[Nome Fantasia]],2,FALSE),"")</f>
        <v>DYNAPLAN GERENCIAMENTO DE PROJETOS LTDA</v>
      </c>
      <c r="G643" s="5" t="str">
        <f>IFERROR(VLOOKUP(TAB_OFICINAS[[#This Row],[Cliente]],LISTA_DE_CLIENTES[[Código]:[Nome Fantasia]],3,FALSE),"")</f>
        <v>DYNAPLAN GERENCIAMEN</v>
      </c>
      <c r="H643" s="63">
        <v>2104869760</v>
      </c>
      <c r="I643" s="28" t="s">
        <v>22359</v>
      </c>
      <c r="J643" s="91">
        <v>4</v>
      </c>
      <c r="K643" s="86">
        <v>46162</v>
      </c>
      <c r="L643" s="10">
        <v>4</v>
      </c>
      <c r="M643" s="6">
        <v>46170</v>
      </c>
      <c r="N643" s="6">
        <v>46164</v>
      </c>
      <c r="O643" s="19">
        <f>TAB_OFICINAS[[#This Row],[Data Retorno Produção]]-TAB_OFICINAS[[#This Row],[Data Prometida  Entrega]]</f>
        <v>-6</v>
      </c>
      <c r="P643" s="40" t="str">
        <f>IF(TAB_OFICINAS[[#This Row],[Dias Para Entrega]]&lt;=0,"Em dia","Dia de Atrasado")</f>
        <v>Em dia</v>
      </c>
      <c r="Q643" s="10">
        <f>IFERROR(TAB_OFICINAS[[#This Row],[Qtd pçs Enviadas]]-TAB_OFICINAS[[#This Row],[Qtd pçs Retornadas ]]," ")</f>
        <v>0</v>
      </c>
      <c r="R643" s="10"/>
      <c r="S643" s="5">
        <v>848</v>
      </c>
      <c r="T643" s="5">
        <v>39</v>
      </c>
      <c r="U643" s="52">
        <v>4</v>
      </c>
      <c r="V643" s="44">
        <f>IFERROR(TAB_OFICINAS[[#This Row],[Valor Unit]]*TAB_OFICINAS[[#This Row],[Qtd pçs Enviadas]]," ")</f>
        <v>16</v>
      </c>
      <c r="W643" s="17">
        <v>46174</v>
      </c>
      <c r="X643" s="5" t="s">
        <v>6251</v>
      </c>
      <c r="Y643" s="27"/>
      <c r="Z6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4" spans="3:26" hidden="1">
      <c r="C644" s="28" t="s">
        <v>7</v>
      </c>
      <c r="D644" s="5">
        <v>5508</v>
      </c>
      <c r="E644" s="5">
        <v>23291</v>
      </c>
      <c r="F644" s="28" t="str">
        <f>IFERROR(VLOOKUP(TAB_OFICINAS[[#This Row],[Cliente]],LISTA_DE_CLIENTES[[Código]:[Nome Fantasia]],2,FALSE),"")</f>
        <v>FERRARI MARINHO MEDICOS ASSOCIADOS LTDA.</v>
      </c>
      <c r="G644" s="5" t="str">
        <f>IFERROR(VLOOKUP(TAB_OFICINAS[[#This Row],[Cliente]],LISTA_DE_CLIENTES[[Código]:[Nome Fantasia]],3,FALSE),"")</f>
        <v>DYNAPLAN</v>
      </c>
      <c r="H644" s="63">
        <v>2115108588</v>
      </c>
      <c r="I644" s="28" t="s">
        <v>21052</v>
      </c>
      <c r="J644" s="91">
        <v>4</v>
      </c>
      <c r="K644" s="86">
        <v>46162</v>
      </c>
      <c r="L644" s="10">
        <v>4</v>
      </c>
      <c r="M644" s="6">
        <v>46170</v>
      </c>
      <c r="N644" s="6">
        <v>46164</v>
      </c>
      <c r="O644" s="19">
        <f>TAB_OFICINAS[[#This Row],[Data Retorno Produção]]-TAB_OFICINAS[[#This Row],[Data Prometida  Entrega]]</f>
        <v>-6</v>
      </c>
      <c r="P644" s="40" t="str">
        <f>IF(TAB_OFICINAS[[#This Row],[Dias Para Entrega]]&lt;=0,"Em dia","Dia de Atrasado")</f>
        <v>Em dia</v>
      </c>
      <c r="Q644" s="10">
        <f>IFERROR(TAB_OFICINAS[[#This Row],[Qtd pçs Enviadas]]-TAB_OFICINAS[[#This Row],[Qtd pçs Retornadas ]]," ")</f>
        <v>0</v>
      </c>
      <c r="R644" s="10"/>
      <c r="S644" s="5">
        <v>848</v>
      </c>
      <c r="T644" s="5">
        <v>39</v>
      </c>
      <c r="U644" s="52">
        <v>16</v>
      </c>
      <c r="V644" s="44">
        <f>IFERROR(TAB_OFICINAS[[#This Row],[Valor Unit]]*TAB_OFICINAS[[#This Row],[Qtd pçs Enviadas]]," ")</f>
        <v>64</v>
      </c>
      <c r="W644" s="17">
        <v>46174</v>
      </c>
      <c r="X644" s="5" t="s">
        <v>6251</v>
      </c>
      <c r="Y644" s="27"/>
      <c r="Z6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5" spans="3:26" hidden="1">
      <c r="C645" s="28" t="s">
        <v>7</v>
      </c>
      <c r="D645" s="5">
        <v>5508</v>
      </c>
      <c r="E645" s="5">
        <v>23291</v>
      </c>
      <c r="F645" s="28" t="str">
        <f>IFERROR(VLOOKUP(TAB_OFICINAS[[#This Row],[Cliente]],LISTA_DE_CLIENTES[[Código]:[Nome Fantasia]],2,FALSE),"")</f>
        <v>FERRARI MARINHO MEDICOS ASSOCIADOS LTDA.</v>
      </c>
      <c r="G645" s="5" t="str">
        <f>IFERROR(VLOOKUP(TAB_OFICINAS[[#This Row],[Cliente]],LISTA_DE_CLIENTES[[Código]:[Nome Fantasia]],3,FALSE),"")</f>
        <v>DYNAPLAN</v>
      </c>
      <c r="H645" s="63">
        <v>2101862252</v>
      </c>
      <c r="I645" s="28" t="s">
        <v>22355</v>
      </c>
      <c r="J645" s="91">
        <v>4</v>
      </c>
      <c r="K645" s="86">
        <v>46162</v>
      </c>
      <c r="L645" s="10">
        <v>4</v>
      </c>
      <c r="M645" s="6">
        <v>46170</v>
      </c>
      <c r="N645" s="6">
        <v>46164</v>
      </c>
      <c r="O645" s="19">
        <f>TAB_OFICINAS[[#This Row],[Data Retorno Produção]]-TAB_OFICINAS[[#This Row],[Data Prometida  Entrega]]</f>
        <v>-6</v>
      </c>
      <c r="P645" s="40" t="str">
        <f>IF(TAB_OFICINAS[[#This Row],[Dias Para Entrega]]&lt;=0,"Em dia","Dia de Atrasado")</f>
        <v>Em dia</v>
      </c>
      <c r="Q645" s="10">
        <f>IFERROR(TAB_OFICINAS[[#This Row],[Qtd pçs Enviadas]]-TAB_OFICINAS[[#This Row],[Qtd pçs Retornadas ]]," ")</f>
        <v>0</v>
      </c>
      <c r="R645" s="10"/>
      <c r="S645" s="5">
        <v>848</v>
      </c>
      <c r="T645" s="5">
        <v>39</v>
      </c>
      <c r="U645" s="52">
        <v>6</v>
      </c>
      <c r="V645" s="44">
        <f>IFERROR(TAB_OFICINAS[[#This Row],[Valor Unit]]*TAB_OFICINAS[[#This Row],[Qtd pçs Enviadas]]," ")</f>
        <v>24</v>
      </c>
      <c r="W645" s="17">
        <v>46174</v>
      </c>
      <c r="X645" s="5" t="s">
        <v>6251</v>
      </c>
      <c r="Y645" s="27"/>
      <c r="Z6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6" spans="3:26" hidden="1">
      <c r="C646" s="28" t="s">
        <v>7</v>
      </c>
      <c r="D646" s="5">
        <v>5508</v>
      </c>
      <c r="E646" s="5">
        <v>23291</v>
      </c>
      <c r="F646" s="28" t="str">
        <f>IFERROR(VLOOKUP(TAB_OFICINAS[[#This Row],[Cliente]],LISTA_DE_CLIENTES[[Código]:[Nome Fantasia]],2,FALSE),"")</f>
        <v>FERRARI MARINHO MEDICOS ASSOCIADOS LTDA.</v>
      </c>
      <c r="G646" s="5" t="str">
        <f>IFERROR(VLOOKUP(TAB_OFICINAS[[#This Row],[Cliente]],LISTA_DE_CLIENTES[[Código]:[Nome Fantasia]],3,FALSE),"")</f>
        <v>DYNAPLAN</v>
      </c>
      <c r="H646" s="63">
        <v>2102229759</v>
      </c>
      <c r="I646" s="28" t="s">
        <v>22357</v>
      </c>
      <c r="J646" s="91">
        <v>4</v>
      </c>
      <c r="K646" s="86">
        <v>46162</v>
      </c>
      <c r="L646" s="10">
        <v>4</v>
      </c>
      <c r="M646" s="6">
        <v>46170</v>
      </c>
      <c r="N646" s="6">
        <v>46164</v>
      </c>
      <c r="O646" s="19">
        <f>TAB_OFICINAS[[#This Row],[Data Retorno Produção]]-TAB_OFICINAS[[#This Row],[Data Prometida  Entrega]]</f>
        <v>-6</v>
      </c>
      <c r="P646" s="40" t="str">
        <f>IF(TAB_OFICINAS[[#This Row],[Dias Para Entrega]]&lt;=0,"Em dia","Dia de Atrasado")</f>
        <v>Em dia</v>
      </c>
      <c r="Q646" s="10">
        <f>IFERROR(TAB_OFICINAS[[#This Row],[Qtd pçs Enviadas]]-TAB_OFICINAS[[#This Row],[Qtd pçs Retornadas ]]," ")</f>
        <v>0</v>
      </c>
      <c r="R646" s="10"/>
      <c r="S646" s="5">
        <v>848</v>
      </c>
      <c r="T646" s="5">
        <v>39</v>
      </c>
      <c r="U646" s="52">
        <v>7.5</v>
      </c>
      <c r="V646" s="44">
        <f>IFERROR(TAB_OFICINAS[[#This Row],[Valor Unit]]*TAB_OFICINAS[[#This Row],[Qtd pçs Enviadas]]," ")</f>
        <v>30</v>
      </c>
      <c r="W646" s="17">
        <v>46174</v>
      </c>
      <c r="X646" s="5" t="s">
        <v>6251</v>
      </c>
      <c r="Y646" s="27"/>
      <c r="Z6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7" spans="3:26" hidden="1">
      <c r="C647" s="28" t="s">
        <v>7</v>
      </c>
      <c r="D647" s="5">
        <v>5505</v>
      </c>
      <c r="E647" s="5">
        <v>23301</v>
      </c>
      <c r="F647" s="28" t="str">
        <f>IFERROR(VLOOKUP(TAB_OFICINAS[[#This Row],[Cliente]],LISTA_DE_CLIENTES[[Código]:[Nome Fantasia]],2,FALSE),"")</f>
        <v>F T CAMARGO SERVICOS MEDICOS LTDA</v>
      </c>
      <c r="G647" s="5" t="str">
        <f>IFERROR(VLOOKUP(TAB_OFICINAS[[#This Row],[Cliente]],LISTA_DE_CLIENTES[[Código]:[Nome Fantasia]],3,FALSE),"")</f>
        <v>DYNAPLAN</v>
      </c>
      <c r="H647" s="63">
        <v>2115108588</v>
      </c>
      <c r="I647" s="28" t="s">
        <v>21052</v>
      </c>
      <c r="J647" s="91">
        <v>2</v>
      </c>
      <c r="K647" s="86">
        <v>46162</v>
      </c>
      <c r="L647" s="10">
        <v>2</v>
      </c>
      <c r="M647" s="6">
        <v>46170</v>
      </c>
      <c r="N647" s="6">
        <v>46164</v>
      </c>
      <c r="O647" s="19">
        <f>TAB_OFICINAS[[#This Row],[Data Retorno Produção]]-TAB_OFICINAS[[#This Row],[Data Prometida  Entrega]]</f>
        <v>-6</v>
      </c>
      <c r="P647" s="40" t="str">
        <f>IF(TAB_OFICINAS[[#This Row],[Dias Para Entrega]]&lt;=0,"Em dia","Dia de Atrasado")</f>
        <v>Em dia</v>
      </c>
      <c r="Q647" s="10">
        <f>IFERROR(TAB_OFICINAS[[#This Row],[Qtd pçs Enviadas]]-TAB_OFICINAS[[#This Row],[Qtd pçs Retornadas ]]," ")</f>
        <v>0</v>
      </c>
      <c r="R647" s="10"/>
      <c r="S647" s="5">
        <v>848</v>
      </c>
      <c r="T647" s="5">
        <v>39</v>
      </c>
      <c r="U647" s="52">
        <v>16</v>
      </c>
      <c r="V647" s="44">
        <f>IFERROR(TAB_OFICINAS[[#This Row],[Valor Unit]]*TAB_OFICINAS[[#This Row],[Qtd pçs Enviadas]]," ")</f>
        <v>32</v>
      </c>
      <c r="W647" s="17">
        <v>46174</v>
      </c>
      <c r="X647" s="5" t="s">
        <v>6251</v>
      </c>
      <c r="Y647" s="27"/>
      <c r="Z6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8" spans="3:26" hidden="1">
      <c r="C648" s="28" t="s">
        <v>7</v>
      </c>
      <c r="D648" s="5">
        <v>5505</v>
      </c>
      <c r="E648" s="5">
        <v>23301</v>
      </c>
      <c r="F648" s="28" t="str">
        <f>IFERROR(VLOOKUP(TAB_OFICINAS[[#This Row],[Cliente]],LISTA_DE_CLIENTES[[Código]:[Nome Fantasia]],2,FALSE),"")</f>
        <v>F T CAMARGO SERVICOS MEDICOS LTDA</v>
      </c>
      <c r="G648" s="5" t="str">
        <f>IFERROR(VLOOKUP(TAB_OFICINAS[[#This Row],[Cliente]],LISTA_DE_CLIENTES[[Código]:[Nome Fantasia]],3,FALSE),"")</f>
        <v>DYNAPLAN</v>
      </c>
      <c r="H648" s="63">
        <v>2101862252</v>
      </c>
      <c r="I648" s="28" t="s">
        <v>22355</v>
      </c>
      <c r="J648" s="91">
        <v>2</v>
      </c>
      <c r="K648" s="86">
        <v>46162</v>
      </c>
      <c r="L648" s="10">
        <v>2</v>
      </c>
      <c r="M648" s="6">
        <v>46170</v>
      </c>
      <c r="N648" s="6">
        <v>46164</v>
      </c>
      <c r="O648" s="19">
        <f>TAB_OFICINAS[[#This Row],[Data Retorno Produção]]-TAB_OFICINAS[[#This Row],[Data Prometida  Entrega]]</f>
        <v>-6</v>
      </c>
      <c r="P648" s="40" t="str">
        <f>IF(TAB_OFICINAS[[#This Row],[Dias Para Entrega]]&lt;=0,"Em dia","Dia de Atrasado")</f>
        <v>Em dia</v>
      </c>
      <c r="Q648" s="10">
        <f>IFERROR(TAB_OFICINAS[[#This Row],[Qtd pçs Enviadas]]-TAB_OFICINAS[[#This Row],[Qtd pçs Retornadas ]]," ")</f>
        <v>0</v>
      </c>
      <c r="R648" s="10"/>
      <c r="S648" s="5">
        <v>848</v>
      </c>
      <c r="T648" s="5">
        <v>39</v>
      </c>
      <c r="U648" s="52">
        <v>6</v>
      </c>
      <c r="V648" s="44">
        <f>IFERROR(TAB_OFICINAS[[#This Row],[Valor Unit]]*TAB_OFICINAS[[#This Row],[Qtd pçs Enviadas]]," ")</f>
        <v>12</v>
      </c>
      <c r="W648" s="17">
        <v>46174</v>
      </c>
      <c r="X648" s="5" t="s">
        <v>6251</v>
      </c>
      <c r="Y648" s="27"/>
      <c r="Z6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49" spans="3:26" hidden="1">
      <c r="C649" s="28" t="s">
        <v>15</v>
      </c>
      <c r="D649" s="5">
        <v>2770</v>
      </c>
      <c r="E649" s="5">
        <v>23394</v>
      </c>
      <c r="F649" s="28" t="str">
        <f>IFERROR(VLOOKUP(TAB_OFICINAS[[#This Row],[Cliente]],LISTA_DE_CLIENTES[[Código]:[Nome Fantasia]],2,FALSE),"")</f>
        <v>SNC DO BRASIL COMERCIO DE EQUIPAMENTOS EIRELI</v>
      </c>
      <c r="G649" s="2" t="str">
        <f>IFERROR(VLOOKUP(TAB_OFICINAS[[#This Row],[Cliente]],LISTA_DE_CLIENTES[[Código]:[Nome Fantasia]],3,FALSE),"")</f>
        <v>TOTAL BABY STORE</v>
      </c>
      <c r="H649" s="51" t="s">
        <v>23962</v>
      </c>
      <c r="I649" s="28" t="s">
        <v>22869</v>
      </c>
      <c r="J649" s="91">
        <v>2</v>
      </c>
      <c r="K649" s="86">
        <v>46163</v>
      </c>
      <c r="L649" s="34">
        <v>2</v>
      </c>
      <c r="M649" s="6">
        <v>46178</v>
      </c>
      <c r="N649" s="6">
        <v>46181</v>
      </c>
      <c r="O649" s="19">
        <f>TAB_OFICINAS[[#This Row],[Data Retorno Produção]]-TAB_OFICINAS[[#This Row],[Data Prometida  Entrega]]</f>
        <v>3</v>
      </c>
      <c r="P649" s="40" t="str">
        <f>IF(TAB_OFICINAS[[#This Row],[Dias Para Entrega]]&lt;=0,"Em dia","Dia de Atrasado")</f>
        <v>Dia de Atrasado</v>
      </c>
      <c r="Q649" s="10">
        <f>IFERROR(TAB_OFICINAS[[#This Row],[Qtd pçs Enviadas]]-TAB_OFICINAS[[#This Row],[Qtd pçs Retornadas ]]," ")</f>
        <v>0</v>
      </c>
      <c r="R649" s="10">
        <v>0</v>
      </c>
      <c r="S649" s="5">
        <v>3225</v>
      </c>
      <c r="T649" s="5">
        <v>17293</v>
      </c>
      <c r="U649" s="1">
        <v>12</v>
      </c>
      <c r="V649" s="3">
        <f>IFERROR(TAB_OFICINAS[[#This Row],[Valor Unit]]*TAB_OFICINAS[[#This Row],[Qtd pçs Enviadas]]," ")</f>
        <v>24</v>
      </c>
      <c r="W649" s="17">
        <v>46191</v>
      </c>
      <c r="X649" s="5" t="s">
        <v>6251</v>
      </c>
      <c r="Y649" s="4" t="s">
        <v>22870</v>
      </c>
      <c r="Z6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0" spans="3:26" hidden="1">
      <c r="C650" s="28" t="s">
        <v>15</v>
      </c>
      <c r="D650" s="5">
        <v>2770</v>
      </c>
      <c r="E650" s="5">
        <v>23394</v>
      </c>
      <c r="F650" s="28" t="str">
        <f>IFERROR(VLOOKUP(TAB_OFICINAS[[#This Row],[Cliente]],LISTA_DE_CLIENTES[[Código]:[Nome Fantasia]],2,FALSE),"")</f>
        <v>SNC DO BRASIL COMERCIO DE EQUIPAMENTOS EIRELI</v>
      </c>
      <c r="G650" s="2" t="str">
        <f>IFERROR(VLOOKUP(TAB_OFICINAS[[#This Row],[Cliente]],LISTA_DE_CLIENTES[[Código]:[Nome Fantasia]],3,FALSE),"")</f>
        <v>TOTAL BABY STORE</v>
      </c>
      <c r="H650" s="63">
        <v>3105119853</v>
      </c>
      <c r="I650" s="28" t="s">
        <v>22664</v>
      </c>
      <c r="J650" s="91">
        <v>2</v>
      </c>
      <c r="K650" s="86">
        <v>46163</v>
      </c>
      <c r="L650" s="34">
        <v>2</v>
      </c>
      <c r="M650" s="6">
        <v>46178</v>
      </c>
      <c r="N650" s="6">
        <v>46174</v>
      </c>
      <c r="O650" s="19">
        <f>TAB_OFICINAS[[#This Row],[Data Retorno Produção]]-TAB_OFICINAS[[#This Row],[Data Prometida  Entrega]]</f>
        <v>-4</v>
      </c>
      <c r="P650" s="40" t="str">
        <f>IF(TAB_OFICINAS[[#This Row],[Dias Para Entrega]]&lt;=0,"Em dia","Dia de Atrasado")</f>
        <v>Em dia</v>
      </c>
      <c r="Q650" s="10">
        <f>IFERROR(TAB_OFICINAS[[#This Row],[Qtd pçs Enviadas]]-TAB_OFICINAS[[#This Row],[Qtd pçs Retornadas ]]," ")</f>
        <v>0</v>
      </c>
      <c r="R650" s="10">
        <v>0</v>
      </c>
      <c r="S650" s="5">
        <v>3225</v>
      </c>
      <c r="T650" s="5">
        <v>17293</v>
      </c>
      <c r="U650" s="1">
        <v>8</v>
      </c>
      <c r="V650" s="3">
        <f>IFERROR(TAB_OFICINAS[[#This Row],[Valor Unit]]*TAB_OFICINAS[[#This Row],[Qtd pçs Enviadas]]," ")</f>
        <v>16</v>
      </c>
      <c r="W650" s="17">
        <v>46191</v>
      </c>
      <c r="X650" s="5" t="s">
        <v>6251</v>
      </c>
      <c r="Y650" s="4" t="s">
        <v>22857</v>
      </c>
      <c r="Z6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1" spans="3:26" hidden="1">
      <c r="C651" s="28" t="s">
        <v>15</v>
      </c>
      <c r="D651" s="5">
        <v>2770</v>
      </c>
      <c r="E651" s="5">
        <v>23394</v>
      </c>
      <c r="F651" s="28" t="str">
        <f>IFERROR(VLOOKUP(TAB_OFICINAS[[#This Row],[Cliente]],LISTA_DE_CLIENTES[[Código]:[Nome Fantasia]],2,FALSE),"")</f>
        <v>SNC DO BRASIL COMERCIO DE EQUIPAMENTOS EIRELI</v>
      </c>
      <c r="G651" s="2" t="str">
        <f>IFERROR(VLOOKUP(TAB_OFICINAS[[#This Row],[Cliente]],LISTA_DE_CLIENTES[[Código]:[Nome Fantasia]],3,FALSE),"")</f>
        <v>TOTAL BABY STORE</v>
      </c>
      <c r="H651" s="63">
        <v>3105119852</v>
      </c>
      <c r="I651" s="28" t="s">
        <v>22662</v>
      </c>
      <c r="J651" s="91">
        <v>2</v>
      </c>
      <c r="K651" s="86">
        <v>46163</v>
      </c>
      <c r="L651" s="34">
        <v>2</v>
      </c>
      <c r="M651" s="6">
        <v>46178</v>
      </c>
      <c r="N651" s="6">
        <v>46174</v>
      </c>
      <c r="O651" s="19">
        <f>TAB_OFICINAS[[#This Row],[Data Retorno Produção]]-TAB_OFICINAS[[#This Row],[Data Prometida  Entrega]]</f>
        <v>-4</v>
      </c>
      <c r="P651" s="40" t="str">
        <f>IF(TAB_OFICINAS[[#This Row],[Dias Para Entrega]]&lt;=0,"Em dia","Dia de Atrasado")</f>
        <v>Em dia</v>
      </c>
      <c r="Q651" s="10">
        <f>IFERROR(TAB_OFICINAS[[#This Row],[Qtd pçs Enviadas]]-TAB_OFICINAS[[#This Row],[Qtd pçs Retornadas ]]," ")</f>
        <v>0</v>
      </c>
      <c r="R651" s="10">
        <v>0</v>
      </c>
      <c r="S651" s="5">
        <v>3225</v>
      </c>
      <c r="T651" s="5">
        <v>17293</v>
      </c>
      <c r="U651" s="1">
        <v>8</v>
      </c>
      <c r="V651" s="3">
        <f>IFERROR(TAB_OFICINAS[[#This Row],[Valor Unit]]*TAB_OFICINAS[[#This Row],[Qtd pçs Enviadas]]," ")</f>
        <v>16</v>
      </c>
      <c r="W651" s="17">
        <v>46191</v>
      </c>
      <c r="X651" s="5" t="s">
        <v>6251</v>
      </c>
      <c r="Y651" s="4" t="s">
        <v>22857</v>
      </c>
      <c r="Z6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2" spans="3:26" hidden="1">
      <c r="C652" s="28" t="s">
        <v>15</v>
      </c>
      <c r="D652" s="5">
        <v>2770</v>
      </c>
      <c r="E652" s="5">
        <v>23394</v>
      </c>
      <c r="F652" s="28" t="str">
        <f>IFERROR(VLOOKUP(TAB_OFICINAS[[#This Row],[Cliente]],LISTA_DE_CLIENTES[[Código]:[Nome Fantasia]],2,FALSE),"")</f>
        <v>SNC DO BRASIL COMERCIO DE EQUIPAMENTOS EIRELI</v>
      </c>
      <c r="G652" s="2" t="str">
        <f>IFERROR(VLOOKUP(TAB_OFICINAS[[#This Row],[Cliente]],LISTA_DE_CLIENTES[[Código]:[Nome Fantasia]],3,FALSE),"")</f>
        <v>TOTAL BABY STORE</v>
      </c>
      <c r="H652" s="51" t="s">
        <v>23962</v>
      </c>
      <c r="I652" s="28" t="s">
        <v>22853</v>
      </c>
      <c r="J652" s="91">
        <v>2</v>
      </c>
      <c r="K652" s="86">
        <v>46163</v>
      </c>
      <c r="L652" s="34">
        <v>2</v>
      </c>
      <c r="M652" s="6">
        <v>46178</v>
      </c>
      <c r="N652" s="6">
        <v>46171</v>
      </c>
      <c r="O652" s="19">
        <f>TAB_OFICINAS[[#This Row],[Data Retorno Produção]]-TAB_OFICINAS[[#This Row],[Data Prometida  Entrega]]</f>
        <v>-7</v>
      </c>
      <c r="P652" s="40" t="str">
        <f>IF(TAB_OFICINAS[[#This Row],[Dias Para Entrega]]&lt;=0,"Em dia","Dia de Atrasado")</f>
        <v>Em dia</v>
      </c>
      <c r="Q652" s="10">
        <f>IFERROR(TAB_OFICINAS[[#This Row],[Qtd pçs Enviadas]]-TAB_OFICINAS[[#This Row],[Qtd pçs Retornadas ]]," ")</f>
        <v>0</v>
      </c>
      <c r="R652" s="10">
        <v>0</v>
      </c>
      <c r="S652" s="5">
        <v>3225</v>
      </c>
      <c r="T652" s="5">
        <v>17293</v>
      </c>
      <c r="U652" s="1">
        <v>20</v>
      </c>
      <c r="V652" s="3">
        <f>IFERROR(TAB_OFICINAS[[#This Row],[Valor Unit]]*TAB_OFICINAS[[#This Row],[Qtd pçs Enviadas]]," ")</f>
        <v>40</v>
      </c>
      <c r="W652" s="17">
        <v>46191</v>
      </c>
      <c r="X652" s="5" t="s">
        <v>6251</v>
      </c>
      <c r="Y652" s="4" t="s">
        <v>22855</v>
      </c>
      <c r="Z65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3" spans="3:26" hidden="1">
      <c r="C653" s="28" t="s">
        <v>15</v>
      </c>
      <c r="D653" s="5">
        <v>2770</v>
      </c>
      <c r="E653" s="5">
        <v>23394</v>
      </c>
      <c r="F653" s="28" t="str">
        <f>IFERROR(VLOOKUP(TAB_OFICINAS[[#This Row],[Cliente]],LISTA_DE_CLIENTES[[Código]:[Nome Fantasia]],2,FALSE),"")</f>
        <v>SNC DO BRASIL COMERCIO DE EQUIPAMENTOS EIRELI</v>
      </c>
      <c r="G653" s="2" t="str">
        <f>IFERROR(VLOOKUP(TAB_OFICINAS[[#This Row],[Cliente]],LISTA_DE_CLIENTES[[Código]:[Nome Fantasia]],3,FALSE),"")</f>
        <v>TOTAL BABY STORE</v>
      </c>
      <c r="H653" s="51" t="s">
        <v>23962</v>
      </c>
      <c r="I653" s="28" t="s">
        <v>22854</v>
      </c>
      <c r="J653" s="91">
        <v>2</v>
      </c>
      <c r="K653" s="86">
        <v>46163</v>
      </c>
      <c r="L653" s="34">
        <v>2</v>
      </c>
      <c r="M653" s="6">
        <v>46178</v>
      </c>
      <c r="N653" s="6">
        <v>46171</v>
      </c>
      <c r="O653" s="19">
        <f>TAB_OFICINAS[[#This Row],[Data Retorno Produção]]-TAB_OFICINAS[[#This Row],[Data Prometida  Entrega]]</f>
        <v>-7</v>
      </c>
      <c r="P653" s="40" t="str">
        <f>IF(TAB_OFICINAS[[#This Row],[Dias Para Entrega]]&lt;=0,"Em dia","Dia de Atrasado")</f>
        <v>Em dia</v>
      </c>
      <c r="Q653" s="10">
        <f>IFERROR(TAB_OFICINAS[[#This Row],[Qtd pçs Enviadas]]-TAB_OFICINAS[[#This Row],[Qtd pçs Retornadas ]]," ")</f>
        <v>0</v>
      </c>
      <c r="R653" s="10">
        <v>0</v>
      </c>
      <c r="S653" s="5">
        <v>3225</v>
      </c>
      <c r="T653" s="5">
        <v>17293</v>
      </c>
      <c r="U653" s="1">
        <v>10</v>
      </c>
      <c r="V653" s="3">
        <f>IFERROR(TAB_OFICINAS[[#This Row],[Valor Unit]]*TAB_OFICINAS[[#This Row],[Qtd pçs Enviadas]]," ")</f>
        <v>20</v>
      </c>
      <c r="W653" s="17">
        <v>46191</v>
      </c>
      <c r="X653" s="5" t="s">
        <v>6251</v>
      </c>
      <c r="Y653" s="4" t="s">
        <v>22856</v>
      </c>
      <c r="Z65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4" spans="3:26" hidden="1">
      <c r="C654" s="28" t="s">
        <v>15</v>
      </c>
      <c r="D654" s="5">
        <v>2770</v>
      </c>
      <c r="E654" s="5">
        <v>23394</v>
      </c>
      <c r="F654" s="28" t="str">
        <f>IFERROR(VLOOKUP(TAB_OFICINAS[[#This Row],[Cliente]],LISTA_DE_CLIENTES[[Código]:[Nome Fantasia]],2,FALSE),"")</f>
        <v>SNC DO BRASIL COMERCIO DE EQUIPAMENTOS EIRELI</v>
      </c>
      <c r="G654" s="2" t="str">
        <f>IFERROR(VLOOKUP(TAB_OFICINAS[[#This Row],[Cliente]],LISTA_DE_CLIENTES[[Código]:[Nome Fantasia]],3,FALSE),"")</f>
        <v>TOTAL BABY STORE</v>
      </c>
      <c r="H654" s="51" t="s">
        <v>23962</v>
      </c>
      <c r="I654" s="28" t="s">
        <v>22860</v>
      </c>
      <c r="J654" s="91">
        <v>2</v>
      </c>
      <c r="K654" s="86">
        <v>46163</v>
      </c>
      <c r="L654" s="34">
        <v>2</v>
      </c>
      <c r="M654" s="6">
        <v>46178</v>
      </c>
      <c r="N654" s="6">
        <v>46171</v>
      </c>
      <c r="O654" s="19">
        <f>TAB_OFICINAS[[#This Row],[Data Retorno Produção]]-TAB_OFICINAS[[#This Row],[Data Prometida  Entrega]]</f>
        <v>-7</v>
      </c>
      <c r="P654" s="40" t="str">
        <f>IF(TAB_OFICINAS[[#This Row],[Dias Para Entrega]]&lt;=0,"Em dia","Dia de Atrasado")</f>
        <v>Em dia</v>
      </c>
      <c r="Q654" s="10">
        <f>IFERROR(TAB_OFICINAS[[#This Row],[Qtd pçs Enviadas]]-TAB_OFICINAS[[#This Row],[Qtd pçs Retornadas ]]," ")</f>
        <v>0</v>
      </c>
      <c r="R654" s="10">
        <v>0</v>
      </c>
      <c r="S654" s="5">
        <v>3225</v>
      </c>
      <c r="T654" s="5">
        <v>17293</v>
      </c>
      <c r="U654" s="1">
        <v>20</v>
      </c>
      <c r="V654" s="3">
        <f>IFERROR(TAB_OFICINAS[[#This Row],[Valor Unit]]*TAB_OFICINAS[[#This Row],[Qtd pçs Enviadas]]," ")</f>
        <v>40</v>
      </c>
      <c r="W654" s="17">
        <v>46191</v>
      </c>
      <c r="X654" s="5" t="s">
        <v>6251</v>
      </c>
      <c r="Y654" s="4" t="s">
        <v>22862</v>
      </c>
      <c r="Z65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5" spans="3:26" hidden="1">
      <c r="C655" s="28" t="s">
        <v>15</v>
      </c>
      <c r="D655" s="5">
        <v>2770</v>
      </c>
      <c r="E655" s="5">
        <v>23394</v>
      </c>
      <c r="F655" s="28" t="str">
        <f>IFERROR(VLOOKUP(TAB_OFICINAS[[#This Row],[Cliente]],LISTA_DE_CLIENTES[[Código]:[Nome Fantasia]],2,FALSE),"")</f>
        <v>SNC DO BRASIL COMERCIO DE EQUIPAMENTOS EIRELI</v>
      </c>
      <c r="G655" s="2" t="str">
        <f>IFERROR(VLOOKUP(TAB_OFICINAS[[#This Row],[Cliente]],LISTA_DE_CLIENTES[[Código]:[Nome Fantasia]],3,FALSE),"")</f>
        <v>TOTAL BABY STORE</v>
      </c>
      <c r="H655" s="51" t="s">
        <v>23962</v>
      </c>
      <c r="I655" s="28" t="s">
        <v>22861</v>
      </c>
      <c r="J655" s="91">
        <v>2</v>
      </c>
      <c r="K655" s="86">
        <v>46163</v>
      </c>
      <c r="L655" s="34">
        <v>2</v>
      </c>
      <c r="M655" s="6">
        <v>46178</v>
      </c>
      <c r="N655" s="6">
        <v>46171</v>
      </c>
      <c r="O655" s="19">
        <f>TAB_OFICINAS[[#This Row],[Data Retorno Produção]]-TAB_OFICINAS[[#This Row],[Data Prometida  Entrega]]</f>
        <v>-7</v>
      </c>
      <c r="P655" s="40" t="str">
        <f>IF(TAB_OFICINAS[[#This Row],[Dias Para Entrega]]&lt;=0,"Em dia","Dia de Atrasado")</f>
        <v>Em dia</v>
      </c>
      <c r="Q655" s="10">
        <f>IFERROR(TAB_OFICINAS[[#This Row],[Qtd pçs Enviadas]]-TAB_OFICINAS[[#This Row],[Qtd pçs Retornadas ]]," ")</f>
        <v>0</v>
      </c>
      <c r="R655" s="10">
        <v>0</v>
      </c>
      <c r="S655" s="5">
        <v>3225</v>
      </c>
      <c r="T655" s="5">
        <v>17293</v>
      </c>
      <c r="U655" s="1">
        <v>10</v>
      </c>
      <c r="V655" s="3">
        <f>IFERROR(TAB_OFICINAS[[#This Row],[Valor Unit]]*TAB_OFICINAS[[#This Row],[Qtd pçs Enviadas]]," ")</f>
        <v>20</v>
      </c>
      <c r="W655" s="17">
        <v>46191</v>
      </c>
      <c r="X655" s="5" t="s">
        <v>6251</v>
      </c>
      <c r="Y655" s="4" t="s">
        <v>22863</v>
      </c>
      <c r="Z65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6" spans="3:26" hidden="1">
      <c r="C656" s="28" t="s">
        <v>15</v>
      </c>
      <c r="D656" s="5">
        <v>2770</v>
      </c>
      <c r="E656" s="5">
        <v>23394</v>
      </c>
      <c r="F656" s="28" t="str">
        <f>IFERROR(VLOOKUP(TAB_OFICINAS[[#This Row],[Cliente]],LISTA_DE_CLIENTES[[Código]:[Nome Fantasia]],2,FALSE),"")</f>
        <v>SNC DO BRASIL COMERCIO DE EQUIPAMENTOS EIRELI</v>
      </c>
      <c r="G656" s="2" t="str">
        <f>IFERROR(VLOOKUP(TAB_OFICINAS[[#This Row],[Cliente]],LISTA_DE_CLIENTES[[Código]:[Nome Fantasia]],3,FALSE),"")</f>
        <v>TOTAL BABY STORE</v>
      </c>
      <c r="H656" s="51" t="s">
        <v>23962</v>
      </c>
      <c r="I656" s="28" t="s">
        <v>22864</v>
      </c>
      <c r="J656" s="91">
        <v>2</v>
      </c>
      <c r="K656" s="86">
        <v>46163</v>
      </c>
      <c r="L656" s="34">
        <v>2</v>
      </c>
      <c r="M656" s="6">
        <v>46178</v>
      </c>
      <c r="N656" s="6">
        <v>46171</v>
      </c>
      <c r="O656" s="19">
        <f>TAB_OFICINAS[[#This Row],[Data Retorno Produção]]-TAB_OFICINAS[[#This Row],[Data Prometida  Entrega]]</f>
        <v>-7</v>
      </c>
      <c r="P656" s="40" t="str">
        <f>IF(TAB_OFICINAS[[#This Row],[Dias Para Entrega]]&lt;=0,"Em dia","Dia de Atrasado")</f>
        <v>Em dia</v>
      </c>
      <c r="Q656" s="10">
        <f>IFERROR(TAB_OFICINAS[[#This Row],[Qtd pçs Enviadas]]-TAB_OFICINAS[[#This Row],[Qtd pçs Retornadas ]]," ")</f>
        <v>0</v>
      </c>
      <c r="R656" s="10">
        <v>0</v>
      </c>
      <c r="S656" s="5">
        <v>3225</v>
      </c>
      <c r="T656" s="5">
        <v>17293</v>
      </c>
      <c r="U656" s="1">
        <v>24</v>
      </c>
      <c r="V656" s="3">
        <f>IFERROR(TAB_OFICINAS[[#This Row],[Valor Unit]]*TAB_OFICINAS[[#This Row],[Qtd pçs Enviadas]]," ")</f>
        <v>48</v>
      </c>
      <c r="W656" s="17">
        <v>46191</v>
      </c>
      <c r="X656" s="5" t="s">
        <v>6251</v>
      </c>
      <c r="Y656" s="4" t="s">
        <v>22866</v>
      </c>
      <c r="Z65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7" spans="3:26" hidden="1">
      <c r="C657" s="28" t="s">
        <v>15</v>
      </c>
      <c r="D657" s="5">
        <v>2770</v>
      </c>
      <c r="E657" s="5">
        <v>23394</v>
      </c>
      <c r="F657" s="28" t="str">
        <f>IFERROR(VLOOKUP(TAB_OFICINAS[[#This Row],[Cliente]],LISTA_DE_CLIENTES[[Código]:[Nome Fantasia]],2,FALSE),"")</f>
        <v>SNC DO BRASIL COMERCIO DE EQUIPAMENTOS EIRELI</v>
      </c>
      <c r="G657" s="2" t="str">
        <f>IFERROR(VLOOKUP(TAB_OFICINAS[[#This Row],[Cliente]],LISTA_DE_CLIENTES[[Código]:[Nome Fantasia]],3,FALSE),"")</f>
        <v>TOTAL BABY STORE</v>
      </c>
      <c r="H657" s="51" t="s">
        <v>23962</v>
      </c>
      <c r="I657" s="28" t="s">
        <v>22865</v>
      </c>
      <c r="J657" s="91">
        <v>2</v>
      </c>
      <c r="K657" s="86">
        <v>46163</v>
      </c>
      <c r="L657" s="34">
        <v>2</v>
      </c>
      <c r="M657" s="6">
        <v>46178</v>
      </c>
      <c r="N657" s="6">
        <v>46171</v>
      </c>
      <c r="O657" s="19">
        <f>TAB_OFICINAS[[#This Row],[Data Retorno Produção]]-TAB_OFICINAS[[#This Row],[Data Prometida  Entrega]]</f>
        <v>-7</v>
      </c>
      <c r="P657" s="40" t="str">
        <f>IF(TAB_OFICINAS[[#This Row],[Dias Para Entrega]]&lt;=0,"Em dia","Dia de Atrasado")</f>
        <v>Em dia</v>
      </c>
      <c r="Q657" s="10">
        <f>IFERROR(TAB_OFICINAS[[#This Row],[Qtd pçs Enviadas]]-TAB_OFICINAS[[#This Row],[Qtd pçs Retornadas ]]," ")</f>
        <v>0</v>
      </c>
      <c r="R657" s="10">
        <v>0</v>
      </c>
      <c r="S657" s="5">
        <v>3225</v>
      </c>
      <c r="T657" s="5">
        <v>17293</v>
      </c>
      <c r="U657" s="1">
        <v>12</v>
      </c>
      <c r="V657" s="3">
        <f>IFERROR(TAB_OFICINAS[[#This Row],[Valor Unit]]*TAB_OFICINAS[[#This Row],[Qtd pçs Enviadas]]," ")</f>
        <v>24</v>
      </c>
      <c r="W657" s="17">
        <v>46191</v>
      </c>
      <c r="X657" s="5" t="s">
        <v>6251</v>
      </c>
      <c r="Y657" s="4" t="s">
        <v>22867</v>
      </c>
      <c r="Z65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8" spans="3:26" hidden="1">
      <c r="C658" s="28" t="s">
        <v>15</v>
      </c>
      <c r="D658" s="5">
        <v>5514</v>
      </c>
      <c r="E658" s="5">
        <v>23363</v>
      </c>
      <c r="F658" s="28" t="str">
        <f>IFERROR(VLOOKUP(TAB_OFICINAS[[#This Row],[Cliente]],LISTA_DE_CLIENTES[[Código]:[Nome Fantasia]],2,FALSE),"")</f>
        <v>CESAR AUGUSTO ANTUNES SILVA</v>
      </c>
      <c r="G658" s="2" t="str">
        <f>IFERROR(VLOOKUP(TAB_OFICINAS[[#This Row],[Cliente]],LISTA_DE_CLIENTES[[Código]:[Nome Fantasia]],3,FALSE),"")</f>
        <v>CESAR AUGUSTO</v>
      </c>
      <c r="H658" s="63">
        <v>2115159794</v>
      </c>
      <c r="I658" s="28" t="s">
        <v>23149</v>
      </c>
      <c r="J658" s="91">
        <v>2</v>
      </c>
      <c r="K658" s="86">
        <v>46169</v>
      </c>
      <c r="L658" s="34">
        <v>2</v>
      </c>
      <c r="M658" s="6">
        <v>46176</v>
      </c>
      <c r="N658" s="6">
        <v>46176</v>
      </c>
      <c r="O658" s="19">
        <f>TAB_OFICINAS[[#This Row],[Data Retorno Produção]]-TAB_OFICINAS[[#This Row],[Data Prometida  Entrega]]</f>
        <v>0</v>
      </c>
      <c r="P658" s="40" t="str">
        <f>IF(TAB_OFICINAS[[#This Row],[Dias Para Entrega]]&lt;=0,"Em dia","Dia de Atrasado")</f>
        <v>Em dia</v>
      </c>
      <c r="Q658" s="10">
        <f>IFERROR(TAB_OFICINAS[[#This Row],[Qtd pçs Enviadas]]-TAB_OFICINAS[[#This Row],[Qtd pçs Retornadas ]]," ")</f>
        <v>0</v>
      </c>
      <c r="R658" s="10">
        <v>0</v>
      </c>
      <c r="S658" s="5">
        <v>3233</v>
      </c>
      <c r="T658" s="5">
        <v>17274</v>
      </c>
      <c r="U658" s="1">
        <v>8</v>
      </c>
      <c r="V658" s="3">
        <f>IFERROR(TAB_OFICINAS[[#This Row],[Valor Unit]]*TAB_OFICINAS[[#This Row],[Qtd pçs Enviadas]]," ")</f>
        <v>16</v>
      </c>
      <c r="W658" s="17">
        <v>46185</v>
      </c>
      <c r="X658" s="5" t="s">
        <v>6251</v>
      </c>
      <c r="Y658" s="4" t="s">
        <v>23143</v>
      </c>
      <c r="Z65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59" spans="3:26" hidden="1">
      <c r="C659" s="28" t="s">
        <v>15</v>
      </c>
      <c r="D659" s="5">
        <v>5514</v>
      </c>
      <c r="E659" s="5">
        <v>23363</v>
      </c>
      <c r="F659" s="28" t="str">
        <f>IFERROR(VLOOKUP(TAB_OFICINAS[[#This Row],[Cliente]],LISTA_DE_CLIENTES[[Código]:[Nome Fantasia]],2,FALSE),"")</f>
        <v>CESAR AUGUSTO ANTUNES SILVA</v>
      </c>
      <c r="G659" s="2" t="str">
        <f>IFERROR(VLOOKUP(TAB_OFICINAS[[#This Row],[Cliente]],LISTA_DE_CLIENTES[[Código]:[Nome Fantasia]],3,FALSE),"")</f>
        <v>CESAR AUGUSTO</v>
      </c>
      <c r="H659" s="63">
        <v>2115159793</v>
      </c>
      <c r="I659" s="28" t="s">
        <v>23150</v>
      </c>
      <c r="J659" s="91">
        <v>2</v>
      </c>
      <c r="K659" s="86">
        <v>46169</v>
      </c>
      <c r="L659" s="34">
        <v>2</v>
      </c>
      <c r="M659" s="6">
        <v>46176</v>
      </c>
      <c r="N659" s="6">
        <v>46176</v>
      </c>
      <c r="O659" s="19">
        <f>TAB_OFICINAS[[#This Row],[Data Retorno Produção]]-TAB_OFICINAS[[#This Row],[Data Prometida  Entrega]]</f>
        <v>0</v>
      </c>
      <c r="P659" s="40" t="str">
        <f>IF(TAB_OFICINAS[[#This Row],[Dias Para Entrega]]&lt;=0,"Em dia","Dia de Atrasado")</f>
        <v>Em dia</v>
      </c>
      <c r="Q659" s="10">
        <f>IFERROR(TAB_OFICINAS[[#This Row],[Qtd pçs Enviadas]]-TAB_OFICINAS[[#This Row],[Qtd pçs Retornadas ]]," ")</f>
        <v>0</v>
      </c>
      <c r="R659" s="10">
        <v>0</v>
      </c>
      <c r="S659" s="5">
        <v>3233</v>
      </c>
      <c r="T659" s="5">
        <v>17274</v>
      </c>
      <c r="U659" s="1">
        <v>8</v>
      </c>
      <c r="V659" s="3">
        <f>IFERROR(TAB_OFICINAS[[#This Row],[Valor Unit]]*TAB_OFICINAS[[#This Row],[Qtd pçs Enviadas]]," ")</f>
        <v>16</v>
      </c>
      <c r="W659" s="17">
        <v>46185</v>
      </c>
      <c r="X659" s="5" t="s">
        <v>6251</v>
      </c>
      <c r="Y659" s="4" t="s">
        <v>23144</v>
      </c>
      <c r="Z65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0" spans="3:26" hidden="1">
      <c r="C660" s="28" t="s">
        <v>15</v>
      </c>
      <c r="D660" s="5">
        <v>5514</v>
      </c>
      <c r="E660" s="5">
        <v>23363</v>
      </c>
      <c r="F660" s="28" t="str">
        <f>IFERROR(VLOOKUP(TAB_OFICINAS[[#This Row],[Cliente]],LISTA_DE_CLIENTES[[Código]:[Nome Fantasia]],2,FALSE),"")</f>
        <v>CESAR AUGUSTO ANTUNES SILVA</v>
      </c>
      <c r="G660" s="2" t="str">
        <f>IFERROR(VLOOKUP(TAB_OFICINAS[[#This Row],[Cliente]],LISTA_DE_CLIENTES[[Código]:[Nome Fantasia]],3,FALSE),"")</f>
        <v>CESAR AUGUSTO</v>
      </c>
      <c r="H660" s="63">
        <v>2115159792</v>
      </c>
      <c r="I660" s="28" t="s">
        <v>23151</v>
      </c>
      <c r="J660" s="91">
        <v>2</v>
      </c>
      <c r="K660" s="86">
        <v>46169</v>
      </c>
      <c r="L660" s="34">
        <v>2</v>
      </c>
      <c r="M660" s="6">
        <v>46176</v>
      </c>
      <c r="N660" s="6">
        <v>46176</v>
      </c>
      <c r="O660" s="19">
        <f>TAB_OFICINAS[[#This Row],[Data Retorno Produção]]-TAB_OFICINAS[[#This Row],[Data Prometida  Entrega]]</f>
        <v>0</v>
      </c>
      <c r="P660" s="40" t="str">
        <f>IF(TAB_OFICINAS[[#This Row],[Dias Para Entrega]]&lt;=0,"Em dia","Dia de Atrasado")</f>
        <v>Em dia</v>
      </c>
      <c r="Q660" s="10">
        <f>IFERROR(TAB_OFICINAS[[#This Row],[Qtd pçs Enviadas]]-TAB_OFICINAS[[#This Row],[Qtd pçs Retornadas ]]," ")</f>
        <v>0</v>
      </c>
      <c r="R660" s="10">
        <v>0</v>
      </c>
      <c r="S660" s="5">
        <v>3233</v>
      </c>
      <c r="T660" s="5">
        <v>17274</v>
      </c>
      <c r="U660" s="1">
        <v>8</v>
      </c>
      <c r="V660" s="3">
        <f>IFERROR(TAB_OFICINAS[[#This Row],[Valor Unit]]*TAB_OFICINAS[[#This Row],[Qtd pçs Enviadas]]," ")</f>
        <v>16</v>
      </c>
      <c r="W660" s="17">
        <v>46185</v>
      </c>
      <c r="X660" s="5" t="s">
        <v>6251</v>
      </c>
      <c r="Y660" s="4" t="s">
        <v>23146</v>
      </c>
      <c r="Z66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1" spans="3:26" hidden="1">
      <c r="C661" s="28" t="s">
        <v>15</v>
      </c>
      <c r="D661" s="5">
        <v>5514</v>
      </c>
      <c r="E661" s="5">
        <v>23363</v>
      </c>
      <c r="F661" s="28" t="str">
        <f>IFERROR(VLOOKUP(TAB_OFICINAS[[#This Row],[Cliente]],LISTA_DE_CLIENTES[[Código]:[Nome Fantasia]],2,FALSE),"")</f>
        <v>CESAR AUGUSTO ANTUNES SILVA</v>
      </c>
      <c r="G661" s="2" t="str">
        <f>IFERROR(VLOOKUP(TAB_OFICINAS[[#This Row],[Cliente]],LISTA_DE_CLIENTES[[Código]:[Nome Fantasia]],3,FALSE),"")</f>
        <v>CESAR AUGUSTO</v>
      </c>
      <c r="H661" s="63">
        <v>2115159798</v>
      </c>
      <c r="I661" s="28" t="s">
        <v>23152</v>
      </c>
      <c r="J661" s="91">
        <v>2</v>
      </c>
      <c r="K661" s="86">
        <v>46169</v>
      </c>
      <c r="L661" s="34">
        <v>2</v>
      </c>
      <c r="M661" s="6">
        <v>46176</v>
      </c>
      <c r="N661" s="6">
        <v>46176</v>
      </c>
      <c r="O661" s="19">
        <f>TAB_OFICINAS[[#This Row],[Data Retorno Produção]]-TAB_OFICINAS[[#This Row],[Data Prometida  Entrega]]</f>
        <v>0</v>
      </c>
      <c r="P661" s="40" t="str">
        <f>IF(TAB_OFICINAS[[#This Row],[Dias Para Entrega]]&lt;=0,"Em dia","Dia de Atrasado")</f>
        <v>Em dia</v>
      </c>
      <c r="Q661" s="10">
        <f>IFERROR(TAB_OFICINAS[[#This Row],[Qtd pçs Enviadas]]-TAB_OFICINAS[[#This Row],[Qtd pçs Retornadas ]]," ")</f>
        <v>0</v>
      </c>
      <c r="R661" s="10">
        <v>0</v>
      </c>
      <c r="S661" s="5">
        <v>3233</v>
      </c>
      <c r="T661" s="5">
        <v>17274</v>
      </c>
      <c r="U661" s="1">
        <v>8</v>
      </c>
      <c r="V661" s="3">
        <f>IFERROR(TAB_OFICINAS[[#This Row],[Valor Unit]]*TAB_OFICINAS[[#This Row],[Qtd pçs Enviadas]]," ")</f>
        <v>16</v>
      </c>
      <c r="W661" s="17">
        <v>46185</v>
      </c>
      <c r="X661" s="5" t="s">
        <v>6251</v>
      </c>
      <c r="Y661" s="4" t="s">
        <v>23147</v>
      </c>
      <c r="Z66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2" spans="3:26" hidden="1">
      <c r="C662" s="28" t="s">
        <v>15</v>
      </c>
      <c r="D662" s="5">
        <v>5514</v>
      </c>
      <c r="E662" s="5">
        <v>23363</v>
      </c>
      <c r="F662" s="28" t="str">
        <f>IFERROR(VLOOKUP(TAB_OFICINAS[[#This Row],[Cliente]],LISTA_DE_CLIENTES[[Código]:[Nome Fantasia]],2,FALSE),"")</f>
        <v>CESAR AUGUSTO ANTUNES SILVA</v>
      </c>
      <c r="G662" s="2" t="str">
        <f>IFERROR(VLOOKUP(TAB_OFICINAS[[#This Row],[Cliente]],LISTA_DE_CLIENTES[[Código]:[Nome Fantasia]],3,FALSE),"")</f>
        <v>CESAR AUGUSTO</v>
      </c>
      <c r="H662" s="63">
        <v>2115159795</v>
      </c>
      <c r="I662" s="28" t="s">
        <v>23148</v>
      </c>
      <c r="J662" s="91">
        <v>2</v>
      </c>
      <c r="K662" s="86">
        <v>46169</v>
      </c>
      <c r="L662" s="34">
        <v>2</v>
      </c>
      <c r="M662" s="6">
        <v>46176</v>
      </c>
      <c r="N662" s="6">
        <v>46176</v>
      </c>
      <c r="O662" s="19">
        <f>TAB_OFICINAS[[#This Row],[Data Retorno Produção]]-TAB_OFICINAS[[#This Row],[Data Prometida  Entrega]]</f>
        <v>0</v>
      </c>
      <c r="P662" s="40" t="str">
        <f>IF(TAB_OFICINAS[[#This Row],[Dias Para Entrega]]&lt;=0,"Em dia","Dia de Atrasado")</f>
        <v>Em dia</v>
      </c>
      <c r="Q662" s="10">
        <f>IFERROR(TAB_OFICINAS[[#This Row],[Qtd pçs Enviadas]]-TAB_OFICINAS[[#This Row],[Qtd pçs Retornadas ]],"N/D ")</f>
        <v>0</v>
      </c>
      <c r="R662" s="10">
        <v>0</v>
      </c>
      <c r="S662" s="5">
        <v>3233</v>
      </c>
      <c r="T662" s="5">
        <v>17274</v>
      </c>
      <c r="U662" s="1">
        <v>8</v>
      </c>
      <c r="V662" s="3">
        <f>IFERROR(TAB_OFICINAS[[#This Row],[Valor Unit]]*TAB_OFICINAS[[#This Row],[Qtd pçs Enviadas]]," ")</f>
        <v>16</v>
      </c>
      <c r="W662" s="17">
        <v>46185</v>
      </c>
      <c r="X662" s="5" t="s">
        <v>6251</v>
      </c>
      <c r="Y662" s="4" t="s">
        <v>23155</v>
      </c>
      <c r="Z66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3" spans="3:26" hidden="1">
      <c r="C663" s="28" t="s">
        <v>15</v>
      </c>
      <c r="D663" s="5">
        <v>5514</v>
      </c>
      <c r="E663" s="5">
        <v>23363</v>
      </c>
      <c r="F663" s="28" t="str">
        <f>IFERROR(VLOOKUP(TAB_OFICINAS[[#This Row],[Cliente]],LISTA_DE_CLIENTES[[Código]:[Nome Fantasia]],2,FALSE),"")</f>
        <v>CESAR AUGUSTO ANTUNES SILVA</v>
      </c>
      <c r="G663" s="2" t="str">
        <f>IFERROR(VLOOKUP(TAB_OFICINAS[[#This Row],[Cliente]],LISTA_DE_CLIENTES[[Código]:[Nome Fantasia]],3,FALSE),"")</f>
        <v>CESAR AUGUSTO</v>
      </c>
      <c r="H663" s="63">
        <v>2115159799</v>
      </c>
      <c r="I663" s="28" t="s">
        <v>23142</v>
      </c>
      <c r="J663" s="91">
        <v>2</v>
      </c>
      <c r="K663" s="86">
        <v>46169</v>
      </c>
      <c r="L663" s="34">
        <v>2</v>
      </c>
      <c r="M663" s="6">
        <v>46176</v>
      </c>
      <c r="N663" s="6">
        <v>46176</v>
      </c>
      <c r="O663" s="19">
        <f>TAB_OFICINAS[[#This Row],[Data Retorno Produção]]-TAB_OFICINAS[[#This Row],[Data Prometida  Entrega]]</f>
        <v>0</v>
      </c>
      <c r="P663" s="40" t="str">
        <f>IF(TAB_OFICINAS[[#This Row],[Dias Para Entrega]]&lt;=0,"Em dia","Dia de Atrasado")</f>
        <v>Em dia</v>
      </c>
      <c r="Q663" s="10">
        <f>IFERROR(TAB_OFICINAS[[#This Row],[Qtd pçs Enviadas]]-TAB_OFICINAS[[#This Row],[Qtd pçs Retornadas ]]," ")</f>
        <v>0</v>
      </c>
      <c r="R663" s="10">
        <v>0</v>
      </c>
      <c r="S663" s="5">
        <v>3233</v>
      </c>
      <c r="T663" s="5">
        <v>17274</v>
      </c>
      <c r="U663" s="1">
        <v>8</v>
      </c>
      <c r="V663" s="3">
        <f>IFERROR(TAB_OFICINAS[[#This Row],[Valor Unit]]*TAB_OFICINAS[[#This Row],[Qtd pçs Enviadas]]," ")</f>
        <v>16</v>
      </c>
      <c r="W663" s="17">
        <v>46185</v>
      </c>
      <c r="X663" s="5" t="s">
        <v>6251</v>
      </c>
      <c r="Y663" s="4" t="s">
        <v>23145</v>
      </c>
      <c r="Z66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4" spans="3:26" ht="12.75" hidden="1" customHeight="1">
      <c r="C664" s="28" t="s">
        <v>15</v>
      </c>
      <c r="D664" s="5">
        <v>5514</v>
      </c>
      <c r="E664" s="5">
        <v>23363</v>
      </c>
      <c r="F664" s="28" t="str">
        <f>IFERROR(VLOOKUP(TAB_OFICINAS[[#This Row],[Cliente]],LISTA_DE_CLIENTES[[Código]:[Nome Fantasia]],2,FALSE),"")</f>
        <v>CESAR AUGUSTO ANTUNES SILVA</v>
      </c>
      <c r="G664" s="2" t="str">
        <f>IFERROR(VLOOKUP(TAB_OFICINAS[[#This Row],[Cliente]],LISTA_DE_CLIENTES[[Código]:[Nome Fantasia]],3,FALSE),"")</f>
        <v>CESAR AUGUSTO</v>
      </c>
      <c r="H664" s="51" t="s">
        <v>23962</v>
      </c>
      <c r="I664" s="28" t="s">
        <v>23160</v>
      </c>
      <c r="J664" s="91">
        <v>2</v>
      </c>
      <c r="K664" s="86">
        <v>46169</v>
      </c>
      <c r="L664" s="34">
        <v>2</v>
      </c>
      <c r="M664" s="6">
        <v>46176</v>
      </c>
      <c r="N664" s="6">
        <v>46176</v>
      </c>
      <c r="O664" s="19">
        <f>TAB_OFICINAS[[#This Row],[Data Retorno Produção]]-TAB_OFICINAS[[#This Row],[Data Prometida  Entrega]]</f>
        <v>0</v>
      </c>
      <c r="P664" s="40" t="str">
        <f>IF(TAB_OFICINAS[[#This Row],[Dias Para Entrega]]&lt;=0,"Em dia","Dia de Atrasado")</f>
        <v>Em dia</v>
      </c>
      <c r="Q664" s="10">
        <f>IFERROR(TAB_OFICINAS[[#This Row],[Qtd pçs Enviadas]]-TAB_OFICINAS[[#This Row],[Qtd pçs Retornadas ]]," ")</f>
        <v>0</v>
      </c>
      <c r="R664" s="10">
        <v>0</v>
      </c>
      <c r="S664" s="5">
        <v>3233</v>
      </c>
      <c r="T664" s="5">
        <v>17274</v>
      </c>
      <c r="U664" s="1">
        <v>8</v>
      </c>
      <c r="V664" s="3">
        <f>IFERROR(TAB_OFICINAS[[#This Row],[Valor Unit]]*TAB_OFICINAS[[#This Row],[Qtd pçs Enviadas]]," ")</f>
        <v>16</v>
      </c>
      <c r="W664" s="17">
        <v>46185</v>
      </c>
      <c r="X664" s="5" t="s">
        <v>6251</v>
      </c>
      <c r="Y664" s="4" t="s">
        <v>23147</v>
      </c>
      <c r="Z66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5" spans="3:26" hidden="1">
      <c r="C665" s="28" t="s">
        <v>15</v>
      </c>
      <c r="D665" s="5">
        <v>5514</v>
      </c>
      <c r="E665" s="5">
        <v>23363</v>
      </c>
      <c r="F665" s="28" t="str">
        <f>IFERROR(VLOOKUP(TAB_OFICINAS[[#This Row],[Cliente]],LISTA_DE_CLIENTES[[Código]:[Nome Fantasia]],2,FALSE),"")</f>
        <v>CESAR AUGUSTO ANTUNES SILVA</v>
      </c>
      <c r="G665" s="2" t="str">
        <f>IFERROR(VLOOKUP(TAB_OFICINAS[[#This Row],[Cliente]],LISTA_DE_CLIENTES[[Código]:[Nome Fantasia]],3,FALSE),"")</f>
        <v>CESAR AUGUSTO</v>
      </c>
      <c r="H665" s="51" t="s">
        <v>23962</v>
      </c>
      <c r="I665" s="28" t="s">
        <v>23159</v>
      </c>
      <c r="J665" s="91">
        <v>2</v>
      </c>
      <c r="K665" s="86">
        <v>46169</v>
      </c>
      <c r="L665" s="34">
        <v>2</v>
      </c>
      <c r="M665" s="6">
        <v>46176</v>
      </c>
      <c r="N665" s="6">
        <v>46176</v>
      </c>
      <c r="O665" s="19">
        <f>TAB_OFICINAS[[#This Row],[Data Retorno Produção]]-TAB_OFICINAS[[#This Row],[Data Prometida  Entrega]]</f>
        <v>0</v>
      </c>
      <c r="P665" s="40" t="str">
        <f>IF(TAB_OFICINAS[[#This Row],[Dias Para Entrega]]&lt;=0,"Em dia","Dia de Atrasado")</f>
        <v>Em dia</v>
      </c>
      <c r="Q665" s="10">
        <f>IFERROR(TAB_OFICINAS[[#This Row],[Qtd pçs Enviadas]]-TAB_OFICINAS[[#This Row],[Qtd pçs Retornadas ]]," ")</f>
        <v>0</v>
      </c>
      <c r="R665" s="10">
        <v>0</v>
      </c>
      <c r="S665" s="5">
        <v>3233</v>
      </c>
      <c r="T665" s="5">
        <v>17274</v>
      </c>
      <c r="U665" s="1">
        <v>8</v>
      </c>
      <c r="V665" s="3">
        <f>IFERROR(TAB_OFICINAS[[#This Row],[Valor Unit]]*TAB_OFICINAS[[#This Row],[Qtd pçs Enviadas]]," ")</f>
        <v>16</v>
      </c>
      <c r="W665" s="17">
        <v>46185</v>
      </c>
      <c r="X665" s="5" t="s">
        <v>6251</v>
      </c>
      <c r="Y665" s="4" t="s">
        <v>23145</v>
      </c>
      <c r="Z66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6" spans="3:26" hidden="1">
      <c r="C666" s="28" t="s">
        <v>15</v>
      </c>
      <c r="D666" s="5">
        <v>5514</v>
      </c>
      <c r="E666" s="5">
        <v>23363</v>
      </c>
      <c r="F666" s="28" t="str">
        <f>IFERROR(VLOOKUP(TAB_OFICINAS[[#This Row],[Cliente]],LISTA_DE_CLIENTES[[Código]:[Nome Fantasia]],2,FALSE),"")</f>
        <v>CESAR AUGUSTO ANTUNES SILVA</v>
      </c>
      <c r="G666" s="2" t="str">
        <f>IFERROR(VLOOKUP(TAB_OFICINAS[[#This Row],[Cliente]],LISTA_DE_CLIENTES[[Código]:[Nome Fantasia]],3,FALSE),"")</f>
        <v>CESAR AUGUSTO</v>
      </c>
      <c r="H666" s="51" t="s">
        <v>23962</v>
      </c>
      <c r="I666" s="28" t="s">
        <v>23173</v>
      </c>
      <c r="J666" s="91">
        <v>2</v>
      </c>
      <c r="K666" s="86">
        <v>46169</v>
      </c>
      <c r="L666" s="34">
        <v>2</v>
      </c>
      <c r="M666" s="6">
        <v>46176</v>
      </c>
      <c r="N666" s="6">
        <v>46176</v>
      </c>
      <c r="O666" s="19">
        <f>TAB_OFICINAS[[#This Row],[Data Retorno Produção]]-TAB_OFICINAS[[#This Row],[Data Prometida  Entrega]]</f>
        <v>0</v>
      </c>
      <c r="P666" s="40" t="str">
        <f>IF(TAB_OFICINAS[[#This Row],[Dias Para Entrega]]&lt;=0,"Em dia","Dia de Atrasado")</f>
        <v>Em dia</v>
      </c>
      <c r="Q666" s="10">
        <f>IFERROR(TAB_OFICINAS[[#This Row],[Qtd pçs Enviadas]]-TAB_OFICINAS[[#This Row],[Qtd pçs Retornadas ]],"N/D ")</f>
        <v>0</v>
      </c>
      <c r="R666" s="10">
        <v>0</v>
      </c>
      <c r="S666" s="5">
        <v>3233</v>
      </c>
      <c r="T666" s="5">
        <v>17274</v>
      </c>
      <c r="U666" s="1">
        <v>8</v>
      </c>
      <c r="V666" s="3">
        <f>IFERROR(TAB_OFICINAS[[#This Row],[Valor Unit]]*TAB_OFICINAS[[#This Row],[Qtd pçs Enviadas]]," ")</f>
        <v>16</v>
      </c>
      <c r="W666" s="17">
        <v>46185</v>
      </c>
      <c r="X666" s="5" t="s">
        <v>6251</v>
      </c>
      <c r="Y666" s="4" t="s">
        <v>23147</v>
      </c>
      <c r="Z66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7" spans="3:26" hidden="1">
      <c r="C667" s="28" t="s">
        <v>15</v>
      </c>
      <c r="D667" s="5">
        <v>5514</v>
      </c>
      <c r="E667" s="5">
        <v>23363</v>
      </c>
      <c r="F667" s="28" t="str">
        <f>IFERROR(VLOOKUP(TAB_OFICINAS[[#This Row],[Cliente]],LISTA_DE_CLIENTES[[Código]:[Nome Fantasia]],2,FALSE),"")</f>
        <v>CESAR AUGUSTO ANTUNES SILVA</v>
      </c>
      <c r="G667" s="2" t="str">
        <f>IFERROR(VLOOKUP(TAB_OFICINAS[[#This Row],[Cliente]],LISTA_DE_CLIENTES[[Código]:[Nome Fantasia]],3,FALSE),"")</f>
        <v>CESAR AUGUSTO</v>
      </c>
      <c r="H667" s="51" t="s">
        <v>23962</v>
      </c>
      <c r="I667" s="28" t="s">
        <v>23174</v>
      </c>
      <c r="J667" s="91">
        <v>2</v>
      </c>
      <c r="K667" s="86">
        <v>46169</v>
      </c>
      <c r="L667" s="34">
        <v>2</v>
      </c>
      <c r="M667" s="6">
        <v>46176</v>
      </c>
      <c r="N667" s="6">
        <v>46176</v>
      </c>
      <c r="O667" s="19">
        <f>TAB_OFICINAS[[#This Row],[Data Retorno Produção]]-TAB_OFICINAS[[#This Row],[Data Prometida  Entrega]]</f>
        <v>0</v>
      </c>
      <c r="P667" s="40" t="str">
        <f>IF(TAB_OFICINAS[[#This Row],[Dias Para Entrega]]&lt;=0,"Em dia","Dia de Atrasado")</f>
        <v>Em dia</v>
      </c>
      <c r="Q667" s="10">
        <f>IFERROR(TAB_OFICINAS[[#This Row],[Qtd pçs Enviadas]]-TAB_OFICINAS[[#This Row],[Qtd pçs Retornadas ]],"N/D ")</f>
        <v>0</v>
      </c>
      <c r="R667" s="10">
        <v>0</v>
      </c>
      <c r="S667" s="5">
        <v>3233</v>
      </c>
      <c r="T667" s="5">
        <v>17274</v>
      </c>
      <c r="U667" s="1">
        <v>8</v>
      </c>
      <c r="V667" s="3">
        <f>IFERROR(TAB_OFICINAS[[#This Row],[Valor Unit]]*TAB_OFICINAS[[#This Row],[Qtd pçs Enviadas]]," ")</f>
        <v>16</v>
      </c>
      <c r="W667" s="17">
        <v>46185</v>
      </c>
      <c r="X667" s="5" t="s">
        <v>6251</v>
      </c>
      <c r="Y667" s="4" t="s">
        <v>23145</v>
      </c>
      <c r="Z6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8" spans="3:26" hidden="1">
      <c r="C668" s="28" t="s">
        <v>15</v>
      </c>
      <c r="D668" s="5">
        <v>5550</v>
      </c>
      <c r="E668" s="5">
        <v>23414</v>
      </c>
      <c r="F668" s="28" t="str">
        <f>IFERROR(VLOOKUP(TAB_OFICINAS[[#This Row],[Cliente]],LISTA_DE_CLIENTES[[Código]:[Nome Fantasia]],2,FALSE),"")</f>
        <v>BRUNA COVELO PINTO</v>
      </c>
      <c r="G668" s="2" t="str">
        <f>IFERROR(VLOOKUP(TAB_OFICINAS[[#This Row],[Cliente]],LISTA_DE_CLIENTES[[Código]:[Nome Fantasia]],3,FALSE),"")</f>
        <v>BRUNA COVELO PINTO</v>
      </c>
      <c r="H668" s="63">
        <v>2101019890</v>
      </c>
      <c r="I668" s="28" t="s">
        <v>22915</v>
      </c>
      <c r="J668" s="91">
        <v>2</v>
      </c>
      <c r="K668" s="86">
        <v>46174</v>
      </c>
      <c r="L668" s="34">
        <v>2</v>
      </c>
      <c r="M668" s="6">
        <v>46181</v>
      </c>
      <c r="N668" s="6">
        <v>46182</v>
      </c>
      <c r="O668" s="19">
        <f>TAB_OFICINAS[[#This Row],[Data Retorno Produção]]-TAB_OFICINAS[[#This Row],[Data Prometida  Entrega]]</f>
        <v>1</v>
      </c>
      <c r="P668" s="40" t="str">
        <f>IF(TAB_OFICINAS[[#This Row],[Dias Para Entrega]]&lt;=0,"Em dia","Dia de Atrasado")</f>
        <v>Dia de Atrasado</v>
      </c>
      <c r="Q668" s="10">
        <f>IFERROR(TAB_OFICINAS[[#This Row],[Qtd pçs Enviadas]]-TAB_OFICINAS[[#This Row],[Qtd pçs Retornadas ]]," ")</f>
        <v>0</v>
      </c>
      <c r="R668" s="10">
        <v>0</v>
      </c>
      <c r="S668" s="5">
        <v>865</v>
      </c>
      <c r="T668" s="5">
        <v>17280</v>
      </c>
      <c r="U668" s="1">
        <v>12</v>
      </c>
      <c r="V668" s="3">
        <f>IFERROR(TAB_OFICINAS[[#This Row],[Valor Unit]]*TAB_OFICINAS[[#This Row],[Qtd pçs Enviadas]]," ")</f>
        <v>24</v>
      </c>
      <c r="W668" s="17">
        <v>46189</v>
      </c>
      <c r="X668" s="5" t="s">
        <v>6251</v>
      </c>
      <c r="Y668" s="4" t="s">
        <v>22867</v>
      </c>
      <c r="Z6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69" spans="3:26" hidden="1">
      <c r="C669" s="28" t="s">
        <v>15</v>
      </c>
      <c r="D669" s="5">
        <v>5550</v>
      </c>
      <c r="E669" s="5">
        <v>23414</v>
      </c>
      <c r="F669" s="28" t="str">
        <f>IFERROR(VLOOKUP(TAB_OFICINAS[[#This Row],[Cliente]],LISTA_DE_CLIENTES[[Código]:[Nome Fantasia]],2,FALSE),"")</f>
        <v>BRUNA COVELO PINTO</v>
      </c>
      <c r="G669" s="2" t="str">
        <f>IFERROR(VLOOKUP(TAB_OFICINAS[[#This Row],[Cliente]],LISTA_DE_CLIENTES[[Código]:[Nome Fantasia]],3,FALSE),"")</f>
        <v>BRUNA COVELO PINTO</v>
      </c>
      <c r="H669" s="63">
        <v>2111019884</v>
      </c>
      <c r="I669" s="28" t="s">
        <v>22924</v>
      </c>
      <c r="J669" s="91">
        <v>2</v>
      </c>
      <c r="K669" s="86">
        <v>46174</v>
      </c>
      <c r="L669" s="34">
        <v>2</v>
      </c>
      <c r="M669" s="6">
        <v>46181</v>
      </c>
      <c r="N669" s="6">
        <v>46182</v>
      </c>
      <c r="O669" s="19">
        <f>TAB_OFICINAS[[#This Row],[Data Retorno Produção]]-TAB_OFICINAS[[#This Row],[Data Prometida  Entrega]]</f>
        <v>1</v>
      </c>
      <c r="P669" s="40" t="str">
        <f>IF(TAB_OFICINAS[[#This Row],[Dias Para Entrega]]&lt;=0,"Em dia","Dia de Atrasado")</f>
        <v>Dia de Atrasado</v>
      </c>
      <c r="Q669" s="10">
        <f>IFERROR(TAB_OFICINAS[[#This Row],[Qtd pçs Enviadas]]-TAB_OFICINAS[[#This Row],[Qtd pçs Retornadas ]]," ")</f>
        <v>0</v>
      </c>
      <c r="R669" s="10">
        <v>0</v>
      </c>
      <c r="S669" s="5">
        <v>865</v>
      </c>
      <c r="T669" s="5">
        <v>17280</v>
      </c>
      <c r="U669" s="1">
        <v>12</v>
      </c>
      <c r="V669" s="3">
        <f>IFERROR(TAB_OFICINAS[[#This Row],[Valor Unit]]*TAB_OFICINAS[[#This Row],[Qtd pçs Enviadas]]," ")</f>
        <v>24</v>
      </c>
      <c r="W669" s="17">
        <v>46189</v>
      </c>
      <c r="X669" s="5" t="s">
        <v>6251</v>
      </c>
      <c r="Y669" s="4" t="s">
        <v>22867</v>
      </c>
      <c r="Z6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0" spans="3:26" hidden="1">
      <c r="C670" s="28" t="s">
        <v>15</v>
      </c>
      <c r="D670" s="5">
        <v>5550</v>
      </c>
      <c r="E670" s="5">
        <v>23414</v>
      </c>
      <c r="F670" s="28" t="str">
        <f>IFERROR(VLOOKUP(TAB_OFICINAS[[#This Row],[Cliente]],LISTA_DE_CLIENTES[[Código]:[Nome Fantasia]],2,FALSE),"")</f>
        <v>BRUNA COVELO PINTO</v>
      </c>
      <c r="G670" s="2" t="str">
        <f>IFERROR(VLOOKUP(TAB_OFICINAS[[#This Row],[Cliente]],LISTA_DE_CLIENTES[[Código]:[Nome Fantasia]],3,FALSE),"")</f>
        <v>BRUNA COVELO PINTO</v>
      </c>
      <c r="H670" s="63">
        <v>2111019887</v>
      </c>
      <c r="I670" s="28" t="s">
        <v>22930</v>
      </c>
      <c r="J670" s="91">
        <v>2</v>
      </c>
      <c r="K670" s="86">
        <v>46174</v>
      </c>
      <c r="L670" s="34">
        <v>2</v>
      </c>
      <c r="M670" s="6">
        <v>46181</v>
      </c>
      <c r="N670" s="6">
        <v>46181</v>
      </c>
      <c r="O670" s="19">
        <f>TAB_OFICINAS[[#This Row],[Data Retorno Produção]]-TAB_OFICINAS[[#This Row],[Data Prometida  Entrega]]</f>
        <v>0</v>
      </c>
      <c r="P670" s="40" t="str">
        <f>IF(TAB_OFICINAS[[#This Row],[Dias Para Entrega]]&lt;=0,"Em dia","Dia de Atrasado")</f>
        <v>Em dia</v>
      </c>
      <c r="Q670" s="10">
        <f>IFERROR(TAB_OFICINAS[[#This Row],[Qtd pçs Enviadas]]-TAB_OFICINAS[[#This Row],[Qtd pçs Retornadas ]]," ")</f>
        <v>0</v>
      </c>
      <c r="R670" s="10">
        <v>0</v>
      </c>
      <c r="S670" s="5">
        <v>865</v>
      </c>
      <c r="T670" s="5">
        <v>17280</v>
      </c>
      <c r="U670" s="1">
        <v>32</v>
      </c>
      <c r="V670" s="3">
        <f>IFERROR(TAB_OFICINAS[[#This Row],[Valor Unit]]*TAB_OFICINAS[[#This Row],[Qtd pçs Enviadas]]," ")</f>
        <v>64</v>
      </c>
      <c r="W670" s="17">
        <v>46189</v>
      </c>
      <c r="X670" s="5" t="s">
        <v>6251</v>
      </c>
      <c r="Y670" s="4" t="s">
        <v>23175</v>
      </c>
      <c r="Z67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1" spans="3:26" hidden="1">
      <c r="C671" s="28" t="s">
        <v>15</v>
      </c>
      <c r="D671" s="5">
        <v>5594</v>
      </c>
      <c r="E671" s="5">
        <v>23577</v>
      </c>
      <c r="F671" s="28" t="str">
        <f>IFERROR(VLOOKUP(TAB_OFICINAS[[#This Row],[Cliente]],LISTA_DE_CLIENTES[[Código]:[Nome Fantasia]],2,FALSE),"")</f>
        <v>CAROLINA RAUCCI TUTUNDJIAN</v>
      </c>
      <c r="G671" s="2" t="str">
        <f>IFERROR(VLOOKUP(TAB_OFICINAS[[#This Row],[Cliente]],LISTA_DE_CLIENTES[[Código]:[Nome Fantasia]],3,FALSE),"")</f>
        <v>CAROLINA RAUCCI TUTU</v>
      </c>
      <c r="H671" s="63">
        <v>2111309939</v>
      </c>
      <c r="I671" s="28" t="s">
        <v>22934</v>
      </c>
      <c r="J671" s="91">
        <v>2</v>
      </c>
      <c r="K671" s="86">
        <v>46181</v>
      </c>
      <c r="L671" s="34">
        <v>2</v>
      </c>
      <c r="M671" s="6">
        <v>46183</v>
      </c>
      <c r="N671" s="6">
        <v>46182</v>
      </c>
      <c r="O671" s="19">
        <f>TAB_OFICINAS[[#This Row],[Data Retorno Produção]]-TAB_OFICINAS[[#This Row],[Data Prometida  Entrega]]</f>
        <v>-1</v>
      </c>
      <c r="P671" s="40" t="str">
        <f>IF(TAB_OFICINAS[[#This Row],[Dias Para Entrega]]&lt;=0,"Em dia","Dia de Atrasado")</f>
        <v>Em dia</v>
      </c>
      <c r="Q671" s="10">
        <f>IFERROR(TAB_OFICINAS[[#This Row],[Qtd pçs Enviadas]]-TAB_OFICINAS[[#This Row],[Qtd pçs Retornadas ]]," ")</f>
        <v>0</v>
      </c>
      <c r="R671" s="10">
        <v>0</v>
      </c>
      <c r="S671" s="5">
        <v>3254</v>
      </c>
      <c r="T671" s="5">
        <v>17294</v>
      </c>
      <c r="U671" s="1">
        <v>12</v>
      </c>
      <c r="V671" s="3">
        <f>IFERROR(TAB_OFICINAS[[#This Row],[Valor Unit]]*TAB_OFICINAS[[#This Row],[Qtd pçs Enviadas]]," ")</f>
        <v>24</v>
      </c>
      <c r="W671" s="17">
        <v>46191</v>
      </c>
      <c r="X671" s="5" t="s">
        <v>6251</v>
      </c>
      <c r="Y671" s="4" t="s">
        <v>23183</v>
      </c>
      <c r="Z6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2" spans="3:26" hidden="1">
      <c r="C672" s="28" t="s">
        <v>15</v>
      </c>
      <c r="D672" s="5">
        <v>1281</v>
      </c>
      <c r="E672" s="5">
        <v>23885</v>
      </c>
      <c r="F672" s="28" t="str">
        <f>IFERROR(VLOOKUP(TAB_OFICINAS[[#This Row],[Cliente]],LISTA_DE_CLIENTES[[Código]:[Nome Fantasia]],2,FALSE),"")</f>
        <v>PALACIO TANGARA DESENVOLVIMENTO IMOBILIARIO E EXPL</v>
      </c>
      <c r="G672" s="2" t="str">
        <f>IFERROR(VLOOKUP(TAB_OFICINAS[[#This Row],[Cliente]],LISTA_DE_CLIENTES[[Código]:[Nome Fantasia]],3,FALSE),"")</f>
        <v>PALÁCIO TANGARÁ</v>
      </c>
      <c r="H672" s="51">
        <v>3301096391</v>
      </c>
      <c r="I672" s="28" t="s">
        <v>23450</v>
      </c>
      <c r="J672" s="91">
        <v>2</v>
      </c>
      <c r="K672" s="88">
        <v>46206</v>
      </c>
      <c r="L672" s="9">
        <v>2</v>
      </c>
      <c r="M672" s="6">
        <v>46209</v>
      </c>
      <c r="N672" s="6">
        <v>46209</v>
      </c>
      <c r="O672" s="23">
        <f>TAB_OFICINAS[[#This Row],[Data Retorno Produção]]-TAB_OFICINAS[[#This Row],[Data Prometida  Entrega]]</f>
        <v>0</v>
      </c>
      <c r="P672" s="98" t="str">
        <f>IF(TAB_OFICINAS[[#This Row],[Dias Para Entrega]]&lt;=0,"Em dia","Dia de Atrasado")</f>
        <v>Em dia</v>
      </c>
      <c r="Q672" s="24">
        <f>IFERROR(TAB_OFICINAS[[#This Row],[Qtd pçs Enviadas]]-TAB_OFICINAS[[#This Row],[Qtd pçs Retornadas ]],"N/D ")</f>
        <v>0</v>
      </c>
      <c r="R672" s="24"/>
      <c r="S672" s="5">
        <v>914</v>
      </c>
      <c r="T672" s="5">
        <v>17402</v>
      </c>
      <c r="U672" s="11">
        <v>12</v>
      </c>
      <c r="V672" s="25">
        <f>IFERROR(TAB_OFICINAS[[#This Row],[Valor Unit]]*TAB_OFICINAS[[#This Row],[Qtd pçs Enviadas]]," ")</f>
        <v>24</v>
      </c>
      <c r="W672" s="26">
        <v>46216</v>
      </c>
      <c r="X672" s="17" t="s">
        <v>6251</v>
      </c>
      <c r="Y672" s="27" t="s">
        <v>23452</v>
      </c>
      <c r="Z6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3" spans="3:26" hidden="1">
      <c r="C673" s="28" t="s">
        <v>15</v>
      </c>
      <c r="D673" s="5">
        <v>3107</v>
      </c>
      <c r="E673" s="5">
        <v>22529</v>
      </c>
      <c r="F673" s="28" t="str">
        <f>IFERROR(VLOOKUP(TAB_OFICINAS[[#This Row],[Cliente]],LISTA_DE_CLIENTES[[Código]:[Nome Fantasia]],2,FALSE),"")</f>
        <v>HCC HOTELS GESTAO HOTELEIRA LTDA.</v>
      </c>
      <c r="G673" s="5" t="str">
        <f>IFERROR(VLOOKUP(TAB_OFICINAS[[#This Row],[Cliente]],LISTA_DE_CLIENTES[[Código]:[Nome Fantasia]],3,FALSE),"")</f>
        <v>QOYA SP</v>
      </c>
      <c r="H673" s="51">
        <v>3302018560</v>
      </c>
      <c r="I673" s="69" t="s">
        <v>20391</v>
      </c>
      <c r="J673" s="91">
        <v>1</v>
      </c>
      <c r="K673" s="86">
        <v>46035</v>
      </c>
      <c r="L673" s="10">
        <v>1</v>
      </c>
      <c r="M673" s="6">
        <v>46038</v>
      </c>
      <c r="N673" s="6">
        <v>46038</v>
      </c>
      <c r="O673" s="19">
        <f>TAB_OFICINAS[[#This Row],[Data Retorno Produção]]-TAB_OFICINAS[[#This Row],[Data Prometida  Entrega]]</f>
        <v>0</v>
      </c>
      <c r="P673" s="40" t="str">
        <f>IF(TAB_OFICINAS[[#This Row],[Dias Para Entrega]]&lt;=0,"Em dia","Dia de Atrasado")</f>
        <v>Em dia</v>
      </c>
      <c r="Q673" s="10">
        <f>IFERROR(TAB_OFICINAS[[#This Row],[Qtd pçs Enviadas]]-TAB_OFICINAS[[#This Row],[Qtd pçs Retornadas ]],"N/D ")</f>
        <v>0</v>
      </c>
      <c r="R673" s="10">
        <v>0</v>
      </c>
      <c r="S673" s="5">
        <v>3079</v>
      </c>
      <c r="T673" s="5">
        <v>16885</v>
      </c>
      <c r="U673" s="52">
        <v>12</v>
      </c>
      <c r="V673" s="44">
        <f>IFERROR(TAB_OFICINAS[[#This Row],[Valor Unit]]*TAB_OFICINAS[[#This Row],[Qtd pçs Enviadas]]," ")</f>
        <v>12</v>
      </c>
      <c r="W673" s="17">
        <v>46059</v>
      </c>
      <c r="X673" s="5" t="s">
        <v>6251</v>
      </c>
      <c r="Y673" s="27"/>
      <c r="Z6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4" spans="3:26" hidden="1">
      <c r="C674" s="28" t="s">
        <v>15</v>
      </c>
      <c r="D674" s="5">
        <v>5258</v>
      </c>
      <c r="E674" s="5">
        <v>22469</v>
      </c>
      <c r="F674" s="28" t="str">
        <f>IFERROR(VLOOKUP(TAB_OFICINAS[[#This Row],[Cliente]],LISTA_DE_CLIENTES[[Código]:[Nome Fantasia]],2,FALSE),"")</f>
        <v>SPA CHANDRA GARUDA LTDA</v>
      </c>
      <c r="G674" s="5" t="str">
        <f>IFERROR(VLOOKUP(TAB_OFICINAS[[#This Row],[Cliente]],LISTA_DE_CLIENTES[[Código]:[Nome Fantasia]],3,FALSE),"")</f>
        <v>SPA CHANDRA GARUDA L</v>
      </c>
      <c r="H674" s="51">
        <v>2101018582</v>
      </c>
      <c r="I674" s="28" t="s">
        <v>20388</v>
      </c>
      <c r="J674" s="91">
        <v>1</v>
      </c>
      <c r="K674" s="86">
        <v>46038</v>
      </c>
      <c r="L674" s="10">
        <v>1</v>
      </c>
      <c r="M674" s="6">
        <v>46038</v>
      </c>
      <c r="N674" s="6">
        <v>46038</v>
      </c>
      <c r="O674" s="19">
        <f>TAB_OFICINAS[[#This Row],[Data Retorno Produção]]-TAB_OFICINAS[[#This Row],[Data Prometida  Entrega]]</f>
        <v>0</v>
      </c>
      <c r="P674" s="40" t="str">
        <f>IF(TAB_OFICINAS[[#This Row],[Dias Para Entrega]]&lt;=0,"Em dia","Dia de Atrasado")</f>
        <v>Em dia</v>
      </c>
      <c r="Q674" s="10">
        <f>IFERROR(TAB_OFICINAS[[#This Row],[Qtd pçs Enviadas]]-TAB_OFICINAS[[#This Row],[Qtd pçs Retornadas ]],"N/D ")</f>
        <v>0</v>
      </c>
      <c r="R674" s="10">
        <v>0</v>
      </c>
      <c r="S674" s="5">
        <v>542</v>
      </c>
      <c r="T674" s="5">
        <v>16885</v>
      </c>
      <c r="U674" s="52">
        <v>8</v>
      </c>
      <c r="V674" s="44">
        <f>IFERROR(TAB_OFICINAS[[#This Row],[Valor Unit]]*TAB_OFICINAS[[#This Row],[Qtd pçs Enviadas]]," ")</f>
        <v>8</v>
      </c>
      <c r="W674" s="17">
        <v>46038</v>
      </c>
      <c r="X674" s="5" t="s">
        <v>6251</v>
      </c>
      <c r="Y674" s="27"/>
      <c r="Z6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5" spans="3:26" hidden="1">
      <c r="C675" s="28" t="s">
        <v>15</v>
      </c>
      <c r="D675" s="5">
        <v>164</v>
      </c>
      <c r="E675" s="5">
        <v>22595</v>
      </c>
      <c r="F675" s="28" t="str">
        <f>IFERROR(VLOOKUP(TAB_OFICINAS[[#This Row],[Cliente]],LISTA_DE_CLIENTES[[Código]:[Nome Fantasia]],2,FALSE),"")</f>
        <v>HOTEL CURITIBA CAPITAL S/A</v>
      </c>
      <c r="G675" s="5" t="str">
        <f>IFERROR(VLOOKUP(TAB_OFICINAS[[#This Row],[Cliente]],LISTA_DE_CLIENTES[[Código]:[Nome Fantasia]],3,FALSE),"")</f>
        <v>RADISSON CURITIBA</v>
      </c>
      <c r="H675" s="51">
        <v>3301098571</v>
      </c>
      <c r="I675" s="28" t="s">
        <v>20397</v>
      </c>
      <c r="J675" s="91">
        <v>1</v>
      </c>
      <c r="K675" s="86">
        <v>46044</v>
      </c>
      <c r="L675" s="10">
        <v>1</v>
      </c>
      <c r="M675" s="6">
        <v>46045</v>
      </c>
      <c r="N675" s="6">
        <v>46048</v>
      </c>
      <c r="O675" s="19">
        <f>TAB_OFICINAS[[#This Row],[Data Retorno Produção]]-TAB_OFICINAS[[#This Row],[Data Prometida  Entrega]]</f>
        <v>3</v>
      </c>
      <c r="P675" s="40" t="str">
        <f>IF(TAB_OFICINAS[[#This Row],[Dias Para Entrega]]&lt;=0,"Em dia","Dia de Atrasado")</f>
        <v>Dia de Atrasado</v>
      </c>
      <c r="Q675" s="10">
        <f>IFERROR(TAB_OFICINAS[[#This Row],[Qtd pçs Enviadas]]-TAB_OFICINAS[[#This Row],[Qtd pçs Retornadas ]],"N/D ")</f>
        <v>0</v>
      </c>
      <c r="R675" s="10">
        <v>0</v>
      </c>
      <c r="S675" s="5">
        <v>3088</v>
      </c>
      <c r="T675" s="5">
        <v>16856</v>
      </c>
      <c r="U675" s="52">
        <v>15</v>
      </c>
      <c r="V675" s="44">
        <f>IFERROR(TAB_OFICINAS[[#This Row],[Valor Unit]]*TAB_OFICINAS[[#This Row],[Qtd pçs Enviadas]]," ")</f>
        <v>15</v>
      </c>
      <c r="W675" s="17">
        <v>46055</v>
      </c>
      <c r="X675" s="5" t="s">
        <v>6251</v>
      </c>
      <c r="Y675" s="27"/>
      <c r="Z6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6" spans="3:26" hidden="1">
      <c r="C676" s="28" t="s">
        <v>15</v>
      </c>
      <c r="D676" s="5">
        <v>164</v>
      </c>
      <c r="E676" s="5">
        <v>22595</v>
      </c>
      <c r="F676" s="28" t="str">
        <f>IFERROR(VLOOKUP(TAB_OFICINAS[[#This Row],[Cliente]],LISTA_DE_CLIENTES[[Código]:[Nome Fantasia]],2,FALSE),"")</f>
        <v>HOTEL CURITIBA CAPITAL S/A</v>
      </c>
      <c r="G676" s="5" t="str">
        <f>IFERROR(VLOOKUP(TAB_OFICINAS[[#This Row],[Cliente]],LISTA_DE_CLIENTES[[Código]:[Nome Fantasia]],3,FALSE),"")</f>
        <v>RADISSON CURITIBA</v>
      </c>
      <c r="H676" s="51">
        <v>3301098572</v>
      </c>
      <c r="I676" s="28" t="s">
        <v>20396</v>
      </c>
      <c r="J676" s="91">
        <v>1</v>
      </c>
      <c r="K676" s="86">
        <v>46044</v>
      </c>
      <c r="L676" s="10">
        <v>1</v>
      </c>
      <c r="M676" s="6">
        <v>46045</v>
      </c>
      <c r="N676" s="6">
        <v>46045</v>
      </c>
      <c r="O676" s="19">
        <f>TAB_OFICINAS[[#This Row],[Data Retorno Produção]]-TAB_OFICINAS[[#This Row],[Data Prometida  Entrega]]</f>
        <v>0</v>
      </c>
      <c r="P676" s="40" t="str">
        <f>IF(TAB_OFICINAS[[#This Row],[Dias Para Entrega]]&lt;=0,"Em dia","Dia de Atrasado")</f>
        <v>Em dia</v>
      </c>
      <c r="Q676" s="10">
        <f>IFERROR(TAB_OFICINAS[[#This Row],[Qtd pçs Enviadas]]-TAB_OFICINAS[[#This Row],[Qtd pçs Retornadas ]],"N/D ")</f>
        <v>0</v>
      </c>
      <c r="R676" s="10">
        <v>0</v>
      </c>
      <c r="S676" s="5">
        <v>3088</v>
      </c>
      <c r="T676" s="5">
        <v>16856</v>
      </c>
      <c r="U676" s="52">
        <v>15</v>
      </c>
      <c r="V676" s="44">
        <f>IFERROR(TAB_OFICINAS[[#This Row],[Valor Unit]]*TAB_OFICINAS[[#This Row],[Qtd pçs Enviadas]]," ")</f>
        <v>15</v>
      </c>
      <c r="W676" s="17">
        <v>46055</v>
      </c>
      <c r="X676" s="5" t="s">
        <v>6251</v>
      </c>
      <c r="Y676" s="27"/>
      <c r="Z6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7" spans="3:26" hidden="1">
      <c r="C677" s="28" t="s">
        <v>15</v>
      </c>
      <c r="D677" s="5">
        <v>5326</v>
      </c>
      <c r="E677" s="5">
        <v>22653</v>
      </c>
      <c r="F677" s="28" t="str">
        <f>IFERROR(VLOOKUP(TAB_OFICINAS[[#This Row],[Cliente]],LISTA_DE_CLIENTES[[Código]:[Nome Fantasia]],2,FALSE),"")</f>
        <v>HANNAH CECCHETTO MARTIN</v>
      </c>
      <c r="G677" s="5" t="str">
        <f>IFERROR(VLOOKUP(TAB_OFICINAS[[#This Row],[Cliente]],LISTA_DE_CLIENTES[[Código]:[Nome Fantasia]],3,FALSE),"")</f>
        <v>HANNAH CECCHETTO MAR</v>
      </c>
      <c r="H677" s="51">
        <v>3105015333</v>
      </c>
      <c r="I677" s="28" t="s">
        <v>20408</v>
      </c>
      <c r="J677" s="91">
        <v>1</v>
      </c>
      <c r="K677" s="86">
        <v>46049</v>
      </c>
      <c r="L677" s="10">
        <v>1</v>
      </c>
      <c r="M677" s="6">
        <v>46051</v>
      </c>
      <c r="N677" s="6">
        <v>46051</v>
      </c>
      <c r="O677" s="19">
        <f>TAB_OFICINAS[[#This Row],[Data Retorno Produção]]-TAB_OFICINAS[[#This Row],[Data Prometida  Entrega]]</f>
        <v>0</v>
      </c>
      <c r="P677" s="40" t="str">
        <f>IF(TAB_OFICINAS[[#This Row],[Dias Para Entrega]]&lt;=0,"Em dia","Dia de Atrasado")</f>
        <v>Em dia</v>
      </c>
      <c r="Q677" s="10">
        <f>IFERROR(TAB_OFICINAS[[#This Row],[Qtd pçs Enviadas]]-TAB_OFICINAS[[#This Row],[Qtd pçs Retornadas ]],"N/D ")</f>
        <v>0</v>
      </c>
      <c r="R677" s="10">
        <v>0</v>
      </c>
      <c r="S677" s="5">
        <v>3100</v>
      </c>
      <c r="T677" s="5">
        <v>16885</v>
      </c>
      <c r="U677" s="52">
        <v>12</v>
      </c>
      <c r="V677" s="44">
        <f>IFERROR(TAB_OFICINAS[[#This Row],[Valor Unit]]*TAB_OFICINAS[[#This Row],[Qtd pçs Enviadas]]," ")</f>
        <v>12</v>
      </c>
      <c r="W677" s="17">
        <v>46059</v>
      </c>
      <c r="X677" s="5" t="s">
        <v>6251</v>
      </c>
      <c r="Y677" s="27"/>
      <c r="Z6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8" spans="3:26" hidden="1">
      <c r="C678" s="28" t="s">
        <v>15</v>
      </c>
      <c r="D678" s="5">
        <v>5326</v>
      </c>
      <c r="E678" s="5">
        <v>22653</v>
      </c>
      <c r="F678" s="28" t="str">
        <f>IFERROR(VLOOKUP(TAB_OFICINAS[[#This Row],[Cliente]],LISTA_DE_CLIENTES[[Código]:[Nome Fantasia]],2,FALSE),"")</f>
        <v>HANNAH CECCHETTO MARTIN</v>
      </c>
      <c r="G678" s="5" t="str">
        <f>IFERROR(VLOOKUP(TAB_OFICINAS[[#This Row],[Cliente]],LISTA_DE_CLIENTES[[Código]:[Nome Fantasia]],3,FALSE),"")</f>
        <v>HANNAH CECCHETTO MAR</v>
      </c>
      <c r="H678" s="51">
        <v>3105015332</v>
      </c>
      <c r="I678" s="28" t="s">
        <v>20409</v>
      </c>
      <c r="J678" s="91">
        <v>1</v>
      </c>
      <c r="K678" s="86">
        <v>46049</v>
      </c>
      <c r="L678" s="10">
        <v>1</v>
      </c>
      <c r="M678" s="6">
        <v>46051</v>
      </c>
      <c r="N678" s="6">
        <v>46051</v>
      </c>
      <c r="O678" s="19">
        <f>TAB_OFICINAS[[#This Row],[Data Retorno Produção]]-TAB_OFICINAS[[#This Row],[Data Prometida  Entrega]]</f>
        <v>0</v>
      </c>
      <c r="P678" s="40" t="str">
        <f>IF(TAB_OFICINAS[[#This Row],[Dias Para Entrega]]&lt;=0,"Em dia","Dia de Atrasado")</f>
        <v>Em dia</v>
      </c>
      <c r="Q678" s="10">
        <f>IFERROR(TAB_OFICINAS[[#This Row],[Qtd pçs Enviadas]]-TAB_OFICINAS[[#This Row],[Qtd pçs Retornadas ]],"N/D ")</f>
        <v>0</v>
      </c>
      <c r="R678" s="10">
        <v>0</v>
      </c>
      <c r="S678" s="5">
        <v>3100</v>
      </c>
      <c r="T678" s="5">
        <v>16885</v>
      </c>
      <c r="U678" s="52">
        <v>12</v>
      </c>
      <c r="V678" s="44">
        <f>IFERROR(TAB_OFICINAS[[#This Row],[Valor Unit]]*TAB_OFICINAS[[#This Row],[Qtd pçs Enviadas]]," ")</f>
        <v>12</v>
      </c>
      <c r="W678" s="17">
        <v>46059</v>
      </c>
      <c r="X678" s="5" t="s">
        <v>6251</v>
      </c>
      <c r="Y678" s="27"/>
      <c r="Z67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79" spans="3:26" hidden="1">
      <c r="C679" s="28" t="s">
        <v>15</v>
      </c>
      <c r="D679" s="5">
        <v>2913</v>
      </c>
      <c r="E679" s="5">
        <v>22705</v>
      </c>
      <c r="F679" s="28" t="str">
        <f>IFERROR(VLOOKUP(TAB_OFICINAS[[#This Row],[Cliente]],LISTA_DE_CLIENTES[[Código]:[Nome Fantasia]],2,FALSE),"")</f>
        <v>EDIFICIO QUEEN VICTORIA</v>
      </c>
      <c r="G679" s="5" t="str">
        <f>IFERROR(VLOOKUP(TAB_OFICINAS[[#This Row],[Cliente]],LISTA_DE_CLIENTES[[Código]:[Nome Fantasia]],3,FALSE),"")</f>
        <v>QUEEN VICTORIA</v>
      </c>
      <c r="H679" s="63">
        <v>3302028621</v>
      </c>
      <c r="I679" s="28" t="s">
        <v>20893</v>
      </c>
      <c r="J679" s="91">
        <v>1</v>
      </c>
      <c r="K679" s="86">
        <v>46057</v>
      </c>
      <c r="L679" s="10">
        <v>1</v>
      </c>
      <c r="M679" s="6">
        <v>46062</v>
      </c>
      <c r="N679" s="6">
        <v>46062</v>
      </c>
      <c r="O679" s="19">
        <f>TAB_OFICINAS[[#This Row],[Data Retorno Produção]]-TAB_OFICINAS[[#This Row],[Data Prometida  Entrega]]</f>
        <v>0</v>
      </c>
      <c r="P679" s="40" t="str">
        <f>IF(TAB_OFICINAS[[#This Row],[Dias Para Entrega]]&lt;=0,"Em dia","Dia de Atrasado")</f>
        <v>Em dia</v>
      </c>
      <c r="Q679" s="10">
        <f>IFERROR(TAB_OFICINAS[[#This Row],[Qtd pçs Enviadas]]-TAB_OFICINAS[[#This Row],[Qtd pçs Retornadas ]]," ")</f>
        <v>0</v>
      </c>
      <c r="R679" s="10">
        <v>0</v>
      </c>
      <c r="S679" s="5">
        <v>573</v>
      </c>
      <c r="T679" s="5">
        <v>16901</v>
      </c>
      <c r="U679" s="52">
        <v>12</v>
      </c>
      <c r="V679" s="44">
        <f>IFERROR(TAB_OFICINAS[[#This Row],[Valor Unit]]*TAB_OFICINAS[[#This Row],[Qtd pçs Enviadas]]," ")</f>
        <v>12</v>
      </c>
      <c r="W679" s="17">
        <v>46066</v>
      </c>
      <c r="X679" s="5" t="s">
        <v>6251</v>
      </c>
      <c r="Y679" s="27" t="s">
        <v>21328</v>
      </c>
      <c r="Z6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0" spans="3:26" hidden="1">
      <c r="C680" s="28" t="s">
        <v>15</v>
      </c>
      <c r="D680" s="5">
        <v>2913</v>
      </c>
      <c r="E680" s="5">
        <v>22705</v>
      </c>
      <c r="F680" s="28" t="str">
        <f>IFERROR(VLOOKUP(TAB_OFICINAS[[#This Row],[Cliente]],LISTA_DE_CLIENTES[[Código]:[Nome Fantasia]],2,FALSE),"")</f>
        <v>EDIFICIO QUEEN VICTORIA</v>
      </c>
      <c r="G680" s="5" t="str">
        <f>IFERROR(VLOOKUP(TAB_OFICINAS[[#This Row],[Cliente]],LISTA_DE_CLIENTES[[Código]:[Nome Fantasia]],3,FALSE),"")</f>
        <v>QUEEN VICTORIA</v>
      </c>
      <c r="H680" s="63">
        <v>3302068622</v>
      </c>
      <c r="I680" s="28" t="s">
        <v>20895</v>
      </c>
      <c r="J680" s="91">
        <v>1</v>
      </c>
      <c r="K680" s="86">
        <v>46057</v>
      </c>
      <c r="L680" s="10">
        <v>1</v>
      </c>
      <c r="M680" s="6">
        <v>46062</v>
      </c>
      <c r="N680" s="6">
        <v>46062</v>
      </c>
      <c r="O680" s="19">
        <f>TAB_OFICINAS[[#This Row],[Data Retorno Produção]]-TAB_OFICINAS[[#This Row],[Data Prometida  Entrega]]</f>
        <v>0</v>
      </c>
      <c r="P680" s="40" t="str">
        <f>IF(TAB_OFICINAS[[#This Row],[Dias Para Entrega]]&lt;=0,"Em dia","Dia de Atrasado")</f>
        <v>Em dia</v>
      </c>
      <c r="Q680" s="10">
        <f>IFERROR(TAB_OFICINAS[[#This Row],[Qtd pçs Enviadas]]-TAB_OFICINAS[[#This Row],[Qtd pçs Retornadas ]]," ")</f>
        <v>0</v>
      </c>
      <c r="R680" s="10">
        <v>0</v>
      </c>
      <c r="S680" s="5">
        <v>573</v>
      </c>
      <c r="T680" s="5">
        <v>16901</v>
      </c>
      <c r="U680" s="52">
        <v>12</v>
      </c>
      <c r="V680" s="44">
        <f>IFERROR(TAB_OFICINAS[[#This Row],[Valor Unit]]*TAB_OFICINAS[[#This Row],[Qtd pçs Enviadas]]," ")</f>
        <v>12</v>
      </c>
      <c r="W680" s="17">
        <v>46066</v>
      </c>
      <c r="X680" s="5" t="s">
        <v>6251</v>
      </c>
      <c r="Y680" s="27" t="s">
        <v>21328</v>
      </c>
      <c r="Z6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1" spans="3:26" ht="85.5" hidden="1">
      <c r="C681" s="28" t="s">
        <v>15</v>
      </c>
      <c r="D681" s="5">
        <v>2913</v>
      </c>
      <c r="E681" s="5">
        <v>22705</v>
      </c>
      <c r="F681" s="28" t="str">
        <f>IFERROR(VLOOKUP(TAB_OFICINAS[[#This Row],[Cliente]],LISTA_DE_CLIENTES[[Código]:[Nome Fantasia]],2,FALSE),"")</f>
        <v>EDIFICIO QUEEN VICTORIA</v>
      </c>
      <c r="G681" s="5" t="str">
        <f>IFERROR(VLOOKUP(TAB_OFICINAS[[#This Row],[Cliente]],LISTA_DE_CLIENTES[[Código]:[Nome Fantasia]],3,FALSE),"")</f>
        <v>QUEEN VICTORIA</v>
      </c>
      <c r="H681" s="63">
        <v>3302028290</v>
      </c>
      <c r="I681" s="28" t="s">
        <v>20897</v>
      </c>
      <c r="J681" s="91">
        <v>1</v>
      </c>
      <c r="K681" s="86">
        <v>46057</v>
      </c>
      <c r="L681" s="10">
        <v>1</v>
      </c>
      <c r="M681" s="6">
        <v>46062</v>
      </c>
      <c r="N681" s="6">
        <v>46062</v>
      </c>
      <c r="O681" s="19">
        <f>TAB_OFICINAS[[#This Row],[Data Retorno Produção]]-TAB_OFICINAS[[#This Row],[Data Prometida  Entrega]]</f>
        <v>0</v>
      </c>
      <c r="P681" s="40" t="str">
        <f>IF(TAB_OFICINAS[[#This Row],[Dias Para Entrega]]&lt;=0,"Em dia","Dia de Atrasado")</f>
        <v>Em dia</v>
      </c>
      <c r="Q681" s="10">
        <f>IFERROR(TAB_OFICINAS[[#This Row],[Qtd pçs Enviadas]]-TAB_OFICINAS[[#This Row],[Qtd pçs Retornadas ]]," ")</f>
        <v>0</v>
      </c>
      <c r="R681" s="10">
        <v>0</v>
      </c>
      <c r="S681" s="5">
        <v>573</v>
      </c>
      <c r="T681" s="5">
        <v>16901</v>
      </c>
      <c r="U681" s="52">
        <v>12</v>
      </c>
      <c r="V681" s="44">
        <f>IFERROR(TAB_OFICINAS[[#This Row],[Valor Unit]]*TAB_OFICINAS[[#This Row],[Qtd pçs Enviadas]]," ")</f>
        <v>12</v>
      </c>
      <c r="W681" s="17">
        <v>46066</v>
      </c>
      <c r="X681" s="5" t="s">
        <v>6251</v>
      </c>
      <c r="Y681" s="27" t="s">
        <v>21329</v>
      </c>
      <c r="Z68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2" spans="3:26" ht="85.5" hidden="1">
      <c r="C682" s="28" t="s">
        <v>15</v>
      </c>
      <c r="D682" s="5">
        <v>2913</v>
      </c>
      <c r="E682" s="5">
        <v>22705</v>
      </c>
      <c r="F682" s="28" t="str">
        <f>IFERROR(VLOOKUP(TAB_OFICINAS[[#This Row],[Cliente]],LISTA_DE_CLIENTES[[Código]:[Nome Fantasia]],2,FALSE),"")</f>
        <v>EDIFICIO QUEEN VICTORIA</v>
      </c>
      <c r="G682" s="5" t="str">
        <f>IFERROR(VLOOKUP(TAB_OFICINAS[[#This Row],[Cliente]],LISTA_DE_CLIENTES[[Código]:[Nome Fantasia]],3,FALSE),"")</f>
        <v>QUEEN VICTORIA</v>
      </c>
      <c r="H682" s="63">
        <v>3302068889</v>
      </c>
      <c r="I682" s="28" t="s">
        <v>20899</v>
      </c>
      <c r="J682" s="91">
        <v>1</v>
      </c>
      <c r="K682" s="86">
        <v>46057</v>
      </c>
      <c r="L682" s="10">
        <v>1</v>
      </c>
      <c r="M682" s="6">
        <v>46062</v>
      </c>
      <c r="N682" s="6">
        <v>46062</v>
      </c>
      <c r="O682" s="19">
        <f>TAB_OFICINAS[[#This Row],[Data Retorno Produção]]-TAB_OFICINAS[[#This Row],[Data Prometida  Entrega]]</f>
        <v>0</v>
      </c>
      <c r="P682" s="40" t="str">
        <f>IF(TAB_OFICINAS[[#This Row],[Dias Para Entrega]]&lt;=0,"Em dia","Dia de Atrasado")</f>
        <v>Em dia</v>
      </c>
      <c r="Q682" s="10">
        <f>IFERROR(TAB_OFICINAS[[#This Row],[Qtd pçs Enviadas]]-TAB_OFICINAS[[#This Row],[Qtd pçs Retornadas ]]," ")</f>
        <v>0</v>
      </c>
      <c r="R682" s="10">
        <v>0</v>
      </c>
      <c r="S682" s="5">
        <v>573</v>
      </c>
      <c r="T682" s="5">
        <v>16901</v>
      </c>
      <c r="U682" s="52">
        <v>12</v>
      </c>
      <c r="V682" s="44">
        <f>IFERROR(TAB_OFICINAS[[#This Row],[Valor Unit]]*TAB_OFICINAS[[#This Row],[Qtd pçs Enviadas]]," ")</f>
        <v>12</v>
      </c>
      <c r="W682" s="17">
        <v>46066</v>
      </c>
      <c r="X682" s="5" t="s">
        <v>6251</v>
      </c>
      <c r="Y682" s="27" t="s">
        <v>21329</v>
      </c>
      <c r="Z6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3" spans="3:26" ht="57" hidden="1">
      <c r="C683" s="28" t="s">
        <v>15</v>
      </c>
      <c r="D683" s="5" t="s">
        <v>20290</v>
      </c>
      <c r="E683" s="5">
        <v>450</v>
      </c>
      <c r="F683" s="28" t="s">
        <v>20385</v>
      </c>
      <c r="G683" s="5" t="str">
        <f>IFERROR(VLOOKUP(TAB_OFICINAS[[#This Row],[Cliente]],LISTA_DE_CLIENTES[[Código]:[Nome Fantasia]],3,FALSE),"")</f>
        <v/>
      </c>
      <c r="H683" s="51" t="s">
        <v>23962</v>
      </c>
      <c r="I683" s="28" t="s">
        <v>21338</v>
      </c>
      <c r="J683" s="91">
        <v>1</v>
      </c>
      <c r="K683" s="86">
        <v>46063</v>
      </c>
      <c r="L683" s="10">
        <v>1</v>
      </c>
      <c r="M683" s="6">
        <v>46073</v>
      </c>
      <c r="N683" s="6">
        <v>46073</v>
      </c>
      <c r="O683" s="19">
        <f>TAB_OFICINAS[[#This Row],[Data Retorno Produção]]-TAB_OFICINAS[[#This Row],[Data Prometida  Entrega]]</f>
        <v>0</v>
      </c>
      <c r="P683" s="40" t="str">
        <f>IF(TAB_OFICINAS[[#This Row],[Dias Para Entrega]]&lt;=0,"Em dia","Dia de Atrasado")</f>
        <v>Em dia</v>
      </c>
      <c r="Q683" s="10">
        <f>IFERROR(TAB_OFICINAS[[#This Row],[Qtd pçs Enviadas]]-TAB_OFICINAS[[#This Row],[Qtd pçs Retornadas ]]," ")</f>
        <v>0</v>
      </c>
      <c r="R683" s="10">
        <v>0</v>
      </c>
      <c r="S683" s="5">
        <v>581</v>
      </c>
      <c r="T683" s="5">
        <v>16967</v>
      </c>
      <c r="U683" s="52">
        <v>10</v>
      </c>
      <c r="V683" s="44">
        <f>IFERROR(TAB_OFICINAS[[#This Row],[Valor Unit]]*TAB_OFICINAS[[#This Row],[Qtd pçs Enviadas]]," ")</f>
        <v>10</v>
      </c>
      <c r="W683" s="17">
        <v>46085</v>
      </c>
      <c r="X683" s="5" t="s">
        <v>6251</v>
      </c>
      <c r="Y683" s="27" t="s">
        <v>21339</v>
      </c>
      <c r="Z6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4" spans="3:26" hidden="1">
      <c r="C684" s="28" t="s">
        <v>3</v>
      </c>
      <c r="D684" s="5">
        <v>5308</v>
      </c>
      <c r="E684" s="5">
        <v>22621</v>
      </c>
      <c r="F684" s="28" t="str">
        <f>IFERROR(VLOOKUP(TAB_OFICINAS[[#This Row],[Cliente]],LISTA_DE_CLIENTES[[Código]:[Nome Fantasia]],2,FALSE),"")</f>
        <v>HEMERSONN ROGER OLIVEIRA DE FARIAS</v>
      </c>
      <c r="G684" s="5" t="str">
        <f>IFERROR(VLOOKUP(TAB_OFICINAS[[#This Row],[Cliente]],LISTA_DE_CLIENTES[[Código]:[Nome Fantasia]],3,FALSE),"")</f>
        <v>HEMERSONN ROGER OLIV</v>
      </c>
      <c r="H684" s="51">
        <v>2120052812</v>
      </c>
      <c r="I684" s="28" t="s">
        <v>21010</v>
      </c>
      <c r="J684" s="91">
        <v>1</v>
      </c>
      <c r="K684" s="86">
        <v>46065</v>
      </c>
      <c r="L684" s="10">
        <v>1</v>
      </c>
      <c r="M684" s="6">
        <v>46071</v>
      </c>
      <c r="N684" s="6">
        <v>46069</v>
      </c>
      <c r="O684" s="19">
        <f>TAB_OFICINAS[[#This Row],[Data Retorno Produção]]-TAB_OFICINAS[[#This Row],[Data Prometida  Entrega]]</f>
        <v>-2</v>
      </c>
      <c r="P684" s="40" t="str">
        <f>IF(TAB_OFICINAS[[#This Row],[Dias Para Entrega]]&lt;=0,"Em dia","Dia de Atrasado")</f>
        <v>Em dia</v>
      </c>
      <c r="Q684" s="10">
        <f>IFERROR(TAB_OFICINAS[[#This Row],[Qtd pçs Enviadas]]-TAB_OFICINAS[[#This Row],[Qtd pçs Retornadas ]],"N/D ")</f>
        <v>0</v>
      </c>
      <c r="R684" s="48">
        <v>0</v>
      </c>
      <c r="S684" s="5">
        <v>588</v>
      </c>
      <c r="T684" s="5">
        <v>95</v>
      </c>
      <c r="U684" s="52">
        <v>10</v>
      </c>
      <c r="V684" s="44">
        <f>IFERROR(TAB_OFICINAS[[#This Row],[Valor Unit]]*TAB_OFICINAS[[#This Row],[Qtd pçs Enviadas]]," ")</f>
        <v>10</v>
      </c>
      <c r="W684" s="17">
        <v>46079</v>
      </c>
      <c r="X684" s="5" t="s">
        <v>6251</v>
      </c>
      <c r="Y684" s="27"/>
      <c r="Z6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5" spans="3:26" hidden="1">
      <c r="C685" s="28" t="s">
        <v>15</v>
      </c>
      <c r="D685" s="5">
        <v>5338</v>
      </c>
      <c r="E685" s="5">
        <v>22740</v>
      </c>
      <c r="F685" s="28" t="str">
        <f>IFERROR(VLOOKUP(TAB_OFICINAS[[#This Row],[Cliente]],LISTA_DE_CLIENTES[[Código]:[Nome Fantasia]],2,FALSE),"")</f>
        <v>MAISON CARMELO INCORPORACOES SPE LTDA</v>
      </c>
      <c r="G685" s="5" t="str">
        <f>IFERROR(VLOOKUP(TAB_OFICINAS[[#This Row],[Cliente]],LISTA_DE_CLIENTES[[Código]:[Nome Fantasia]],3,FALSE),"")</f>
        <v>SAN REMO</v>
      </c>
      <c r="H685" s="63">
        <v>3759318593</v>
      </c>
      <c r="I685" s="28" t="s">
        <v>21057</v>
      </c>
      <c r="J685" s="91">
        <v>1</v>
      </c>
      <c r="K685" s="86">
        <v>46066</v>
      </c>
      <c r="L685" s="10">
        <v>1</v>
      </c>
      <c r="M685" s="6">
        <v>46073</v>
      </c>
      <c r="N685" s="6">
        <v>46073</v>
      </c>
      <c r="O685" s="19">
        <f>TAB_OFICINAS[[#This Row],[Data Retorno Produção]]-TAB_OFICINAS[[#This Row],[Data Prometida  Entrega]]</f>
        <v>0</v>
      </c>
      <c r="P685" s="40" t="str">
        <f>IF(TAB_OFICINAS[[#This Row],[Dias Para Entrega]]&lt;=0,"Em dia","Dia de Atrasado")</f>
        <v>Em dia</v>
      </c>
      <c r="Q685" s="10">
        <f>IFERROR(TAB_OFICINAS[[#This Row],[Qtd pçs Enviadas]]-TAB_OFICINAS[[#This Row],[Qtd pçs Retornadas ]]," ")</f>
        <v>0</v>
      </c>
      <c r="R685" s="10">
        <v>0</v>
      </c>
      <c r="S685" s="5">
        <v>596</v>
      </c>
      <c r="T685" s="5">
        <v>16966</v>
      </c>
      <c r="U685" s="52">
        <v>12</v>
      </c>
      <c r="V685" s="44">
        <f>IFERROR(TAB_OFICINAS[[#This Row],[Valor Unit]]*TAB_OFICINAS[[#This Row],[Qtd pçs Enviadas]]," ")</f>
        <v>12</v>
      </c>
      <c r="W685" s="17">
        <v>46085</v>
      </c>
      <c r="X685" s="5" t="s">
        <v>6251</v>
      </c>
      <c r="Y685" s="27" t="s">
        <v>21333</v>
      </c>
      <c r="Z6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6" spans="3:26" hidden="1">
      <c r="C686" s="28" t="s">
        <v>15</v>
      </c>
      <c r="D686" s="5">
        <v>5338</v>
      </c>
      <c r="E686" s="5">
        <v>22740</v>
      </c>
      <c r="F686" s="28" t="str">
        <f>IFERROR(VLOOKUP(TAB_OFICINAS[[#This Row],[Cliente]],LISTA_DE_CLIENTES[[Código]:[Nome Fantasia]],2,FALSE),"")</f>
        <v>MAISON CARMELO INCORPORACOES SPE LTDA</v>
      </c>
      <c r="G686" s="5" t="str">
        <f>IFERROR(VLOOKUP(TAB_OFICINAS[[#This Row],[Cliente]],LISTA_DE_CLIENTES[[Código]:[Nome Fantasia]],3,FALSE),"")</f>
        <v>SAN REMO</v>
      </c>
      <c r="H686" s="63">
        <v>2101068594</v>
      </c>
      <c r="I686" s="28" t="s">
        <v>21053</v>
      </c>
      <c r="J686" s="91">
        <v>1</v>
      </c>
      <c r="K686" s="86">
        <v>46066</v>
      </c>
      <c r="L686" s="10">
        <v>1</v>
      </c>
      <c r="M686" s="6">
        <v>46073</v>
      </c>
      <c r="N686" s="6">
        <v>46073</v>
      </c>
      <c r="O686" s="19">
        <f>TAB_OFICINAS[[#This Row],[Data Retorno Produção]]-TAB_OFICINAS[[#This Row],[Data Prometida  Entrega]]</f>
        <v>0</v>
      </c>
      <c r="P686" s="40" t="str">
        <f>IF(TAB_OFICINAS[[#This Row],[Dias Para Entrega]]&lt;=0,"Em dia","Dia de Atrasado")</f>
        <v>Em dia</v>
      </c>
      <c r="Q686" s="10">
        <f>IFERROR(TAB_OFICINAS[[#This Row],[Qtd pçs Enviadas]]-TAB_OFICINAS[[#This Row],[Qtd pçs Retornadas ]]," ")</f>
        <v>0</v>
      </c>
      <c r="R686" s="10">
        <v>0</v>
      </c>
      <c r="S686" s="5">
        <v>596</v>
      </c>
      <c r="T686" s="5">
        <v>16966</v>
      </c>
      <c r="U686" s="52">
        <v>12</v>
      </c>
      <c r="V686" s="44">
        <f>IFERROR(TAB_OFICINAS[[#This Row],[Valor Unit]]*TAB_OFICINAS[[#This Row],[Qtd pçs Enviadas]]," ")</f>
        <v>12</v>
      </c>
      <c r="W686" s="17">
        <v>46085</v>
      </c>
      <c r="X686" s="5" t="s">
        <v>6251</v>
      </c>
      <c r="Y686" s="27" t="s">
        <v>21334</v>
      </c>
      <c r="Z6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7" spans="3:26" ht="28.5" hidden="1">
      <c r="C687" s="28" t="s">
        <v>15</v>
      </c>
      <c r="D687" s="5">
        <v>5338</v>
      </c>
      <c r="E687" s="5">
        <v>22740</v>
      </c>
      <c r="F687" s="28" t="str">
        <f>IFERROR(VLOOKUP(TAB_OFICINAS[[#This Row],[Cliente]],LISTA_DE_CLIENTES[[Código]:[Nome Fantasia]],2,FALSE),"")</f>
        <v>MAISON CARMELO INCORPORACOES SPE LTDA</v>
      </c>
      <c r="G687" s="5" t="str">
        <f>IFERROR(VLOOKUP(TAB_OFICINAS[[#This Row],[Cliente]],LISTA_DE_CLIENTES[[Código]:[Nome Fantasia]],3,FALSE),"")</f>
        <v>SAN REMO</v>
      </c>
      <c r="H687" s="63">
        <v>3301098590</v>
      </c>
      <c r="I687" s="28" t="s">
        <v>21055</v>
      </c>
      <c r="J687" s="91">
        <v>1</v>
      </c>
      <c r="K687" s="86">
        <v>46066</v>
      </c>
      <c r="L687" s="10">
        <v>1</v>
      </c>
      <c r="M687" s="6">
        <v>46073</v>
      </c>
      <c r="N687" s="6">
        <v>46073</v>
      </c>
      <c r="O687" s="19">
        <f>TAB_OFICINAS[[#This Row],[Data Retorno Produção]]-TAB_OFICINAS[[#This Row],[Data Prometida  Entrega]]</f>
        <v>0</v>
      </c>
      <c r="P687" s="40" t="str">
        <f>IF(TAB_OFICINAS[[#This Row],[Dias Para Entrega]]&lt;=0,"Em dia","Dia de Atrasado")</f>
        <v>Em dia</v>
      </c>
      <c r="Q687" s="10">
        <f>IFERROR(TAB_OFICINAS[[#This Row],[Qtd pçs Enviadas]]-TAB_OFICINAS[[#This Row],[Qtd pçs Retornadas ]]," ")</f>
        <v>0</v>
      </c>
      <c r="R687" s="10">
        <v>0</v>
      </c>
      <c r="S687" s="5">
        <v>596</v>
      </c>
      <c r="T687" s="5">
        <v>16966</v>
      </c>
      <c r="U687" s="52">
        <v>20</v>
      </c>
      <c r="V687" s="44">
        <f>IFERROR(TAB_OFICINAS[[#This Row],[Valor Unit]]*TAB_OFICINAS[[#This Row],[Qtd pçs Enviadas]]," ")</f>
        <v>20</v>
      </c>
      <c r="W687" s="17">
        <v>46085</v>
      </c>
      <c r="X687" s="5" t="s">
        <v>6251</v>
      </c>
      <c r="Y687" s="27" t="s">
        <v>21332</v>
      </c>
      <c r="Z68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8" spans="3:26" hidden="1">
      <c r="C688" s="28" t="s">
        <v>15</v>
      </c>
      <c r="D688" s="5">
        <v>5338</v>
      </c>
      <c r="E688" s="5">
        <v>22740</v>
      </c>
      <c r="F688" s="28" t="str">
        <f>IFERROR(VLOOKUP(TAB_OFICINAS[[#This Row],[Cliente]],LISTA_DE_CLIENTES[[Código]:[Nome Fantasia]],2,FALSE),"")</f>
        <v>MAISON CARMELO INCORPORACOES SPE LTDA</v>
      </c>
      <c r="G688" s="5" t="str">
        <f>IFERROR(VLOOKUP(TAB_OFICINAS[[#This Row],[Cliente]],LISTA_DE_CLIENTES[[Código]:[Nome Fantasia]],3,FALSE),"")</f>
        <v>SAN REMO</v>
      </c>
      <c r="H688" s="63">
        <v>3302125536</v>
      </c>
      <c r="I688" s="28" t="s">
        <v>21058</v>
      </c>
      <c r="J688" s="91">
        <v>1</v>
      </c>
      <c r="K688" s="86">
        <v>46066</v>
      </c>
      <c r="L688" s="10">
        <v>1</v>
      </c>
      <c r="M688" s="6">
        <v>46073</v>
      </c>
      <c r="N688" s="6">
        <v>46073</v>
      </c>
      <c r="O688" s="19">
        <f>TAB_OFICINAS[[#This Row],[Data Retorno Produção]]-TAB_OFICINAS[[#This Row],[Data Prometida  Entrega]]</f>
        <v>0</v>
      </c>
      <c r="P688" s="40" t="str">
        <f>IF(TAB_OFICINAS[[#This Row],[Dias Para Entrega]]&lt;=0,"Em dia","Dia de Atrasado")</f>
        <v>Em dia</v>
      </c>
      <c r="Q688" s="10">
        <f>IFERROR(TAB_OFICINAS[[#This Row],[Qtd pçs Enviadas]]-TAB_OFICINAS[[#This Row],[Qtd pçs Retornadas ]]," ")</f>
        <v>0</v>
      </c>
      <c r="R688" s="10">
        <v>0</v>
      </c>
      <c r="S688" s="5">
        <v>596</v>
      </c>
      <c r="T688" s="5">
        <v>16966</v>
      </c>
      <c r="U688" s="52">
        <v>12</v>
      </c>
      <c r="V688" s="44">
        <f>IFERROR(TAB_OFICINAS[[#This Row],[Valor Unit]]*TAB_OFICINAS[[#This Row],[Qtd pçs Enviadas]]," ")</f>
        <v>12</v>
      </c>
      <c r="W688" s="17">
        <v>46085</v>
      </c>
      <c r="X688" s="5" t="s">
        <v>6251</v>
      </c>
      <c r="Y688" s="27" t="s">
        <v>21334</v>
      </c>
      <c r="Z68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89" spans="3:26" hidden="1">
      <c r="C689" s="28" t="s">
        <v>15</v>
      </c>
      <c r="D689" s="5">
        <v>5338</v>
      </c>
      <c r="E689" s="5">
        <v>22740</v>
      </c>
      <c r="F689" s="28" t="str">
        <f>IFERROR(VLOOKUP(TAB_OFICINAS[[#This Row],[Cliente]],LISTA_DE_CLIENTES[[Código]:[Nome Fantasia]],2,FALSE),"")</f>
        <v>MAISON CARMELO INCORPORACOES SPE LTDA</v>
      </c>
      <c r="G689" s="5" t="str">
        <f>IFERROR(VLOOKUP(TAB_OFICINAS[[#This Row],[Cliente]],LISTA_DE_CLIENTES[[Código]:[Nome Fantasia]],3,FALSE),"")</f>
        <v>SAN REMO</v>
      </c>
      <c r="H689" s="63">
        <v>3302127895</v>
      </c>
      <c r="I689" s="28" t="s">
        <v>21059</v>
      </c>
      <c r="J689" s="91">
        <v>1</v>
      </c>
      <c r="K689" s="86">
        <v>46066</v>
      </c>
      <c r="L689" s="10">
        <v>1</v>
      </c>
      <c r="M689" s="6">
        <v>46073</v>
      </c>
      <c r="N689" s="6">
        <v>46073</v>
      </c>
      <c r="O689" s="19">
        <f>TAB_OFICINAS[[#This Row],[Data Retorno Produção]]-TAB_OFICINAS[[#This Row],[Data Prometida  Entrega]]</f>
        <v>0</v>
      </c>
      <c r="P689" s="40" t="str">
        <f>IF(TAB_OFICINAS[[#This Row],[Dias Para Entrega]]&lt;=0,"Em dia","Dia de Atrasado")</f>
        <v>Em dia</v>
      </c>
      <c r="Q689" s="10">
        <f>IFERROR(TAB_OFICINAS[[#This Row],[Qtd pçs Enviadas]]-TAB_OFICINAS[[#This Row],[Qtd pçs Retornadas ]]," ")</f>
        <v>0</v>
      </c>
      <c r="R689" s="10">
        <v>0</v>
      </c>
      <c r="S689" s="5">
        <v>596</v>
      </c>
      <c r="T689" s="5">
        <v>16966</v>
      </c>
      <c r="U689" s="52">
        <v>12</v>
      </c>
      <c r="V689" s="44">
        <f>IFERROR(TAB_OFICINAS[[#This Row],[Valor Unit]]*TAB_OFICINAS[[#This Row],[Qtd pçs Enviadas]]," ")</f>
        <v>12</v>
      </c>
      <c r="W689" s="17">
        <v>46085</v>
      </c>
      <c r="X689" s="5" t="s">
        <v>6251</v>
      </c>
      <c r="Y689" s="27" t="s">
        <v>21331</v>
      </c>
      <c r="Z68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0" spans="3:26" hidden="1">
      <c r="C690" s="28" t="s">
        <v>15</v>
      </c>
      <c r="D690" s="5">
        <v>5338</v>
      </c>
      <c r="E690" s="5">
        <v>22740</v>
      </c>
      <c r="F690" s="28" t="str">
        <f>IFERROR(VLOOKUP(TAB_OFICINAS[[#This Row],[Cliente]],LISTA_DE_CLIENTES[[Código]:[Nome Fantasia]],2,FALSE),"")</f>
        <v>MAISON CARMELO INCORPORACOES SPE LTDA</v>
      </c>
      <c r="G690" s="5" t="str">
        <f>IFERROR(VLOOKUP(TAB_OFICINAS[[#This Row],[Cliente]],LISTA_DE_CLIENTES[[Código]:[Nome Fantasia]],3,FALSE),"")</f>
        <v>SAN REMO</v>
      </c>
      <c r="H690" s="63">
        <v>3302038592</v>
      </c>
      <c r="I690" s="28" t="s">
        <v>21060</v>
      </c>
      <c r="J690" s="91">
        <v>1</v>
      </c>
      <c r="K690" s="86">
        <v>46066</v>
      </c>
      <c r="L690" s="10">
        <v>1</v>
      </c>
      <c r="M690" s="6">
        <v>46073</v>
      </c>
      <c r="N690" s="6">
        <v>46073</v>
      </c>
      <c r="O690" s="19">
        <f>TAB_OFICINAS[[#This Row],[Data Retorno Produção]]-TAB_OFICINAS[[#This Row],[Data Prometida  Entrega]]</f>
        <v>0</v>
      </c>
      <c r="P690" s="40" t="str">
        <f>IF(TAB_OFICINAS[[#This Row],[Dias Para Entrega]]&lt;=0,"Em dia","Dia de Atrasado")</f>
        <v>Em dia</v>
      </c>
      <c r="Q690" s="10">
        <f>IFERROR(TAB_OFICINAS[[#This Row],[Qtd pçs Enviadas]]-TAB_OFICINAS[[#This Row],[Qtd pçs Retornadas ]]," ")</f>
        <v>0</v>
      </c>
      <c r="R690" s="10">
        <v>0</v>
      </c>
      <c r="S690" s="5">
        <v>596</v>
      </c>
      <c r="T690" s="5">
        <v>16966</v>
      </c>
      <c r="U690" s="52">
        <v>12</v>
      </c>
      <c r="V690" s="44">
        <f>IFERROR(TAB_OFICINAS[[#This Row],[Valor Unit]]*TAB_OFICINAS[[#This Row],[Qtd pçs Enviadas]]," ")</f>
        <v>12</v>
      </c>
      <c r="W690" s="17">
        <v>46085</v>
      </c>
      <c r="X690" s="5" t="s">
        <v>6251</v>
      </c>
      <c r="Y690" s="27" t="s">
        <v>21334</v>
      </c>
      <c r="Z6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1" spans="3:26" hidden="1">
      <c r="C691" s="28" t="s">
        <v>15</v>
      </c>
      <c r="D691" s="5">
        <v>5338</v>
      </c>
      <c r="E691" s="5">
        <v>22740</v>
      </c>
      <c r="F691" s="28" t="str">
        <f>IFERROR(VLOOKUP(TAB_OFICINAS[[#This Row],[Cliente]],LISTA_DE_CLIENTES[[Código]:[Nome Fantasia]],2,FALSE),"")</f>
        <v>MAISON CARMELO INCORPORACOES SPE LTDA</v>
      </c>
      <c r="G691" s="5" t="str">
        <f>IFERROR(VLOOKUP(TAB_OFICINAS[[#This Row],[Cliente]],LISTA_DE_CLIENTES[[Código]:[Nome Fantasia]],3,FALSE),"")</f>
        <v>SAN REMO</v>
      </c>
      <c r="H691" s="63">
        <v>3302016028</v>
      </c>
      <c r="I691" s="28" t="s">
        <v>21062</v>
      </c>
      <c r="J691" s="91">
        <v>1</v>
      </c>
      <c r="K691" s="86">
        <v>46066</v>
      </c>
      <c r="L691" s="10">
        <v>1</v>
      </c>
      <c r="M691" s="6">
        <v>46073</v>
      </c>
      <c r="N691" s="6">
        <v>46073</v>
      </c>
      <c r="O691" s="19">
        <f>TAB_OFICINAS[[#This Row],[Data Retorno Produção]]-TAB_OFICINAS[[#This Row],[Data Prometida  Entrega]]</f>
        <v>0</v>
      </c>
      <c r="P691" s="40" t="str">
        <f>IF(TAB_OFICINAS[[#This Row],[Dias Para Entrega]]&lt;=0,"Em dia","Dia de Atrasado")</f>
        <v>Em dia</v>
      </c>
      <c r="Q691" s="10">
        <f>IFERROR(TAB_OFICINAS[[#This Row],[Qtd pçs Enviadas]]-TAB_OFICINAS[[#This Row],[Qtd pçs Retornadas ]]," ")</f>
        <v>0</v>
      </c>
      <c r="R691" s="10">
        <v>0</v>
      </c>
      <c r="S691" s="5">
        <v>596</v>
      </c>
      <c r="T691" s="5">
        <v>16966</v>
      </c>
      <c r="U691" s="52">
        <v>12</v>
      </c>
      <c r="V691" s="44">
        <f>IFERROR(TAB_OFICINAS[[#This Row],[Valor Unit]]*TAB_OFICINAS[[#This Row],[Qtd pçs Enviadas]]," ")</f>
        <v>12</v>
      </c>
      <c r="W691" s="17">
        <v>46085</v>
      </c>
      <c r="X691" s="5" t="s">
        <v>6251</v>
      </c>
      <c r="Y691" s="27" t="s">
        <v>21335</v>
      </c>
      <c r="Z69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2" spans="3:26" hidden="1">
      <c r="C692" s="28" t="s">
        <v>15</v>
      </c>
      <c r="D692" s="5">
        <v>2710</v>
      </c>
      <c r="E692" s="5">
        <v>22827</v>
      </c>
      <c r="F692" s="28" t="str">
        <f>IFERROR(VLOOKUP(TAB_OFICINAS[[#This Row],[Cliente]],LISTA_DE_CLIENTES[[Código]:[Nome Fantasia]],2,FALSE),"")</f>
        <v>AMMAN COMERCIO E PRESTACAO DE SERVICOS EMPRESARIAI</v>
      </c>
      <c r="G692" s="5" t="str">
        <f>IFERROR(VLOOKUP(TAB_OFICINAS[[#This Row],[Cliente]],LISTA_DE_CLIENTES[[Código]:[Nome Fantasia]],3,FALSE),"")</f>
        <v>AMMAN</v>
      </c>
      <c r="H692" s="51" t="s">
        <v>23962</v>
      </c>
      <c r="I692" s="28" t="s">
        <v>21337</v>
      </c>
      <c r="J692" s="91">
        <v>1</v>
      </c>
      <c r="K692" s="86">
        <v>46066</v>
      </c>
      <c r="L692" s="10">
        <v>1</v>
      </c>
      <c r="M692" s="6">
        <v>46073</v>
      </c>
      <c r="N692" s="6">
        <v>46073</v>
      </c>
      <c r="O692" s="19">
        <f>TAB_OFICINAS[[#This Row],[Data Retorno Produção]]-TAB_OFICINAS[[#This Row],[Data Prometida  Entrega]]</f>
        <v>0</v>
      </c>
      <c r="P692" s="40" t="str">
        <f>IF(TAB_OFICINAS[[#This Row],[Dias Para Entrega]]&lt;=0,"Em dia","Dia de Atrasado")</f>
        <v>Em dia</v>
      </c>
      <c r="Q692" s="10">
        <f>IFERROR(TAB_OFICINAS[[#This Row],[Qtd pçs Enviadas]]-TAB_OFICINAS[[#This Row],[Qtd pçs Retornadas ]]," ")</f>
        <v>0</v>
      </c>
      <c r="R692" s="10">
        <v>0</v>
      </c>
      <c r="S692" s="5">
        <v>596</v>
      </c>
      <c r="T692" s="5">
        <v>16966</v>
      </c>
      <c r="U692" s="52">
        <v>12</v>
      </c>
      <c r="V692" s="44">
        <f>IFERROR(TAB_OFICINAS[[#This Row],[Valor Unit]]*TAB_OFICINAS[[#This Row],[Qtd pçs Enviadas]]," ")</f>
        <v>12</v>
      </c>
      <c r="W692" s="17">
        <v>46085</v>
      </c>
      <c r="X692" s="5" t="s">
        <v>6251</v>
      </c>
      <c r="Y692" s="27" t="s">
        <v>21336</v>
      </c>
      <c r="Z69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3" spans="3:26" ht="42.75" hidden="1">
      <c r="C693" s="28" t="s">
        <v>15</v>
      </c>
      <c r="D693" s="5">
        <v>5247</v>
      </c>
      <c r="E693" s="5">
        <v>22531</v>
      </c>
      <c r="F693" s="28" t="str">
        <f>IFERROR(VLOOKUP(TAB_OFICINAS[[#This Row],[Cliente]],LISTA_DE_CLIENTES[[Código]:[Nome Fantasia]],2,FALSE),"")</f>
        <v>MARIANA AURIEMO</v>
      </c>
      <c r="G693" s="5" t="str">
        <f>IFERROR(VLOOKUP(TAB_OFICINAS[[#This Row],[Cliente]],LISTA_DE_CLIENTES[[Código]:[Nome Fantasia]],3,FALSE),"")</f>
        <v>MARIANA AURIEMO</v>
      </c>
      <c r="H693" s="63">
        <v>3301098613</v>
      </c>
      <c r="I693" s="28" t="s">
        <v>21011</v>
      </c>
      <c r="J693" s="91">
        <v>1</v>
      </c>
      <c r="K693" s="86">
        <v>46072</v>
      </c>
      <c r="L693" s="10">
        <v>1</v>
      </c>
      <c r="M693" s="6">
        <v>46083</v>
      </c>
      <c r="N693" s="6">
        <v>46083</v>
      </c>
      <c r="O693" s="19">
        <f>TAB_OFICINAS[[#This Row],[Data Retorno Produção]]-TAB_OFICINAS[[#This Row],[Data Prometida  Entrega]]</f>
        <v>0</v>
      </c>
      <c r="P693" s="40" t="str">
        <f>IF(TAB_OFICINAS[[#This Row],[Dias Para Entrega]]&lt;=0,"Em dia","Dia de Atrasado")</f>
        <v>Em dia</v>
      </c>
      <c r="Q693" s="10">
        <f>IFERROR(TAB_OFICINAS[[#This Row],[Qtd pçs Enviadas]]-TAB_OFICINAS[[#This Row],[Qtd pçs Retornadas ]]," ")</f>
        <v>0</v>
      </c>
      <c r="R693" s="10">
        <v>0</v>
      </c>
      <c r="S693" s="5">
        <v>606</v>
      </c>
      <c r="T693" s="5">
        <v>16976</v>
      </c>
      <c r="U693" s="52">
        <v>12</v>
      </c>
      <c r="V693" s="44">
        <f>IFERROR(TAB_OFICINAS[[#This Row],[Valor Unit]]*TAB_OFICINAS[[#This Row],[Qtd pçs Enviadas]]," ")</f>
        <v>12</v>
      </c>
      <c r="W693" s="17">
        <v>46087</v>
      </c>
      <c r="X693" s="5" t="s">
        <v>6251</v>
      </c>
      <c r="Y693" s="27" t="s">
        <v>21347</v>
      </c>
      <c r="Z6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4" spans="3:26" ht="57" hidden="1">
      <c r="C694" s="28" t="s">
        <v>15</v>
      </c>
      <c r="D694" s="5">
        <v>5247</v>
      </c>
      <c r="E694" s="5">
        <v>22531</v>
      </c>
      <c r="F694" s="28" t="str">
        <f>IFERROR(VLOOKUP(TAB_OFICINAS[[#This Row],[Cliente]],LISTA_DE_CLIENTES[[Código]:[Nome Fantasia]],2,FALSE),"")</f>
        <v>MARIANA AURIEMO</v>
      </c>
      <c r="G694" s="5" t="str">
        <f>IFERROR(VLOOKUP(TAB_OFICINAS[[#This Row],[Cliente]],LISTA_DE_CLIENTES[[Código]:[Nome Fantasia]],3,FALSE),"")</f>
        <v>MARIANA AURIEMO</v>
      </c>
      <c r="H694" s="63">
        <v>3301098614</v>
      </c>
      <c r="I694" s="28" t="s">
        <v>21011</v>
      </c>
      <c r="J694" s="91">
        <v>1</v>
      </c>
      <c r="K694" s="86">
        <v>46072</v>
      </c>
      <c r="L694" s="10">
        <v>1</v>
      </c>
      <c r="M694" s="6">
        <v>46083</v>
      </c>
      <c r="N694" s="6">
        <v>46083</v>
      </c>
      <c r="O694" s="19">
        <f>TAB_OFICINAS[[#This Row],[Data Retorno Produção]]-TAB_OFICINAS[[#This Row],[Data Prometida  Entrega]]</f>
        <v>0</v>
      </c>
      <c r="P694" s="40" t="str">
        <f>IF(TAB_OFICINAS[[#This Row],[Dias Para Entrega]]&lt;=0,"Em dia","Dia de Atrasado")</f>
        <v>Em dia</v>
      </c>
      <c r="Q694" s="10">
        <f>IFERROR(TAB_OFICINAS[[#This Row],[Qtd pçs Enviadas]]-TAB_OFICINAS[[#This Row],[Qtd pçs Retornadas ]]," ")</f>
        <v>0</v>
      </c>
      <c r="R694" s="10">
        <v>0</v>
      </c>
      <c r="S694" s="5">
        <v>606</v>
      </c>
      <c r="T694" s="5">
        <v>16976</v>
      </c>
      <c r="U694" s="52">
        <v>12</v>
      </c>
      <c r="V694" s="44">
        <f>IFERROR(TAB_OFICINAS[[#This Row],[Valor Unit]]*TAB_OFICINAS[[#This Row],[Qtd pçs Enviadas]]," ")</f>
        <v>12</v>
      </c>
      <c r="W694" s="17">
        <v>46087</v>
      </c>
      <c r="X694" s="5" t="s">
        <v>6251</v>
      </c>
      <c r="Y694" s="27" t="s">
        <v>21346</v>
      </c>
      <c r="Z6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5" spans="3:26" hidden="1">
      <c r="C695" s="28" t="s">
        <v>15</v>
      </c>
      <c r="D695" s="5">
        <v>5247</v>
      </c>
      <c r="E695" s="5">
        <v>22531</v>
      </c>
      <c r="F695" s="28" t="str">
        <f>IFERROR(VLOOKUP(TAB_OFICINAS[[#This Row],[Cliente]],LISTA_DE_CLIENTES[[Código]:[Nome Fantasia]],2,FALSE),"")</f>
        <v>MARIANA AURIEMO</v>
      </c>
      <c r="G695" s="5" t="str">
        <f>IFERROR(VLOOKUP(TAB_OFICINAS[[#This Row],[Cliente]],LISTA_DE_CLIENTES[[Código]:[Nome Fantasia]],3,FALSE),"")</f>
        <v>MARIANA AURIEMO</v>
      </c>
      <c r="H695" s="63">
        <v>3302229697</v>
      </c>
      <c r="I695" s="28" t="s">
        <v>21348</v>
      </c>
      <c r="J695" s="91">
        <v>1</v>
      </c>
      <c r="K695" s="86">
        <v>46072</v>
      </c>
      <c r="L695" s="10">
        <v>1</v>
      </c>
      <c r="M695" s="6">
        <v>46083</v>
      </c>
      <c r="N695" s="6">
        <v>46083</v>
      </c>
      <c r="O695" s="19">
        <f>TAB_OFICINAS[[#This Row],[Data Retorno Produção]]-TAB_OFICINAS[[#This Row],[Data Prometida  Entrega]]</f>
        <v>0</v>
      </c>
      <c r="P695" s="40" t="str">
        <f>IF(TAB_OFICINAS[[#This Row],[Dias Para Entrega]]&lt;=0,"Em dia","Dia de Atrasado")</f>
        <v>Em dia</v>
      </c>
      <c r="Q695" s="10">
        <f>IFERROR(TAB_OFICINAS[[#This Row],[Qtd pçs Enviadas]]-TAB_OFICINAS[[#This Row],[Qtd pçs Retornadas ]]," ")</f>
        <v>0</v>
      </c>
      <c r="R695" s="10">
        <v>0</v>
      </c>
      <c r="S695" s="5">
        <v>606</v>
      </c>
      <c r="T695" s="5">
        <v>16976</v>
      </c>
      <c r="U695" s="52">
        <v>12</v>
      </c>
      <c r="V695" s="44">
        <f>IFERROR(TAB_OFICINAS[[#This Row],[Valor Unit]]*TAB_OFICINAS[[#This Row],[Qtd pçs Enviadas]]," ")</f>
        <v>12</v>
      </c>
      <c r="W695" s="17">
        <v>46087</v>
      </c>
      <c r="X695" s="5" t="s">
        <v>6251</v>
      </c>
      <c r="Y695" s="27" t="s">
        <v>21349</v>
      </c>
      <c r="Z6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6" spans="3:26" hidden="1">
      <c r="C696" s="28" t="s">
        <v>15</v>
      </c>
      <c r="D696" s="5">
        <v>5247</v>
      </c>
      <c r="E696" s="5">
        <v>22531</v>
      </c>
      <c r="F696" s="28" t="str">
        <f>IFERROR(VLOOKUP(TAB_OFICINAS[[#This Row],[Cliente]],LISTA_DE_CLIENTES[[Código]:[Nome Fantasia]],2,FALSE),"")</f>
        <v>MARIANA AURIEMO</v>
      </c>
      <c r="G696" s="5" t="str">
        <f>IFERROR(VLOOKUP(TAB_OFICINAS[[#This Row],[Cliente]],LISTA_DE_CLIENTES[[Código]:[Nome Fantasia]],3,FALSE),"")</f>
        <v>MARIANA AURIEMO</v>
      </c>
      <c r="H696" s="51" t="s">
        <v>21350</v>
      </c>
      <c r="I696" s="28" t="s">
        <v>21360</v>
      </c>
      <c r="J696" s="91">
        <v>1</v>
      </c>
      <c r="K696" s="86">
        <v>46072</v>
      </c>
      <c r="L696" s="10">
        <v>1</v>
      </c>
      <c r="M696" s="6">
        <v>46083</v>
      </c>
      <c r="N696" s="6">
        <v>46083</v>
      </c>
      <c r="O696" s="19">
        <f>TAB_OFICINAS[[#This Row],[Data Retorno Produção]]-TAB_OFICINAS[[#This Row],[Data Prometida  Entrega]]</f>
        <v>0</v>
      </c>
      <c r="P696" s="40" t="str">
        <f>IF(TAB_OFICINAS[[#This Row],[Dias Para Entrega]]&lt;=0,"Em dia","Dia de Atrasado")</f>
        <v>Em dia</v>
      </c>
      <c r="Q696" s="10">
        <f>IFERROR(TAB_OFICINAS[[#This Row],[Qtd pçs Enviadas]]-TAB_OFICINAS[[#This Row],[Qtd pçs Retornadas ]]," ")</f>
        <v>0</v>
      </c>
      <c r="R696" s="10">
        <v>0</v>
      </c>
      <c r="S696" s="5">
        <v>606</v>
      </c>
      <c r="T696" s="5">
        <v>16976</v>
      </c>
      <c r="U696" s="52">
        <v>12</v>
      </c>
      <c r="V696" s="44">
        <f>IFERROR(TAB_OFICINAS[[#This Row],[Valor Unit]]*TAB_OFICINAS[[#This Row],[Qtd pçs Enviadas]]," ")</f>
        <v>12</v>
      </c>
      <c r="W696" s="17">
        <v>46087</v>
      </c>
      <c r="X696" s="5" t="s">
        <v>6251</v>
      </c>
      <c r="Y696" s="27" t="s">
        <v>21351</v>
      </c>
      <c r="Z6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7" spans="3:26" ht="28.5" hidden="1">
      <c r="C697" s="28" t="s">
        <v>15</v>
      </c>
      <c r="D697" s="5">
        <v>5247</v>
      </c>
      <c r="E697" s="5">
        <v>22531</v>
      </c>
      <c r="F697" s="28" t="str">
        <f>IFERROR(VLOOKUP(TAB_OFICINAS[[#This Row],[Cliente]],LISTA_DE_CLIENTES[[Código]:[Nome Fantasia]],2,FALSE),"")</f>
        <v>MARIANA AURIEMO</v>
      </c>
      <c r="G697" s="5" t="str">
        <f>IFERROR(VLOOKUP(TAB_OFICINAS[[#This Row],[Cliente]],LISTA_DE_CLIENTES[[Código]:[Nome Fantasia]],3,FALSE),"")</f>
        <v>MARIANA AURIEMO</v>
      </c>
      <c r="H697" s="51" t="s">
        <v>21352</v>
      </c>
      <c r="I697" s="28" t="s">
        <v>21361</v>
      </c>
      <c r="J697" s="91">
        <v>1</v>
      </c>
      <c r="K697" s="86">
        <v>46072</v>
      </c>
      <c r="L697" s="10">
        <v>1</v>
      </c>
      <c r="M697" s="6">
        <v>46083</v>
      </c>
      <c r="N697" s="6">
        <v>46083</v>
      </c>
      <c r="O697" s="19">
        <f>TAB_OFICINAS[[#This Row],[Data Retorno Produção]]-TAB_OFICINAS[[#This Row],[Data Prometida  Entrega]]</f>
        <v>0</v>
      </c>
      <c r="P697" s="40" t="str">
        <f>IF(TAB_OFICINAS[[#This Row],[Dias Para Entrega]]&lt;=0,"Em dia","Dia de Atrasado")</f>
        <v>Em dia</v>
      </c>
      <c r="Q697" s="10">
        <f>IFERROR(TAB_OFICINAS[[#This Row],[Qtd pçs Enviadas]]-TAB_OFICINAS[[#This Row],[Qtd pçs Retornadas ]]," ")</f>
        <v>0</v>
      </c>
      <c r="R697" s="10">
        <v>0</v>
      </c>
      <c r="S697" s="5">
        <v>606</v>
      </c>
      <c r="T697" s="5">
        <v>16976</v>
      </c>
      <c r="U697" s="52">
        <v>17</v>
      </c>
      <c r="V697" s="44">
        <f>IFERROR(TAB_OFICINAS[[#This Row],[Valor Unit]]*TAB_OFICINAS[[#This Row],[Qtd pçs Enviadas]]," ")</f>
        <v>17</v>
      </c>
      <c r="W697" s="17">
        <v>46087</v>
      </c>
      <c r="X697" s="5" t="s">
        <v>6251</v>
      </c>
      <c r="Y697" s="27" t="s">
        <v>21353</v>
      </c>
      <c r="Z6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8" spans="3:26" ht="28.5" hidden="1">
      <c r="C698" s="28" t="s">
        <v>15</v>
      </c>
      <c r="D698" s="5">
        <v>5247</v>
      </c>
      <c r="E698" s="5">
        <v>22531</v>
      </c>
      <c r="F698" s="28" t="str">
        <f>IFERROR(VLOOKUP(TAB_OFICINAS[[#This Row],[Cliente]],LISTA_DE_CLIENTES[[Código]:[Nome Fantasia]],2,FALSE),"")</f>
        <v>MARIANA AURIEMO</v>
      </c>
      <c r="G698" s="5" t="str">
        <f>IFERROR(VLOOKUP(TAB_OFICINAS[[#This Row],[Cliente]],LISTA_DE_CLIENTES[[Código]:[Nome Fantasia]],3,FALSE),"")</f>
        <v>MARIANA AURIEMO</v>
      </c>
      <c r="H698" s="51" t="s">
        <v>21355</v>
      </c>
      <c r="I698" s="28" t="s">
        <v>21362</v>
      </c>
      <c r="J698" s="91">
        <v>1</v>
      </c>
      <c r="K698" s="86">
        <v>46072</v>
      </c>
      <c r="L698" s="10">
        <v>1</v>
      </c>
      <c r="M698" s="6">
        <v>46083</v>
      </c>
      <c r="N698" s="6">
        <v>46083</v>
      </c>
      <c r="O698" s="19">
        <f>TAB_OFICINAS[[#This Row],[Data Retorno Produção]]-TAB_OFICINAS[[#This Row],[Data Prometida  Entrega]]</f>
        <v>0</v>
      </c>
      <c r="P698" s="40" t="str">
        <f>IF(TAB_OFICINAS[[#This Row],[Dias Para Entrega]]&lt;=0,"Em dia","Dia de Atrasado")</f>
        <v>Em dia</v>
      </c>
      <c r="Q698" s="10">
        <f>IFERROR(TAB_OFICINAS[[#This Row],[Qtd pçs Enviadas]]-TAB_OFICINAS[[#This Row],[Qtd pçs Retornadas ]]," ")</f>
        <v>0</v>
      </c>
      <c r="R698" s="10">
        <v>0</v>
      </c>
      <c r="S698" s="5">
        <v>606</v>
      </c>
      <c r="T698" s="5">
        <v>16976</v>
      </c>
      <c r="U698" s="52">
        <v>22</v>
      </c>
      <c r="V698" s="44">
        <f>IFERROR(TAB_OFICINAS[[#This Row],[Valor Unit]]*TAB_OFICINAS[[#This Row],[Qtd pçs Enviadas]]," ")</f>
        <v>22</v>
      </c>
      <c r="W698" s="17">
        <v>46087</v>
      </c>
      <c r="X698" s="5" t="s">
        <v>6251</v>
      </c>
      <c r="Y698" s="27" t="s">
        <v>21354</v>
      </c>
      <c r="Z6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699" spans="3:26" hidden="1">
      <c r="C699" s="28" t="s">
        <v>15</v>
      </c>
      <c r="D699" s="5">
        <v>5247</v>
      </c>
      <c r="E699" s="5">
        <v>22531</v>
      </c>
      <c r="F699" s="28" t="str">
        <f>IFERROR(VLOOKUP(TAB_OFICINAS[[#This Row],[Cliente]],LISTA_DE_CLIENTES[[Código]:[Nome Fantasia]],2,FALSE),"")</f>
        <v>MARIANA AURIEMO</v>
      </c>
      <c r="G699" s="5" t="str">
        <f>IFERROR(VLOOKUP(TAB_OFICINAS[[#This Row],[Cliente]],LISTA_DE_CLIENTES[[Código]:[Nome Fantasia]],3,FALSE),"")</f>
        <v>MARIANA AURIEMO</v>
      </c>
      <c r="H699" s="51" t="s">
        <v>21356</v>
      </c>
      <c r="I699" s="28" t="s">
        <v>21363</v>
      </c>
      <c r="J699" s="91">
        <v>1</v>
      </c>
      <c r="K699" s="86">
        <v>46072</v>
      </c>
      <c r="L699" s="10">
        <v>1</v>
      </c>
      <c r="M699" s="6">
        <v>46083</v>
      </c>
      <c r="N699" s="6">
        <v>46083</v>
      </c>
      <c r="O699" s="19">
        <f>TAB_OFICINAS[[#This Row],[Data Retorno Produção]]-TAB_OFICINAS[[#This Row],[Data Prometida  Entrega]]</f>
        <v>0</v>
      </c>
      <c r="P699" s="40" t="str">
        <f>IF(TAB_OFICINAS[[#This Row],[Dias Para Entrega]]&lt;=0,"Em dia","Dia de Atrasado")</f>
        <v>Em dia</v>
      </c>
      <c r="Q699" s="10">
        <f>IFERROR(TAB_OFICINAS[[#This Row],[Qtd pçs Enviadas]]-TAB_OFICINAS[[#This Row],[Qtd pçs Retornadas ]]," ")</f>
        <v>0</v>
      </c>
      <c r="R699" s="10">
        <v>0</v>
      </c>
      <c r="S699" s="5">
        <v>606</v>
      </c>
      <c r="T699" s="5">
        <v>16976</v>
      </c>
      <c r="U699" s="52">
        <v>12</v>
      </c>
      <c r="V699" s="44">
        <f>IFERROR(TAB_OFICINAS[[#This Row],[Valor Unit]]*TAB_OFICINAS[[#This Row],[Qtd pçs Enviadas]]," ")</f>
        <v>12</v>
      </c>
      <c r="W699" s="17">
        <v>46087</v>
      </c>
      <c r="X699" s="5" t="s">
        <v>6251</v>
      </c>
      <c r="Y699" s="27" t="s">
        <v>21351</v>
      </c>
      <c r="Z6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0" spans="3:26" ht="28.5" hidden="1">
      <c r="C700" s="28" t="s">
        <v>15</v>
      </c>
      <c r="D700" s="5">
        <v>5247</v>
      </c>
      <c r="E700" s="5">
        <v>22531</v>
      </c>
      <c r="F700" s="28" t="str">
        <f>IFERROR(VLOOKUP(TAB_OFICINAS[[#This Row],[Cliente]],LISTA_DE_CLIENTES[[Código]:[Nome Fantasia]],2,FALSE),"")</f>
        <v>MARIANA AURIEMO</v>
      </c>
      <c r="G700" s="5" t="str">
        <f>IFERROR(VLOOKUP(TAB_OFICINAS[[#This Row],[Cliente]],LISTA_DE_CLIENTES[[Código]:[Nome Fantasia]],3,FALSE),"")</f>
        <v>MARIANA AURIEMO</v>
      </c>
      <c r="H700" s="51" t="s">
        <v>21357</v>
      </c>
      <c r="I700" s="28" t="s">
        <v>21364</v>
      </c>
      <c r="J700" s="91">
        <v>1</v>
      </c>
      <c r="K700" s="86">
        <v>46072</v>
      </c>
      <c r="L700" s="10">
        <v>1</v>
      </c>
      <c r="M700" s="6">
        <v>46083</v>
      </c>
      <c r="N700" s="6">
        <v>46083</v>
      </c>
      <c r="O700" s="19">
        <f>TAB_OFICINAS[[#This Row],[Data Retorno Produção]]-TAB_OFICINAS[[#This Row],[Data Prometida  Entrega]]</f>
        <v>0</v>
      </c>
      <c r="P700" s="40" t="str">
        <f>IF(TAB_OFICINAS[[#This Row],[Dias Para Entrega]]&lt;=0,"Em dia","Dia de Atrasado")</f>
        <v>Em dia</v>
      </c>
      <c r="Q700" s="10">
        <f>IFERROR(TAB_OFICINAS[[#This Row],[Qtd pçs Enviadas]]-TAB_OFICINAS[[#This Row],[Qtd pçs Retornadas ]]," ")</f>
        <v>0</v>
      </c>
      <c r="R700" s="10">
        <v>0</v>
      </c>
      <c r="S700" s="5">
        <v>606</v>
      </c>
      <c r="T700" s="5">
        <v>16976</v>
      </c>
      <c r="U700" s="52">
        <v>12</v>
      </c>
      <c r="V700" s="44">
        <f>IFERROR(TAB_OFICINAS[[#This Row],[Valor Unit]]*TAB_OFICINAS[[#This Row],[Qtd pçs Enviadas]]," ")</f>
        <v>12</v>
      </c>
      <c r="W700" s="17">
        <v>46087</v>
      </c>
      <c r="X700" s="5" t="s">
        <v>6251</v>
      </c>
      <c r="Y700" s="27" t="s">
        <v>21353</v>
      </c>
      <c r="Z7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1" spans="3:26" ht="28.5" hidden="1">
      <c r="C701" s="28" t="s">
        <v>15</v>
      </c>
      <c r="D701" s="5">
        <v>5247</v>
      </c>
      <c r="E701" s="5">
        <v>22531</v>
      </c>
      <c r="F701" s="28" t="str">
        <f>IFERROR(VLOOKUP(TAB_OFICINAS[[#This Row],[Cliente]],LISTA_DE_CLIENTES[[Código]:[Nome Fantasia]],2,FALSE),"")</f>
        <v>MARIANA AURIEMO</v>
      </c>
      <c r="G701" s="5" t="str">
        <f>IFERROR(VLOOKUP(TAB_OFICINAS[[#This Row],[Cliente]],LISTA_DE_CLIENTES[[Código]:[Nome Fantasia]],3,FALSE),"")</f>
        <v>MARIANA AURIEMO</v>
      </c>
      <c r="H701" s="51" t="s">
        <v>21358</v>
      </c>
      <c r="I701" s="28" t="s">
        <v>21365</v>
      </c>
      <c r="J701" s="91">
        <v>1</v>
      </c>
      <c r="K701" s="86">
        <v>46072</v>
      </c>
      <c r="L701" s="10">
        <v>1</v>
      </c>
      <c r="M701" s="6">
        <v>46083</v>
      </c>
      <c r="N701" s="6">
        <v>46083</v>
      </c>
      <c r="O701" s="19">
        <f>TAB_OFICINAS[[#This Row],[Data Retorno Produção]]-TAB_OFICINAS[[#This Row],[Data Prometida  Entrega]]</f>
        <v>0</v>
      </c>
      <c r="P701" s="40" t="str">
        <f>IF(TAB_OFICINAS[[#This Row],[Dias Para Entrega]]&lt;=0,"Em dia","Dia de Atrasado")</f>
        <v>Em dia</v>
      </c>
      <c r="Q701" s="10">
        <f>IFERROR(TAB_OFICINAS[[#This Row],[Qtd pçs Enviadas]]-TAB_OFICINAS[[#This Row],[Qtd pçs Retornadas ]]," ")</f>
        <v>0</v>
      </c>
      <c r="R701" s="10">
        <v>0</v>
      </c>
      <c r="S701" s="5">
        <v>606</v>
      </c>
      <c r="T701" s="5">
        <v>16976</v>
      </c>
      <c r="U701" s="52">
        <v>22</v>
      </c>
      <c r="V701" s="44">
        <f>IFERROR(TAB_OFICINAS[[#This Row],[Valor Unit]]*TAB_OFICINAS[[#This Row],[Qtd pçs Enviadas]]," ")</f>
        <v>22</v>
      </c>
      <c r="W701" s="17">
        <v>46087</v>
      </c>
      <c r="X701" s="5" t="s">
        <v>6251</v>
      </c>
      <c r="Y701" s="27" t="s">
        <v>21354</v>
      </c>
      <c r="Z7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2" spans="3:26" hidden="1">
      <c r="C702" s="28" t="s">
        <v>15</v>
      </c>
      <c r="D702" s="5">
        <v>1475</v>
      </c>
      <c r="E702" s="5">
        <v>22655</v>
      </c>
      <c r="F702" s="28" t="str">
        <f>IFERROR(VLOOKUP(TAB_OFICINAS[[#This Row],[Cliente]],LISTA_DE_CLIENTES[[Código]:[Nome Fantasia]],2,FALSE),"")</f>
        <v>LASSO EMPREENDIMENTOS TURISTICOS LTDA</v>
      </c>
      <c r="G702" s="5" t="str">
        <f>IFERROR(VLOOKUP(TAB_OFICINAS[[#This Row],[Cliente]],LISTA_DE_CLIENTES[[Código]:[Nome Fantasia]],3,FALSE),"")</f>
        <v>POUSADA MI SECRETO</v>
      </c>
      <c r="H702" s="63">
        <v>3301146517</v>
      </c>
      <c r="I702" s="28" t="s">
        <v>20684</v>
      </c>
      <c r="J702" s="91">
        <v>1</v>
      </c>
      <c r="K702" s="86">
        <v>46077</v>
      </c>
      <c r="L702" s="10">
        <v>1</v>
      </c>
      <c r="M702" s="6">
        <v>46077</v>
      </c>
      <c r="N702" s="6">
        <v>46077</v>
      </c>
      <c r="O702" s="19">
        <f>TAB_OFICINAS[[#This Row],[Data Retorno Produção]]-TAB_OFICINAS[[#This Row],[Data Prometida  Entrega]]</f>
        <v>0</v>
      </c>
      <c r="P702" s="40" t="str">
        <f>IF(TAB_OFICINAS[[#This Row],[Dias Para Entrega]]&lt;=0,"Em dia","Dia de Atrasado")</f>
        <v>Em dia</v>
      </c>
      <c r="Q702" s="10">
        <f>IFERROR(TAB_OFICINAS[[#This Row],[Qtd pçs Enviadas]]-TAB_OFICINAS[[#This Row],[Qtd pçs Retornadas ]]," ")</f>
        <v>0</v>
      </c>
      <c r="R702" s="10">
        <v>0</v>
      </c>
      <c r="S702" s="5" t="s">
        <v>21371</v>
      </c>
      <c r="T702" s="5" t="s">
        <v>21371</v>
      </c>
      <c r="U702" s="52">
        <v>0</v>
      </c>
      <c r="V702" s="44">
        <f>IFERROR(TAB_OFICINAS[[#This Row],[Valor Unit]]*TAB_OFICINAS[[#This Row],[Qtd pçs Enviadas]]," ")</f>
        <v>0</v>
      </c>
      <c r="W702" s="17" t="s">
        <v>21371</v>
      </c>
      <c r="X702" s="5" t="s">
        <v>6251</v>
      </c>
      <c r="Y702" s="27" t="s">
        <v>20413</v>
      </c>
      <c r="Z7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3" spans="3:26" ht="28.5" hidden="1">
      <c r="C703" s="28" t="s">
        <v>15</v>
      </c>
      <c r="D703" s="5">
        <v>5247</v>
      </c>
      <c r="E703" s="5">
        <v>22531</v>
      </c>
      <c r="F703" s="28" t="str">
        <f>IFERROR(VLOOKUP(TAB_OFICINAS[[#This Row],[Cliente]],LISTA_DE_CLIENTES[[Código]:[Nome Fantasia]],2,FALSE),"")</f>
        <v>MARIANA AURIEMO</v>
      </c>
      <c r="G703" s="5" t="str">
        <f>IFERROR(VLOOKUP(TAB_OFICINAS[[#This Row],[Cliente]],LISTA_DE_CLIENTES[[Código]:[Nome Fantasia]],3,FALSE),"")</f>
        <v>MARIANA AURIEMO</v>
      </c>
      <c r="H703" s="51" t="s">
        <v>21359</v>
      </c>
      <c r="I703" s="28" t="s">
        <v>21366</v>
      </c>
      <c r="J703" s="91">
        <v>1</v>
      </c>
      <c r="K703" s="86">
        <v>46077</v>
      </c>
      <c r="L703" s="10">
        <v>1</v>
      </c>
      <c r="M703" s="6">
        <v>46083</v>
      </c>
      <c r="N703" s="6">
        <v>46083</v>
      </c>
      <c r="O703" s="19">
        <f>TAB_OFICINAS[[#This Row],[Data Retorno Produção]]-TAB_OFICINAS[[#This Row],[Data Prometida  Entrega]]</f>
        <v>0</v>
      </c>
      <c r="P703" s="40" t="str">
        <f>IF(TAB_OFICINAS[[#This Row],[Dias Para Entrega]]&lt;=0,"Em dia","Dia de Atrasado")</f>
        <v>Em dia</v>
      </c>
      <c r="Q703" s="10">
        <f>IFERROR(TAB_OFICINAS[[#This Row],[Qtd pçs Enviadas]]-TAB_OFICINAS[[#This Row],[Qtd pçs Retornadas ]]," ")</f>
        <v>0</v>
      </c>
      <c r="R703" s="10">
        <v>0</v>
      </c>
      <c r="S703" s="5">
        <v>606</v>
      </c>
      <c r="T703" s="5">
        <v>16976</v>
      </c>
      <c r="U703" s="52">
        <v>22</v>
      </c>
      <c r="V703" s="44">
        <f>IFERROR(TAB_OFICINAS[[#This Row],[Valor Unit]]*TAB_OFICINAS[[#This Row],[Qtd pçs Enviadas]]," ")</f>
        <v>22</v>
      </c>
      <c r="W703" s="17">
        <v>46087</v>
      </c>
      <c r="X703" s="5" t="s">
        <v>6251</v>
      </c>
      <c r="Y703" s="27" t="s">
        <v>21354</v>
      </c>
      <c r="Z7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4" spans="3:26" ht="28.5" hidden="1">
      <c r="C704" s="28" t="s">
        <v>15</v>
      </c>
      <c r="D704" s="5">
        <v>5247</v>
      </c>
      <c r="E704" s="5">
        <v>22531</v>
      </c>
      <c r="F704" s="28" t="str">
        <f>IFERROR(VLOOKUP(TAB_OFICINAS[[#This Row],[Cliente]],LISTA_DE_CLIENTES[[Código]:[Nome Fantasia]],2,FALSE),"")</f>
        <v>MARIANA AURIEMO</v>
      </c>
      <c r="G704" s="5" t="str">
        <f>IFERROR(VLOOKUP(TAB_OFICINAS[[#This Row],[Cliente]],LISTA_DE_CLIENTES[[Código]:[Nome Fantasia]],3,FALSE),"")</f>
        <v>MARIANA AURIEMO</v>
      </c>
      <c r="H704" s="51" t="s">
        <v>21359</v>
      </c>
      <c r="I704" s="28" t="s">
        <v>21367</v>
      </c>
      <c r="J704" s="91">
        <v>1</v>
      </c>
      <c r="K704" s="86">
        <v>46077</v>
      </c>
      <c r="L704" s="10">
        <v>1</v>
      </c>
      <c r="M704" s="6">
        <v>46083</v>
      </c>
      <c r="N704" s="6">
        <v>46083</v>
      </c>
      <c r="O704" s="19">
        <f>TAB_OFICINAS[[#This Row],[Data Retorno Produção]]-TAB_OFICINAS[[#This Row],[Data Prometida  Entrega]]</f>
        <v>0</v>
      </c>
      <c r="P704" s="40" t="str">
        <f>IF(TAB_OFICINAS[[#This Row],[Dias Para Entrega]]&lt;=0,"Em dia","Dia de Atrasado")</f>
        <v>Em dia</v>
      </c>
      <c r="Q704" s="10">
        <f>IFERROR(TAB_OFICINAS[[#This Row],[Qtd pçs Enviadas]]-TAB_OFICINAS[[#This Row],[Qtd pçs Retornadas ]]," ")</f>
        <v>0</v>
      </c>
      <c r="R704" s="10">
        <v>0</v>
      </c>
      <c r="S704" s="5">
        <v>606</v>
      </c>
      <c r="T704" s="5">
        <v>16976</v>
      </c>
      <c r="U704" s="52">
        <v>17</v>
      </c>
      <c r="V704" s="44">
        <f>IFERROR(TAB_OFICINAS[[#This Row],[Valor Unit]]*TAB_OFICINAS[[#This Row],[Qtd pçs Enviadas]]," ")</f>
        <v>17</v>
      </c>
      <c r="W704" s="17">
        <v>46087</v>
      </c>
      <c r="X704" s="5" t="s">
        <v>6251</v>
      </c>
      <c r="Y704" s="27" t="s">
        <v>21353</v>
      </c>
      <c r="Z7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5" spans="3:26" hidden="1">
      <c r="C705" s="28" t="s">
        <v>15</v>
      </c>
      <c r="D705" s="5">
        <v>5247</v>
      </c>
      <c r="E705" s="5">
        <v>22531</v>
      </c>
      <c r="F705" s="28" t="str">
        <f>IFERROR(VLOOKUP(TAB_OFICINAS[[#This Row],[Cliente]],LISTA_DE_CLIENTES[[Código]:[Nome Fantasia]],2,FALSE),"")</f>
        <v>MARIANA AURIEMO</v>
      </c>
      <c r="G705" s="5" t="str">
        <f>IFERROR(VLOOKUP(TAB_OFICINAS[[#This Row],[Cliente]],LISTA_DE_CLIENTES[[Código]:[Nome Fantasia]],3,FALSE),"")</f>
        <v>MARIANA AURIEMO</v>
      </c>
      <c r="H705" s="51" t="s">
        <v>21359</v>
      </c>
      <c r="I705" s="28" t="s">
        <v>21368</v>
      </c>
      <c r="J705" s="91">
        <v>1</v>
      </c>
      <c r="K705" s="86">
        <v>46077</v>
      </c>
      <c r="L705" s="10">
        <v>1</v>
      </c>
      <c r="M705" s="6">
        <v>46083</v>
      </c>
      <c r="N705" s="6">
        <v>46083</v>
      </c>
      <c r="O705" s="19">
        <f>TAB_OFICINAS[[#This Row],[Data Retorno Produção]]-TAB_OFICINAS[[#This Row],[Data Prometida  Entrega]]</f>
        <v>0</v>
      </c>
      <c r="P705" s="40" t="str">
        <f>IF(TAB_OFICINAS[[#This Row],[Dias Para Entrega]]&lt;=0,"Em dia","Dia de Atrasado")</f>
        <v>Em dia</v>
      </c>
      <c r="Q705" s="10">
        <f>IFERROR(TAB_OFICINAS[[#This Row],[Qtd pçs Enviadas]]-TAB_OFICINAS[[#This Row],[Qtd pçs Retornadas ]]," ")</f>
        <v>0</v>
      </c>
      <c r="R705" s="10">
        <v>0</v>
      </c>
      <c r="S705" s="5">
        <v>606</v>
      </c>
      <c r="T705" s="5">
        <v>16976</v>
      </c>
      <c r="U705" s="52">
        <v>12</v>
      </c>
      <c r="V705" s="44">
        <f>IFERROR(TAB_OFICINAS[[#This Row],[Valor Unit]]*TAB_OFICINAS[[#This Row],[Qtd pçs Enviadas]]," ")</f>
        <v>12</v>
      </c>
      <c r="W705" s="17">
        <v>46087</v>
      </c>
      <c r="X705" s="5" t="s">
        <v>6251</v>
      </c>
      <c r="Y705" s="27" t="s">
        <v>21351</v>
      </c>
      <c r="Z7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6" spans="3:26" ht="28.5" hidden="1">
      <c r="C706" s="28" t="s">
        <v>15</v>
      </c>
      <c r="D706" s="5">
        <v>5247</v>
      </c>
      <c r="E706" s="5">
        <v>22531</v>
      </c>
      <c r="F706" s="28" t="str">
        <f>IFERROR(VLOOKUP(TAB_OFICINAS[[#This Row],[Cliente]],LISTA_DE_CLIENTES[[Código]:[Nome Fantasia]],2,FALSE),"")</f>
        <v>MARIANA AURIEMO</v>
      </c>
      <c r="G706" s="5" t="str">
        <f>IFERROR(VLOOKUP(TAB_OFICINAS[[#This Row],[Cliente]],LISTA_DE_CLIENTES[[Código]:[Nome Fantasia]],3,FALSE),"")</f>
        <v>MARIANA AURIEMO</v>
      </c>
      <c r="H706" s="51" t="s">
        <v>21369</v>
      </c>
      <c r="I706" s="28" t="s">
        <v>21370</v>
      </c>
      <c r="J706" s="91">
        <v>1</v>
      </c>
      <c r="K706" s="86">
        <v>46077</v>
      </c>
      <c r="L706" s="10">
        <v>1</v>
      </c>
      <c r="M706" s="6">
        <v>46083</v>
      </c>
      <c r="N706" s="6">
        <v>46083</v>
      </c>
      <c r="O706" s="19">
        <f>TAB_OFICINAS[[#This Row],[Data Retorno Produção]]-TAB_OFICINAS[[#This Row],[Data Prometida  Entrega]]</f>
        <v>0</v>
      </c>
      <c r="P706" s="40" t="str">
        <f>IF(TAB_OFICINAS[[#This Row],[Dias Para Entrega]]&lt;=0,"Em dia","Dia de Atrasado")</f>
        <v>Em dia</v>
      </c>
      <c r="Q706" s="10">
        <f>IFERROR(TAB_OFICINAS[[#This Row],[Qtd pçs Enviadas]]-TAB_OFICINAS[[#This Row],[Qtd pçs Retornadas ]]," ")</f>
        <v>0</v>
      </c>
      <c r="R706" s="10">
        <v>0</v>
      </c>
      <c r="S706" s="5">
        <v>606</v>
      </c>
      <c r="T706" s="5">
        <v>16976</v>
      </c>
      <c r="U706" s="52">
        <v>17</v>
      </c>
      <c r="V706" s="44">
        <f>IFERROR(TAB_OFICINAS[[#This Row],[Valor Unit]]*TAB_OFICINAS[[#This Row],[Qtd pçs Enviadas]]," ")</f>
        <v>17</v>
      </c>
      <c r="W706" s="17">
        <v>46087</v>
      </c>
      <c r="X706" s="5" t="s">
        <v>6251</v>
      </c>
      <c r="Y706" s="27" t="s">
        <v>21353</v>
      </c>
      <c r="Z70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7" spans="3:26" ht="28.5" hidden="1">
      <c r="C707" s="28" t="s">
        <v>15</v>
      </c>
      <c r="D707" s="5">
        <v>5247</v>
      </c>
      <c r="E707" s="5">
        <v>22531</v>
      </c>
      <c r="F707" s="28" t="str">
        <f>IFERROR(VLOOKUP(TAB_OFICINAS[[#This Row],[Cliente]],LISTA_DE_CLIENTES[[Código]:[Nome Fantasia]],2,FALSE),"")</f>
        <v>MARIANA AURIEMO</v>
      </c>
      <c r="G707" s="5" t="str">
        <f>IFERROR(VLOOKUP(TAB_OFICINAS[[#This Row],[Cliente]],LISTA_DE_CLIENTES[[Código]:[Nome Fantasia]],3,FALSE),"")</f>
        <v>MARIANA AURIEMO</v>
      </c>
      <c r="H707" s="63">
        <v>2105158566</v>
      </c>
      <c r="I707" s="28" t="s">
        <v>21013</v>
      </c>
      <c r="J707" s="91">
        <v>1</v>
      </c>
      <c r="K707" s="86">
        <v>46077</v>
      </c>
      <c r="L707" s="10">
        <v>1</v>
      </c>
      <c r="M707" s="6">
        <v>46083</v>
      </c>
      <c r="N707" s="6">
        <v>46083</v>
      </c>
      <c r="O707" s="19">
        <f>TAB_OFICINAS[[#This Row],[Data Retorno Produção]]-TAB_OFICINAS[[#This Row],[Data Prometida  Entrega]]</f>
        <v>0</v>
      </c>
      <c r="P707" s="40" t="str">
        <f>IF(TAB_OFICINAS[[#This Row],[Dias Para Entrega]]&lt;=0,"Em dia","Dia de Atrasado")</f>
        <v>Em dia</v>
      </c>
      <c r="Q707" s="10">
        <f>IFERROR(TAB_OFICINAS[[#This Row],[Qtd pçs Enviadas]]-TAB_OFICINAS[[#This Row],[Qtd pçs Retornadas ]]," ")</f>
        <v>0</v>
      </c>
      <c r="R707" s="10">
        <v>0</v>
      </c>
      <c r="S707" s="5">
        <v>606</v>
      </c>
      <c r="T707" s="5">
        <v>16976</v>
      </c>
      <c r="U707" s="52">
        <v>12</v>
      </c>
      <c r="V707" s="44">
        <f>IFERROR(TAB_OFICINAS[[#This Row],[Valor Unit]]*TAB_OFICINAS[[#This Row],[Qtd pçs Enviadas]]," ")</f>
        <v>12</v>
      </c>
      <c r="W707" s="17">
        <v>46087</v>
      </c>
      <c r="X707" s="5" t="s">
        <v>6251</v>
      </c>
      <c r="Y707" s="27" t="s">
        <v>21345</v>
      </c>
      <c r="Z70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8" spans="3:26" ht="28.5" hidden="1">
      <c r="C708" s="28" t="s">
        <v>15</v>
      </c>
      <c r="D708" s="5">
        <v>5247</v>
      </c>
      <c r="E708" s="5">
        <v>22531</v>
      </c>
      <c r="F708" s="28" t="str">
        <f>IFERROR(VLOOKUP(TAB_OFICINAS[[#This Row],[Cliente]],LISTA_DE_CLIENTES[[Código]:[Nome Fantasia]],2,FALSE),"")</f>
        <v>MARIANA AURIEMO</v>
      </c>
      <c r="G708" s="5" t="str">
        <f>IFERROR(VLOOKUP(TAB_OFICINAS[[#This Row],[Cliente]],LISTA_DE_CLIENTES[[Código]:[Nome Fantasia]],3,FALSE),"")</f>
        <v>MARIANA AURIEMO</v>
      </c>
      <c r="H708" s="63">
        <v>2102188564</v>
      </c>
      <c r="I708" s="28" t="s">
        <v>21223</v>
      </c>
      <c r="J708" s="91">
        <v>1</v>
      </c>
      <c r="K708" s="86">
        <v>46077</v>
      </c>
      <c r="L708" s="10">
        <v>1</v>
      </c>
      <c r="M708" s="6">
        <v>46083</v>
      </c>
      <c r="N708" s="6">
        <v>46083</v>
      </c>
      <c r="O708" s="19">
        <f>TAB_OFICINAS[[#This Row],[Data Retorno Produção]]-TAB_OFICINAS[[#This Row],[Data Prometida  Entrega]]</f>
        <v>0</v>
      </c>
      <c r="P708" s="40" t="str">
        <f>IF(TAB_OFICINAS[[#This Row],[Dias Para Entrega]]&lt;=0,"Em dia","Dia de Atrasado")</f>
        <v>Em dia</v>
      </c>
      <c r="Q708" s="10">
        <f>IFERROR(TAB_OFICINAS[[#This Row],[Qtd pçs Enviadas]]-TAB_OFICINAS[[#This Row],[Qtd pçs Retornadas ]]," ")</f>
        <v>0</v>
      </c>
      <c r="R708" s="10">
        <v>0</v>
      </c>
      <c r="S708" s="5">
        <v>606</v>
      </c>
      <c r="T708" s="5">
        <v>16976</v>
      </c>
      <c r="U708" s="52">
        <v>17</v>
      </c>
      <c r="V708" s="44">
        <f>IFERROR(TAB_OFICINAS[[#This Row],[Valor Unit]]*TAB_OFICINAS[[#This Row],[Qtd pçs Enviadas]]," ")</f>
        <v>17</v>
      </c>
      <c r="W708" s="17">
        <v>46087</v>
      </c>
      <c r="X708" s="5" t="s">
        <v>6251</v>
      </c>
      <c r="Y708" s="27" t="s">
        <v>21353</v>
      </c>
      <c r="Z70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09" spans="3:26" ht="28.5" hidden="1">
      <c r="C709" s="28" t="s">
        <v>15</v>
      </c>
      <c r="D709" s="5">
        <v>5247</v>
      </c>
      <c r="E709" s="5">
        <v>22531</v>
      </c>
      <c r="F709" s="28" t="str">
        <f>IFERROR(VLOOKUP(TAB_OFICINAS[[#This Row],[Cliente]],LISTA_DE_CLIENTES[[Código]:[Nome Fantasia]],2,FALSE),"")</f>
        <v>MARIANA AURIEMO</v>
      </c>
      <c r="G709" s="5" t="str">
        <f>IFERROR(VLOOKUP(TAB_OFICINAS[[#This Row],[Cliente]],LISTA_DE_CLIENTES[[Código]:[Nome Fantasia]],3,FALSE),"")</f>
        <v>MARIANA AURIEMO</v>
      </c>
      <c r="H709" s="63">
        <v>2101048565</v>
      </c>
      <c r="I709" s="28" t="s">
        <v>21012</v>
      </c>
      <c r="J709" s="91">
        <v>1</v>
      </c>
      <c r="K709" s="86">
        <v>46077</v>
      </c>
      <c r="L709" s="10">
        <v>1</v>
      </c>
      <c r="M709" s="6">
        <v>46083</v>
      </c>
      <c r="N709" s="6">
        <v>46083</v>
      </c>
      <c r="O709" s="19">
        <f>TAB_OFICINAS[[#This Row],[Data Retorno Produção]]-TAB_OFICINAS[[#This Row],[Data Prometida  Entrega]]</f>
        <v>0</v>
      </c>
      <c r="P709" s="40" t="str">
        <f>IF(TAB_OFICINAS[[#This Row],[Dias Para Entrega]]&lt;=0,"Em dia","Dia de Atrasado")</f>
        <v>Em dia</v>
      </c>
      <c r="Q709" s="10">
        <f>IFERROR(TAB_OFICINAS[[#This Row],[Qtd pçs Enviadas]]-TAB_OFICINAS[[#This Row],[Qtd pçs Retornadas ]]," ")</f>
        <v>0</v>
      </c>
      <c r="R709" s="10">
        <v>0</v>
      </c>
      <c r="S709" s="5">
        <v>606</v>
      </c>
      <c r="T709" s="5">
        <v>16976</v>
      </c>
      <c r="U709" s="52">
        <v>17</v>
      </c>
      <c r="V709" s="44">
        <f>IFERROR(TAB_OFICINAS[[#This Row],[Valor Unit]]*TAB_OFICINAS[[#This Row],[Qtd pçs Enviadas]]," ")</f>
        <v>17</v>
      </c>
      <c r="W709" s="17">
        <v>46087</v>
      </c>
      <c r="X709" s="5" t="s">
        <v>6251</v>
      </c>
      <c r="Y709" s="27" t="s">
        <v>21353</v>
      </c>
      <c r="Z70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0" spans="3:26" ht="57" hidden="1">
      <c r="C710" s="28" t="s">
        <v>15</v>
      </c>
      <c r="D710" s="5">
        <v>5247</v>
      </c>
      <c r="E710" s="5">
        <v>22531</v>
      </c>
      <c r="F710" s="28" t="str">
        <f>IFERROR(VLOOKUP(TAB_OFICINAS[[#This Row],[Cliente]],LISTA_DE_CLIENTES[[Código]:[Nome Fantasia]],2,FALSE),"")</f>
        <v>MARIANA AURIEMO</v>
      </c>
      <c r="G710" s="5" t="str">
        <f>IFERROR(VLOOKUP(TAB_OFICINAS[[#This Row],[Cliente]],LISTA_DE_CLIENTES[[Código]:[Nome Fantasia]],3,FALSE),"")</f>
        <v>MARIANA AURIEMO</v>
      </c>
      <c r="H710" s="63">
        <v>3301098614</v>
      </c>
      <c r="I710" s="28" t="s">
        <v>21011</v>
      </c>
      <c r="J710" s="91">
        <v>1</v>
      </c>
      <c r="K710" s="86">
        <v>46085</v>
      </c>
      <c r="L710" s="10">
        <v>1</v>
      </c>
      <c r="M710" s="6">
        <v>46091</v>
      </c>
      <c r="N710" s="6">
        <v>46091</v>
      </c>
      <c r="O710" s="19">
        <f>TAB_OFICINAS[[#This Row],[Data Retorno Produção]]-TAB_OFICINAS[[#This Row],[Data Prometida  Entrega]]</f>
        <v>0</v>
      </c>
      <c r="P710" s="40" t="str">
        <f>IF(TAB_OFICINAS[[#This Row],[Dias Para Entrega]]&lt;=0,"Em dia","Dia de Atrasado")</f>
        <v>Em dia</v>
      </c>
      <c r="Q710" s="10">
        <f>IFERROR(TAB_OFICINAS[[#This Row],[Qtd pçs Enviadas]]-TAB_OFICINAS[[#This Row],[Qtd pçs Retornadas ]]," ")</f>
        <v>0</v>
      </c>
      <c r="R710" s="10">
        <v>0</v>
      </c>
      <c r="S710" s="5">
        <v>657</v>
      </c>
      <c r="T710" s="5">
        <v>16983</v>
      </c>
      <c r="U710" s="52">
        <v>12</v>
      </c>
      <c r="V710" s="44">
        <f>IFERROR(TAB_OFICINAS[[#This Row],[Valor Unit]]*TAB_OFICINAS[[#This Row],[Qtd pçs Enviadas]]," ")</f>
        <v>12</v>
      </c>
      <c r="W710" s="17">
        <v>46098</v>
      </c>
      <c r="X710" s="5" t="s">
        <v>6251</v>
      </c>
      <c r="Y710" s="27" t="s">
        <v>21346</v>
      </c>
      <c r="Z71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1" spans="3:26" ht="28.5" hidden="1">
      <c r="C711" s="28" t="s">
        <v>15</v>
      </c>
      <c r="D711" s="5">
        <v>5247</v>
      </c>
      <c r="E711" s="5">
        <v>22531</v>
      </c>
      <c r="F711" s="28" t="str">
        <f>IFERROR(VLOOKUP(TAB_OFICINAS[[#This Row],[Cliente]],LISTA_DE_CLIENTES[[Código]:[Nome Fantasia]],2,FALSE),"")</f>
        <v>MARIANA AURIEMO</v>
      </c>
      <c r="G711" s="5" t="str">
        <f>IFERROR(VLOOKUP(TAB_OFICINAS[[#This Row],[Cliente]],LISTA_DE_CLIENTES[[Código]:[Nome Fantasia]],3,FALSE),"")</f>
        <v>MARIANA AURIEMO</v>
      </c>
      <c r="H711" s="51" t="s">
        <v>21369</v>
      </c>
      <c r="I711" s="28" t="s">
        <v>21370</v>
      </c>
      <c r="J711" s="91">
        <v>1</v>
      </c>
      <c r="K711" s="86">
        <v>46086</v>
      </c>
      <c r="L711" s="10">
        <v>1</v>
      </c>
      <c r="M711" s="6">
        <v>46094</v>
      </c>
      <c r="N711" s="6">
        <v>46094</v>
      </c>
      <c r="O711" s="19">
        <f>TAB_OFICINAS[[#This Row],[Data Retorno Produção]]-TAB_OFICINAS[[#This Row],[Data Prometida  Entrega]]</f>
        <v>0</v>
      </c>
      <c r="P711" s="40" t="str">
        <f>IF(TAB_OFICINAS[[#This Row],[Dias Para Entrega]]&lt;=0,"Em dia","Dia de Atrasado")</f>
        <v>Em dia</v>
      </c>
      <c r="Q711" s="10">
        <f>IFERROR(TAB_OFICINAS[[#This Row],[Qtd pçs Enviadas]]-TAB_OFICINAS[[#This Row],[Qtd pçs Retornadas ]]," ")</f>
        <v>0</v>
      </c>
      <c r="R711" s="10">
        <v>0</v>
      </c>
      <c r="S711" s="5">
        <v>659</v>
      </c>
      <c r="T711" s="5">
        <v>19689</v>
      </c>
      <c r="U711" s="52">
        <v>9</v>
      </c>
      <c r="V711" s="44">
        <f>IFERROR(TAB_OFICINAS[[#This Row],[Valor Unit]]*TAB_OFICINAS[[#This Row],[Qtd pçs Enviadas]]," ")</f>
        <v>9</v>
      </c>
      <c r="W711" s="17">
        <v>46101</v>
      </c>
      <c r="X711" s="5" t="s">
        <v>6251</v>
      </c>
      <c r="Y711" s="27" t="s">
        <v>21353</v>
      </c>
      <c r="Z71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2" spans="3:26" hidden="1">
      <c r="C712" s="28" t="s">
        <v>15</v>
      </c>
      <c r="D712" s="5" t="s">
        <v>20290</v>
      </c>
      <c r="E712" s="5">
        <v>22964</v>
      </c>
      <c r="F712" s="28" t="s">
        <v>20385</v>
      </c>
      <c r="G712" s="5" t="str">
        <f>IFERROR(VLOOKUP(TAB_OFICINAS[[#This Row],[Cliente]],LISTA_DE_CLIENTES[[Código]:[Nome Fantasia]],3,FALSE),"")</f>
        <v/>
      </c>
      <c r="H712" s="51" t="s">
        <v>23962</v>
      </c>
      <c r="I712" s="28" t="s">
        <v>21375</v>
      </c>
      <c r="J712" s="91">
        <v>1</v>
      </c>
      <c r="K712" s="86">
        <v>46090</v>
      </c>
      <c r="L712" s="10">
        <v>1</v>
      </c>
      <c r="M712" s="6">
        <v>46093</v>
      </c>
      <c r="N712" s="6">
        <v>46093</v>
      </c>
      <c r="O712" s="19">
        <f>TAB_OFICINAS[[#This Row],[Data Retorno Produção]]-TAB_OFICINAS[[#This Row],[Data Prometida  Entrega]]</f>
        <v>0</v>
      </c>
      <c r="P712" s="40" t="str">
        <f>IF(TAB_OFICINAS[[#This Row],[Dias Para Entrega]]&lt;=0,"Em dia","Dia de Atrasado")</f>
        <v>Em dia</v>
      </c>
      <c r="Q712" s="10">
        <f>IFERROR(TAB_OFICINAS[[#This Row],[Qtd pçs Enviadas]]-TAB_OFICINAS[[#This Row],[Qtd pçs Retornadas ]]," ")</f>
        <v>0</v>
      </c>
      <c r="R712" s="10">
        <v>0</v>
      </c>
      <c r="S712" s="5">
        <v>666</v>
      </c>
      <c r="T712" s="5">
        <v>19692</v>
      </c>
      <c r="U712" s="52">
        <v>16</v>
      </c>
      <c r="V712" s="44">
        <f>IFERROR(TAB_OFICINAS[[#This Row],[Valor Unit]]*TAB_OFICINAS[[#This Row],[Qtd pçs Enviadas]]," ")</f>
        <v>16</v>
      </c>
      <c r="W712" s="17">
        <v>46104</v>
      </c>
      <c r="X712" s="5" t="s">
        <v>6251</v>
      </c>
      <c r="Y712" s="27" t="s">
        <v>21376</v>
      </c>
      <c r="Z71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3" spans="3:26" hidden="1">
      <c r="C713" s="28" t="s">
        <v>7</v>
      </c>
      <c r="D713" s="5">
        <v>5505</v>
      </c>
      <c r="E713" s="5">
        <v>23301</v>
      </c>
      <c r="F713" s="28" t="str">
        <f>IFERROR(VLOOKUP(TAB_OFICINAS[[#This Row],[Cliente]],LISTA_DE_CLIENTES[[Código]:[Nome Fantasia]],2,FALSE),"")</f>
        <v>F T CAMARGO SERVICOS MEDICOS LTDA</v>
      </c>
      <c r="G713" s="5" t="str">
        <f>IFERROR(VLOOKUP(TAB_OFICINAS[[#This Row],[Cliente]],LISTA_DE_CLIENTES[[Código]:[Nome Fantasia]],3,FALSE),"")</f>
        <v>DYNAPLAN</v>
      </c>
      <c r="H713" s="63">
        <v>2102229759</v>
      </c>
      <c r="I713" s="28" t="s">
        <v>22357</v>
      </c>
      <c r="J713" s="91">
        <v>2</v>
      </c>
      <c r="K713" s="86">
        <v>46162</v>
      </c>
      <c r="L713" s="10">
        <v>2</v>
      </c>
      <c r="M713" s="6">
        <v>46170</v>
      </c>
      <c r="N713" s="6">
        <v>46164</v>
      </c>
      <c r="O713" s="19">
        <f>TAB_OFICINAS[[#This Row],[Data Retorno Produção]]-TAB_OFICINAS[[#This Row],[Data Prometida  Entrega]]</f>
        <v>-6</v>
      </c>
      <c r="P713" s="40" t="str">
        <f>IF(TAB_OFICINAS[[#This Row],[Dias Para Entrega]]&lt;=0,"Em dia","Dia de Atrasado")</f>
        <v>Em dia</v>
      </c>
      <c r="Q713" s="10">
        <f>IFERROR(TAB_OFICINAS[[#This Row],[Qtd pçs Enviadas]]-TAB_OFICINAS[[#This Row],[Qtd pçs Retornadas ]]," ")</f>
        <v>0</v>
      </c>
      <c r="R713" s="10"/>
      <c r="S713" s="5">
        <v>848</v>
      </c>
      <c r="T713" s="5">
        <v>39</v>
      </c>
      <c r="U713" s="52">
        <v>7.5</v>
      </c>
      <c r="V713" s="44">
        <f>IFERROR(TAB_OFICINAS[[#This Row],[Valor Unit]]*TAB_OFICINAS[[#This Row],[Qtd pçs Enviadas]]," ")</f>
        <v>15</v>
      </c>
      <c r="W713" s="17">
        <v>46174</v>
      </c>
      <c r="X713" s="5" t="s">
        <v>6251</v>
      </c>
      <c r="Y713" s="27"/>
      <c r="Z71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4" spans="3:26" hidden="1">
      <c r="C714" s="28" t="s">
        <v>7</v>
      </c>
      <c r="D714" s="5">
        <v>5507</v>
      </c>
      <c r="E714" s="5">
        <v>23285</v>
      </c>
      <c r="F714" s="28" t="str">
        <f>IFERROR(VLOOKUP(TAB_OFICINAS[[#This Row],[Cliente]],LISTA_DE_CLIENTES[[Código]:[Nome Fantasia]],2,FALSE),"")</f>
        <v>DYNAPLAN GERENCIAMENTO DE PROJETOS LTDA</v>
      </c>
      <c r="G714" s="5" t="str">
        <f>IFERROR(VLOOKUP(TAB_OFICINAS[[#This Row],[Cliente]],LISTA_DE_CLIENTES[[Código]:[Nome Fantasia]],3,FALSE),"")</f>
        <v>DYNAPLAN GERENCIAMEN</v>
      </c>
      <c r="H714" s="63">
        <v>2115108588</v>
      </c>
      <c r="I714" s="28" t="s">
        <v>21052</v>
      </c>
      <c r="J714" s="91">
        <v>2</v>
      </c>
      <c r="K714" s="86">
        <v>46162</v>
      </c>
      <c r="L714" s="10">
        <v>2</v>
      </c>
      <c r="M714" s="6">
        <v>46170</v>
      </c>
      <c r="N714" s="6">
        <v>46164</v>
      </c>
      <c r="O714" s="19">
        <f>TAB_OFICINAS[[#This Row],[Data Retorno Produção]]-TAB_OFICINAS[[#This Row],[Data Prometida  Entrega]]</f>
        <v>-6</v>
      </c>
      <c r="P714" s="40" t="str">
        <f>IF(TAB_OFICINAS[[#This Row],[Dias Para Entrega]]&lt;=0,"Em dia","Dia de Atrasado")</f>
        <v>Em dia</v>
      </c>
      <c r="Q714" s="10">
        <f>IFERROR(TAB_OFICINAS[[#This Row],[Qtd pçs Enviadas]]-TAB_OFICINAS[[#This Row],[Qtd pçs Retornadas ]]," ")</f>
        <v>0</v>
      </c>
      <c r="R714" s="10"/>
      <c r="S714" s="5">
        <v>848</v>
      </c>
      <c r="T714" s="5">
        <v>39</v>
      </c>
      <c r="U714" s="52">
        <v>16</v>
      </c>
      <c r="V714" s="44">
        <f>IFERROR(TAB_OFICINAS[[#This Row],[Valor Unit]]*TAB_OFICINAS[[#This Row],[Qtd pçs Enviadas]]," ")</f>
        <v>32</v>
      </c>
      <c r="W714" s="17">
        <v>46174</v>
      </c>
      <c r="X714" s="5" t="s">
        <v>6251</v>
      </c>
      <c r="Y714" s="27"/>
      <c r="Z71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5" spans="3:26" hidden="1">
      <c r="C715" s="28" t="s">
        <v>7</v>
      </c>
      <c r="D715" s="5">
        <v>5507</v>
      </c>
      <c r="E715" s="5">
        <v>23285</v>
      </c>
      <c r="F715" s="28" t="str">
        <f>IFERROR(VLOOKUP(TAB_OFICINAS[[#This Row],[Cliente]],LISTA_DE_CLIENTES[[Código]:[Nome Fantasia]],2,FALSE),"")</f>
        <v>DYNAPLAN GERENCIAMENTO DE PROJETOS LTDA</v>
      </c>
      <c r="G715" s="5" t="str">
        <f>IFERROR(VLOOKUP(TAB_OFICINAS[[#This Row],[Cliente]],LISTA_DE_CLIENTES[[Código]:[Nome Fantasia]],3,FALSE),"")</f>
        <v>DYNAPLAN GERENCIAMEN</v>
      </c>
      <c r="H715" s="63">
        <v>2101862252</v>
      </c>
      <c r="I715" s="28" t="s">
        <v>22355</v>
      </c>
      <c r="J715" s="91">
        <v>2</v>
      </c>
      <c r="K715" s="86">
        <v>46162</v>
      </c>
      <c r="L715" s="10">
        <v>2</v>
      </c>
      <c r="M715" s="6">
        <v>46170</v>
      </c>
      <c r="N715" s="6">
        <v>46164</v>
      </c>
      <c r="O715" s="19">
        <f>TAB_OFICINAS[[#This Row],[Data Retorno Produção]]-TAB_OFICINAS[[#This Row],[Data Prometida  Entrega]]</f>
        <v>-6</v>
      </c>
      <c r="P715" s="40" t="str">
        <f>IF(TAB_OFICINAS[[#This Row],[Dias Para Entrega]]&lt;=0,"Em dia","Dia de Atrasado")</f>
        <v>Em dia</v>
      </c>
      <c r="Q715" s="10">
        <f>IFERROR(TAB_OFICINAS[[#This Row],[Qtd pçs Enviadas]]-TAB_OFICINAS[[#This Row],[Qtd pçs Retornadas ]]," ")</f>
        <v>0</v>
      </c>
      <c r="R715" s="10"/>
      <c r="S715" s="5">
        <v>848</v>
      </c>
      <c r="T715" s="5">
        <v>39</v>
      </c>
      <c r="U715" s="52">
        <v>6</v>
      </c>
      <c r="V715" s="44">
        <f>IFERROR(TAB_OFICINAS[[#This Row],[Valor Unit]]*TAB_OFICINAS[[#This Row],[Qtd pçs Enviadas]]," ")</f>
        <v>12</v>
      </c>
      <c r="W715" s="17">
        <v>46174</v>
      </c>
      <c r="X715" s="5" t="s">
        <v>6251</v>
      </c>
      <c r="Y715" s="27"/>
      <c r="Z71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6" spans="3:26" hidden="1">
      <c r="C716" s="28" t="s">
        <v>7</v>
      </c>
      <c r="D716" s="5">
        <v>5507</v>
      </c>
      <c r="E716" s="5">
        <v>23285</v>
      </c>
      <c r="F716" s="28" t="str">
        <f>IFERROR(VLOOKUP(TAB_OFICINAS[[#This Row],[Cliente]],LISTA_DE_CLIENTES[[Código]:[Nome Fantasia]],2,FALSE),"")</f>
        <v>DYNAPLAN GERENCIAMENTO DE PROJETOS LTDA</v>
      </c>
      <c r="G716" s="5" t="str">
        <f>IFERROR(VLOOKUP(TAB_OFICINAS[[#This Row],[Cliente]],LISTA_DE_CLIENTES[[Código]:[Nome Fantasia]],3,FALSE),"")</f>
        <v>DYNAPLAN GERENCIAMEN</v>
      </c>
      <c r="H716" s="63">
        <v>2102229759</v>
      </c>
      <c r="I716" s="28" t="s">
        <v>22357</v>
      </c>
      <c r="J716" s="91">
        <v>2</v>
      </c>
      <c r="K716" s="86">
        <v>46162</v>
      </c>
      <c r="L716" s="10">
        <v>2</v>
      </c>
      <c r="M716" s="6">
        <v>46170</v>
      </c>
      <c r="N716" s="6">
        <v>46164</v>
      </c>
      <c r="O716" s="19">
        <f>TAB_OFICINAS[[#This Row],[Data Retorno Produção]]-TAB_OFICINAS[[#This Row],[Data Prometida  Entrega]]</f>
        <v>-6</v>
      </c>
      <c r="P716" s="40" t="str">
        <f>IF(TAB_OFICINAS[[#This Row],[Dias Para Entrega]]&lt;=0,"Em dia","Dia de Atrasado")</f>
        <v>Em dia</v>
      </c>
      <c r="Q716" s="10">
        <f>IFERROR(TAB_OFICINAS[[#This Row],[Qtd pçs Enviadas]]-TAB_OFICINAS[[#This Row],[Qtd pçs Retornadas ]]," ")</f>
        <v>0</v>
      </c>
      <c r="R716" s="10"/>
      <c r="S716" s="5">
        <v>848</v>
      </c>
      <c r="T716" s="5">
        <v>39</v>
      </c>
      <c r="U716" s="52">
        <v>7.5</v>
      </c>
      <c r="V716" s="44">
        <f>IFERROR(TAB_OFICINAS[[#This Row],[Valor Unit]]*TAB_OFICINAS[[#This Row],[Qtd pçs Enviadas]]," ")</f>
        <v>15</v>
      </c>
      <c r="W716" s="17">
        <v>46174</v>
      </c>
      <c r="X716" s="5" t="s">
        <v>6251</v>
      </c>
      <c r="Y716" s="27"/>
      <c r="Z71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7" spans="3:26" hidden="1">
      <c r="C717" s="28" t="s">
        <v>7</v>
      </c>
      <c r="D717" s="5">
        <v>943</v>
      </c>
      <c r="E717" s="5">
        <v>23149</v>
      </c>
      <c r="F717" s="28" t="str">
        <f>IFERROR(VLOOKUP(TAB_OFICINAS[[#This Row],[Cliente]],LISTA_DE_CLIENTES[[Código]:[Nome Fantasia]],2,FALSE),"")</f>
        <v>REDE DOR SAO LUIZ S.A.</v>
      </c>
      <c r="G717" s="5" t="str">
        <f>IFERROR(VLOOKUP(TAB_OFICINAS[[#This Row],[Cliente]],LISTA_DE_CLIENTES[[Código]:[Nome Fantasia]],3,FALSE),"")</f>
        <v>HOSPITAL COPA STAR</v>
      </c>
      <c r="H717" s="63">
        <v>2115762167</v>
      </c>
      <c r="I717" s="28" t="s">
        <v>21740</v>
      </c>
      <c r="J717" s="91">
        <v>100</v>
      </c>
      <c r="K717" s="86">
        <v>46162</v>
      </c>
      <c r="L717" s="10">
        <v>100</v>
      </c>
      <c r="M717" s="6">
        <v>46176</v>
      </c>
      <c r="N717" s="6">
        <v>46169</v>
      </c>
      <c r="O717" s="19">
        <f>TAB_OFICINAS[[#This Row],[Data Retorno Produção]]-TAB_OFICINAS[[#This Row],[Data Prometida  Entrega]]</f>
        <v>-7</v>
      </c>
      <c r="P717" s="40" t="str">
        <f>IF(TAB_OFICINAS[[#This Row],[Dias Para Entrega]]&lt;=0,"Em dia","Dia de Atrasado")</f>
        <v>Em dia</v>
      </c>
      <c r="Q717" s="10">
        <f>IFERROR(TAB_OFICINAS[[#This Row],[Qtd pçs Enviadas]]-TAB_OFICINAS[[#This Row],[Qtd pçs Retornadas ]]," ")</f>
        <v>0</v>
      </c>
      <c r="R717" s="10"/>
      <c r="S717" s="5">
        <v>850</v>
      </c>
      <c r="T717" s="5">
        <v>40</v>
      </c>
      <c r="U717" s="52">
        <v>10</v>
      </c>
      <c r="V717" s="44">
        <f>IFERROR(TAB_OFICINAS[[#This Row],[Valor Unit]]*TAB_OFICINAS[[#This Row],[Qtd pçs Enviadas]]," ")</f>
        <v>1000</v>
      </c>
      <c r="W717" s="17">
        <v>46180</v>
      </c>
      <c r="X717" s="5" t="s">
        <v>6251</v>
      </c>
      <c r="Y717" s="27"/>
      <c r="Z71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8" spans="3:26" hidden="1">
      <c r="C718" s="28" t="s">
        <v>15</v>
      </c>
      <c r="D718" s="5">
        <v>2522</v>
      </c>
      <c r="E718" s="5">
        <v>22988</v>
      </c>
      <c r="F718" s="28" t="str">
        <f>IFERROR(VLOOKUP(TAB_OFICINAS[[#This Row],[Cliente]],LISTA_DE_CLIENTES[[Código]:[Nome Fantasia]],2,FALSE),"")</f>
        <v>HYPE ILHABELA ADMINISTRACAO E PARTICIPACOES LTDA.</v>
      </c>
      <c r="G718" s="5" t="str">
        <f>IFERROR(VLOOKUP(TAB_OFICINAS[[#This Row],[Cliente]],LISTA_DE_CLIENTES[[Código]:[Nome Fantasia]],3,FALSE),"")</f>
        <v>CASA DI SIRENA</v>
      </c>
      <c r="H718" s="63">
        <v>2111269708</v>
      </c>
      <c r="I718" s="28" t="s">
        <v>21380</v>
      </c>
      <c r="J718" s="91">
        <v>1</v>
      </c>
      <c r="K718" s="86">
        <v>46097</v>
      </c>
      <c r="L718" s="10">
        <v>1</v>
      </c>
      <c r="M718" s="6">
        <v>46099</v>
      </c>
      <c r="N718" s="6">
        <v>46099</v>
      </c>
      <c r="O718" s="19">
        <f>TAB_OFICINAS[[#This Row],[Data Retorno Produção]]-TAB_OFICINAS[[#This Row],[Data Prometida  Entrega]]</f>
        <v>0</v>
      </c>
      <c r="P718" s="40" t="str">
        <f>IF(TAB_OFICINAS[[#This Row],[Dias Para Entrega]]&lt;=0,"Em dia","Dia de Atrasado")</f>
        <v>Em dia</v>
      </c>
      <c r="Q718" s="10">
        <f>IFERROR(TAB_OFICINAS[[#This Row],[Qtd pçs Enviadas]]-TAB_OFICINAS[[#This Row],[Qtd pçs Retornadas ]]," ")</f>
        <v>0</v>
      </c>
      <c r="R718" s="10">
        <v>0</v>
      </c>
      <c r="S718" s="5">
        <v>689</v>
      </c>
      <c r="T718" s="5">
        <v>17040</v>
      </c>
      <c r="U718" s="52">
        <v>12</v>
      </c>
      <c r="V718" s="44">
        <f>IFERROR(TAB_OFICINAS[[#This Row],[Valor Unit]]*TAB_OFICINAS[[#This Row],[Qtd pçs Enviadas]]," ")</f>
        <v>12</v>
      </c>
      <c r="W718" s="17">
        <v>46106</v>
      </c>
      <c r="X718" s="5" t="s">
        <v>6251</v>
      </c>
      <c r="Y718" s="27" t="s">
        <v>21381</v>
      </c>
      <c r="Z71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19" spans="3:26" hidden="1">
      <c r="C719" s="28" t="s">
        <v>15</v>
      </c>
      <c r="D719" s="5">
        <v>5338</v>
      </c>
      <c r="E719" s="5">
        <v>10</v>
      </c>
      <c r="F719" s="28" t="str">
        <f>IFERROR(VLOOKUP(TAB_OFICINAS[[#This Row],[Cliente]],LISTA_DE_CLIENTES[[Código]:[Nome Fantasia]],2,FALSE),"")</f>
        <v>MAISON CARMELO INCORPORACOES SPE LTDA</v>
      </c>
      <c r="G719" s="5" t="str">
        <f>IFERROR(VLOOKUP(TAB_OFICINAS[[#This Row],[Cliente]],LISTA_DE_CLIENTES[[Código]:[Nome Fantasia]],3,FALSE),"")</f>
        <v>SAN REMO</v>
      </c>
      <c r="H719" s="63">
        <v>3759318593</v>
      </c>
      <c r="I719" s="28" t="s">
        <v>21057</v>
      </c>
      <c r="J719" s="91">
        <v>1</v>
      </c>
      <c r="K719" s="86">
        <v>46098</v>
      </c>
      <c r="L719" s="10">
        <v>1</v>
      </c>
      <c r="M719" s="6">
        <v>46099</v>
      </c>
      <c r="N719" s="6">
        <v>46099</v>
      </c>
      <c r="O719" s="19">
        <f>TAB_OFICINAS[[#This Row],[Data Retorno Produção]]-TAB_OFICINAS[[#This Row],[Data Prometida  Entrega]]</f>
        <v>0</v>
      </c>
      <c r="P719" s="40" t="str">
        <f>IF(TAB_OFICINAS[[#This Row],[Dias Para Entrega]]&lt;=0,"Em dia","Dia de Atrasado")</f>
        <v>Em dia</v>
      </c>
      <c r="Q719" s="10">
        <f>IFERROR(TAB_OFICINAS[[#This Row],[Qtd pçs Enviadas]]-TAB_OFICINAS[[#This Row],[Qtd pçs Retornadas ]]," ")</f>
        <v>0</v>
      </c>
      <c r="R719" s="10">
        <v>0</v>
      </c>
      <c r="S719" s="5">
        <v>691</v>
      </c>
      <c r="T719" s="5">
        <v>17040</v>
      </c>
      <c r="U719" s="52">
        <v>12</v>
      </c>
      <c r="V719" s="44">
        <f>IFERROR(TAB_OFICINAS[[#This Row],[Valor Unit]]*TAB_OFICINAS[[#This Row],[Qtd pçs Enviadas]]," ")</f>
        <v>12</v>
      </c>
      <c r="W719" s="17">
        <v>46106</v>
      </c>
      <c r="X719" s="5" t="s">
        <v>6251</v>
      </c>
      <c r="Y719" s="27" t="s">
        <v>21333</v>
      </c>
      <c r="Z71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0" spans="3:26" hidden="1">
      <c r="C720" s="28" t="s">
        <v>15</v>
      </c>
      <c r="D720" s="5">
        <v>526</v>
      </c>
      <c r="E720" s="5">
        <v>22950</v>
      </c>
      <c r="F720" s="28" t="str">
        <f>IFERROR(VLOOKUP(TAB_OFICINAS[[#This Row],[Cliente]],LISTA_DE_CLIENTES[[Código]:[Nome Fantasia]],2,FALSE),"")</f>
        <v>ATMOSFERA GESTAO E HIGIENIZACAO DE TEXTEIS S.A.</v>
      </c>
      <c r="G720" s="5" t="str">
        <f>IFERROR(VLOOKUP(TAB_OFICINAS[[#This Row],[Cliente]],LISTA_DE_CLIENTES[[Código]:[Nome Fantasia]],3,FALSE),"")</f>
        <v>ATMOSFERA ST BARBARA</v>
      </c>
      <c r="H720" s="63">
        <v>92102156030</v>
      </c>
      <c r="I720" s="28" t="s">
        <v>21017</v>
      </c>
      <c r="J720" s="91">
        <v>1</v>
      </c>
      <c r="K720" s="86">
        <v>46104</v>
      </c>
      <c r="L720" s="10">
        <v>1</v>
      </c>
      <c r="M720" s="6">
        <v>46105</v>
      </c>
      <c r="N720" s="6">
        <v>46105</v>
      </c>
      <c r="O720" s="19">
        <f>TAB_OFICINAS[[#This Row],[Data Retorno Produção]]-TAB_OFICINAS[[#This Row],[Data Prometida  Entrega]]</f>
        <v>0</v>
      </c>
      <c r="P720" s="40" t="str">
        <f>IF(TAB_OFICINAS[[#This Row],[Dias Para Entrega]]&lt;=0,"Em dia","Dia de Atrasado")</f>
        <v>Em dia</v>
      </c>
      <c r="Q720" s="10">
        <f>IFERROR(TAB_OFICINAS[[#This Row],[Qtd pçs Enviadas]]-TAB_OFICINAS[[#This Row],[Qtd pçs Retornadas ]]," ")</f>
        <v>0</v>
      </c>
      <c r="R720" s="10">
        <v>0</v>
      </c>
      <c r="S720" s="5" t="s">
        <v>21371</v>
      </c>
      <c r="T720" s="5" t="s">
        <v>21371</v>
      </c>
      <c r="U720" s="52">
        <v>0</v>
      </c>
      <c r="V720" s="44">
        <f>IFERROR(TAB_OFICINAS[[#This Row],[Valor Unit]]*TAB_OFICINAS[[#This Row],[Qtd pçs Enviadas]]," ")</f>
        <v>0</v>
      </c>
      <c r="W720" s="17"/>
      <c r="X720" s="5" t="s">
        <v>6251</v>
      </c>
      <c r="Y720" s="27" t="s">
        <v>20413</v>
      </c>
      <c r="Z72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1" spans="3:26" ht="71.25" hidden="1">
      <c r="C721" s="28" t="s">
        <v>15</v>
      </c>
      <c r="D721" s="5">
        <v>5247</v>
      </c>
      <c r="E721" s="5">
        <v>22531</v>
      </c>
      <c r="F721" s="28" t="str">
        <f>IFERROR(VLOOKUP(TAB_OFICINAS[[#This Row],[Cliente]],LISTA_DE_CLIENTES[[Código]:[Nome Fantasia]],2,FALSE),"")</f>
        <v>MARIANA AURIEMO</v>
      </c>
      <c r="G721" s="5" t="str">
        <f>IFERROR(VLOOKUP(TAB_OFICINAS[[#This Row],[Cliente]],LISTA_DE_CLIENTES[[Código]:[Nome Fantasia]],3,FALSE),"")</f>
        <v>MARIANA AURIEMO</v>
      </c>
      <c r="H721" s="63">
        <v>3302229697</v>
      </c>
      <c r="I721" s="28" t="s">
        <v>21348</v>
      </c>
      <c r="J721" s="91">
        <v>1</v>
      </c>
      <c r="K721" s="86">
        <v>46105</v>
      </c>
      <c r="L721" s="10">
        <v>1</v>
      </c>
      <c r="M721" s="6">
        <v>46108</v>
      </c>
      <c r="N721" s="6">
        <v>46108</v>
      </c>
      <c r="O721" s="19">
        <f>TAB_OFICINAS[[#This Row],[Data Retorno Produção]]-TAB_OFICINAS[[#This Row],[Data Prometida  Entrega]]</f>
        <v>0</v>
      </c>
      <c r="P721" s="40" t="str">
        <f>IF(TAB_OFICINAS[[#This Row],[Dias Para Entrega]]&lt;=0,"Em dia","Dia de Atrasado")</f>
        <v>Em dia</v>
      </c>
      <c r="Q721" s="10">
        <f>IFERROR(TAB_OFICINAS[[#This Row],[Qtd pçs Enviadas]]-TAB_OFICINAS[[#This Row],[Qtd pçs Retornadas ]]," ")</f>
        <v>0</v>
      </c>
      <c r="R721" s="10">
        <v>0</v>
      </c>
      <c r="S721" s="5" t="s">
        <v>20413</v>
      </c>
      <c r="T721" s="5" t="s">
        <v>20413</v>
      </c>
      <c r="U721" s="52" t="s">
        <v>21371</v>
      </c>
      <c r="V721" s="44" t="s">
        <v>21371</v>
      </c>
      <c r="W721" s="17" t="s">
        <v>21371</v>
      </c>
      <c r="X721" s="5" t="s">
        <v>6251</v>
      </c>
      <c r="Y721" s="27" t="s">
        <v>21456</v>
      </c>
      <c r="Z72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2" spans="3:26" hidden="1">
      <c r="C722" s="28" t="s">
        <v>7</v>
      </c>
      <c r="D722" s="5">
        <v>1942</v>
      </c>
      <c r="E722" s="5">
        <v>23440</v>
      </c>
      <c r="F722" s="28" t="str">
        <f>IFERROR(VLOOKUP(TAB_OFICINAS[[#This Row],[Cliente]],LISTA_DE_CLIENTES[[Código]:[Nome Fantasia]],2,FALSE),"")</f>
        <v>ONCO STAR SP ONCOLOGIA LTDA (REDE D´OR)</v>
      </c>
      <c r="G722" s="2" t="str">
        <f>IFERROR(VLOOKUP(TAB_OFICINAS[[#This Row],[Cliente]],LISTA_DE_CLIENTES[[Código]:[Nome Fantasia]],3,FALSE),"")</f>
        <v>R DOR VILA NOVA STAR</v>
      </c>
      <c r="H722" s="63">
        <v>2121017007</v>
      </c>
      <c r="I722" s="28" t="s">
        <v>20773</v>
      </c>
      <c r="J722" s="91">
        <v>120</v>
      </c>
      <c r="K722" s="86">
        <v>46170</v>
      </c>
      <c r="L722" s="34">
        <v>120</v>
      </c>
      <c r="M722" s="6">
        <v>46191</v>
      </c>
      <c r="N722" s="6">
        <f ca="1">TODAY()</f>
        <v>46315</v>
      </c>
      <c r="O722" s="19">
        <f ca="1">TAB_OFICINAS[[#This Row],[Data Retorno Produção]]-TAB_OFICINAS[[#This Row],[Data Prometida  Entrega]]</f>
        <v>124</v>
      </c>
      <c r="P722" s="40" t="str">
        <f ca="1">IF(TAB_OFICINAS[[#This Row],[Dias Para Entrega]]&lt;=0,"Em dia","Dia de Atrasado")</f>
        <v>Dia de Atrasado</v>
      </c>
      <c r="Q722" s="10">
        <f>IFERROR(TAB_OFICINAS[[#This Row],[Qtd pçs Enviadas]]-TAB_OFICINAS[[#This Row],[Qtd pçs Retornadas ]]," ")</f>
        <v>0</v>
      </c>
      <c r="R722" s="10"/>
      <c r="S722" s="5">
        <v>3236</v>
      </c>
      <c r="T722" s="5">
        <v>41</v>
      </c>
      <c r="U722" s="1">
        <v>8</v>
      </c>
      <c r="V722" s="3">
        <f>IFERROR(TAB_OFICINAS[[#This Row],[Valor Unit]]*TAB_OFICINAS[[#This Row],[Qtd pçs Enviadas]]," ")</f>
        <v>960</v>
      </c>
      <c r="W722" s="17">
        <v>46183</v>
      </c>
      <c r="X722" s="5" t="s">
        <v>6251</v>
      </c>
      <c r="Y722" s="4"/>
      <c r="Z72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3" spans="3:26" hidden="1">
      <c r="C723" s="28" t="s">
        <v>7</v>
      </c>
      <c r="D723" s="5">
        <v>4569</v>
      </c>
      <c r="E723" s="5">
        <v>23442</v>
      </c>
      <c r="F723" s="28" t="str">
        <f>IFERROR(VLOOKUP(TAB_OFICINAS[[#This Row],[Cliente]],LISTA_DE_CLIENTES[[Código]:[Nome Fantasia]],2,FALSE),"")</f>
        <v>FABIO MACHADO IZAR</v>
      </c>
      <c r="G723" s="2" t="str">
        <f>IFERROR(VLOOKUP(TAB_OFICINAS[[#This Row],[Cliente]],LISTA_DE_CLIENTES[[Código]:[Nome Fantasia]],3,FALSE),"")</f>
        <v>FIGUEIRA DA SERRA</v>
      </c>
      <c r="H723" s="63">
        <v>92110309903</v>
      </c>
      <c r="I723" s="28" t="s">
        <v>22694</v>
      </c>
      <c r="J723" s="91">
        <v>30</v>
      </c>
      <c r="K723" s="86">
        <v>46170</v>
      </c>
      <c r="L723" s="34">
        <v>30</v>
      </c>
      <c r="M723" s="6">
        <v>46181</v>
      </c>
      <c r="N723" s="6">
        <f ca="1">TODAY()</f>
        <v>46315</v>
      </c>
      <c r="O723" s="19">
        <f ca="1">TAB_OFICINAS[[#This Row],[Data Retorno Produção]]-TAB_OFICINAS[[#This Row],[Data Prometida  Entrega]]</f>
        <v>134</v>
      </c>
      <c r="P723" s="40" t="str">
        <f ca="1">IF(TAB_OFICINAS[[#This Row],[Dias Para Entrega]]&lt;=0,"Em dia","Dia de Atrasado")</f>
        <v>Dia de Atrasado</v>
      </c>
      <c r="Q723" s="10">
        <f>IFERROR(TAB_OFICINAS[[#This Row],[Qtd pçs Enviadas]]-TAB_OFICINAS[[#This Row],[Qtd pçs Retornadas ]]," ")</f>
        <v>0</v>
      </c>
      <c r="R723" s="10"/>
      <c r="S723" s="5">
        <v>3236</v>
      </c>
      <c r="T723" s="5">
        <v>41</v>
      </c>
      <c r="U723" s="1">
        <v>5.3</v>
      </c>
      <c r="V723" s="3">
        <f>IFERROR(TAB_OFICINAS[[#This Row],[Valor Unit]]*TAB_OFICINAS[[#This Row],[Qtd pçs Enviadas]]," ")</f>
        <v>159</v>
      </c>
      <c r="W723" s="17">
        <v>46183</v>
      </c>
      <c r="X723" s="5" t="s">
        <v>6251</v>
      </c>
      <c r="Y723" s="4"/>
      <c r="Z72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4" spans="3:26" hidden="1">
      <c r="C724" s="28" t="s">
        <v>7</v>
      </c>
      <c r="D724" s="5">
        <v>2266</v>
      </c>
      <c r="E724" s="5">
        <v>23380</v>
      </c>
      <c r="F724" s="28" t="str">
        <f>IFERROR(VLOOKUP(TAB_OFICINAS[[#This Row],[Cliente]],LISTA_DE_CLIENTES[[Código]:[Nome Fantasia]],2,FALSE),"")</f>
        <v>CRISTINA CAGLIARI BORRE</v>
      </c>
      <c r="G724" s="2" t="str">
        <f>IFERROR(VLOOKUP(TAB_OFICINAS[[#This Row],[Cliente]],LISTA_DE_CLIENTES[[Código]:[Nome Fantasia]],3,FALSE),"")</f>
        <v>REFÚGIO NA SERRA BOU</v>
      </c>
      <c r="H724" s="63">
        <v>93111019860</v>
      </c>
      <c r="I724" s="28" t="s">
        <v>22556</v>
      </c>
      <c r="J724" s="91">
        <v>22</v>
      </c>
      <c r="K724" s="86">
        <v>46170</v>
      </c>
      <c r="L724" s="34">
        <v>22</v>
      </c>
      <c r="M724" s="6">
        <v>46184</v>
      </c>
      <c r="N724" s="6">
        <f ca="1">TODAY()</f>
        <v>46315</v>
      </c>
      <c r="O724" s="19">
        <f ca="1">TAB_OFICINAS[[#This Row],[Data Retorno Produção]]-TAB_OFICINAS[[#This Row],[Data Prometida  Entrega]]</f>
        <v>131</v>
      </c>
      <c r="P724" s="40" t="str">
        <f ca="1">IF(TAB_OFICINAS[[#This Row],[Dias Para Entrega]]&lt;=0,"Em dia","Dia de Atrasado")</f>
        <v>Dia de Atrasado</v>
      </c>
      <c r="Q724" s="10">
        <f>IFERROR(TAB_OFICINAS[[#This Row],[Qtd pçs Enviadas]]-TAB_OFICINAS[[#This Row],[Qtd pçs Retornadas ]]," ")</f>
        <v>0</v>
      </c>
      <c r="R724" s="10"/>
      <c r="S724" s="5">
        <v>3236</v>
      </c>
      <c r="T724" s="5">
        <v>41</v>
      </c>
      <c r="U724" s="1">
        <v>4.9000000000000004</v>
      </c>
      <c r="V724" s="3">
        <f>IFERROR(TAB_OFICINAS[[#This Row],[Valor Unit]]*TAB_OFICINAS[[#This Row],[Qtd pçs Enviadas]]," ")</f>
        <v>107.80000000000001</v>
      </c>
      <c r="W724" s="17">
        <v>46183</v>
      </c>
      <c r="X724" s="5" t="s">
        <v>6251</v>
      </c>
      <c r="Y724" s="4"/>
      <c r="Z72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5" spans="3:26" ht="99.75" hidden="1">
      <c r="C725" s="28" t="s">
        <v>15</v>
      </c>
      <c r="D725" s="5">
        <v>964</v>
      </c>
      <c r="E725" s="5">
        <v>23201</v>
      </c>
      <c r="F725" s="28" t="str">
        <f>IFERROR(VLOOKUP(TAB_OFICINAS[[#This Row],[Cliente]],LISTA_DE_CLIENTES[[Código]:[Nome Fantasia]],2,FALSE),"")</f>
        <v>TRU COMMERCE IMP. EXP. E COM. DE ROUPA EIRELI</v>
      </c>
      <c r="G725" s="5" t="str">
        <f>IFERROR(VLOOKUP(TAB_OFICINAS[[#This Row],[Cliente]],LISTA_DE_CLIENTES[[Código]:[Nome Fantasia]],3,FALSE),"")</f>
        <v>TRU COMMERCE</v>
      </c>
      <c r="H725" s="63">
        <v>3161099636</v>
      </c>
      <c r="I725" s="28" t="s">
        <v>21575</v>
      </c>
      <c r="J725" s="91">
        <v>1</v>
      </c>
      <c r="K725" s="86">
        <v>46127</v>
      </c>
      <c r="L725" s="10">
        <v>1</v>
      </c>
      <c r="M725" s="6">
        <v>46134</v>
      </c>
      <c r="N725" s="6">
        <v>46136</v>
      </c>
      <c r="O725" s="19">
        <f>TAB_OFICINAS[[#This Row],[Data Retorno Produção]]-TAB_OFICINAS[[#This Row],[Data Prometida  Entrega]]</f>
        <v>2</v>
      </c>
      <c r="P725" s="40" t="str">
        <f>IF(TAB_OFICINAS[[#This Row],[Dias Para Entrega]]&lt;=0,"Em dia","Dia de Atrasado")</f>
        <v>Dia de Atrasado</v>
      </c>
      <c r="Q725" s="10">
        <f>IFERROR(TAB_OFICINAS[[#This Row],[Qtd pçs Enviadas]]-TAB_OFICINAS[[#This Row],[Qtd pçs Retornadas ]]," ")</f>
        <v>0</v>
      </c>
      <c r="R725" s="10">
        <v>0</v>
      </c>
      <c r="S725" s="5">
        <v>759</v>
      </c>
      <c r="T725" s="5">
        <v>17149</v>
      </c>
      <c r="U725" s="52">
        <v>24</v>
      </c>
      <c r="V725" s="44">
        <f>IFERROR(TAB_OFICINAS[[#This Row],[Valor Unit]]*TAB_OFICINAS[[#This Row],[Qtd pçs Enviadas]]," ")</f>
        <v>24</v>
      </c>
      <c r="W725" s="17">
        <v>46142</v>
      </c>
      <c r="X725" s="5" t="s">
        <v>6251</v>
      </c>
      <c r="Y725" s="27" t="s">
        <v>22352</v>
      </c>
      <c r="Z72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6" spans="3:26" hidden="1">
      <c r="C726" s="28" t="s">
        <v>15</v>
      </c>
      <c r="D726" s="5">
        <v>4939</v>
      </c>
      <c r="E726" s="5">
        <v>23181</v>
      </c>
      <c r="F726" s="28" t="str">
        <f>IFERROR(VLOOKUP(TAB_OFICINAS[[#This Row],[Cliente]],LISTA_DE_CLIENTES[[Código]:[Nome Fantasia]],2,FALSE),"")</f>
        <v>MARTA ELIZANGELA HONORIO DE LIMA</v>
      </c>
      <c r="G726" s="5" t="str">
        <f>IFERROR(VLOOKUP(TAB_OFICINAS[[#This Row],[Cliente]],LISTA_DE_CLIENTES[[Código]:[Nome Fantasia]],3,FALSE),"")</f>
        <v>MARTA ELIZANGELA HON</v>
      </c>
      <c r="H726" s="63">
        <v>3161099622</v>
      </c>
      <c r="I726" s="28" t="s">
        <v>22020</v>
      </c>
      <c r="J726" s="91">
        <v>1</v>
      </c>
      <c r="K726" s="86">
        <v>46129</v>
      </c>
      <c r="L726" s="10">
        <v>1</v>
      </c>
      <c r="M726" s="6">
        <v>46134</v>
      </c>
      <c r="N726" s="6">
        <v>46132</v>
      </c>
      <c r="O726" s="19">
        <f>TAB_OFICINAS[[#This Row],[Data Retorno Produção]]-TAB_OFICINAS[[#This Row],[Data Prometida  Entrega]]</f>
        <v>-2</v>
      </c>
      <c r="P726" s="40" t="str">
        <f>IF(TAB_OFICINAS[[#This Row],[Dias Para Entrega]]&lt;=0,"Em dia","Dia de Atrasado")</f>
        <v>Em dia</v>
      </c>
      <c r="Q726" s="10">
        <f>IFERROR(TAB_OFICINAS[[#This Row],[Qtd pçs Enviadas]]-TAB_OFICINAS[[#This Row],[Qtd pçs Retornadas ]]," ")</f>
        <v>0</v>
      </c>
      <c r="R726" s="10">
        <v>0</v>
      </c>
      <c r="S726" s="5">
        <v>772</v>
      </c>
      <c r="T726" s="5">
        <v>17134</v>
      </c>
      <c r="U726" s="52">
        <v>12</v>
      </c>
      <c r="V726" s="44">
        <f>IFERROR(TAB_OFICINAS[[#This Row],[Valor Unit]]*TAB_OFICINAS[[#This Row],[Qtd pçs Enviadas]]," ")</f>
        <v>12</v>
      </c>
      <c r="W726" s="17">
        <v>46139</v>
      </c>
      <c r="X726" s="5" t="s">
        <v>6251</v>
      </c>
      <c r="Y726" s="27" t="s">
        <v>22340</v>
      </c>
      <c r="Z72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7" spans="3:26" hidden="1">
      <c r="C727" s="28" t="s">
        <v>15</v>
      </c>
      <c r="D727" s="5">
        <v>4939</v>
      </c>
      <c r="E727" s="5">
        <v>23181</v>
      </c>
      <c r="F727" s="28" t="str">
        <f>IFERROR(VLOOKUP(TAB_OFICINAS[[#This Row],[Cliente]],LISTA_DE_CLIENTES[[Código]:[Nome Fantasia]],2,FALSE),"")</f>
        <v>MARTA ELIZANGELA HONORIO DE LIMA</v>
      </c>
      <c r="G727" s="5" t="str">
        <f>IFERROR(VLOOKUP(TAB_OFICINAS[[#This Row],[Cliente]],LISTA_DE_CLIENTES[[Código]:[Nome Fantasia]],3,FALSE),"")</f>
        <v>MARTA ELIZANGELA HON</v>
      </c>
      <c r="H727" s="63">
        <v>3105015332</v>
      </c>
      <c r="I727" s="28" t="s">
        <v>21796</v>
      </c>
      <c r="J727" s="91">
        <v>1</v>
      </c>
      <c r="K727" s="86">
        <v>46129</v>
      </c>
      <c r="L727" s="10">
        <v>1</v>
      </c>
      <c r="M727" s="6">
        <v>46134</v>
      </c>
      <c r="N727" s="6">
        <v>46132</v>
      </c>
      <c r="O727" s="19">
        <f>TAB_OFICINAS[[#This Row],[Data Retorno Produção]]-TAB_OFICINAS[[#This Row],[Data Prometida  Entrega]]</f>
        <v>-2</v>
      </c>
      <c r="P727" s="40" t="str">
        <f>IF(TAB_OFICINAS[[#This Row],[Dias Para Entrega]]&lt;=0,"Em dia","Dia de Atrasado")</f>
        <v>Em dia</v>
      </c>
      <c r="Q727" s="10">
        <f>IFERROR(TAB_OFICINAS[[#This Row],[Qtd pçs Enviadas]]-TAB_OFICINAS[[#This Row],[Qtd pçs Retornadas ]]," ")</f>
        <v>0</v>
      </c>
      <c r="R727" s="10">
        <v>0</v>
      </c>
      <c r="S727" s="5">
        <v>772</v>
      </c>
      <c r="T727" s="5">
        <v>17134</v>
      </c>
      <c r="U727" s="52">
        <v>12</v>
      </c>
      <c r="V727" s="44">
        <f>IFERROR(TAB_OFICINAS[[#This Row],[Valor Unit]]*TAB_OFICINAS[[#This Row],[Qtd pçs Enviadas]]," ")</f>
        <v>12</v>
      </c>
      <c r="W727" s="17">
        <v>46139</v>
      </c>
      <c r="X727" s="5" t="s">
        <v>6251</v>
      </c>
      <c r="Y727" s="27" t="s">
        <v>22339</v>
      </c>
      <c r="Z72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8" spans="3:26" hidden="1">
      <c r="C728" s="28" t="s">
        <v>15</v>
      </c>
      <c r="D728" s="5">
        <v>2472</v>
      </c>
      <c r="E728" s="5">
        <v>23182</v>
      </c>
      <c r="F728" s="28" t="str">
        <f>IFERROR(VLOOKUP(TAB_OFICINAS[[#This Row],[Cliente]],LISTA_DE_CLIENTES[[Código]:[Nome Fantasia]],2,FALSE),"")</f>
        <v>PRISCILA APARECIDA PIRES DOS REIS</v>
      </c>
      <c r="G728" s="5" t="str">
        <f>IFERROR(VLOOKUP(TAB_OFICINAS[[#This Row],[Cliente]],LISTA_DE_CLIENTES[[Código]:[Nome Fantasia]],3,FALSE),"")</f>
        <v>PRISCILA APARECIDA P</v>
      </c>
      <c r="H728" s="63">
        <v>3105019626</v>
      </c>
      <c r="I728" s="28" t="s">
        <v>22338</v>
      </c>
      <c r="J728" s="91">
        <v>1</v>
      </c>
      <c r="K728" s="86">
        <v>46129</v>
      </c>
      <c r="L728" s="10">
        <v>1</v>
      </c>
      <c r="M728" s="6">
        <v>46134</v>
      </c>
      <c r="N728" s="6">
        <v>46132</v>
      </c>
      <c r="O728" s="19">
        <f>TAB_OFICINAS[[#This Row],[Data Retorno Produção]]-TAB_OFICINAS[[#This Row],[Data Prometida  Entrega]]</f>
        <v>-2</v>
      </c>
      <c r="P728" s="40" t="str">
        <f>IF(TAB_OFICINAS[[#This Row],[Dias Para Entrega]]&lt;=0,"Em dia","Dia de Atrasado")</f>
        <v>Em dia</v>
      </c>
      <c r="Q728" s="10">
        <f>IFERROR(TAB_OFICINAS[[#This Row],[Qtd pçs Enviadas]]-TAB_OFICINAS[[#This Row],[Qtd pçs Retornadas ]]," ")</f>
        <v>0</v>
      </c>
      <c r="R728" s="10">
        <v>0</v>
      </c>
      <c r="S728" s="5">
        <v>772</v>
      </c>
      <c r="T728" s="5">
        <v>17134</v>
      </c>
      <c r="U728" s="52">
        <v>12</v>
      </c>
      <c r="V728" s="44">
        <f>IFERROR(TAB_OFICINAS[[#This Row],[Valor Unit]]*TAB_OFICINAS[[#This Row],[Qtd pçs Enviadas]]," ")</f>
        <v>12</v>
      </c>
      <c r="W728" s="17">
        <v>46139</v>
      </c>
      <c r="X728" s="5" t="s">
        <v>6251</v>
      </c>
      <c r="Y728" s="27" t="s">
        <v>22344</v>
      </c>
      <c r="Z72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29" spans="3:26" hidden="1">
      <c r="C729" s="28" t="s">
        <v>15</v>
      </c>
      <c r="D729" s="5">
        <v>964</v>
      </c>
      <c r="E729" s="5">
        <v>23331</v>
      </c>
      <c r="F729" s="28" t="str">
        <f>IFERROR(VLOOKUP(TAB_OFICINAS[[#This Row],[Cliente]],LISTA_DE_CLIENTES[[Código]:[Nome Fantasia]],2,FALSE),"")</f>
        <v>TRU COMMERCE IMP. EXP. E COM. DE ROUPA EIRELI</v>
      </c>
      <c r="G729" s="5" t="str">
        <f>IFERROR(VLOOKUP(TAB_OFICINAS[[#This Row],[Cliente]],LISTA_DE_CLIENTES[[Código]:[Nome Fantasia]],3,FALSE),"")</f>
        <v>TRU COMMERCE</v>
      </c>
      <c r="H729" s="51" t="s">
        <v>23962</v>
      </c>
      <c r="I729" s="28" t="s">
        <v>22532</v>
      </c>
      <c r="J729" s="91">
        <v>1</v>
      </c>
      <c r="K729" s="86">
        <v>46146</v>
      </c>
      <c r="L729" s="10">
        <v>1</v>
      </c>
      <c r="M729" s="6">
        <v>46147</v>
      </c>
      <c r="N729" s="6">
        <v>46147</v>
      </c>
      <c r="O729" s="19">
        <f>TAB_OFICINAS[[#This Row],[Data Retorno Produção]]-TAB_OFICINAS[[#This Row],[Data Prometida  Entrega]]</f>
        <v>0</v>
      </c>
      <c r="P729" s="40" t="str">
        <f>IF(TAB_OFICINAS[[#This Row],[Dias Para Entrega]]&lt;=0,"Em dia","Dia de Atrasado")</f>
        <v>Em dia</v>
      </c>
      <c r="Q729" s="10">
        <f>IFERROR(TAB_OFICINAS[[#This Row],[Qtd pçs Enviadas]]-TAB_OFICINAS[[#This Row],[Qtd pçs Retornadas ]]," ")</f>
        <v>0</v>
      </c>
      <c r="R729" s="10">
        <v>0</v>
      </c>
      <c r="S729" s="5">
        <v>814</v>
      </c>
      <c r="T729" s="5">
        <v>17191</v>
      </c>
      <c r="U729" s="52">
        <v>12</v>
      </c>
      <c r="V729" s="44">
        <f>IFERROR(TAB_OFICINAS[[#This Row],[Valor Unit]]*TAB_OFICINAS[[#This Row],[Qtd pçs Enviadas]]," ")</f>
        <v>12</v>
      </c>
      <c r="W729" s="17">
        <v>46160</v>
      </c>
      <c r="X729" s="5" t="s">
        <v>6251</v>
      </c>
      <c r="Y729" s="27" t="s">
        <v>22534</v>
      </c>
      <c r="Z72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0" spans="3:26" hidden="1">
      <c r="C730" s="28" t="s">
        <v>15</v>
      </c>
      <c r="D730" s="5">
        <v>964</v>
      </c>
      <c r="E730" s="5">
        <v>23331</v>
      </c>
      <c r="F730" s="28" t="str">
        <f>IFERROR(VLOOKUP(TAB_OFICINAS[[#This Row],[Cliente]],LISTA_DE_CLIENTES[[Código]:[Nome Fantasia]],2,FALSE),"")</f>
        <v>TRU COMMERCE IMP. EXP. E COM. DE ROUPA EIRELI</v>
      </c>
      <c r="G730" s="5" t="str">
        <f>IFERROR(VLOOKUP(TAB_OFICINAS[[#This Row],[Cliente]],LISTA_DE_CLIENTES[[Código]:[Nome Fantasia]],3,FALSE),"")</f>
        <v>TRU COMMERCE</v>
      </c>
      <c r="H730" s="51" t="s">
        <v>23962</v>
      </c>
      <c r="I730" s="28" t="s">
        <v>22533</v>
      </c>
      <c r="J730" s="91">
        <v>1</v>
      </c>
      <c r="K730" s="86">
        <v>46146</v>
      </c>
      <c r="L730" s="10">
        <v>1</v>
      </c>
      <c r="M730" s="6">
        <v>46147</v>
      </c>
      <c r="N730" s="6">
        <v>46147</v>
      </c>
      <c r="O730" s="19">
        <f>TAB_OFICINAS[[#This Row],[Data Retorno Produção]]-TAB_OFICINAS[[#This Row],[Data Prometida  Entrega]]</f>
        <v>0</v>
      </c>
      <c r="P730" s="40" t="str">
        <f>IF(TAB_OFICINAS[[#This Row],[Dias Para Entrega]]&lt;=0,"Em dia","Dia de Atrasado")</f>
        <v>Em dia</v>
      </c>
      <c r="Q730" s="10">
        <f>IFERROR(TAB_OFICINAS[[#This Row],[Qtd pçs Enviadas]]-TAB_OFICINAS[[#This Row],[Qtd pçs Retornadas ]]," ")</f>
        <v>0</v>
      </c>
      <c r="R730" s="10">
        <v>0</v>
      </c>
      <c r="S730" s="5">
        <v>814</v>
      </c>
      <c r="T730" s="5">
        <v>17191</v>
      </c>
      <c r="U730" s="52">
        <v>12</v>
      </c>
      <c r="V730" s="44">
        <f>IFERROR(TAB_OFICINAS[[#This Row],[Valor Unit]]*TAB_OFICINAS[[#This Row],[Qtd pçs Enviadas]]," ")</f>
        <v>12</v>
      </c>
      <c r="W730" s="17">
        <v>46160</v>
      </c>
      <c r="X730" s="5" t="s">
        <v>6251</v>
      </c>
      <c r="Y730" s="27" t="s">
        <v>22535</v>
      </c>
      <c r="Z73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1" spans="3:26" hidden="1">
      <c r="C731" s="28" t="s">
        <v>15</v>
      </c>
      <c r="D731" s="5">
        <v>964</v>
      </c>
      <c r="E731" s="5">
        <v>23313</v>
      </c>
      <c r="F731" s="28" t="str">
        <f>IFERROR(VLOOKUP(TAB_OFICINAS[[#This Row],[Cliente]],LISTA_DE_CLIENTES[[Código]:[Nome Fantasia]],2,FALSE),"")</f>
        <v>TRU COMMERCE IMP. EXP. E COM. DE ROUPA EIRELI</v>
      </c>
      <c r="G731" s="5" t="str">
        <f>IFERROR(VLOOKUP(TAB_OFICINAS[[#This Row],[Cliente]],LISTA_DE_CLIENTES[[Código]:[Nome Fantasia]],3,FALSE),"")</f>
        <v>TRU COMMERCE</v>
      </c>
      <c r="H731" s="51" t="s">
        <v>23962</v>
      </c>
      <c r="I731" s="28" t="s">
        <v>22536</v>
      </c>
      <c r="J731" s="91">
        <v>1</v>
      </c>
      <c r="K731" s="86">
        <v>46149</v>
      </c>
      <c r="L731" s="10">
        <v>1</v>
      </c>
      <c r="M731" s="6">
        <v>46150</v>
      </c>
      <c r="N731" s="6">
        <f ca="1">TODAY()</f>
        <v>46315</v>
      </c>
      <c r="O731" s="19">
        <f ca="1">TAB_OFICINAS[[#This Row],[Data Retorno Produção]]-TAB_OFICINAS[[#This Row],[Data Prometida  Entrega]]</f>
        <v>165</v>
      </c>
      <c r="P731" s="40" t="str">
        <f ca="1">IF(TAB_OFICINAS[[#This Row],[Dias Para Entrega]]&lt;=0,"Em dia","Dia de Atrasado")</f>
        <v>Dia de Atrasado</v>
      </c>
      <c r="Q731" s="10">
        <f>IFERROR(TAB_OFICINAS[[#This Row],[Qtd pçs Enviadas]]-TAB_OFICINAS[[#This Row],[Qtd pçs Retornadas ]]," ")</f>
        <v>0</v>
      </c>
      <c r="R731" s="10">
        <v>0</v>
      </c>
      <c r="S731" s="5">
        <v>827</v>
      </c>
      <c r="T731" s="5">
        <v>17191</v>
      </c>
      <c r="U731" s="52">
        <v>12</v>
      </c>
      <c r="V731" s="44">
        <f>IFERROR(TAB_OFICINAS[[#This Row],[Valor Unit]]*TAB_OFICINAS[[#This Row],[Qtd pçs Enviadas]]," ")</f>
        <v>12</v>
      </c>
      <c r="W731" s="17">
        <v>46160</v>
      </c>
      <c r="X731" s="5" t="s">
        <v>6251</v>
      </c>
      <c r="Y731" s="27" t="s">
        <v>22539</v>
      </c>
      <c r="Z73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2" spans="3:26" hidden="1">
      <c r="C732" s="28" t="s">
        <v>15</v>
      </c>
      <c r="D732" s="5">
        <v>964</v>
      </c>
      <c r="E732" s="5">
        <v>23313</v>
      </c>
      <c r="F732" s="28" t="str">
        <f>IFERROR(VLOOKUP(TAB_OFICINAS[[#This Row],[Cliente]],LISTA_DE_CLIENTES[[Código]:[Nome Fantasia]],2,FALSE),"")</f>
        <v>TRU COMMERCE IMP. EXP. E COM. DE ROUPA EIRELI</v>
      </c>
      <c r="G732" s="5" t="str">
        <f>IFERROR(VLOOKUP(TAB_OFICINAS[[#This Row],[Cliente]],LISTA_DE_CLIENTES[[Código]:[Nome Fantasia]],3,FALSE),"")</f>
        <v>TRU COMMERCE</v>
      </c>
      <c r="H732" s="51" t="s">
        <v>23962</v>
      </c>
      <c r="I732" s="28" t="s">
        <v>22537</v>
      </c>
      <c r="J732" s="91">
        <v>1</v>
      </c>
      <c r="K732" s="86">
        <v>46149</v>
      </c>
      <c r="L732" s="10">
        <v>1</v>
      </c>
      <c r="M732" s="6">
        <v>46150</v>
      </c>
      <c r="N732" s="6">
        <f ca="1">TODAY()</f>
        <v>46315</v>
      </c>
      <c r="O732" s="19">
        <f ca="1">TAB_OFICINAS[[#This Row],[Data Retorno Produção]]-TAB_OFICINAS[[#This Row],[Data Prometida  Entrega]]</f>
        <v>165</v>
      </c>
      <c r="P732" s="40" t="str">
        <f ca="1">IF(TAB_OFICINAS[[#This Row],[Dias Para Entrega]]&lt;=0,"Em dia","Dia de Atrasado")</f>
        <v>Dia de Atrasado</v>
      </c>
      <c r="Q732" s="10">
        <f>IFERROR(TAB_OFICINAS[[#This Row],[Qtd pçs Enviadas]]-TAB_OFICINAS[[#This Row],[Qtd pçs Retornadas ]]," ")</f>
        <v>0</v>
      </c>
      <c r="R732" s="10">
        <v>0</v>
      </c>
      <c r="S732" s="5">
        <v>827</v>
      </c>
      <c r="T732" s="5">
        <v>17191</v>
      </c>
      <c r="U732" s="52">
        <v>12</v>
      </c>
      <c r="V732" s="44">
        <f>IFERROR(TAB_OFICINAS[[#This Row],[Valor Unit]]*TAB_OFICINAS[[#This Row],[Qtd pçs Enviadas]]," ")</f>
        <v>12</v>
      </c>
      <c r="W732" s="17">
        <v>46160</v>
      </c>
      <c r="X732" s="5" t="s">
        <v>6251</v>
      </c>
      <c r="Y732" s="27" t="s">
        <v>22538</v>
      </c>
      <c r="Z73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3" spans="3:26" hidden="1">
      <c r="C733" s="28" t="s">
        <v>15</v>
      </c>
      <c r="D733" s="5">
        <v>5499</v>
      </c>
      <c r="E733" s="5">
        <v>23308</v>
      </c>
      <c r="F733" s="28" t="str">
        <f>IFERROR(VLOOKUP(TAB_OFICINAS[[#This Row],[Cliente]],LISTA_DE_CLIENTES[[Código]:[Nome Fantasia]],2,FALSE),"")</f>
        <v>CAROLINA CASTRO</v>
      </c>
      <c r="G733" s="5" t="str">
        <f>IFERROR(VLOOKUP(TAB_OFICINAS[[#This Row],[Cliente]],LISTA_DE_CLIENTES[[Código]:[Nome Fantasia]],3,FALSE),"")</f>
        <v>CAROLINA CASTRO</v>
      </c>
      <c r="H733" s="63">
        <v>2111238793</v>
      </c>
      <c r="I733" s="28" t="s">
        <v>22448</v>
      </c>
      <c r="J733" s="91">
        <v>1</v>
      </c>
      <c r="K733" s="86">
        <v>46149</v>
      </c>
      <c r="L733" s="10">
        <v>1</v>
      </c>
      <c r="M733" s="6">
        <v>46150</v>
      </c>
      <c r="N733" s="6">
        <v>46150</v>
      </c>
      <c r="O733" s="19">
        <f>TAB_OFICINAS[[#This Row],[Data Retorno Produção]]-TAB_OFICINAS[[#This Row],[Data Prometida  Entrega]]</f>
        <v>0</v>
      </c>
      <c r="P733" s="40" t="str">
        <f>IF(TAB_OFICINAS[[#This Row],[Dias Para Entrega]]&lt;=0,"Em dia","Dia de Atrasado")</f>
        <v>Em dia</v>
      </c>
      <c r="Q733" s="10">
        <f>IFERROR(TAB_OFICINAS[[#This Row],[Qtd pçs Enviadas]]-TAB_OFICINAS[[#This Row],[Qtd pçs Retornadas ]]," ")</f>
        <v>0</v>
      </c>
      <c r="R733" s="10">
        <v>0</v>
      </c>
      <c r="S733" s="5">
        <v>827</v>
      </c>
      <c r="T733" s="5">
        <v>17191</v>
      </c>
      <c r="U733" s="52">
        <v>12</v>
      </c>
      <c r="V733" s="44">
        <f>IFERROR(TAB_OFICINAS[[#This Row],[Valor Unit]]*TAB_OFICINAS[[#This Row],[Qtd pçs Enviadas]]," ")</f>
        <v>12</v>
      </c>
      <c r="W733" s="17">
        <v>46160</v>
      </c>
      <c r="X733" s="5" t="s">
        <v>6251</v>
      </c>
      <c r="Y733" s="27" t="s">
        <v>22627</v>
      </c>
      <c r="Z73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4" spans="3:26" hidden="1">
      <c r="C734" s="28" t="s">
        <v>15</v>
      </c>
      <c r="D734" s="5">
        <v>5499</v>
      </c>
      <c r="E734" s="5">
        <v>23308</v>
      </c>
      <c r="F734" s="28" t="str">
        <f>IFERROR(VLOOKUP(TAB_OFICINAS[[#This Row],[Cliente]],LISTA_DE_CLIENTES[[Código]:[Nome Fantasia]],2,FALSE),"")</f>
        <v>CAROLINA CASTRO</v>
      </c>
      <c r="G734" s="5" t="str">
        <f>IFERROR(VLOOKUP(TAB_OFICINAS[[#This Row],[Cliente]],LISTA_DE_CLIENTES[[Código]:[Nome Fantasia]],3,FALSE),"")</f>
        <v>CAROLINA CASTRO</v>
      </c>
      <c r="H734" s="63">
        <v>2111238793</v>
      </c>
      <c r="I734" s="28" t="s">
        <v>22448</v>
      </c>
      <c r="J734" s="91">
        <v>1</v>
      </c>
      <c r="K734" s="86">
        <v>46149</v>
      </c>
      <c r="L734" s="10">
        <v>1</v>
      </c>
      <c r="M734" s="6">
        <v>46150</v>
      </c>
      <c r="N734" s="6">
        <v>46150</v>
      </c>
      <c r="O734" s="19">
        <f>TAB_OFICINAS[[#This Row],[Data Retorno Produção]]-TAB_OFICINAS[[#This Row],[Data Prometida  Entrega]]</f>
        <v>0</v>
      </c>
      <c r="P734" s="40" t="str">
        <f>IF(TAB_OFICINAS[[#This Row],[Dias Para Entrega]]&lt;=0,"Em dia","Dia de Atrasado")</f>
        <v>Em dia</v>
      </c>
      <c r="Q734" s="10">
        <f>IFERROR(TAB_OFICINAS[[#This Row],[Qtd pçs Enviadas]]-TAB_OFICINAS[[#This Row],[Qtd pçs Retornadas ]]," ")</f>
        <v>0</v>
      </c>
      <c r="R734" s="10">
        <v>0</v>
      </c>
      <c r="S734" s="5">
        <v>827</v>
      </c>
      <c r="T734" s="5">
        <v>17191</v>
      </c>
      <c r="U734" s="52">
        <v>12</v>
      </c>
      <c r="V734" s="44">
        <f>IFERROR(TAB_OFICINAS[[#This Row],[Valor Unit]]*TAB_OFICINAS[[#This Row],[Qtd pçs Enviadas]]," ")</f>
        <v>12</v>
      </c>
      <c r="W734" s="17">
        <v>46160</v>
      </c>
      <c r="X734" s="5" t="s">
        <v>6251</v>
      </c>
      <c r="Y734" s="27" t="s">
        <v>22628</v>
      </c>
      <c r="Z73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5" spans="3:26" hidden="1">
      <c r="C735" s="28" t="s">
        <v>15</v>
      </c>
      <c r="F735" s="28" t="s">
        <v>22630</v>
      </c>
      <c r="G735" s="5" t="s">
        <v>22630</v>
      </c>
      <c r="H735" s="63">
        <v>2115038098</v>
      </c>
      <c r="I735" s="28" t="s">
        <v>22631</v>
      </c>
      <c r="J735" s="91">
        <v>1</v>
      </c>
      <c r="K735" s="86">
        <v>46150</v>
      </c>
      <c r="L735" s="10">
        <v>1</v>
      </c>
      <c r="M735" s="6">
        <v>46150</v>
      </c>
      <c r="N735" s="6">
        <v>46150</v>
      </c>
      <c r="O735" s="19">
        <f>TAB_OFICINAS[[#This Row],[Data Retorno Produção]]-TAB_OFICINAS[[#This Row],[Data Prometida  Entrega]]</f>
        <v>0</v>
      </c>
      <c r="P735" s="40" t="str">
        <f>IF(TAB_OFICINAS[[#This Row],[Dias Para Entrega]]&lt;=0,"Em dia","Dia de Atrasado")</f>
        <v>Em dia</v>
      </c>
      <c r="Q735" s="10">
        <f>IFERROR(TAB_OFICINAS[[#This Row],[Qtd pçs Enviadas]]-TAB_OFICINAS[[#This Row],[Qtd pçs Retornadas ]]," ")</f>
        <v>0</v>
      </c>
      <c r="R735" s="10">
        <v>0</v>
      </c>
      <c r="S735" s="5">
        <v>829</v>
      </c>
      <c r="T735" s="5">
        <v>17191</v>
      </c>
      <c r="U735" s="52">
        <v>18</v>
      </c>
      <c r="V735" s="44">
        <f>IFERROR(TAB_OFICINAS[[#This Row],[Valor Unit]]*TAB_OFICINAS[[#This Row],[Qtd pçs Enviadas]]," ")</f>
        <v>18</v>
      </c>
      <c r="W735" s="17">
        <v>46160</v>
      </c>
      <c r="X735" s="5" t="s">
        <v>6251</v>
      </c>
      <c r="Y735" s="27" t="s">
        <v>22629</v>
      </c>
      <c r="Z73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6" spans="3:26" hidden="1">
      <c r="C736" s="28" t="s">
        <v>15</v>
      </c>
      <c r="D736" s="5">
        <v>5502</v>
      </c>
      <c r="E736" s="5">
        <v>23288</v>
      </c>
      <c r="F736" s="28" t="str">
        <f>IFERROR(VLOOKUP(TAB_OFICINAS[[#This Row],[Cliente]],LISTA_DE_CLIENTES[[Código]:[Nome Fantasia]],2,FALSE),"")</f>
        <v>LOPATA HOTEL LTDA</v>
      </c>
      <c r="G736" s="5" t="str">
        <f>IFERROR(VLOOKUP(TAB_OFICINAS[[#This Row],[Cliente]],LISTA_DE_CLIENTES[[Código]:[Nome Fantasia]],3,FALSE),"")</f>
        <v>BELLA VITA HOTEL</v>
      </c>
      <c r="H736" s="63">
        <v>2111269756</v>
      </c>
      <c r="I736" s="75" t="s">
        <v>22765</v>
      </c>
      <c r="J736" s="91">
        <v>1</v>
      </c>
      <c r="K736" s="86">
        <v>46153</v>
      </c>
      <c r="L736" s="10">
        <v>1</v>
      </c>
      <c r="M736" s="6">
        <v>46157</v>
      </c>
      <c r="N736" s="6">
        <v>46157</v>
      </c>
      <c r="O736" s="19">
        <f>TAB_OFICINAS[[#This Row],[Data Retorno Produção]]-TAB_OFICINAS[[#This Row],[Data Prometida  Entrega]]</f>
        <v>0</v>
      </c>
      <c r="P736" s="40" t="str">
        <f>IF(TAB_OFICINAS[[#This Row],[Dias Para Entrega]]&lt;=0,"Em dia","Dia de Atrasado")</f>
        <v>Em dia</v>
      </c>
      <c r="Q736" s="10">
        <f>IFERROR(TAB_OFICINAS[[#This Row],[Qtd pçs Enviadas]]-TAB_OFICINAS[[#This Row],[Qtd pçs Retornadas ]]," ")</f>
        <v>0</v>
      </c>
      <c r="R736" s="10"/>
      <c r="S736" s="5">
        <v>833</v>
      </c>
      <c r="T736" s="5">
        <v>17195</v>
      </c>
      <c r="U736" s="52">
        <v>12</v>
      </c>
      <c r="V736" s="44">
        <f>IFERROR(TAB_OFICINAS[[#This Row],[Valor Unit]]*TAB_OFICINAS[[#This Row],[Qtd pçs Enviadas]]," ")</f>
        <v>12</v>
      </c>
      <c r="W736" s="17">
        <v>46163</v>
      </c>
      <c r="X736" s="5" t="s">
        <v>6251</v>
      </c>
      <c r="Y736" s="27" t="s">
        <v>22767</v>
      </c>
      <c r="Z73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7" spans="3:26" hidden="1">
      <c r="C737" s="28" t="s">
        <v>15</v>
      </c>
      <c r="D737" s="5">
        <v>5555</v>
      </c>
      <c r="E737" s="5">
        <v>23425</v>
      </c>
      <c r="F737" s="28" t="str">
        <f>IFERROR(VLOOKUP(TAB_OFICINAS[[#This Row],[Cliente]],LISTA_DE_CLIENTES[[Código]:[Nome Fantasia]],2,FALSE),"")</f>
        <v xml:space="preserve">CAROLINA CASSIOLATTO
</v>
      </c>
      <c r="G737" s="5" t="str">
        <f>IFERROR(VLOOKUP(TAB_OFICINAS[[#This Row],[Cliente]],LISTA_DE_CLIENTES[[Código]:[Nome Fantasia]],3,FALSE),"")</f>
        <v>CAROLINA CASSIOLATTO</v>
      </c>
      <c r="H737" s="51" t="s">
        <v>23962</v>
      </c>
      <c r="I737" s="28" t="s">
        <v>22818</v>
      </c>
      <c r="J737" s="91">
        <v>1</v>
      </c>
      <c r="K737" s="86">
        <v>46161</v>
      </c>
      <c r="L737" s="10">
        <v>1</v>
      </c>
      <c r="M737" s="6">
        <v>46161</v>
      </c>
      <c r="N737" s="6">
        <v>46161</v>
      </c>
      <c r="O737" s="19">
        <f>TAB_OFICINAS[[#This Row],[Data Retorno Produção]]-TAB_OFICINAS[[#This Row],[Data Prometida  Entrega]]</f>
        <v>0</v>
      </c>
      <c r="P737" s="40" t="str">
        <f>IF(TAB_OFICINAS[[#This Row],[Dias Para Entrega]]&lt;=0,"Em dia","Dia de Atrasado")</f>
        <v>Em dia</v>
      </c>
      <c r="Q737" s="10">
        <f>IFERROR(TAB_OFICINAS[[#This Row],[Qtd pçs Enviadas]]-TAB_OFICINAS[[#This Row],[Qtd pçs Retornadas ]]," ")</f>
        <v>0</v>
      </c>
      <c r="R737" s="10">
        <v>0</v>
      </c>
      <c r="S737" s="5">
        <v>3218</v>
      </c>
      <c r="T737" s="5">
        <v>17259</v>
      </c>
      <c r="U737" s="52">
        <v>12</v>
      </c>
      <c r="V737" s="44">
        <f>IFERROR(TAB_OFICINAS[[#This Row],[Valor Unit]]*TAB_OFICINAS[[#This Row],[Qtd pçs Enviadas]]," ")</f>
        <v>12</v>
      </c>
      <c r="W737" s="17">
        <v>46171</v>
      </c>
      <c r="X737" s="5" t="s">
        <v>6251</v>
      </c>
      <c r="Y737" s="27" t="s">
        <v>22817</v>
      </c>
      <c r="Z73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8" spans="3:26" hidden="1">
      <c r="C738" s="28" t="s">
        <v>15</v>
      </c>
      <c r="D738" s="5">
        <v>5555</v>
      </c>
      <c r="E738" s="5">
        <v>23425</v>
      </c>
      <c r="F738" s="28" t="str">
        <f>IFERROR(VLOOKUP(TAB_OFICINAS[[#This Row],[Cliente]],LISTA_DE_CLIENTES[[Código]:[Nome Fantasia]],2,FALSE),"")</f>
        <v xml:space="preserve">CAROLINA CASSIOLATTO
</v>
      </c>
      <c r="G738" s="5" t="str">
        <f>IFERROR(VLOOKUP(TAB_OFICINAS[[#This Row],[Cliente]],LISTA_DE_CLIENTES[[Código]:[Nome Fantasia]],3,FALSE),"")</f>
        <v>CAROLINA CASSIOLATTO</v>
      </c>
      <c r="H738" s="63">
        <v>3161099904</v>
      </c>
      <c r="I738" s="28" t="s">
        <v>22969</v>
      </c>
      <c r="J738" s="91">
        <v>1</v>
      </c>
      <c r="K738" s="86">
        <v>46161</v>
      </c>
      <c r="L738" s="10">
        <v>1</v>
      </c>
      <c r="M738" s="6">
        <v>46161</v>
      </c>
      <c r="N738" s="6">
        <v>46161</v>
      </c>
      <c r="O738" s="19">
        <f>TAB_OFICINAS[[#This Row],[Data Retorno Produção]]-TAB_OFICINAS[[#This Row],[Data Prometida  Entrega]]</f>
        <v>0</v>
      </c>
      <c r="P738" s="40" t="str">
        <f>IF(TAB_OFICINAS[[#This Row],[Dias Para Entrega]]&lt;=0,"Em dia","Dia de Atrasado")</f>
        <v>Em dia</v>
      </c>
      <c r="Q738" s="10">
        <f>IFERROR(TAB_OFICINAS[[#This Row],[Qtd pçs Enviadas]]-TAB_OFICINAS[[#This Row],[Qtd pçs Retornadas ]]," ")</f>
        <v>0</v>
      </c>
      <c r="R738" s="10">
        <v>0</v>
      </c>
      <c r="S738" s="5">
        <v>3218</v>
      </c>
      <c r="T738" s="5">
        <v>17259</v>
      </c>
      <c r="U738" s="52">
        <v>12</v>
      </c>
      <c r="V738" s="44">
        <f>IFERROR(TAB_OFICINAS[[#This Row],[Valor Unit]]*TAB_OFICINAS[[#This Row],[Qtd pçs Enviadas]]," ")</f>
        <v>12</v>
      </c>
      <c r="W738" s="17">
        <v>46171</v>
      </c>
      <c r="X738" s="5" t="s">
        <v>6251</v>
      </c>
      <c r="Y738" s="27" t="s">
        <v>22819</v>
      </c>
      <c r="Z73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39" spans="3:26" hidden="1">
      <c r="C739" s="28" t="s">
        <v>17</v>
      </c>
      <c r="D739" s="5">
        <v>5505</v>
      </c>
      <c r="E739" s="5">
        <v>23301</v>
      </c>
      <c r="F739" s="28" t="str">
        <f>IFERROR(VLOOKUP(TAB_OFICINAS[[#This Row],[Cliente]],LISTA_DE_CLIENTES[[Código]:[Nome Fantasia]],2,FALSE),"")</f>
        <v>F T CAMARGO SERVICOS MEDICOS LTDA</v>
      </c>
      <c r="G739" s="5" t="str">
        <f>IFERROR(VLOOKUP(TAB_OFICINAS[[#This Row],[Cliente]],LISTA_DE_CLIENTES[[Código]:[Nome Fantasia]],3,FALSE),"")</f>
        <v>DYNAPLAN</v>
      </c>
      <c r="H739" s="63">
        <v>3105019764</v>
      </c>
      <c r="I739" s="28" t="s">
        <v>22368</v>
      </c>
      <c r="J739" s="91">
        <v>1</v>
      </c>
      <c r="K739" s="86">
        <v>46162</v>
      </c>
      <c r="L739" s="10">
        <v>1</v>
      </c>
      <c r="M739" s="6">
        <v>46168</v>
      </c>
      <c r="N739" s="6">
        <v>46168</v>
      </c>
      <c r="O739" s="19">
        <f>TAB_OFICINAS[[#This Row],[Data Retorno Produção]]-TAB_OFICINAS[[#This Row],[Data Prometida  Entrega]]</f>
        <v>0</v>
      </c>
      <c r="P739" s="40" t="str">
        <f>IF(TAB_OFICINAS[[#This Row],[Dias Para Entrega]]&lt;=0,"Em dia","Dia de Atrasado")</f>
        <v>Em dia</v>
      </c>
      <c r="Q739" s="10">
        <f>IFERROR(TAB_OFICINAS[[#This Row],[Qtd pçs Enviadas]]-TAB_OFICINAS[[#This Row],[Qtd pçs Retornadas ]]," ")</f>
        <v>0</v>
      </c>
      <c r="R739" s="10">
        <v>0</v>
      </c>
      <c r="S739" s="5">
        <v>3220</v>
      </c>
      <c r="T739" s="5">
        <v>54</v>
      </c>
      <c r="U739" s="52">
        <v>14</v>
      </c>
      <c r="V739" s="44">
        <f>IFERROR(TAB_OFICINAS[[#This Row],[Valor Unit]]*TAB_OFICINAS[[#This Row],[Qtd pçs Enviadas]]," ")</f>
        <v>14</v>
      </c>
      <c r="W739" s="17">
        <v>46178</v>
      </c>
      <c r="X739" s="5" t="s">
        <v>6251</v>
      </c>
      <c r="Y739" s="27"/>
      <c r="Z73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0" spans="3:26" hidden="1">
      <c r="C740" s="28" t="s">
        <v>17</v>
      </c>
      <c r="D740" s="5">
        <v>5507</v>
      </c>
      <c r="E740" s="5">
        <v>23285</v>
      </c>
      <c r="F740" s="28" t="str">
        <f>IFERROR(VLOOKUP(TAB_OFICINAS[[#This Row],[Cliente]],LISTA_DE_CLIENTES[[Código]:[Nome Fantasia]],2,FALSE),"")</f>
        <v>DYNAPLAN GERENCIAMENTO DE PROJETOS LTDA</v>
      </c>
      <c r="G740" s="5" t="str">
        <f>IFERROR(VLOOKUP(TAB_OFICINAS[[#This Row],[Cliente]],LISTA_DE_CLIENTES[[Código]:[Nome Fantasia]],3,FALSE),"")</f>
        <v>DYNAPLAN GERENCIAMEN</v>
      </c>
      <c r="H740" s="63">
        <v>3105019764</v>
      </c>
      <c r="I740" s="28" t="s">
        <v>22368</v>
      </c>
      <c r="J740" s="91">
        <v>1</v>
      </c>
      <c r="K740" s="86">
        <v>46162</v>
      </c>
      <c r="L740" s="10">
        <v>1</v>
      </c>
      <c r="M740" s="6">
        <v>46168</v>
      </c>
      <c r="N740" s="6">
        <v>46168</v>
      </c>
      <c r="O740" s="19">
        <f>TAB_OFICINAS[[#This Row],[Data Retorno Produção]]-TAB_OFICINAS[[#This Row],[Data Prometida  Entrega]]</f>
        <v>0</v>
      </c>
      <c r="P740" s="40" t="str">
        <f>IF(TAB_OFICINAS[[#This Row],[Dias Para Entrega]]&lt;=0,"Em dia","Dia de Atrasado")</f>
        <v>Em dia</v>
      </c>
      <c r="Q740" s="10">
        <f>IFERROR(TAB_OFICINAS[[#This Row],[Qtd pçs Enviadas]]-TAB_OFICINAS[[#This Row],[Qtd pçs Retornadas ]]," ")</f>
        <v>0</v>
      </c>
      <c r="R740" s="10">
        <v>0</v>
      </c>
      <c r="S740" s="5">
        <v>3220</v>
      </c>
      <c r="T740" s="5">
        <v>54</v>
      </c>
      <c r="U740" s="52">
        <v>14</v>
      </c>
      <c r="V740" s="44">
        <f>IFERROR(TAB_OFICINAS[[#This Row],[Valor Unit]]*TAB_OFICINAS[[#This Row],[Qtd pçs Enviadas]]," ")</f>
        <v>14</v>
      </c>
      <c r="W740" s="17">
        <v>46178</v>
      </c>
      <c r="X740" s="5" t="s">
        <v>6251</v>
      </c>
      <c r="Y740" s="27"/>
      <c r="Z74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1" spans="3:26" hidden="1">
      <c r="C741" s="28" t="s">
        <v>15</v>
      </c>
      <c r="D741" s="5">
        <v>5247</v>
      </c>
      <c r="E741" s="5">
        <v>23341</v>
      </c>
      <c r="F741" s="28" t="str">
        <f>IFERROR(VLOOKUP(TAB_OFICINAS[[#This Row],[Cliente]],LISTA_DE_CLIENTES[[Código]:[Nome Fantasia]],2,FALSE),"")</f>
        <v>MARIANA AURIEMO</v>
      </c>
      <c r="G741" s="5" t="str">
        <f>IFERROR(VLOOKUP(TAB_OFICINAS[[#This Row],[Cliente]],LISTA_DE_CLIENTES[[Código]:[Nome Fantasia]],3,FALSE),"")</f>
        <v>MARIANA AURIEMO</v>
      </c>
      <c r="H741" s="63">
        <v>3302029834</v>
      </c>
      <c r="I741" s="28" t="s">
        <v>22813</v>
      </c>
      <c r="J741" s="91">
        <v>1</v>
      </c>
      <c r="K741" s="86">
        <v>46162</v>
      </c>
      <c r="L741" s="10">
        <v>1</v>
      </c>
      <c r="M741" s="6">
        <v>46169</v>
      </c>
      <c r="N741" s="6">
        <v>46169</v>
      </c>
      <c r="O741" s="19">
        <f>TAB_OFICINAS[[#This Row],[Data Retorno Produção]]-TAB_OFICINAS[[#This Row],[Data Prometida  Entrega]]</f>
        <v>0</v>
      </c>
      <c r="P741" s="40" t="str">
        <f>IF(TAB_OFICINAS[[#This Row],[Dias Para Entrega]]&lt;=0,"Em dia","Dia de Atrasado")</f>
        <v>Em dia</v>
      </c>
      <c r="Q741" s="10">
        <f>IFERROR(TAB_OFICINAS[[#This Row],[Qtd pçs Enviadas]]-TAB_OFICINAS[[#This Row],[Qtd pçs Retornadas ]]," ")</f>
        <v>0</v>
      </c>
      <c r="R741" s="10"/>
      <c r="S741" s="5">
        <v>849</v>
      </c>
      <c r="T741" s="5">
        <v>17270</v>
      </c>
      <c r="U741" s="52">
        <v>17</v>
      </c>
      <c r="V741" s="44">
        <f>IFERROR(TAB_OFICINAS[[#This Row],[Valor Unit]]*TAB_OFICINAS[[#This Row],[Qtd pçs Enviadas]]," ")</f>
        <v>17</v>
      </c>
      <c r="W741" s="17">
        <v>46182</v>
      </c>
      <c r="X741" s="5" t="s">
        <v>6251</v>
      </c>
      <c r="Y741" s="69" t="s">
        <v>22815</v>
      </c>
      <c r="Z74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2" spans="3:26" hidden="1">
      <c r="C742" s="28" t="s">
        <v>15</v>
      </c>
      <c r="D742" s="5">
        <v>5247</v>
      </c>
      <c r="E742" s="5">
        <v>23341</v>
      </c>
      <c r="F742" s="28" t="str">
        <f>IFERROR(VLOOKUP(TAB_OFICINAS[[#This Row],[Cliente]],LISTA_DE_CLIENTES[[Código]:[Nome Fantasia]],2,FALSE),"")</f>
        <v>MARIANA AURIEMO</v>
      </c>
      <c r="G742" s="5" t="str">
        <f>IFERROR(VLOOKUP(TAB_OFICINAS[[#This Row],[Cliente]],LISTA_DE_CLIENTES[[Código]:[Nome Fantasia]],3,FALSE),"")</f>
        <v>MARIANA AURIEMO</v>
      </c>
      <c r="H742" s="63">
        <v>3302029833</v>
      </c>
      <c r="I742" s="28" t="s">
        <v>22814</v>
      </c>
      <c r="J742" s="91">
        <v>1</v>
      </c>
      <c r="K742" s="86">
        <v>46162</v>
      </c>
      <c r="L742" s="10">
        <v>1</v>
      </c>
      <c r="M742" s="6">
        <v>46169</v>
      </c>
      <c r="N742" s="6">
        <v>46169</v>
      </c>
      <c r="O742" s="19">
        <f>TAB_OFICINAS[[#This Row],[Data Retorno Produção]]-TAB_OFICINAS[[#This Row],[Data Prometida  Entrega]]</f>
        <v>0</v>
      </c>
      <c r="P742" s="40" t="str">
        <f>IF(TAB_OFICINAS[[#This Row],[Dias Para Entrega]]&lt;=0,"Em dia","Dia de Atrasado")</f>
        <v>Em dia</v>
      </c>
      <c r="Q742" s="10">
        <f>IFERROR(TAB_OFICINAS[[#This Row],[Qtd pçs Enviadas]]-TAB_OFICINAS[[#This Row],[Qtd pçs Retornadas ]]," ")</f>
        <v>0</v>
      </c>
      <c r="R742" s="10"/>
      <c r="S742" s="5">
        <v>849</v>
      </c>
      <c r="T742" s="5">
        <v>17270</v>
      </c>
      <c r="U742" s="52">
        <v>22</v>
      </c>
      <c r="V742" s="44">
        <f>IFERROR(TAB_OFICINAS[[#This Row],[Valor Unit]]*TAB_OFICINAS[[#This Row],[Qtd pçs Enviadas]]," ")</f>
        <v>22</v>
      </c>
      <c r="W742" s="17">
        <v>46182</v>
      </c>
      <c r="X742" s="5" t="s">
        <v>6251</v>
      </c>
      <c r="Y742" s="69" t="s">
        <v>22816</v>
      </c>
      <c r="Z74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3" spans="3:26" hidden="1">
      <c r="C743" s="28" t="s">
        <v>15</v>
      </c>
      <c r="D743" s="5">
        <v>5564</v>
      </c>
      <c r="E743" s="5">
        <v>23458</v>
      </c>
      <c r="F743" s="28" t="str">
        <f>IFERROR(VLOOKUP(TAB_OFICINAS[[#This Row],[Cliente]],LISTA_DE_CLIENTES[[Código]:[Nome Fantasia]],2,FALSE),"")</f>
        <v>GABRIELA CARDOSO DE OLIVEIRA</v>
      </c>
      <c r="G743" s="5" t="str">
        <f>IFERROR(VLOOKUP(TAB_OFICINAS[[#This Row],[Cliente]],LISTA_DE_CLIENTES[[Código]:[Nome Fantasia]],3,FALSE),"")</f>
        <v>GABRIELA CARDOSO DE</v>
      </c>
      <c r="H743" s="63">
        <v>3161099935</v>
      </c>
      <c r="I743" s="28" t="s">
        <v>22851</v>
      </c>
      <c r="J743" s="91">
        <v>1</v>
      </c>
      <c r="K743" s="86">
        <v>46170</v>
      </c>
      <c r="L743" s="34">
        <v>1</v>
      </c>
      <c r="M743" s="6">
        <v>46171</v>
      </c>
      <c r="N743" s="6">
        <v>46174</v>
      </c>
      <c r="O743" s="19">
        <f>TAB_OFICINAS[[#This Row],[Data Retorno Produção]]-TAB_OFICINAS[[#This Row],[Data Prometida  Entrega]]</f>
        <v>3</v>
      </c>
      <c r="P743" s="40" t="str">
        <f>IF(TAB_OFICINAS[[#This Row],[Dias Para Entrega]]&lt;=0,"Em dia","Dia de Atrasado")</f>
        <v>Dia de Atrasado</v>
      </c>
      <c r="Q743" s="10">
        <f>IFERROR(TAB_OFICINAS[[#This Row],[Qtd pçs Enviadas]]-TAB_OFICINAS[[#This Row],[Qtd pçs Retornadas ]]," ")</f>
        <v>0</v>
      </c>
      <c r="R743" s="10">
        <v>0</v>
      </c>
      <c r="S743" s="5">
        <v>861</v>
      </c>
      <c r="T743" s="5">
        <v>17270</v>
      </c>
      <c r="U743" s="1">
        <v>25.5</v>
      </c>
      <c r="V743" s="3">
        <f>IFERROR(TAB_OFICINAS[[#This Row],[Valor Unit]]*TAB_OFICINAS[[#This Row],[Qtd pçs Enviadas]]," ")</f>
        <v>25.5</v>
      </c>
      <c r="W743" s="17">
        <v>46182</v>
      </c>
      <c r="X743" s="5" t="s">
        <v>6251</v>
      </c>
      <c r="Y743" s="69" t="s">
        <v>22858</v>
      </c>
      <c r="Z74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4" spans="3:26" hidden="1">
      <c r="C744" s="28" t="s">
        <v>15</v>
      </c>
      <c r="D744" s="5">
        <v>5564</v>
      </c>
      <c r="E744" s="5">
        <v>23458</v>
      </c>
      <c r="F744" s="28" t="str">
        <f>IFERROR(VLOOKUP(TAB_OFICINAS[[#This Row],[Cliente]],LISTA_DE_CLIENTES[[Código]:[Nome Fantasia]],2,FALSE),"")</f>
        <v>GABRIELA CARDOSO DE OLIVEIRA</v>
      </c>
      <c r="G744" s="5" t="str">
        <f>IFERROR(VLOOKUP(TAB_OFICINAS[[#This Row],[Cliente]],LISTA_DE_CLIENTES[[Código]:[Nome Fantasia]],3,FALSE),"")</f>
        <v>GABRIELA CARDOSO DE</v>
      </c>
      <c r="H744" s="63">
        <v>3161099935</v>
      </c>
      <c r="I744" s="28" t="s">
        <v>22852</v>
      </c>
      <c r="J744" s="91">
        <v>1</v>
      </c>
      <c r="K744" s="86">
        <v>46170</v>
      </c>
      <c r="L744" s="34">
        <v>1</v>
      </c>
      <c r="M744" s="6">
        <v>46171</v>
      </c>
      <c r="N744" s="6">
        <v>46174</v>
      </c>
      <c r="O744" s="19">
        <f>TAB_OFICINAS[[#This Row],[Data Retorno Produção]]-TAB_OFICINAS[[#This Row],[Data Prometida  Entrega]]</f>
        <v>3</v>
      </c>
      <c r="P744" s="40" t="str">
        <f>IF(TAB_OFICINAS[[#This Row],[Dias Para Entrega]]&lt;=0,"Em dia","Dia de Atrasado")</f>
        <v>Dia de Atrasado</v>
      </c>
      <c r="Q744" s="10">
        <f>IFERROR(TAB_OFICINAS[[#This Row],[Qtd pçs Enviadas]]-TAB_OFICINAS[[#This Row],[Qtd pçs Retornadas ]]," ")</f>
        <v>0</v>
      </c>
      <c r="R744" s="10">
        <v>0</v>
      </c>
      <c r="S744" s="5">
        <v>861</v>
      </c>
      <c r="T744" s="5">
        <v>17270</v>
      </c>
      <c r="U744" s="1">
        <v>25.5</v>
      </c>
      <c r="V744" s="3">
        <f>IFERROR(TAB_OFICINAS[[#This Row],[Valor Unit]]*TAB_OFICINAS[[#This Row],[Qtd pçs Enviadas]]," ")</f>
        <v>25.5</v>
      </c>
      <c r="W744" s="17">
        <v>46182</v>
      </c>
      <c r="X744" s="5" t="s">
        <v>6251</v>
      </c>
      <c r="Y744" s="69" t="s">
        <v>22859</v>
      </c>
      <c r="Z74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5" spans="3:26" hidden="1">
      <c r="C745" s="28" t="s">
        <v>15</v>
      </c>
      <c r="D745" s="5">
        <v>5247</v>
      </c>
      <c r="E745" s="5">
        <v>23341</v>
      </c>
      <c r="F745" s="28" t="str">
        <f>IFERROR(VLOOKUP(TAB_OFICINAS[[#This Row],[Cliente]],LISTA_DE_CLIENTES[[Código]:[Nome Fantasia]],2,FALSE),"")</f>
        <v>MARIANA AURIEMO</v>
      </c>
      <c r="G745" s="5" t="str">
        <f>IFERROR(VLOOKUP(TAB_OFICINAS[[#This Row],[Cliente]],LISTA_DE_CLIENTES[[Código]:[Nome Fantasia]],3,FALSE),"")</f>
        <v>MARIANA AURIEMO</v>
      </c>
      <c r="H745" s="63">
        <v>3302029834</v>
      </c>
      <c r="I745" s="28" t="s">
        <v>22849</v>
      </c>
      <c r="J745" s="91">
        <v>1</v>
      </c>
      <c r="K745" s="86">
        <v>46170</v>
      </c>
      <c r="L745" s="34">
        <v>1</v>
      </c>
      <c r="M745" s="6">
        <v>46175</v>
      </c>
      <c r="N745" s="6">
        <v>46174</v>
      </c>
      <c r="O745" s="19">
        <f>TAB_OFICINAS[[#This Row],[Data Retorno Produção]]-TAB_OFICINAS[[#This Row],[Data Prometida  Entrega]]</f>
        <v>-1</v>
      </c>
      <c r="P745" s="40" t="str">
        <f>IF(TAB_OFICINAS[[#This Row],[Dias Para Entrega]]&lt;=0,"Em dia","Dia de Atrasado")</f>
        <v>Em dia</v>
      </c>
      <c r="Q745" s="10">
        <f>IFERROR(TAB_OFICINAS[[#This Row],[Qtd pçs Enviadas]]-TAB_OFICINAS[[#This Row],[Qtd pçs Retornadas ]]," ")</f>
        <v>0</v>
      </c>
      <c r="R745" s="10">
        <v>0</v>
      </c>
      <c r="S745" s="5">
        <v>861</v>
      </c>
      <c r="T745" s="5">
        <v>17270</v>
      </c>
      <c r="U745" s="1">
        <v>17</v>
      </c>
      <c r="V745" s="3">
        <f>IFERROR(TAB_OFICINAS[[#This Row],[Valor Unit]]*TAB_OFICINAS[[#This Row],[Qtd pçs Enviadas]]," ")</f>
        <v>17</v>
      </c>
      <c r="W745" s="17">
        <v>46182</v>
      </c>
      <c r="X745" s="5" t="s">
        <v>6251</v>
      </c>
      <c r="Y745" s="69" t="s">
        <v>22815</v>
      </c>
      <c r="Z74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6" spans="3:26" hidden="1">
      <c r="C746" s="28" t="s">
        <v>15</v>
      </c>
      <c r="D746" s="5">
        <v>5550</v>
      </c>
      <c r="E746" s="5">
        <v>23414</v>
      </c>
      <c r="F746" s="28" t="str">
        <f>IFERROR(VLOOKUP(TAB_OFICINAS[[#This Row],[Cliente]],LISTA_DE_CLIENTES[[Código]:[Nome Fantasia]],2,FALSE),"")</f>
        <v>BRUNA COVELO PINTO</v>
      </c>
      <c r="G746" s="2" t="str">
        <f>IFERROR(VLOOKUP(TAB_OFICINAS[[#This Row],[Cliente]],LISTA_DE_CLIENTES[[Código]:[Nome Fantasia]],3,FALSE),"")</f>
        <v>BRUNA COVELO PINTO</v>
      </c>
      <c r="H746" s="63">
        <v>2111019886</v>
      </c>
      <c r="I746" s="28" t="s">
        <v>22928</v>
      </c>
      <c r="J746" s="91">
        <v>1</v>
      </c>
      <c r="K746" s="86">
        <v>46174</v>
      </c>
      <c r="L746" s="34">
        <v>1</v>
      </c>
      <c r="M746" s="6">
        <v>46181</v>
      </c>
      <c r="N746" s="6">
        <v>46181</v>
      </c>
      <c r="O746" s="19">
        <f>TAB_OFICINAS[[#This Row],[Data Retorno Produção]]-TAB_OFICINAS[[#This Row],[Data Prometida  Entrega]]</f>
        <v>0</v>
      </c>
      <c r="P746" s="40" t="str">
        <f>IF(TAB_OFICINAS[[#This Row],[Dias Para Entrega]]&lt;=0,"Em dia","Dia de Atrasado")</f>
        <v>Em dia</v>
      </c>
      <c r="Q746" s="10">
        <f>IFERROR(TAB_OFICINAS[[#This Row],[Qtd pçs Enviadas]]-TAB_OFICINAS[[#This Row],[Qtd pçs Retornadas ]]," ")</f>
        <v>0</v>
      </c>
      <c r="R746" s="10">
        <v>0</v>
      </c>
      <c r="S746" s="5">
        <v>865</v>
      </c>
      <c r="T746" s="5">
        <v>17280</v>
      </c>
      <c r="U746" s="1">
        <v>12</v>
      </c>
      <c r="V746" s="3">
        <f>IFERROR(TAB_OFICINAS[[#This Row],[Valor Unit]]*TAB_OFICINAS[[#This Row],[Qtd pçs Enviadas]]," ")</f>
        <v>12</v>
      </c>
      <c r="W746" s="17">
        <v>46189</v>
      </c>
      <c r="X746" s="5" t="s">
        <v>6251</v>
      </c>
      <c r="Y746" s="4" t="s">
        <v>23176</v>
      </c>
      <c r="Z74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7" spans="3:26" hidden="1">
      <c r="C747" s="28" t="s">
        <v>15</v>
      </c>
      <c r="D747" s="5">
        <v>5584</v>
      </c>
      <c r="E747" s="5">
        <v>23540</v>
      </c>
      <c r="F747" s="28" t="str">
        <f>IFERROR(VLOOKUP(TAB_OFICINAS[[#This Row],[Cliente]],LISTA_DE_CLIENTES[[Código]:[Nome Fantasia]],2,FALSE),"")</f>
        <v>EMPRESA HOTELEIRA MABU LTDA</v>
      </c>
      <c r="G747" s="28" t="str">
        <f>IFERROR(VLOOKUP(TAB_OFICINAS[[#This Row],[Cliente]],LISTA_DE_CLIENTES[[Código]:[Nome Fantasia]],3,FALSE),"")</f>
        <v>MABU THERMAS GRAND</v>
      </c>
      <c r="H747" s="51" t="s">
        <v>23135</v>
      </c>
      <c r="I747" s="28" t="s">
        <v>23136</v>
      </c>
      <c r="J747" s="95">
        <v>1</v>
      </c>
      <c r="K747" s="86">
        <v>46176</v>
      </c>
      <c r="L747" s="32">
        <v>1</v>
      </c>
      <c r="M747" s="6">
        <v>46176</v>
      </c>
      <c r="N747" s="6">
        <v>46176</v>
      </c>
      <c r="O747" s="19">
        <f>TAB_OFICINAS[[#This Row],[Data Retorno Produção]]-TAB_OFICINAS[[#This Row],[Data Prometida  Entrega]]</f>
        <v>0</v>
      </c>
      <c r="P747" s="40" t="str">
        <f>IF(TAB_OFICINAS[[#This Row],[Dias Para Entrega]]&lt;=0,"Em dia","Dia de Atrasado")</f>
        <v>Em dia</v>
      </c>
      <c r="Q747" s="29">
        <f>IFERROR(TAB_OFICINAS[[#This Row],[Qtd pçs Enviadas]]-TAB_OFICINAS[[#This Row],[Qtd pçs Retornadas ]]," ")</f>
        <v>0</v>
      </c>
      <c r="R747" s="29">
        <v>0</v>
      </c>
      <c r="S747" s="28">
        <v>870</v>
      </c>
      <c r="T747" s="28">
        <v>17273</v>
      </c>
      <c r="U747" s="30">
        <v>18</v>
      </c>
      <c r="V747" s="31">
        <f>IFERROR(TAB_OFICINAS[[#This Row],[Valor Unit]]*TAB_OFICINAS[[#This Row],[Qtd pçs Enviadas]]," ")</f>
        <v>18</v>
      </c>
      <c r="W747" s="70">
        <v>46185</v>
      </c>
      <c r="X747" s="28" t="s">
        <v>6251</v>
      </c>
      <c r="Y747" s="69" t="s">
        <v>23137</v>
      </c>
      <c r="Z74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8" spans="3:26" ht="85.5" hidden="1">
      <c r="C748" s="28" t="s">
        <v>15</v>
      </c>
      <c r="D748" s="5">
        <v>5550</v>
      </c>
      <c r="E748" s="5">
        <v>23414</v>
      </c>
      <c r="F748" s="28" t="str">
        <f>IFERROR(VLOOKUP(TAB_OFICINAS[[#This Row],[Cliente]],LISTA_DE_CLIENTES[[Código]:[Nome Fantasia]],2,FALSE),"")</f>
        <v>BRUNA COVELO PINTO</v>
      </c>
      <c r="G748" s="2" t="str">
        <f>IFERROR(VLOOKUP(TAB_OFICINAS[[#This Row],[Cliente]],LISTA_DE_CLIENTES[[Código]:[Nome Fantasia]],3,FALSE),"")</f>
        <v>BRUNA COVELO PINTO</v>
      </c>
      <c r="H748" s="63">
        <v>2120029889</v>
      </c>
      <c r="I748" s="28" t="s">
        <v>22946</v>
      </c>
      <c r="J748" s="91">
        <v>1</v>
      </c>
      <c r="K748" s="86">
        <v>46176</v>
      </c>
      <c r="L748" s="34">
        <v>1</v>
      </c>
      <c r="M748" s="6">
        <v>46182</v>
      </c>
      <c r="N748" s="6">
        <v>46182</v>
      </c>
      <c r="O748" s="19">
        <f>TAB_OFICINAS[[#This Row],[Data Retorno Produção]]-TAB_OFICINAS[[#This Row],[Data Prometida  Entrega]]</f>
        <v>0</v>
      </c>
      <c r="P748" s="40" t="str">
        <f>IF(TAB_OFICINAS[[#This Row],[Dias Para Entrega]]&lt;=0,"Em dia","Dia de Atrasado")</f>
        <v>Em dia</v>
      </c>
      <c r="Q748" s="10">
        <f>IFERROR(TAB_OFICINAS[[#This Row],[Qtd pçs Enviadas]]-TAB_OFICINAS[[#This Row],[Qtd pçs Retornadas ]]," ")</f>
        <v>0</v>
      </c>
      <c r="R748" s="10">
        <v>0</v>
      </c>
      <c r="S748" s="5">
        <v>870</v>
      </c>
      <c r="T748" s="5">
        <v>17279</v>
      </c>
      <c r="U748" s="1">
        <v>120</v>
      </c>
      <c r="V748" s="3">
        <f>IFERROR(TAB_OFICINAS[[#This Row],[Valor Unit]]*TAB_OFICINAS[[#This Row],[Qtd pçs Enviadas]]," ")</f>
        <v>120</v>
      </c>
      <c r="W748" s="17">
        <v>46189</v>
      </c>
      <c r="X748" s="5" t="s">
        <v>6251</v>
      </c>
      <c r="Y748" s="4" t="s">
        <v>23138</v>
      </c>
      <c r="Z74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49" spans="3:26" ht="28.5" hidden="1">
      <c r="C749" s="28" t="s">
        <v>15</v>
      </c>
      <c r="D749" s="5">
        <v>2455</v>
      </c>
      <c r="E749" s="5">
        <v>23574</v>
      </c>
      <c r="F749" s="28" t="str">
        <f>IFERROR(VLOOKUP(TAB_OFICINAS[[#This Row],[Cliente]],LISTA_DE_CLIENTES[[Código]:[Nome Fantasia]],2,FALSE),"")</f>
        <v>JOSILEIDE SOUZA BASTOS COSTA</v>
      </c>
      <c r="G749" s="2" t="str">
        <f>IFERROR(VLOOKUP(TAB_OFICINAS[[#This Row],[Cliente]],LISTA_DE_CLIENTES[[Código]:[Nome Fantasia]],3,FALSE),"")</f>
        <v>JOSILEIDE SOUZA BAST</v>
      </c>
      <c r="H749" s="63">
        <v>3161099904</v>
      </c>
      <c r="I749" s="28" t="s">
        <v>22969</v>
      </c>
      <c r="J749" s="91">
        <v>1</v>
      </c>
      <c r="K749" s="86">
        <v>46181</v>
      </c>
      <c r="L749" s="34">
        <v>1</v>
      </c>
      <c r="M749" s="6">
        <v>46183</v>
      </c>
      <c r="N749" s="6">
        <v>46182</v>
      </c>
      <c r="O749" s="19">
        <f>TAB_OFICINAS[[#This Row],[Data Retorno Produção]]-TAB_OFICINAS[[#This Row],[Data Prometida  Entrega]]</f>
        <v>-1</v>
      </c>
      <c r="P749" s="40" t="str">
        <f>IF(TAB_OFICINAS[[#This Row],[Dias Para Entrega]]&lt;=0,"Em dia","Dia de Atrasado")</f>
        <v>Em dia</v>
      </c>
      <c r="Q749" s="10">
        <f>IFERROR(TAB_OFICINAS[[#This Row],[Qtd pçs Enviadas]]-TAB_OFICINAS[[#This Row],[Qtd pçs Retornadas ]]," ")</f>
        <v>0</v>
      </c>
      <c r="R749" s="10">
        <v>0</v>
      </c>
      <c r="S749" s="5">
        <v>3254</v>
      </c>
      <c r="T749" s="5">
        <v>17294</v>
      </c>
      <c r="U749" s="1">
        <v>12</v>
      </c>
      <c r="V749" s="3">
        <f>IFERROR(TAB_OFICINAS[[#This Row],[Valor Unit]]*TAB_OFICINAS[[#This Row],[Qtd pçs Enviadas]]," ")</f>
        <v>12</v>
      </c>
      <c r="W749" s="17">
        <v>46191</v>
      </c>
      <c r="X749" s="5" t="s">
        <v>6251</v>
      </c>
      <c r="Y749" s="4" t="s">
        <v>23184</v>
      </c>
      <c r="Z74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0" spans="3:26" hidden="1">
      <c r="C750" s="28" t="s">
        <v>15</v>
      </c>
      <c r="D750" s="5">
        <v>5600</v>
      </c>
      <c r="E750" s="5">
        <v>23668</v>
      </c>
      <c r="F750" s="28" t="str">
        <f>IFERROR(VLOOKUP(TAB_OFICINAS[[#This Row],[Cliente]],LISTA_DE_CLIENTES[[Código]:[Nome Fantasia]],2,FALSE),"")</f>
        <v>MAGNA RUBIA DAMBRÓZ MORO</v>
      </c>
      <c r="G750" s="2" t="str">
        <f>IFERROR(VLOOKUP(TAB_OFICINAS[[#This Row],[Cliente]],LISTA_DE_CLIENTES[[Código]:[Nome Fantasia]],3,FALSE),"")</f>
        <v>MAGNA RUBIA DAMBRÓZ</v>
      </c>
      <c r="H750" s="63">
        <v>3161094502</v>
      </c>
      <c r="I750" s="28" t="s">
        <v>21975</v>
      </c>
      <c r="J750" s="91">
        <v>1</v>
      </c>
      <c r="K750" s="86">
        <v>46181</v>
      </c>
      <c r="L750" s="34">
        <v>1</v>
      </c>
      <c r="M750" s="6">
        <v>46184</v>
      </c>
      <c r="N750" s="6">
        <v>46184</v>
      </c>
      <c r="O750" s="19">
        <f>TAB_OFICINAS[[#This Row],[Data Retorno Produção]]-TAB_OFICINAS[[#This Row],[Data Prometida  Entrega]]</f>
        <v>0</v>
      </c>
      <c r="P750" s="40" t="str">
        <f>IF(TAB_OFICINAS[[#This Row],[Dias Para Entrega]]&lt;=0,"Em dia","Dia de Atrasado")</f>
        <v>Em dia</v>
      </c>
      <c r="Q750" s="10">
        <f>IFERROR(TAB_OFICINAS[[#This Row],[Qtd pçs Enviadas]]-TAB_OFICINAS[[#This Row],[Qtd pçs Retornadas ]]," ")</f>
        <v>0</v>
      </c>
      <c r="R750" s="10">
        <v>0</v>
      </c>
      <c r="S750" s="5">
        <v>3254</v>
      </c>
      <c r="T750" s="5">
        <v>17294</v>
      </c>
      <c r="U750" s="1">
        <v>16</v>
      </c>
      <c r="V750" s="3">
        <f>IFERROR(TAB_OFICINAS[[#This Row],[Valor Unit]]*TAB_OFICINAS[[#This Row],[Qtd pçs Enviadas]]," ")</f>
        <v>16</v>
      </c>
      <c r="W750" s="17">
        <v>46191</v>
      </c>
      <c r="X750" s="5" t="s">
        <v>6251</v>
      </c>
      <c r="Y750" s="4" t="s">
        <v>23182</v>
      </c>
      <c r="Z75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1" spans="3:26" hidden="1">
      <c r="C751" s="28" t="s">
        <v>15</v>
      </c>
      <c r="D751" s="5">
        <v>5614</v>
      </c>
      <c r="E751" s="5">
        <v>23733</v>
      </c>
      <c r="F751" s="28" t="s">
        <v>23187</v>
      </c>
      <c r="G751" s="28" t="s">
        <v>23187</v>
      </c>
      <c r="H751" s="63">
        <v>3161094502</v>
      </c>
      <c r="I751" s="28" t="s">
        <v>21975</v>
      </c>
      <c r="J751" s="91">
        <v>1</v>
      </c>
      <c r="K751" s="86">
        <v>46181</v>
      </c>
      <c r="L751" s="34">
        <v>1</v>
      </c>
      <c r="M751" s="6">
        <v>46184</v>
      </c>
      <c r="N751" s="6">
        <v>46184</v>
      </c>
      <c r="O751" s="19">
        <f>TAB_OFICINAS[[#This Row],[Data Retorno Produção]]-TAB_OFICINAS[[#This Row],[Data Prometida  Entrega]]</f>
        <v>0</v>
      </c>
      <c r="P751" s="40" t="str">
        <f>IF(TAB_OFICINAS[[#This Row],[Dias Para Entrega]]&lt;=0,"Em dia","Dia de Atrasado")</f>
        <v>Em dia</v>
      </c>
      <c r="Q751" s="10">
        <f>IFERROR(TAB_OFICINAS[[#This Row],[Qtd pçs Enviadas]]-TAB_OFICINAS[[#This Row],[Qtd pçs Retornadas ]]," ")</f>
        <v>0</v>
      </c>
      <c r="R751" s="10">
        <v>0</v>
      </c>
      <c r="S751" s="5">
        <v>3254</v>
      </c>
      <c r="T751" s="5">
        <v>17294</v>
      </c>
      <c r="U751" s="1">
        <v>16</v>
      </c>
      <c r="V751" s="3">
        <f>IFERROR(TAB_OFICINAS[[#This Row],[Valor Unit]]*TAB_OFICINAS[[#This Row],[Qtd pçs Enviadas]]," ")</f>
        <v>16</v>
      </c>
      <c r="W751" s="17">
        <v>46191</v>
      </c>
      <c r="X751" s="5" t="s">
        <v>6251</v>
      </c>
      <c r="Y751" s="76" t="s">
        <v>23182</v>
      </c>
      <c r="Z75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2" spans="3:26" ht="28.5" hidden="1">
      <c r="C752" s="28" t="s">
        <v>15</v>
      </c>
      <c r="D752" s="5">
        <v>964</v>
      </c>
      <c r="E752" s="5">
        <v>23785</v>
      </c>
      <c r="F752" s="28" t="str">
        <f>IFERROR(VLOOKUP(TAB_OFICINAS[[#This Row],[Cliente]],LISTA_DE_CLIENTES[[Código]:[Nome Fantasia]],2,FALSE),"")</f>
        <v>TRU COMMERCE IMP. EXP. E COM. DE ROUPA EIRELI</v>
      </c>
      <c r="G752" s="28" t="s">
        <v>8839</v>
      </c>
      <c r="H752" s="51">
        <v>3301071147</v>
      </c>
      <c r="I752" s="28" t="s">
        <v>23423</v>
      </c>
      <c r="J752" s="91">
        <v>1</v>
      </c>
      <c r="K752" s="88">
        <v>46195</v>
      </c>
      <c r="L752" s="9">
        <v>1</v>
      </c>
      <c r="M752" s="6">
        <v>46197</v>
      </c>
      <c r="N752" s="6">
        <v>46197</v>
      </c>
      <c r="O752" s="23">
        <f>TAB_OFICINAS[[#This Row],[Data Retorno Produção]]-TAB_OFICINAS[[#This Row],[Data Prometida  Entrega]]</f>
        <v>0</v>
      </c>
      <c r="P752" s="98" t="str">
        <f>IF(TAB_OFICINAS[[#This Row],[Dias Para Entrega]]&lt;=0,"Em dia","Dia de Atrasado")</f>
        <v>Em dia</v>
      </c>
      <c r="Q752" s="24">
        <f>IFERROR(TAB_OFICINAS[[#This Row],[Qtd pçs Enviadas]]-TAB_OFICINAS[[#This Row],[Qtd pçs Retornadas ]],"N/D ")</f>
        <v>0</v>
      </c>
      <c r="R752" s="24"/>
      <c r="S752" s="5">
        <v>3282</v>
      </c>
      <c r="T752" s="5">
        <v>17357</v>
      </c>
      <c r="U752" s="11">
        <v>18</v>
      </c>
      <c r="V752" s="25">
        <f>IFERROR(TAB_OFICINAS[[#This Row],[Valor Unit]]*TAB_OFICINAS[[#This Row],[Qtd pçs Enviadas]]," ")</f>
        <v>18</v>
      </c>
      <c r="W752" s="26">
        <v>46205</v>
      </c>
      <c r="X752" s="17" t="s">
        <v>6251</v>
      </c>
      <c r="Y752" s="27" t="s">
        <v>23427</v>
      </c>
      <c r="Z7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3" spans="3:26" ht="28.5" hidden="1">
      <c r="C753" s="28" t="s">
        <v>15</v>
      </c>
      <c r="D753" s="5">
        <v>964</v>
      </c>
      <c r="E753" s="5">
        <v>23786</v>
      </c>
      <c r="F753" s="28" t="str">
        <f>IFERROR(VLOOKUP(TAB_OFICINAS[[#This Row],[Cliente]],LISTA_DE_CLIENTES[[Código]:[Nome Fantasia]],2,FALSE),"")</f>
        <v>TRU COMMERCE IMP. EXP. E COM. DE ROUPA EIRELI</v>
      </c>
      <c r="G753" s="28" t="s">
        <v>8839</v>
      </c>
      <c r="H753" s="51">
        <v>3301071146</v>
      </c>
      <c r="I753" s="28" t="s">
        <v>23424</v>
      </c>
      <c r="J753" s="91">
        <v>1</v>
      </c>
      <c r="K753" s="88">
        <v>46195</v>
      </c>
      <c r="L753" s="9">
        <v>1</v>
      </c>
      <c r="M753" s="6">
        <v>46197</v>
      </c>
      <c r="N753" s="6">
        <v>46197</v>
      </c>
      <c r="O753" s="23">
        <f>TAB_OFICINAS[[#This Row],[Data Retorno Produção]]-TAB_OFICINAS[[#This Row],[Data Prometida  Entrega]]</f>
        <v>0</v>
      </c>
      <c r="P753" s="98" t="str">
        <f>IF(TAB_OFICINAS[[#This Row],[Dias Para Entrega]]&lt;=0,"Em dia","Dia de Atrasado")</f>
        <v>Em dia</v>
      </c>
      <c r="Q753" s="24">
        <f>IFERROR(TAB_OFICINAS[[#This Row],[Qtd pçs Enviadas]]-TAB_OFICINAS[[#This Row],[Qtd pçs Retornadas ]],"N/D ")</f>
        <v>0</v>
      </c>
      <c r="R753" s="24"/>
      <c r="S753" s="5">
        <v>3282</v>
      </c>
      <c r="T753" s="5">
        <v>17357</v>
      </c>
      <c r="U753" s="11">
        <v>18</v>
      </c>
      <c r="V753" s="25">
        <f>IFERROR(TAB_OFICINAS[[#This Row],[Valor Unit]]*TAB_OFICINAS[[#This Row],[Qtd pçs Enviadas]]," ")</f>
        <v>18</v>
      </c>
      <c r="W753" s="26">
        <v>46205</v>
      </c>
      <c r="X753" s="17" t="s">
        <v>6251</v>
      </c>
      <c r="Y753" s="27" t="s">
        <v>23427</v>
      </c>
      <c r="Z7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4" spans="3:26" ht="28.5" hidden="1">
      <c r="C754" s="28" t="s">
        <v>15</v>
      </c>
      <c r="D754" s="5">
        <v>964</v>
      </c>
      <c r="E754" s="5">
        <v>23787</v>
      </c>
      <c r="F754" s="28" t="str">
        <f>IFERROR(VLOOKUP(TAB_OFICINAS[[#This Row],[Cliente]],LISTA_DE_CLIENTES[[Código]:[Nome Fantasia]],2,FALSE),"")</f>
        <v>TRU COMMERCE IMP. EXP. E COM. DE ROUPA EIRELI</v>
      </c>
      <c r="G754" s="28" t="s">
        <v>8839</v>
      </c>
      <c r="H754" s="51" t="s">
        <v>23962</v>
      </c>
      <c r="I754" s="28" t="s">
        <v>23426</v>
      </c>
      <c r="J754" s="91">
        <v>1</v>
      </c>
      <c r="K754" s="88">
        <v>46195</v>
      </c>
      <c r="L754" s="9">
        <v>1</v>
      </c>
      <c r="M754" s="6">
        <v>46197</v>
      </c>
      <c r="N754" s="6">
        <v>46197</v>
      </c>
      <c r="O754" s="23">
        <f>TAB_OFICINAS[[#This Row],[Data Retorno Produção]]-TAB_OFICINAS[[#This Row],[Data Prometida  Entrega]]</f>
        <v>0</v>
      </c>
      <c r="P754" s="98" t="str">
        <f>IF(TAB_OFICINAS[[#This Row],[Dias Para Entrega]]&lt;=0,"Em dia","Dia de Atrasado")</f>
        <v>Em dia</v>
      </c>
      <c r="Q754" s="24">
        <f>IFERROR(TAB_OFICINAS[[#This Row],[Qtd pçs Enviadas]]-TAB_OFICINAS[[#This Row],[Qtd pçs Retornadas ]],"N/D ")</f>
        <v>0</v>
      </c>
      <c r="R754" s="24"/>
      <c r="S754" s="5">
        <v>3282</v>
      </c>
      <c r="T754" s="5">
        <v>17357</v>
      </c>
      <c r="U754" s="11">
        <v>12</v>
      </c>
      <c r="V754" s="25">
        <f>IFERROR(TAB_OFICINAS[[#This Row],[Valor Unit]]*TAB_OFICINAS[[#This Row],[Qtd pçs Enviadas]]," ")</f>
        <v>12</v>
      </c>
      <c r="W754" s="26">
        <v>46205</v>
      </c>
      <c r="X754" s="17" t="s">
        <v>6251</v>
      </c>
      <c r="Y754" s="27" t="s">
        <v>23427</v>
      </c>
      <c r="Z7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5" spans="3:26" ht="28.5" hidden="1">
      <c r="C755" s="28" t="s">
        <v>15</v>
      </c>
      <c r="D755" s="5">
        <v>964</v>
      </c>
      <c r="E755" s="5">
        <v>23788</v>
      </c>
      <c r="F755" s="28" t="str">
        <f>IFERROR(VLOOKUP(TAB_OFICINAS[[#This Row],[Cliente]],LISTA_DE_CLIENTES[[Código]:[Nome Fantasia]],2,FALSE),"")</f>
        <v>TRU COMMERCE IMP. EXP. E COM. DE ROUPA EIRELI</v>
      </c>
      <c r="G755" s="28" t="s">
        <v>8839</v>
      </c>
      <c r="H755" s="51" t="s">
        <v>23962</v>
      </c>
      <c r="I755" s="28" t="s">
        <v>23425</v>
      </c>
      <c r="J755" s="91">
        <v>1</v>
      </c>
      <c r="K755" s="88">
        <v>46195</v>
      </c>
      <c r="L755" s="9">
        <v>1</v>
      </c>
      <c r="M755" s="6">
        <v>46197</v>
      </c>
      <c r="N755" s="6">
        <v>46197</v>
      </c>
      <c r="O755" s="23">
        <f>TAB_OFICINAS[[#This Row],[Data Retorno Produção]]-TAB_OFICINAS[[#This Row],[Data Prometida  Entrega]]</f>
        <v>0</v>
      </c>
      <c r="P755" s="98" t="str">
        <f>IF(TAB_OFICINAS[[#This Row],[Dias Para Entrega]]&lt;=0,"Em dia","Dia de Atrasado")</f>
        <v>Em dia</v>
      </c>
      <c r="Q755" s="24">
        <f>IFERROR(TAB_OFICINAS[[#This Row],[Qtd pçs Enviadas]]-TAB_OFICINAS[[#This Row],[Qtd pçs Retornadas ]],"N/D ")</f>
        <v>0</v>
      </c>
      <c r="R755" s="24"/>
      <c r="S755" s="5">
        <v>3282</v>
      </c>
      <c r="T755" s="5">
        <v>17357</v>
      </c>
      <c r="U755" s="11">
        <v>12</v>
      </c>
      <c r="V755" s="25">
        <f>IFERROR(TAB_OFICINAS[[#This Row],[Valor Unit]]*TAB_OFICINAS[[#This Row],[Qtd pçs Enviadas]]," ")</f>
        <v>12</v>
      </c>
      <c r="W755" s="26">
        <v>46205</v>
      </c>
      <c r="X755" s="17" t="s">
        <v>6251</v>
      </c>
      <c r="Y755" s="27" t="s">
        <v>23427</v>
      </c>
      <c r="Z7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6" spans="3:26" hidden="1">
      <c r="C756" s="28" t="s">
        <v>15</v>
      </c>
      <c r="D756" s="5">
        <v>5378</v>
      </c>
      <c r="E756" s="5">
        <v>23524</v>
      </c>
      <c r="F756" s="28" t="str">
        <f>IFERROR(VLOOKUP(TAB_OFICINAS[[#This Row],[Cliente]],LISTA_DE_CLIENTES[[Código]:[Nome Fantasia]],2,FALSE),"")</f>
        <v>ZIREH IMOVEIS E PARTICIPACOES LTDA</v>
      </c>
      <c r="G756" s="2" t="str">
        <f>IFERROR(VLOOKUP(TAB_OFICINAS[[#This Row],[Cliente]],LISTA_DE_CLIENTES[[Código]:[Nome Fantasia]],3,FALSE),"")</f>
        <v>ZIREH IMOVEIS</v>
      </c>
      <c r="H756" s="51">
        <v>3301099928</v>
      </c>
      <c r="I756" s="28" t="str">
        <f>IFERROR(VLOOKUP(TAB_OFICINAS[[#This Row],[Codigo Produto ]],_000___PEDIDOS_DE_CLIENTES[[Data.Column2]:[Descrição Produto]],2,FALSE)," ")</f>
        <v xml:space="preserve"> </v>
      </c>
      <c r="J756" s="91">
        <v>1</v>
      </c>
      <c r="K756" s="88">
        <v>46184</v>
      </c>
      <c r="L756" s="9">
        <v>1</v>
      </c>
      <c r="M756" s="6">
        <v>46190</v>
      </c>
      <c r="N756" s="6">
        <v>46190</v>
      </c>
      <c r="O756" s="23">
        <f>TAB_OFICINAS[[#This Row],[Data Retorno Produção]]-TAB_OFICINAS[[#This Row],[Data Prometida  Entrega]]</f>
        <v>0</v>
      </c>
      <c r="P756" s="98" t="str">
        <f>IF(TAB_OFICINAS[[#This Row],[Dias Para Entrega]]&lt;=0,"Em dia","Dia de Atrasado")</f>
        <v>Em dia</v>
      </c>
      <c r="Q756" s="24">
        <f>IFERROR(TAB_OFICINAS[[#This Row],[Qtd pçs Enviadas]]-TAB_OFICINAS[[#This Row],[Qtd pçs Retornadas ]],"N/D ")</f>
        <v>0</v>
      </c>
      <c r="R756" s="24"/>
      <c r="S756" s="5">
        <v>880</v>
      </c>
      <c r="T756" s="5">
        <v>17349</v>
      </c>
      <c r="U756" s="11">
        <v>12</v>
      </c>
      <c r="V756" s="25">
        <f>IFERROR(TAB_OFICINAS[[#This Row],[Valor Unit]]*TAB_OFICINAS[[#This Row],[Qtd pçs Enviadas]]," ")</f>
        <v>12</v>
      </c>
      <c r="W756" s="26">
        <v>46203</v>
      </c>
      <c r="X756" s="17" t="s">
        <v>6251</v>
      </c>
      <c r="Y756" s="27" t="s">
        <v>23417</v>
      </c>
      <c r="Z7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7" spans="3:26" hidden="1">
      <c r="C757" s="28" t="s">
        <v>15</v>
      </c>
      <c r="D757" s="5">
        <v>5378</v>
      </c>
      <c r="E757" s="5">
        <v>23524</v>
      </c>
      <c r="F757" s="28" t="str">
        <f>IFERROR(VLOOKUP(TAB_OFICINAS[[#This Row],[Cliente]],LISTA_DE_CLIENTES[[Código]:[Nome Fantasia]],2,FALSE),"")</f>
        <v>ZIREH IMOVEIS E PARTICIPACOES LTDA</v>
      </c>
      <c r="G757" s="2" t="str">
        <f>IFERROR(VLOOKUP(TAB_OFICINAS[[#This Row],[Cliente]],LISTA_DE_CLIENTES[[Código]:[Nome Fantasia]],3,FALSE),"")</f>
        <v>ZIREH IMOVEIS</v>
      </c>
      <c r="H757" s="51" t="s">
        <v>21342</v>
      </c>
      <c r="I757" s="28" t="s">
        <v>23418</v>
      </c>
      <c r="J757" s="91">
        <v>1</v>
      </c>
      <c r="K757" s="88">
        <v>46184</v>
      </c>
      <c r="L757" s="9">
        <v>1</v>
      </c>
      <c r="M757" s="6">
        <v>46190</v>
      </c>
      <c r="N757" s="6">
        <v>46190</v>
      </c>
      <c r="O757" s="23">
        <f>TAB_OFICINAS[[#This Row],[Data Retorno Produção]]-TAB_OFICINAS[[#This Row],[Data Prometida  Entrega]]</f>
        <v>0</v>
      </c>
      <c r="P757" s="98" t="str">
        <f>IF(TAB_OFICINAS[[#This Row],[Dias Para Entrega]]&lt;=0,"Em dia","Dia de Atrasado")</f>
        <v>Em dia</v>
      </c>
      <c r="Q757" s="24">
        <f>IFERROR(TAB_OFICINAS[[#This Row],[Qtd pçs Enviadas]]-TAB_OFICINAS[[#This Row],[Qtd pçs Retornadas ]],"N/D ")</f>
        <v>0</v>
      </c>
      <c r="R757" s="24"/>
      <c r="S757" s="5">
        <v>880</v>
      </c>
      <c r="T757" s="5">
        <v>17349</v>
      </c>
      <c r="U757" s="11">
        <v>12</v>
      </c>
      <c r="V757" s="25">
        <f>IFERROR(TAB_OFICINAS[[#This Row],[Valor Unit]]*TAB_OFICINAS[[#This Row],[Qtd pçs Enviadas]]," ")</f>
        <v>12</v>
      </c>
      <c r="W757" s="26">
        <v>46203</v>
      </c>
      <c r="X757" s="17" t="s">
        <v>6251</v>
      </c>
      <c r="Y757" s="27" t="s">
        <v>23419</v>
      </c>
      <c r="Z7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8" spans="3:26" hidden="1">
      <c r="C758" s="28" t="s">
        <v>15</v>
      </c>
      <c r="D758" s="5">
        <v>2770</v>
      </c>
      <c r="E758" s="5">
        <v>23709</v>
      </c>
      <c r="F758" s="28" t="str">
        <f>IFERROR(VLOOKUP(TAB_OFICINAS[[#This Row],[Cliente]],LISTA_DE_CLIENTES[[Código]:[Nome Fantasia]],2,FALSE),"")</f>
        <v>SNC DO BRASIL COMERCIO DE EQUIPAMENTOS EIRELI</v>
      </c>
      <c r="G758" s="2" t="str">
        <f>IFERROR(VLOOKUP(TAB_OFICINAS[[#This Row],[Cliente]],LISTA_DE_CLIENTES[[Código]:[Nome Fantasia]],3,FALSE),"")</f>
        <v>TOTAL BABY STORE</v>
      </c>
      <c r="H758" s="51" t="s">
        <v>23962</v>
      </c>
      <c r="I758" s="28" t="s">
        <v>23429</v>
      </c>
      <c r="J758" s="91">
        <v>1</v>
      </c>
      <c r="K758" s="88">
        <v>46191</v>
      </c>
      <c r="L758" s="9">
        <v>1</v>
      </c>
      <c r="M758" s="6">
        <v>46192</v>
      </c>
      <c r="N758" s="6">
        <v>46192</v>
      </c>
      <c r="O758" s="23">
        <f>TAB_OFICINAS[[#This Row],[Data Retorno Produção]]-TAB_OFICINAS[[#This Row],[Data Prometida  Entrega]]</f>
        <v>0</v>
      </c>
      <c r="P758" s="98" t="str">
        <f>IF(TAB_OFICINAS[[#This Row],[Dias Para Entrega]]&lt;=0,"Em dia","Dia de Atrasado")</f>
        <v>Em dia</v>
      </c>
      <c r="Q758" s="24">
        <f>IFERROR(TAB_OFICINAS[[#This Row],[Qtd pçs Enviadas]]-TAB_OFICINAS[[#This Row],[Qtd pçs Retornadas ]],"N/D ")</f>
        <v>0</v>
      </c>
      <c r="R758" s="24">
        <v>0</v>
      </c>
      <c r="S758" s="5">
        <v>3274</v>
      </c>
      <c r="T758" s="5">
        <v>17356</v>
      </c>
      <c r="U758" s="11">
        <v>8</v>
      </c>
      <c r="V758" s="25">
        <f>IFERROR(TAB_OFICINAS[[#This Row],[Valor Unit]]*TAB_OFICINAS[[#This Row],[Qtd pçs Enviadas]]," ")</f>
        <v>8</v>
      </c>
      <c r="W758" s="26">
        <v>46205</v>
      </c>
      <c r="X758" s="17" t="s">
        <v>6251</v>
      </c>
      <c r="Y758" s="27" t="s">
        <v>23433</v>
      </c>
      <c r="Z7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59" spans="3:26" hidden="1">
      <c r="C759" s="28" t="s">
        <v>15</v>
      </c>
      <c r="D759" s="5">
        <v>2770</v>
      </c>
      <c r="E759" s="5">
        <v>23709</v>
      </c>
      <c r="F759" s="28" t="str">
        <f>IFERROR(VLOOKUP(TAB_OFICINAS[[#This Row],[Cliente]],LISTA_DE_CLIENTES[[Código]:[Nome Fantasia]],2,FALSE),"")</f>
        <v>SNC DO BRASIL COMERCIO DE EQUIPAMENTOS EIRELI</v>
      </c>
      <c r="G759" s="2" t="str">
        <f>IFERROR(VLOOKUP(TAB_OFICINAS[[#This Row],[Cliente]],LISTA_DE_CLIENTES[[Código]:[Nome Fantasia]],3,FALSE),"")</f>
        <v>TOTAL BABY STORE</v>
      </c>
      <c r="H759" s="51" t="s">
        <v>23962</v>
      </c>
      <c r="I759" s="28" t="s">
        <v>23430</v>
      </c>
      <c r="J759" s="91">
        <v>1</v>
      </c>
      <c r="K759" s="88">
        <v>46191</v>
      </c>
      <c r="L759" s="9">
        <v>1</v>
      </c>
      <c r="M759" s="6">
        <v>46192</v>
      </c>
      <c r="N759" s="6">
        <v>46192</v>
      </c>
      <c r="O759" s="23">
        <f>TAB_OFICINAS[[#This Row],[Data Retorno Produção]]-TAB_OFICINAS[[#This Row],[Data Prometida  Entrega]]</f>
        <v>0</v>
      </c>
      <c r="P759" s="98" t="str">
        <f>IF(TAB_OFICINAS[[#This Row],[Dias Para Entrega]]&lt;=0,"Em dia","Dia de Atrasado")</f>
        <v>Em dia</v>
      </c>
      <c r="Q759" s="24">
        <f>IFERROR(TAB_OFICINAS[[#This Row],[Qtd pçs Enviadas]]-TAB_OFICINAS[[#This Row],[Qtd pçs Retornadas ]],"N/D ")</f>
        <v>0</v>
      </c>
      <c r="R759" s="24">
        <v>0</v>
      </c>
      <c r="S759" s="5">
        <v>3274</v>
      </c>
      <c r="T759" s="5">
        <v>17356</v>
      </c>
      <c r="U759" s="11">
        <v>8</v>
      </c>
      <c r="V759" s="25">
        <f>IFERROR(TAB_OFICINAS[[#This Row],[Valor Unit]]*TAB_OFICINAS[[#This Row],[Qtd pçs Enviadas]]," ")</f>
        <v>8</v>
      </c>
      <c r="W759" s="26">
        <v>46205</v>
      </c>
      <c r="X759" s="17" t="s">
        <v>6251</v>
      </c>
      <c r="Y759" s="27" t="s">
        <v>23434</v>
      </c>
      <c r="Z7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0" spans="3:26" hidden="1">
      <c r="C760" s="28" t="s">
        <v>15</v>
      </c>
      <c r="D760" s="5">
        <v>2770</v>
      </c>
      <c r="E760" s="5">
        <v>23709</v>
      </c>
      <c r="F760" s="28" t="str">
        <f>IFERROR(VLOOKUP(TAB_OFICINAS[[#This Row],[Cliente]],LISTA_DE_CLIENTES[[Código]:[Nome Fantasia]],2,FALSE),"")</f>
        <v>SNC DO BRASIL COMERCIO DE EQUIPAMENTOS EIRELI</v>
      </c>
      <c r="G760" s="2" t="str">
        <f>IFERROR(VLOOKUP(TAB_OFICINAS[[#This Row],[Cliente]],LISTA_DE_CLIENTES[[Código]:[Nome Fantasia]],3,FALSE),"")</f>
        <v>TOTAL BABY STORE</v>
      </c>
      <c r="H760" s="51" t="s">
        <v>23962</v>
      </c>
      <c r="I760" s="28" t="s">
        <v>23431</v>
      </c>
      <c r="J760" s="91">
        <v>1</v>
      </c>
      <c r="K760" s="88">
        <v>46191</v>
      </c>
      <c r="L760" s="9">
        <v>1</v>
      </c>
      <c r="M760" s="6">
        <v>46192</v>
      </c>
      <c r="N760" s="6">
        <v>46192</v>
      </c>
      <c r="O760" s="23">
        <f>TAB_OFICINAS[[#This Row],[Data Retorno Produção]]-TAB_OFICINAS[[#This Row],[Data Prometida  Entrega]]</f>
        <v>0</v>
      </c>
      <c r="P760" s="98" t="str">
        <f>IF(TAB_OFICINAS[[#This Row],[Dias Para Entrega]]&lt;=0,"Em dia","Dia de Atrasado")</f>
        <v>Em dia</v>
      </c>
      <c r="Q760" s="24">
        <f>IFERROR(TAB_OFICINAS[[#This Row],[Qtd pçs Enviadas]]-TAB_OFICINAS[[#This Row],[Qtd pçs Retornadas ]],"N/D ")</f>
        <v>0</v>
      </c>
      <c r="R760" s="24">
        <v>0</v>
      </c>
      <c r="S760" s="5">
        <v>3274</v>
      </c>
      <c r="T760" s="5">
        <v>17356</v>
      </c>
      <c r="U760" s="11">
        <v>15</v>
      </c>
      <c r="V760" s="25">
        <f>IFERROR(TAB_OFICINAS[[#This Row],[Valor Unit]]*TAB_OFICINAS[[#This Row],[Qtd pçs Enviadas]]," ")</f>
        <v>15</v>
      </c>
      <c r="W760" s="26">
        <v>46205</v>
      </c>
      <c r="X760" s="17" t="s">
        <v>6251</v>
      </c>
      <c r="Y760" s="27" t="s">
        <v>23433</v>
      </c>
      <c r="Z7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1" spans="3:26" hidden="1">
      <c r="C761" s="28" t="s">
        <v>15</v>
      </c>
      <c r="D761" s="5">
        <v>2770</v>
      </c>
      <c r="E761" s="5">
        <v>23709</v>
      </c>
      <c r="F761" s="28" t="str">
        <f>IFERROR(VLOOKUP(TAB_OFICINAS[[#This Row],[Cliente]],LISTA_DE_CLIENTES[[Código]:[Nome Fantasia]],2,FALSE),"")</f>
        <v>SNC DO BRASIL COMERCIO DE EQUIPAMENTOS EIRELI</v>
      </c>
      <c r="G761" s="2" t="str">
        <f>IFERROR(VLOOKUP(TAB_OFICINAS[[#This Row],[Cliente]],LISTA_DE_CLIENTES[[Código]:[Nome Fantasia]],3,FALSE),"")</f>
        <v>TOTAL BABY STORE</v>
      </c>
      <c r="H761" s="51" t="s">
        <v>23962</v>
      </c>
      <c r="I761" s="28" t="s">
        <v>23432</v>
      </c>
      <c r="J761" s="91">
        <v>1</v>
      </c>
      <c r="K761" s="88">
        <v>46191</v>
      </c>
      <c r="L761" s="9">
        <v>1</v>
      </c>
      <c r="M761" s="6">
        <v>46192</v>
      </c>
      <c r="N761" s="6">
        <v>46192</v>
      </c>
      <c r="O761" s="23">
        <f>TAB_OFICINAS[[#This Row],[Data Retorno Produção]]-TAB_OFICINAS[[#This Row],[Data Prometida  Entrega]]</f>
        <v>0</v>
      </c>
      <c r="P761" s="98" t="str">
        <f>IF(TAB_OFICINAS[[#This Row],[Dias Para Entrega]]&lt;=0,"Em dia","Dia de Atrasado")</f>
        <v>Em dia</v>
      </c>
      <c r="Q761" s="24">
        <f>IFERROR(TAB_OFICINAS[[#This Row],[Qtd pçs Enviadas]]-TAB_OFICINAS[[#This Row],[Qtd pçs Retornadas ]],"N/D ")</f>
        <v>0</v>
      </c>
      <c r="R761" s="24">
        <v>0</v>
      </c>
      <c r="S761" s="5">
        <v>3274</v>
      </c>
      <c r="T761" s="5">
        <v>17356</v>
      </c>
      <c r="U761" s="11">
        <v>15</v>
      </c>
      <c r="V761" s="25">
        <f>IFERROR(TAB_OFICINAS[[#This Row],[Valor Unit]]*TAB_OFICINAS[[#This Row],[Qtd pçs Enviadas]]," ")</f>
        <v>15</v>
      </c>
      <c r="W761" s="26">
        <v>46205</v>
      </c>
      <c r="X761" s="17" t="s">
        <v>6251</v>
      </c>
      <c r="Y761" s="27" t="s">
        <v>23434</v>
      </c>
      <c r="Z7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2" spans="3:26" hidden="1">
      <c r="C762" s="28" t="s">
        <v>15</v>
      </c>
      <c r="D762" s="5">
        <v>5584</v>
      </c>
      <c r="E762" s="5">
        <v>23807</v>
      </c>
      <c r="F762" s="28" t="str">
        <f>IFERROR(VLOOKUP(TAB_OFICINAS[[#This Row],[Cliente]],LISTA_DE_CLIENTES[[Código]:[Nome Fantasia]],2,FALSE),"")</f>
        <v>EMPRESA HOTELEIRA MABU LTDA</v>
      </c>
      <c r="G762" s="2" t="str">
        <f>IFERROR(VLOOKUP(TAB_OFICINAS[[#This Row],[Cliente]],LISTA_DE_CLIENTES[[Código]:[Nome Fantasia]],3,FALSE),"")</f>
        <v>MABU THERMAS GRAND</v>
      </c>
      <c r="H762" s="51">
        <v>3301071152</v>
      </c>
      <c r="I762" s="28" t="str">
        <f>IFERROR(VLOOKUP(TAB_OFICINAS[[#This Row],[Codigo Produto ]],_000___PEDIDOS_DE_CLIENTES[[Data.Column2]:[Descrição Produto]],2,FALSE)," ")</f>
        <v>ROUPÃO KIMONO FELPA VELUX BRANCA C/ VIVO AZUL MARINHO - LOGO BORDADO AZUL MARINHO 7127 - TAM G</v>
      </c>
      <c r="J762" s="91">
        <v>1</v>
      </c>
      <c r="K762" s="88">
        <v>46192</v>
      </c>
      <c r="L762" s="9">
        <v>1</v>
      </c>
      <c r="M762" s="6">
        <v>46197</v>
      </c>
      <c r="N762" s="6">
        <v>46197</v>
      </c>
      <c r="O762" s="23">
        <f>TAB_OFICINAS[[#This Row],[Data Retorno Produção]]-TAB_OFICINAS[[#This Row],[Data Prometida  Entrega]]</f>
        <v>0</v>
      </c>
      <c r="P762" s="98" t="str">
        <f>IF(TAB_OFICINAS[[#This Row],[Dias Para Entrega]]&lt;=0,"Em dia","Dia de Atrasado")</f>
        <v>Em dia</v>
      </c>
      <c r="Q762" s="24">
        <f>IFERROR(TAB_OFICINAS[[#This Row],[Qtd pçs Enviadas]]-TAB_OFICINAS[[#This Row],[Qtd pçs Retornadas ]],"N/D ")</f>
        <v>0</v>
      </c>
      <c r="R762" s="24"/>
      <c r="S762" s="5">
        <v>3282</v>
      </c>
      <c r="T762" s="5">
        <v>17357</v>
      </c>
      <c r="U762" s="11">
        <v>12</v>
      </c>
      <c r="V762" s="25">
        <f>IFERROR(TAB_OFICINAS[[#This Row],[Valor Unit]]*TAB_OFICINAS[[#This Row],[Qtd pçs Enviadas]]," ")</f>
        <v>12</v>
      </c>
      <c r="W762" s="26">
        <v>46205</v>
      </c>
      <c r="X762" s="17" t="s">
        <v>6251</v>
      </c>
      <c r="Y762" s="27" t="s">
        <v>23137</v>
      </c>
      <c r="Z7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3" spans="3:26" hidden="1">
      <c r="C763" s="28" t="s">
        <v>15</v>
      </c>
      <c r="D763" s="5">
        <v>1281</v>
      </c>
      <c r="E763" s="5">
        <v>23885</v>
      </c>
      <c r="F763" s="28" t="str">
        <f>IFERROR(VLOOKUP(TAB_OFICINAS[[#This Row],[Cliente]],LISTA_DE_CLIENTES[[Código]:[Nome Fantasia]],2,FALSE),"")</f>
        <v>PALACIO TANGARA DESENVOLVIMENTO IMOBILIARIO E EXPL</v>
      </c>
      <c r="G763" s="2" t="str">
        <f>IFERROR(VLOOKUP(TAB_OFICINAS[[#This Row],[Cliente]],LISTA_DE_CLIENTES[[Código]:[Nome Fantasia]],3,FALSE),"")</f>
        <v>PALÁCIO TANGARÁ</v>
      </c>
      <c r="H763" s="51">
        <v>3301096390</v>
      </c>
      <c r="I763" s="28" t="s">
        <v>23451</v>
      </c>
      <c r="J763" s="91">
        <v>1</v>
      </c>
      <c r="K763" s="88">
        <v>46206</v>
      </c>
      <c r="L763" s="9">
        <v>1</v>
      </c>
      <c r="M763" s="6">
        <v>46209</v>
      </c>
      <c r="N763" s="6">
        <v>46209</v>
      </c>
      <c r="O763" s="23">
        <f>TAB_OFICINAS[[#This Row],[Data Retorno Produção]]-TAB_OFICINAS[[#This Row],[Data Prometida  Entrega]]</f>
        <v>0</v>
      </c>
      <c r="P763" s="98" t="str">
        <f>IF(TAB_OFICINAS[[#This Row],[Dias Para Entrega]]&lt;=0,"Em dia","Dia de Atrasado")</f>
        <v>Em dia</v>
      </c>
      <c r="Q763" s="24">
        <f>IFERROR(TAB_OFICINAS[[#This Row],[Qtd pçs Enviadas]]-TAB_OFICINAS[[#This Row],[Qtd pçs Retornadas ]],"N/D ")</f>
        <v>0</v>
      </c>
      <c r="R763" s="24"/>
      <c r="S763" s="5">
        <v>914</v>
      </c>
      <c r="U763" s="11">
        <v>12</v>
      </c>
      <c r="V763" s="25">
        <f>IFERROR(TAB_OFICINAS[[#This Row],[Valor Unit]]*TAB_OFICINAS[[#This Row],[Qtd pçs Enviadas]]," ")</f>
        <v>12</v>
      </c>
      <c r="W763" s="26"/>
      <c r="X763" s="17" t="s">
        <v>6251</v>
      </c>
      <c r="Y763" s="27" t="s">
        <v>23452</v>
      </c>
      <c r="Z7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4" spans="3:26" hidden="1">
      <c r="C764" s="28" t="s">
        <v>3</v>
      </c>
      <c r="D764" s="5">
        <v>1941</v>
      </c>
      <c r="E764" s="5">
        <v>22802</v>
      </c>
      <c r="F764" s="28" t="str">
        <f>IFERROR(VLOOKUP(TAB_OFICINAS[[#This Row],[Cliente]],LISTA_DE_CLIENTES[[Código]:[Nome Fantasia]],2,FALSE),"")</f>
        <v>HOSPITAIS INTEGRADOS DA GAVEA S/A</v>
      </c>
      <c r="G764" s="5" t="str">
        <f>IFERROR(VLOOKUP(TAB_OFICINAS[[#This Row],[Cliente]],LISTA_DE_CLIENTES[[Código]:[Nome Fantasia]],3,FALSE),"")</f>
        <v>REDE D´OR - DF STAR</v>
      </c>
      <c r="H764" s="51">
        <v>2103062485</v>
      </c>
      <c r="I764" s="28" t="s">
        <v>20770</v>
      </c>
      <c r="J764" s="91">
        <v>684</v>
      </c>
      <c r="K764" s="86">
        <v>46079</v>
      </c>
      <c r="L764" s="10">
        <v>0</v>
      </c>
      <c r="M764" s="6">
        <v>46091</v>
      </c>
      <c r="N764" s="6">
        <v>46090</v>
      </c>
      <c r="O764" s="19">
        <f>TAB_OFICINAS[[#This Row],[Data Retorno Produção]]-TAB_OFICINAS[[#This Row],[Data Prometida  Entrega]]</f>
        <v>-1</v>
      </c>
      <c r="P764" s="40" t="str">
        <f>IF(TAB_OFICINAS[[#This Row],[Dias Para Entrega]]&lt;=0,"Em dia","Dia de Atrasado")</f>
        <v>Em dia</v>
      </c>
      <c r="Q764" s="10">
        <v>0</v>
      </c>
      <c r="R764" s="48">
        <v>0</v>
      </c>
      <c r="S764" s="5">
        <v>641</v>
      </c>
      <c r="T764" s="5">
        <v>99</v>
      </c>
      <c r="U764" s="52">
        <v>5.15</v>
      </c>
      <c r="V764" s="44">
        <f>IFERROR(TAB_OFICINAS[[#This Row],[Valor Unit]]*TAB_OFICINAS[[#This Row],[Qtd pçs Enviadas]]," ")</f>
        <v>3522.6000000000004</v>
      </c>
      <c r="W764" s="17">
        <f>TAB_OFICINAS[[#This Row],[Data Retorno Produção]]+10</f>
        <v>46100</v>
      </c>
      <c r="X764" s="5" t="s">
        <v>6251</v>
      </c>
      <c r="Y764" s="27"/>
      <c r="Z764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765" spans="3:26" ht="76.5" hidden="1">
      <c r="C765" s="74" t="s">
        <v>8</v>
      </c>
      <c r="D765" s="55">
        <v>1942</v>
      </c>
      <c r="E765" s="55">
        <v>22842</v>
      </c>
      <c r="F765" s="74" t="str">
        <f>IFERROR(VLOOKUP(TAB_OFICINAS[[#This Row],[Cliente]],LISTA_DE_CLIENTES[[Código]:[Nome Fantasia]],2,FALSE),"")</f>
        <v>ONCO STAR SP ONCOLOGIA LTDA (REDE D´OR)</v>
      </c>
      <c r="G765" s="55" t="str">
        <f>IFERROR(VLOOKUP(TAB_OFICINAS[[#This Row],[Cliente]],LISTA_DE_CLIENTES[[Código]:[Nome Fantasia]],3,FALSE),"")</f>
        <v>R DOR VILA NOVA STAR</v>
      </c>
      <c r="H765" s="56">
        <v>2101102487</v>
      </c>
      <c r="I765" s="74" t="s">
        <v>20336</v>
      </c>
      <c r="J765" s="94">
        <v>85</v>
      </c>
      <c r="K765" s="87">
        <v>46080</v>
      </c>
      <c r="L765" s="57">
        <v>0</v>
      </c>
      <c r="M765" s="82">
        <v>46087</v>
      </c>
      <c r="N765" s="82">
        <v>46087</v>
      </c>
      <c r="O765" s="59">
        <f>TAB_OFICINAS[[#This Row],[Data Retorno Produção]]-TAB_OFICINAS[[#This Row],[Data Prometida  Entrega]]</f>
        <v>0</v>
      </c>
      <c r="P765" s="60" t="str">
        <f>IF(TAB_OFICINAS[[#This Row],[Dias Para Entrega]]&lt;=0,"Em dia","Dia de Atrasado")</f>
        <v>Em dia</v>
      </c>
      <c r="Q765" s="57">
        <v>0</v>
      </c>
      <c r="R765" s="57">
        <v>0</v>
      </c>
      <c r="S765" s="55">
        <v>643</v>
      </c>
      <c r="T765" s="55">
        <v>24</v>
      </c>
      <c r="U765" s="61">
        <v>4.5</v>
      </c>
      <c r="V765" s="62">
        <f>IFERROR(TAB_OFICINAS[[#This Row],[Valor Unit]]*TAB_OFICINAS[[#This Row],[Qtd pçs Enviadas]]," ")</f>
        <v>382.5</v>
      </c>
      <c r="W765" s="58">
        <v>46101</v>
      </c>
      <c r="X765" s="55" t="s">
        <v>6251</v>
      </c>
      <c r="Y765" s="55" t="s">
        <v>21326</v>
      </c>
      <c r="Z765" s="6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766" spans="3:26" hidden="1">
      <c r="C766" s="28" t="s">
        <v>21197</v>
      </c>
      <c r="D766" s="5">
        <v>1934</v>
      </c>
      <c r="E766" s="5">
        <v>23548</v>
      </c>
      <c r="F766" s="28" t="str">
        <f>IFERROR(VLOOKUP(TAB_OFICINAS[[#This Row],[Cliente]],LISTA_DE_CLIENTES[[Código]:[Nome Fantasia]],2,FALSE),"")</f>
        <v>TS ITU HOTEL EMPREENDIMENTO IMOBILIARIO S.A</v>
      </c>
      <c r="G766" s="2" t="str">
        <f>IFERROR(VLOOKUP(TAB_OFICINAS[[#This Row],[Cliente]],LISTA_DE_CLIENTES[[Código]:[Nome Fantasia]],3,FALSE),"")</f>
        <v>NOVOTEL ITU</v>
      </c>
      <c r="H766" s="51">
        <v>92115029937</v>
      </c>
      <c r="I766" s="28" t="str">
        <f>IFERROR(VLOOKUP(TAB_OFICINAS[[#This Row],[Codigo Produto ]],_000___PEDIDOS_DE_CLIENTES[[Data.Column2]:[Descrição Produto]],2,FALSE)," ")</f>
        <v>DUVET (CAPA) - 300F MISTO STRIPE LARGE 1cm - VERTICAL - CLASSIC C/ ENVELOPE - 2,90 X 2,60</v>
      </c>
      <c r="J766" s="91">
        <v>214</v>
      </c>
      <c r="K766" s="88">
        <v>46183</v>
      </c>
      <c r="L766" s="9">
        <v>214</v>
      </c>
      <c r="M766" s="6">
        <v>46198</v>
      </c>
      <c r="N766" s="6">
        <v>46192</v>
      </c>
      <c r="O766" s="23">
        <f>TAB_OFICINAS[[#This Row],[Data Retorno Produção]]-TAB_OFICINAS[[#This Row],[Data Prometida  Entrega]]</f>
        <v>-6</v>
      </c>
      <c r="P766" s="98" t="str">
        <f>IF(TAB_OFICINAS[[#This Row],[Dias Para Entrega]]&lt;=0,"Em dia","Dia de Atrasado")</f>
        <v>Em dia</v>
      </c>
      <c r="Q766" s="10">
        <f>IFERROR(TAB_OFICINAS[[#This Row],[Qtd pçs Enviadas]]-TAB_OFICINAS[[#This Row],[Qtd pçs Retornadas ]]," ")</f>
        <v>0</v>
      </c>
      <c r="R766" s="24"/>
      <c r="S766" s="5">
        <v>3662</v>
      </c>
      <c r="T766" s="5">
        <v>69</v>
      </c>
      <c r="U766" s="11">
        <v>15</v>
      </c>
      <c r="V766" s="25">
        <f>IFERROR(TAB_OFICINAS[[#This Row],[Valor Unit]]*TAB_OFICINAS[[#This Row],[Qtd pçs Enviadas]]," ")</f>
        <v>3210</v>
      </c>
      <c r="W766" s="26">
        <v>46202</v>
      </c>
      <c r="X766" s="17" t="s">
        <v>6251</v>
      </c>
      <c r="Y766" s="27"/>
      <c r="Z7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7" spans="3:26" hidden="1">
      <c r="C767" s="28" t="s">
        <v>1</v>
      </c>
      <c r="D767" s="5">
        <v>1858</v>
      </c>
      <c r="E767" s="5">
        <v>23354</v>
      </c>
      <c r="F767" s="28" t="str">
        <f>IFERROR(VLOOKUP(TAB_OFICINAS[[#This Row],[Cliente]],LISTA_DE_CLIENTES[[Código]:[Nome Fantasia]],2,FALSE),"")</f>
        <v>SCP ADMINISTRADORA HOTEL PAMPULHA</v>
      </c>
      <c r="G767" s="5" t="str">
        <f>IFERROR(VLOOKUP(TAB_OFICINAS[[#This Row],[Cliente]],LISTA_DE_CLIENTES[[Código]:[Nome Fantasia]],3,FALSE),"")</f>
        <v>QUALITY PAMPULHA</v>
      </c>
      <c r="H767" s="63">
        <v>92115188608</v>
      </c>
      <c r="I767" s="28" t="s">
        <v>22474</v>
      </c>
      <c r="J767" s="91">
        <v>1</v>
      </c>
      <c r="K767" s="86">
        <v>46146</v>
      </c>
      <c r="L767" s="10">
        <v>1</v>
      </c>
      <c r="M767" s="6">
        <v>46150</v>
      </c>
      <c r="N767" s="6">
        <v>46147</v>
      </c>
      <c r="O767" s="19">
        <f>TAB_OFICINAS[[#This Row],[Data Retorno Produção]]-TAB_OFICINAS[[#This Row],[Data Prometida  Entrega]]</f>
        <v>-3</v>
      </c>
      <c r="P767" s="40" t="str">
        <f>IF(TAB_OFICINAS[[#This Row],[Dias Para Entrega]]&lt;=0,"Em dia","Dia de Atrasado")</f>
        <v>Em dia</v>
      </c>
      <c r="Q767" s="10">
        <f>IFERROR(TAB_OFICINAS[[#This Row],[Qtd pçs Enviadas]]-TAB_OFICINAS[[#This Row],[Qtd pçs Retornadas ]]," ")</f>
        <v>0</v>
      </c>
      <c r="R767" s="10"/>
      <c r="S767" s="5">
        <v>816</v>
      </c>
      <c r="T767" s="5">
        <v>49</v>
      </c>
      <c r="U767" s="52">
        <v>10.65</v>
      </c>
      <c r="V767" s="44">
        <f>IFERROR(TAB_OFICINAS[[#This Row],[Valor Unit]]*TAB_OFICINAS[[#This Row],[Qtd pçs Enviadas]]," ")</f>
        <v>10.65</v>
      </c>
      <c r="W767" s="17">
        <f>TAB_OFICINAS[[#This Row],[Data Retorno Produção]]+10</f>
        <v>46157</v>
      </c>
      <c r="X767" s="5" t="s">
        <v>6251</v>
      </c>
      <c r="Y767" s="27"/>
      <c r="Z76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8" spans="3:26" hidden="1">
      <c r="C768" s="28" t="s">
        <v>7</v>
      </c>
      <c r="D768" s="5">
        <v>4569</v>
      </c>
      <c r="E768" s="5">
        <v>23442</v>
      </c>
      <c r="F768" s="28" t="str">
        <f>IFERROR(VLOOKUP(TAB_OFICINAS[[#This Row],[Cliente]],LISTA_DE_CLIENTES[[Código]:[Nome Fantasia]],2,FALSE),"")</f>
        <v>FABIO MACHADO IZAR</v>
      </c>
      <c r="G768" s="2" t="str">
        <f>IFERROR(VLOOKUP(TAB_OFICINAS[[#This Row],[Cliente]],LISTA_DE_CLIENTES[[Código]:[Nome Fantasia]],3,FALSE),"")</f>
        <v>FIGUEIRA DA SERRA</v>
      </c>
      <c r="H768" s="63">
        <v>93101029897</v>
      </c>
      <c r="I768" s="28" t="s">
        <v>22700</v>
      </c>
      <c r="J768" s="91">
        <v>7</v>
      </c>
      <c r="K768" s="86">
        <v>46170</v>
      </c>
      <c r="L768" s="34">
        <v>7</v>
      </c>
      <c r="M768" s="6">
        <v>46181</v>
      </c>
      <c r="N768" s="6">
        <f ca="1">TODAY()</f>
        <v>46315</v>
      </c>
      <c r="O768" s="19">
        <f ca="1">TAB_OFICINAS[[#This Row],[Data Retorno Produção]]-TAB_OFICINAS[[#This Row],[Data Prometida  Entrega]]</f>
        <v>134</v>
      </c>
      <c r="P768" s="40" t="str">
        <f ca="1">IF(TAB_OFICINAS[[#This Row],[Dias Para Entrega]]&lt;=0,"Em dia","Dia de Atrasado")</f>
        <v>Dia de Atrasado</v>
      </c>
      <c r="Q768" s="10">
        <f>IFERROR(TAB_OFICINAS[[#This Row],[Qtd pçs Enviadas]]-TAB_OFICINAS[[#This Row],[Qtd pçs Retornadas ]]," ")</f>
        <v>0</v>
      </c>
      <c r="R768" s="10"/>
      <c r="S768" s="5">
        <v>3236</v>
      </c>
      <c r="T768" s="5">
        <v>41</v>
      </c>
      <c r="U768" s="1">
        <v>8</v>
      </c>
      <c r="V768" s="3">
        <f>IFERROR(TAB_OFICINAS[[#This Row],[Valor Unit]]*TAB_OFICINAS[[#This Row],[Qtd pçs Enviadas]]," ")</f>
        <v>56</v>
      </c>
      <c r="W768" s="17">
        <v>46183</v>
      </c>
      <c r="X768" s="5" t="s">
        <v>6251</v>
      </c>
      <c r="Y768" s="4"/>
      <c r="Z76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69" spans="3:26" hidden="1">
      <c r="C769" s="28" t="s">
        <v>7</v>
      </c>
      <c r="D769" s="5">
        <v>4569</v>
      </c>
      <c r="E769" s="5">
        <v>23442</v>
      </c>
      <c r="F769" s="28" t="str">
        <f>IFERROR(VLOOKUP(TAB_OFICINAS[[#This Row],[Cliente]],LISTA_DE_CLIENTES[[Código]:[Nome Fantasia]],2,FALSE),"")</f>
        <v>FABIO MACHADO IZAR</v>
      </c>
      <c r="G769" s="2" t="str">
        <f>IFERROR(VLOOKUP(TAB_OFICINAS[[#This Row],[Cliente]],LISTA_DE_CLIENTES[[Código]:[Nome Fantasia]],3,FALSE),"")</f>
        <v>FIGUEIRA DA SERRA</v>
      </c>
      <c r="H769" s="63">
        <v>92102189901</v>
      </c>
      <c r="I769" s="28" t="s">
        <v>22692</v>
      </c>
      <c r="J769" s="91">
        <v>7</v>
      </c>
      <c r="K769" s="86">
        <v>46170</v>
      </c>
      <c r="L769" s="34">
        <v>7</v>
      </c>
      <c r="M769" s="6">
        <v>46181</v>
      </c>
      <c r="N769" s="6">
        <f ca="1">TODAY()</f>
        <v>46315</v>
      </c>
      <c r="O769" s="19">
        <f ca="1">TAB_OFICINAS[[#This Row],[Data Retorno Produção]]-TAB_OFICINAS[[#This Row],[Data Prometida  Entrega]]</f>
        <v>134</v>
      </c>
      <c r="P769" s="40" t="str">
        <f ca="1">IF(TAB_OFICINAS[[#This Row],[Dias Para Entrega]]&lt;=0,"Em dia","Dia de Atrasado")</f>
        <v>Dia de Atrasado</v>
      </c>
      <c r="Q769" s="10">
        <f>IFERROR(TAB_OFICINAS[[#This Row],[Qtd pçs Enviadas]]-TAB_OFICINAS[[#This Row],[Qtd pçs Retornadas ]]," ")</f>
        <v>0</v>
      </c>
      <c r="R769" s="10"/>
      <c r="S769" s="5">
        <v>3236</v>
      </c>
      <c r="T769" s="5">
        <v>41</v>
      </c>
      <c r="U769" s="1">
        <v>7.5</v>
      </c>
      <c r="V769" s="3">
        <f>IFERROR(TAB_OFICINAS[[#This Row],[Valor Unit]]*TAB_OFICINAS[[#This Row],[Qtd pçs Enviadas]]," ")</f>
        <v>52.5</v>
      </c>
      <c r="W769" s="17">
        <v>46183</v>
      </c>
      <c r="X769" s="5" t="s">
        <v>6251</v>
      </c>
      <c r="Y769" s="4"/>
      <c r="Z76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0" spans="3:26" hidden="1">
      <c r="C770" s="28" t="s">
        <v>21197</v>
      </c>
      <c r="D770" s="5">
        <v>5391</v>
      </c>
      <c r="E770" s="5">
        <v>23059</v>
      </c>
      <c r="F770" s="28" t="str">
        <f>IFERROR(VLOOKUP(TAB_OFICINAS[[#This Row],[Cliente]],LISTA_DE_CLIENTES[[Código]:[Nome Fantasia]],2,FALSE),"")</f>
        <v>PACIFICO OPERACOES HOSPITALARES S.A</v>
      </c>
      <c r="G770" s="2" t="str">
        <f>IFERROR(VLOOKUP(TAB_OFICINAS[[#This Row],[Cliente]],LISTA_DE_CLIENTES[[Código]:[Nome Fantasia]],3,FALSE),"")</f>
        <v>MATERNIDADE SAO LUIZ</v>
      </c>
      <c r="H770" s="51">
        <v>2103062485</v>
      </c>
      <c r="I770" s="28" t="str">
        <f>IFERROR(VLOOKUP(TAB_OFICINAS[[#This Row],[Codigo Produto ]],_000___PEDIDOS_DE_CLIENTES[[Data.Column2]:[Descrição Produto]],2,FALSE)," ")</f>
        <v>FRONHA 4 ABAS 5cm - COM ACABAMENTO FESTONÊ E LOGO BORDADO COR ALABASTRO 07077 - 0,50 X 0,70</v>
      </c>
      <c r="J770" s="91">
        <v>504</v>
      </c>
      <c r="K770" s="88">
        <v>46189</v>
      </c>
      <c r="L770" s="9">
        <v>504</v>
      </c>
      <c r="M770" s="6">
        <v>46199</v>
      </c>
      <c r="N770" s="6">
        <v>46192</v>
      </c>
      <c r="O770" s="23">
        <f>TAB_OFICINAS[[#This Row],[Data Retorno Produção]]-TAB_OFICINAS[[#This Row],[Data Prometida  Entrega]]</f>
        <v>-7</v>
      </c>
      <c r="P770" s="98" t="str">
        <f>IF(TAB_OFICINAS[[#This Row],[Dias Para Entrega]]&lt;=0,"Em dia","Dia de Atrasado")</f>
        <v>Em dia</v>
      </c>
      <c r="Q770" s="10">
        <f>IFERROR(TAB_OFICINAS[[#This Row],[Qtd pçs Enviadas]]-TAB_OFICINAS[[#This Row],[Qtd pçs Retornadas ]]," ")</f>
        <v>0</v>
      </c>
      <c r="R770" s="24"/>
      <c r="S770" s="5">
        <v>888</v>
      </c>
      <c r="T770" s="5">
        <v>72</v>
      </c>
      <c r="U770" s="11">
        <v>5.15</v>
      </c>
      <c r="V770" s="25">
        <f>IFERROR(TAB_OFICINAS[[#This Row],[Valor Unit]]*TAB_OFICINAS[[#This Row],[Qtd pçs Enviadas]]," ")</f>
        <v>2595.6000000000004</v>
      </c>
      <c r="W770" s="26">
        <f>TAB_OFICINAS[[#This Row],[Data Retorno Produção]]+10</f>
        <v>46202</v>
      </c>
      <c r="X770" s="17" t="s">
        <v>6251</v>
      </c>
      <c r="Y770" s="27"/>
      <c r="Z7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1" spans="3:26" hidden="1">
      <c r="C771" s="28" t="s">
        <v>7</v>
      </c>
      <c r="D771" s="5">
        <v>2266</v>
      </c>
      <c r="E771" s="5">
        <v>23380</v>
      </c>
      <c r="F771" s="28" t="str">
        <f>IFERROR(VLOOKUP(TAB_OFICINAS[[#This Row],[Cliente]],LISTA_DE_CLIENTES[[Código]:[Nome Fantasia]],2,FALSE),"")</f>
        <v>CRISTINA CAGLIARI BORRE</v>
      </c>
      <c r="G771" s="2" t="str">
        <f>IFERROR(VLOOKUP(TAB_OFICINAS[[#This Row],[Cliente]],LISTA_DE_CLIENTES[[Código]:[Nome Fantasia]],3,FALSE),"")</f>
        <v>REFÚGIO NA SERRA BOU</v>
      </c>
      <c r="H771" s="63">
        <v>92101029863</v>
      </c>
      <c r="I771" s="28" t="s">
        <v>22545</v>
      </c>
      <c r="J771" s="91">
        <v>6</v>
      </c>
      <c r="K771" s="86">
        <v>46170</v>
      </c>
      <c r="L771" s="34">
        <v>6</v>
      </c>
      <c r="M771" s="6">
        <v>46184</v>
      </c>
      <c r="N771" s="6">
        <f t="shared" ref="N771:N779" ca="1" si="0">TODAY()</f>
        <v>46315</v>
      </c>
      <c r="O771" s="19">
        <f ca="1">TAB_OFICINAS[[#This Row],[Data Retorno Produção]]-TAB_OFICINAS[[#This Row],[Data Prometida  Entrega]]</f>
        <v>131</v>
      </c>
      <c r="P771" s="40" t="str">
        <f ca="1">IF(TAB_OFICINAS[[#This Row],[Dias Para Entrega]]&lt;=0,"Em dia","Dia de Atrasado")</f>
        <v>Dia de Atrasado</v>
      </c>
      <c r="Q771" s="10">
        <f>IFERROR(TAB_OFICINAS[[#This Row],[Qtd pçs Enviadas]]-TAB_OFICINAS[[#This Row],[Qtd pçs Retornadas ]]," ")</f>
        <v>0</v>
      </c>
      <c r="R771" s="10"/>
      <c r="S771" s="5">
        <v>3236</v>
      </c>
      <c r="T771" s="5">
        <v>41</v>
      </c>
      <c r="U771" s="1">
        <v>6</v>
      </c>
      <c r="V771" s="3">
        <f>IFERROR(TAB_OFICINAS[[#This Row],[Valor Unit]]*TAB_OFICINAS[[#This Row],[Qtd pçs Enviadas]]," ")</f>
        <v>36</v>
      </c>
      <c r="W771" s="17">
        <v>46183</v>
      </c>
      <c r="X771" s="5" t="s">
        <v>6251</v>
      </c>
      <c r="Y771" s="4"/>
      <c r="Z77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2" spans="3:26" hidden="1">
      <c r="C772" s="28" t="s">
        <v>7</v>
      </c>
      <c r="D772" s="5">
        <v>2266</v>
      </c>
      <c r="E772" s="5">
        <v>23380</v>
      </c>
      <c r="F772" s="28" t="str">
        <f>IFERROR(VLOOKUP(TAB_OFICINAS[[#This Row],[Cliente]],LISTA_DE_CLIENTES[[Código]:[Nome Fantasia]],2,FALSE),"")</f>
        <v>CRISTINA CAGLIARI BORRE</v>
      </c>
      <c r="G772" s="2" t="str">
        <f>IFERROR(VLOOKUP(TAB_OFICINAS[[#This Row],[Cliente]],LISTA_DE_CLIENTES[[Código]:[Nome Fantasia]],3,FALSE),"")</f>
        <v>REFÚGIO NA SERRA BOU</v>
      </c>
      <c r="H772" s="63">
        <v>93103079861</v>
      </c>
      <c r="I772" s="28" t="s">
        <v>22554</v>
      </c>
      <c r="J772" s="91">
        <v>6</v>
      </c>
      <c r="K772" s="86">
        <v>46170</v>
      </c>
      <c r="L772" s="34">
        <v>6</v>
      </c>
      <c r="M772" s="6">
        <v>46184</v>
      </c>
      <c r="N772" s="6">
        <f t="shared" ca="1" si="0"/>
        <v>46315</v>
      </c>
      <c r="O772" s="19">
        <f ca="1">TAB_OFICINAS[[#This Row],[Data Retorno Produção]]-TAB_OFICINAS[[#This Row],[Data Prometida  Entrega]]</f>
        <v>131</v>
      </c>
      <c r="P772" s="40" t="str">
        <f ca="1">IF(TAB_OFICINAS[[#This Row],[Dias Para Entrega]]&lt;=0,"Em dia","Dia de Atrasado")</f>
        <v>Dia de Atrasado</v>
      </c>
      <c r="Q772" s="10">
        <f>IFERROR(TAB_OFICINAS[[#This Row],[Qtd pçs Enviadas]]-TAB_OFICINAS[[#This Row],[Qtd pçs Retornadas ]]," ")</f>
        <v>0</v>
      </c>
      <c r="R772" s="10"/>
      <c r="S772" s="5">
        <v>3236</v>
      </c>
      <c r="T772" s="5">
        <v>41</v>
      </c>
      <c r="U772" s="1">
        <v>7.5</v>
      </c>
      <c r="V772" s="3">
        <f>IFERROR(TAB_OFICINAS[[#This Row],[Valor Unit]]*TAB_OFICINAS[[#This Row],[Qtd pçs Enviadas]]," ")</f>
        <v>45</v>
      </c>
      <c r="W772" s="17">
        <v>46183</v>
      </c>
      <c r="X772" s="5" t="s">
        <v>6251</v>
      </c>
      <c r="Y772" s="4"/>
      <c r="Z77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3" spans="3:26" hidden="1">
      <c r="C773" s="28" t="s">
        <v>7</v>
      </c>
      <c r="D773" s="5">
        <v>2266</v>
      </c>
      <c r="E773" s="5">
        <v>23380</v>
      </c>
      <c r="F773" s="28" t="str">
        <f>IFERROR(VLOOKUP(TAB_OFICINAS[[#This Row],[Cliente]],LISTA_DE_CLIENTES[[Código]:[Nome Fantasia]],2,FALSE),"")</f>
        <v>CRISTINA CAGLIARI BORRE</v>
      </c>
      <c r="G773" s="2" t="str">
        <f>IFERROR(VLOOKUP(TAB_OFICINAS[[#This Row],[Cliente]],LISTA_DE_CLIENTES[[Código]:[Nome Fantasia]],3,FALSE),"")</f>
        <v>REFÚGIO NA SERRA BOU</v>
      </c>
      <c r="H773" s="63">
        <v>93111019868</v>
      </c>
      <c r="I773" s="28" t="s">
        <v>22558</v>
      </c>
      <c r="J773" s="91">
        <v>6</v>
      </c>
      <c r="K773" s="86">
        <v>46170</v>
      </c>
      <c r="L773" s="34">
        <v>6</v>
      </c>
      <c r="M773" s="6">
        <v>46184</v>
      </c>
      <c r="N773" s="6">
        <f t="shared" ca="1" si="0"/>
        <v>46315</v>
      </c>
      <c r="O773" s="19">
        <f ca="1">TAB_OFICINAS[[#This Row],[Data Retorno Produção]]-TAB_OFICINAS[[#This Row],[Data Prometida  Entrega]]</f>
        <v>131</v>
      </c>
      <c r="P773" s="40" t="str">
        <f ca="1">IF(TAB_OFICINAS[[#This Row],[Dias Para Entrega]]&lt;=0,"Em dia","Dia de Atrasado")</f>
        <v>Dia de Atrasado</v>
      </c>
      <c r="Q773" s="10">
        <f>IFERROR(TAB_OFICINAS[[#This Row],[Qtd pçs Enviadas]]-TAB_OFICINAS[[#This Row],[Qtd pçs Retornadas ]]," ")</f>
        <v>0</v>
      </c>
      <c r="R773" s="10"/>
      <c r="S773" s="5">
        <v>3236</v>
      </c>
      <c r="T773" s="5">
        <v>41</v>
      </c>
      <c r="U773" s="1">
        <v>5.3</v>
      </c>
      <c r="V773" s="3">
        <f>IFERROR(TAB_OFICINAS[[#This Row],[Valor Unit]]*TAB_OFICINAS[[#This Row],[Qtd pçs Enviadas]]," ")</f>
        <v>31.799999999999997</v>
      </c>
      <c r="W773" s="17">
        <v>46183</v>
      </c>
      <c r="X773" s="5" t="s">
        <v>6251</v>
      </c>
      <c r="Y773" s="4"/>
      <c r="Z77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4" spans="3:26" hidden="1">
      <c r="C774" s="28" t="s">
        <v>7</v>
      </c>
      <c r="D774" s="5">
        <v>4569</v>
      </c>
      <c r="E774" s="5">
        <v>23442</v>
      </c>
      <c r="F774" s="28" t="str">
        <f>IFERROR(VLOOKUP(TAB_OFICINAS[[#This Row],[Cliente]],LISTA_DE_CLIENTES[[Código]:[Nome Fantasia]],2,FALSE),"")</f>
        <v>FABIO MACHADO IZAR</v>
      </c>
      <c r="G774" s="2" t="str">
        <f>IFERROR(VLOOKUP(TAB_OFICINAS[[#This Row],[Cliente]],LISTA_DE_CLIENTES[[Código]:[Nome Fantasia]],3,FALSE),"")</f>
        <v>FIGUEIRA DA SERRA</v>
      </c>
      <c r="H774" s="63">
        <v>92115069906</v>
      </c>
      <c r="I774" s="28" t="s">
        <v>22698</v>
      </c>
      <c r="J774" s="91">
        <v>4</v>
      </c>
      <c r="K774" s="86">
        <v>46170</v>
      </c>
      <c r="L774" s="34">
        <v>4</v>
      </c>
      <c r="M774" s="6">
        <v>46181</v>
      </c>
      <c r="N774" s="6">
        <f t="shared" ca="1" si="0"/>
        <v>46315</v>
      </c>
      <c r="O774" s="19">
        <f ca="1">TAB_OFICINAS[[#This Row],[Data Retorno Produção]]-TAB_OFICINAS[[#This Row],[Data Prometida  Entrega]]</f>
        <v>134</v>
      </c>
      <c r="P774" s="40" t="str">
        <f ca="1">IF(TAB_OFICINAS[[#This Row],[Dias Para Entrega]]&lt;=0,"Em dia","Dia de Atrasado")</f>
        <v>Dia de Atrasado</v>
      </c>
      <c r="Q774" s="10">
        <f>IFERROR(TAB_OFICINAS[[#This Row],[Qtd pçs Enviadas]]-TAB_OFICINAS[[#This Row],[Qtd pçs Retornadas ]]," ")</f>
        <v>0</v>
      </c>
      <c r="R774" s="10"/>
      <c r="S774" s="5">
        <v>3236</v>
      </c>
      <c r="T774" s="5">
        <v>41</v>
      </c>
      <c r="U774" s="1">
        <v>16</v>
      </c>
      <c r="V774" s="3">
        <f>IFERROR(TAB_OFICINAS[[#This Row],[Valor Unit]]*TAB_OFICINAS[[#This Row],[Qtd pçs Enviadas]]," ")</f>
        <v>64</v>
      </c>
      <c r="W774" s="17">
        <v>46183</v>
      </c>
      <c r="X774" s="5" t="s">
        <v>6251</v>
      </c>
      <c r="Y774" s="4"/>
      <c r="Z77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5" spans="3:26" hidden="1">
      <c r="C775" s="28" t="s">
        <v>7</v>
      </c>
      <c r="D775" s="5">
        <v>4569</v>
      </c>
      <c r="E775" s="5">
        <v>23442</v>
      </c>
      <c r="F775" s="28" t="str">
        <f>IFERROR(VLOOKUP(TAB_OFICINAS[[#This Row],[Cliente]],LISTA_DE_CLIENTES[[Código]:[Nome Fantasia]],2,FALSE),"")</f>
        <v>FABIO MACHADO IZAR</v>
      </c>
      <c r="G775" s="2" t="str">
        <f>IFERROR(VLOOKUP(TAB_OFICINAS[[#This Row],[Cliente]],LISTA_DE_CLIENTES[[Código]:[Nome Fantasia]],3,FALSE),"")</f>
        <v>FIGUEIRA DA SERRA</v>
      </c>
      <c r="H775" s="63">
        <v>92115069902</v>
      </c>
      <c r="I775" s="28" t="s">
        <v>22696</v>
      </c>
      <c r="J775" s="91">
        <v>3</v>
      </c>
      <c r="K775" s="86">
        <v>46170</v>
      </c>
      <c r="L775" s="34">
        <v>3</v>
      </c>
      <c r="M775" s="6">
        <v>46181</v>
      </c>
      <c r="N775" s="6">
        <f t="shared" ca="1" si="0"/>
        <v>46315</v>
      </c>
      <c r="O775" s="19">
        <f ca="1">TAB_OFICINAS[[#This Row],[Data Retorno Produção]]-TAB_OFICINAS[[#This Row],[Data Prometida  Entrega]]</f>
        <v>134</v>
      </c>
      <c r="P775" s="40" t="str">
        <f ca="1">IF(TAB_OFICINAS[[#This Row],[Dias Para Entrega]]&lt;=0,"Em dia","Dia de Atrasado")</f>
        <v>Dia de Atrasado</v>
      </c>
      <c r="Q775" s="10">
        <f>IFERROR(TAB_OFICINAS[[#This Row],[Qtd pçs Enviadas]]-TAB_OFICINAS[[#This Row],[Qtd pçs Retornadas ]]," ")</f>
        <v>0</v>
      </c>
      <c r="R775" s="10"/>
      <c r="S775" s="5">
        <v>3236</v>
      </c>
      <c r="T775" s="5">
        <v>41</v>
      </c>
      <c r="U775" s="1">
        <v>16</v>
      </c>
      <c r="V775" s="3">
        <f>IFERROR(TAB_OFICINAS[[#This Row],[Valor Unit]]*TAB_OFICINAS[[#This Row],[Qtd pçs Enviadas]]," ")</f>
        <v>48</v>
      </c>
      <c r="W775" s="17">
        <v>46183</v>
      </c>
      <c r="X775" s="5" t="s">
        <v>6251</v>
      </c>
      <c r="Y775" s="4"/>
      <c r="Z77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6" spans="3:26" hidden="1">
      <c r="C776" s="28" t="s">
        <v>7</v>
      </c>
      <c r="D776" s="5">
        <v>2266</v>
      </c>
      <c r="E776" s="5">
        <v>23380</v>
      </c>
      <c r="F776" s="28" t="str">
        <f>IFERROR(VLOOKUP(TAB_OFICINAS[[#This Row],[Cliente]],LISTA_DE_CLIENTES[[Código]:[Nome Fantasia]],2,FALSE),"")</f>
        <v>CRISTINA CAGLIARI BORRE</v>
      </c>
      <c r="G776" s="2" t="str">
        <f>IFERROR(VLOOKUP(TAB_OFICINAS[[#This Row],[Cliente]],LISTA_DE_CLIENTES[[Código]:[Nome Fantasia]],3,FALSE),"")</f>
        <v>REFÚGIO NA SERRA BOU</v>
      </c>
      <c r="H776" s="63">
        <v>92101069862</v>
      </c>
      <c r="I776" s="28" t="s">
        <v>22549</v>
      </c>
      <c r="J776" s="91">
        <v>3</v>
      </c>
      <c r="K776" s="86">
        <v>46170</v>
      </c>
      <c r="L776" s="34">
        <v>3</v>
      </c>
      <c r="M776" s="6">
        <v>46184</v>
      </c>
      <c r="N776" s="6">
        <f t="shared" ca="1" si="0"/>
        <v>46315</v>
      </c>
      <c r="O776" s="19">
        <f ca="1">TAB_OFICINAS[[#This Row],[Data Retorno Produção]]-TAB_OFICINAS[[#This Row],[Data Prometida  Entrega]]</f>
        <v>131</v>
      </c>
      <c r="P776" s="40" t="str">
        <f ca="1">IF(TAB_OFICINAS[[#This Row],[Dias Para Entrega]]&lt;=0,"Em dia","Dia de Atrasado")</f>
        <v>Dia de Atrasado</v>
      </c>
      <c r="Q776" s="10">
        <f>IFERROR(TAB_OFICINAS[[#This Row],[Qtd pçs Enviadas]]-TAB_OFICINAS[[#This Row],[Qtd pçs Retornadas ]]," ")</f>
        <v>0</v>
      </c>
      <c r="R776" s="10"/>
      <c r="S776" s="5">
        <v>3236</v>
      </c>
      <c r="T776" s="5">
        <v>41</v>
      </c>
      <c r="U776" s="1">
        <v>10</v>
      </c>
      <c r="V776" s="3">
        <f>IFERROR(TAB_OFICINAS[[#This Row],[Valor Unit]]*TAB_OFICINAS[[#This Row],[Qtd pçs Enviadas]]," ")</f>
        <v>30</v>
      </c>
      <c r="W776" s="17">
        <v>46183</v>
      </c>
      <c r="X776" s="5" t="s">
        <v>6251</v>
      </c>
      <c r="Y776" s="4"/>
      <c r="Z77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7" spans="3:26" hidden="1">
      <c r="C777" s="28" t="s">
        <v>7</v>
      </c>
      <c r="D777" s="5">
        <v>2266</v>
      </c>
      <c r="E777" s="5">
        <v>23380</v>
      </c>
      <c r="F777" s="28" t="str">
        <f>IFERROR(VLOOKUP(TAB_OFICINAS[[#This Row],[Cliente]],LISTA_DE_CLIENTES[[Código]:[Nome Fantasia]],2,FALSE),"")</f>
        <v>CRISTINA CAGLIARI BORRE</v>
      </c>
      <c r="G777" s="2" t="str">
        <f>IFERROR(VLOOKUP(TAB_OFICINAS[[#This Row],[Cliente]],LISTA_DE_CLIENTES[[Código]:[Nome Fantasia]],3,FALSE),"")</f>
        <v>REFÚGIO NA SERRA BOU</v>
      </c>
      <c r="H777" s="63">
        <v>92101029865</v>
      </c>
      <c r="I777" s="28" t="s">
        <v>22547</v>
      </c>
      <c r="J777" s="91">
        <v>3</v>
      </c>
      <c r="K777" s="86">
        <v>46170</v>
      </c>
      <c r="L777" s="34">
        <v>3</v>
      </c>
      <c r="M777" s="6">
        <v>46184</v>
      </c>
      <c r="N777" s="6">
        <f t="shared" ca="1" si="0"/>
        <v>46315</v>
      </c>
      <c r="O777" s="19">
        <f ca="1">TAB_OFICINAS[[#This Row],[Data Retorno Produção]]-TAB_OFICINAS[[#This Row],[Data Prometida  Entrega]]</f>
        <v>131</v>
      </c>
      <c r="P777" s="40" t="str">
        <f ca="1">IF(TAB_OFICINAS[[#This Row],[Dias Para Entrega]]&lt;=0,"Em dia","Dia de Atrasado")</f>
        <v>Dia de Atrasado</v>
      </c>
      <c r="Q777" s="10">
        <f>IFERROR(TAB_OFICINAS[[#This Row],[Qtd pçs Enviadas]]-TAB_OFICINAS[[#This Row],[Qtd pçs Retornadas ]]," ")</f>
        <v>0</v>
      </c>
      <c r="R777" s="10"/>
      <c r="S777" s="5">
        <v>3236</v>
      </c>
      <c r="T777" s="5">
        <v>41</v>
      </c>
      <c r="U777" s="1">
        <v>6.5</v>
      </c>
      <c r="V777" s="3">
        <f>IFERROR(TAB_OFICINAS[[#This Row],[Valor Unit]]*TAB_OFICINAS[[#This Row],[Qtd pçs Enviadas]]," ")</f>
        <v>19.5</v>
      </c>
      <c r="W777" s="17">
        <v>46183</v>
      </c>
      <c r="X777" s="5" t="s">
        <v>6251</v>
      </c>
      <c r="Y777" s="4"/>
      <c r="Z77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8" spans="3:26" hidden="1">
      <c r="C778" s="28" t="s">
        <v>7</v>
      </c>
      <c r="D778" s="5">
        <v>2266</v>
      </c>
      <c r="E778" s="5">
        <v>23380</v>
      </c>
      <c r="F778" s="28" t="str">
        <f>IFERROR(VLOOKUP(TAB_OFICINAS[[#This Row],[Cliente]],LISTA_DE_CLIENTES[[Código]:[Nome Fantasia]],2,FALSE),"")</f>
        <v>CRISTINA CAGLIARI BORRE</v>
      </c>
      <c r="G778" s="2" t="str">
        <f>IFERROR(VLOOKUP(TAB_OFICINAS[[#This Row],[Cliente]],LISTA_DE_CLIENTES[[Código]:[Nome Fantasia]],3,FALSE),"")</f>
        <v>REFÚGIO NA SERRA BOU</v>
      </c>
      <c r="H778" s="63">
        <v>92102769859</v>
      </c>
      <c r="I778" s="28" t="s">
        <v>22551</v>
      </c>
      <c r="J778" s="91">
        <v>3</v>
      </c>
      <c r="K778" s="86">
        <v>46170</v>
      </c>
      <c r="L778" s="34">
        <v>3</v>
      </c>
      <c r="M778" s="6">
        <v>46184</v>
      </c>
      <c r="N778" s="6">
        <f t="shared" ca="1" si="0"/>
        <v>46315</v>
      </c>
      <c r="O778" s="19">
        <f ca="1">TAB_OFICINAS[[#This Row],[Data Retorno Produção]]-TAB_OFICINAS[[#This Row],[Data Prometida  Entrega]]</f>
        <v>131</v>
      </c>
      <c r="P778" s="40" t="str">
        <f ca="1">IF(TAB_OFICINAS[[#This Row],[Dias Para Entrega]]&lt;=0,"Em dia","Dia de Atrasado")</f>
        <v>Dia de Atrasado</v>
      </c>
      <c r="Q778" s="10">
        <f>IFERROR(TAB_OFICINAS[[#This Row],[Qtd pçs Enviadas]]-TAB_OFICINAS[[#This Row],[Qtd pçs Retornadas ]]," ")</f>
        <v>0</v>
      </c>
      <c r="R778" s="10"/>
      <c r="S778" s="5">
        <v>3236</v>
      </c>
      <c r="T778" s="5">
        <v>41</v>
      </c>
      <c r="U778" s="1">
        <v>8.5</v>
      </c>
      <c r="V778" s="3">
        <f>IFERROR(TAB_OFICINAS[[#This Row],[Valor Unit]]*TAB_OFICINAS[[#This Row],[Qtd pçs Enviadas]]," ")</f>
        <v>25.5</v>
      </c>
      <c r="W778" s="17">
        <v>46183</v>
      </c>
      <c r="X778" s="5" t="s">
        <v>6251</v>
      </c>
      <c r="Y778" s="4"/>
      <c r="Z77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79" spans="3:26" hidden="1">
      <c r="C779" s="28" t="s">
        <v>7</v>
      </c>
      <c r="D779" s="5">
        <v>2345</v>
      </c>
      <c r="E779" s="5">
        <v>23405</v>
      </c>
      <c r="F779" s="28" t="str">
        <f>IFERROR(VLOOKUP(TAB_OFICINAS[[#This Row],[Cliente]],LISTA_DE_CLIENTES[[Código]:[Nome Fantasia]],2,FALSE),"")</f>
        <v>CHATEAU CAMPOS DO JORDAO SERVICOS HOTELEIROS LTDA</v>
      </c>
      <c r="G779" s="2" t="str">
        <f>IFERROR(VLOOKUP(TAB_OFICINAS[[#This Row],[Cliente]],LISTA_DE_CLIENTES[[Código]:[Nome Fantasia]],3,FALSE),"")</f>
        <v>HOTEL CHATEAU</v>
      </c>
      <c r="H779" s="63">
        <v>2103850147</v>
      </c>
      <c r="I779" s="28" t="s">
        <v>20801</v>
      </c>
      <c r="J779" s="91">
        <v>75</v>
      </c>
      <c r="K779" s="86">
        <v>46174</v>
      </c>
      <c r="L779" s="34">
        <v>75</v>
      </c>
      <c r="M779" s="6">
        <v>46184</v>
      </c>
      <c r="N779" s="6">
        <f t="shared" ca="1" si="0"/>
        <v>46315</v>
      </c>
      <c r="O779" s="19">
        <f ca="1">TAB_OFICINAS[[#This Row],[Data Retorno Produção]]-TAB_OFICINAS[[#This Row],[Data Prometida  Entrega]]</f>
        <v>131</v>
      </c>
      <c r="P779" s="40" t="str">
        <f ca="1">IF(TAB_OFICINAS[[#This Row],[Dias Para Entrega]]&lt;=0,"Em dia","Dia de Atrasado")</f>
        <v>Dia de Atrasado</v>
      </c>
      <c r="Q779" s="10">
        <f>IFERROR(TAB_OFICINAS[[#This Row],[Qtd pçs Enviadas]]-TAB_OFICINAS[[#This Row],[Qtd pçs Retornadas ]]," ")</f>
        <v>0</v>
      </c>
      <c r="R779" s="10"/>
      <c r="S779" s="5">
        <v>863</v>
      </c>
      <c r="T779" s="5">
        <v>42</v>
      </c>
      <c r="U779" s="1">
        <v>3</v>
      </c>
      <c r="V779" s="3">
        <f>IFERROR(TAB_OFICINAS[[#This Row],[Valor Unit]]*TAB_OFICINAS[[#This Row],[Qtd pçs Enviadas]]," ")</f>
        <v>225</v>
      </c>
      <c r="W779" s="17">
        <v>46183</v>
      </c>
      <c r="X779" s="5" t="s">
        <v>6251</v>
      </c>
      <c r="Y779" s="4"/>
      <c r="Z77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0" spans="3:26" hidden="1">
      <c r="C780" s="28" t="s">
        <v>7</v>
      </c>
      <c r="D780" s="5">
        <v>96</v>
      </c>
      <c r="E780" s="5">
        <v>23527</v>
      </c>
      <c r="F780" s="28" t="str">
        <f>IFERROR(VLOOKUP(TAB_OFICINAS[[#This Row],[Cliente]],LISTA_DE_CLIENTES[[Código]:[Nome Fantasia]],2,FALSE),"")</f>
        <v>DEVILLE HOTEIS E TURISMO LTDA</v>
      </c>
      <c r="G780" s="2" t="str">
        <f>IFERROR(VLOOKUP(TAB_OFICINAS[[#This Row],[Cliente]],LISTA_DE_CLIENTES[[Código]:[Nome Fantasia]],3,FALSE),"")</f>
        <v>MARRIOT GUARULHOS</v>
      </c>
      <c r="H780" s="63">
        <v>92115039919</v>
      </c>
      <c r="I780" s="28" t="s">
        <v>23004</v>
      </c>
      <c r="J780" s="91">
        <v>95</v>
      </c>
      <c r="K780" s="86">
        <v>46175</v>
      </c>
      <c r="L780" s="34">
        <v>95</v>
      </c>
      <c r="M780" s="6">
        <v>46193</v>
      </c>
      <c r="N780" s="6">
        <v>46184</v>
      </c>
      <c r="O780" s="19">
        <f>TAB_OFICINAS[[#This Row],[Data Retorno Produção]]-TAB_OFICINAS[[#This Row],[Data Prometida  Entrega]]</f>
        <v>-9</v>
      </c>
      <c r="P780" s="40" t="str">
        <f>IF(TAB_OFICINAS[[#This Row],[Dias Para Entrega]]&lt;=0,"Em dia","Dia de Atrasado")</f>
        <v>Em dia</v>
      </c>
      <c r="Q780" s="10">
        <f>IFERROR(TAB_OFICINAS[[#This Row],[Qtd pçs Enviadas]]-TAB_OFICINAS[[#This Row],[Qtd pçs Retornadas ]]," ")</f>
        <v>0</v>
      </c>
      <c r="R780" s="10"/>
      <c r="S780" s="5">
        <v>3246</v>
      </c>
      <c r="T780" s="5">
        <v>43</v>
      </c>
      <c r="U780" s="1">
        <v>13</v>
      </c>
      <c r="V780" s="3">
        <f>IFERROR(TAB_OFICINAS[[#This Row],[Valor Unit]]*TAB_OFICINAS[[#This Row],[Qtd pçs Enviadas]]," ")</f>
        <v>1235</v>
      </c>
      <c r="W780" s="17">
        <v>46195</v>
      </c>
      <c r="X780" s="5" t="s">
        <v>6251</v>
      </c>
      <c r="Y780" s="4"/>
      <c r="Z78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1" spans="3:26" ht="28.5" hidden="1">
      <c r="C781" s="28" t="s">
        <v>21197</v>
      </c>
      <c r="D781" s="5">
        <v>1942</v>
      </c>
      <c r="E781" s="5">
        <v>23440</v>
      </c>
      <c r="F781" s="28" t="str">
        <f>IFERROR(VLOOKUP(TAB_OFICINAS[[#This Row],[Cliente]],LISTA_DE_CLIENTES[[Código]:[Nome Fantasia]],2,FALSE),"")</f>
        <v>ONCO STAR SP ONCOLOGIA LTDA (REDE D´OR)</v>
      </c>
      <c r="G781" s="2" t="str">
        <f>IFERROR(VLOOKUP(TAB_OFICINAS[[#This Row],[Cliente]],LISTA_DE_CLIENTES[[Código]:[Nome Fantasia]],3,FALSE),"")</f>
        <v>R DOR VILA NOVA STAR</v>
      </c>
      <c r="H781" s="51">
        <v>2101102488</v>
      </c>
      <c r="I781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781" s="91">
        <v>302</v>
      </c>
      <c r="K781" s="88">
        <v>46192</v>
      </c>
      <c r="L781" s="9">
        <v>302</v>
      </c>
      <c r="M781" s="6">
        <v>46206</v>
      </c>
      <c r="N781" s="6">
        <v>46199</v>
      </c>
      <c r="O781" s="23">
        <f>TAB_OFICINAS[[#This Row],[Data Retorno Produção]]-TAB_OFICINAS[[#This Row],[Data Prometida  Entrega]]</f>
        <v>-7</v>
      </c>
      <c r="P781" s="98" t="str">
        <f>IF(TAB_OFICINAS[[#This Row],[Dias Para Entrega]]&lt;=0,"Em dia","Dia de Atrasado")</f>
        <v>Em dia</v>
      </c>
      <c r="Q781" s="10">
        <f>IFERROR(TAB_OFICINAS[[#This Row],[Qtd pçs Enviadas]]-TAB_OFICINAS[[#This Row],[Qtd pçs Retornadas ]]," ")</f>
        <v>0</v>
      </c>
      <c r="R781" s="24"/>
      <c r="S781" s="5">
        <v>894</v>
      </c>
      <c r="T781" s="5">
        <v>75</v>
      </c>
      <c r="U781" s="11">
        <v>6.5</v>
      </c>
      <c r="V781" s="25">
        <f>IFERROR(TAB_OFICINAS[[#This Row],[Valor Unit]]*TAB_OFICINAS[[#This Row],[Qtd pçs Enviadas]]," ")</f>
        <v>1963</v>
      </c>
      <c r="W781" s="26">
        <f>TAB_OFICINAS[[#This Row],[Data Retorno Produção]]+10</f>
        <v>46209</v>
      </c>
      <c r="X781" s="17" t="s">
        <v>6251</v>
      </c>
      <c r="Y781" s="27" t="s">
        <v>23542</v>
      </c>
      <c r="Z7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2" spans="3:26" hidden="1">
      <c r="C782" s="28" t="s">
        <v>7</v>
      </c>
      <c r="D782" s="5">
        <v>96</v>
      </c>
      <c r="E782" s="5">
        <v>23527</v>
      </c>
      <c r="F782" s="28" t="str">
        <f>IFERROR(VLOOKUP(TAB_OFICINAS[[#This Row],[Cliente]],LISTA_DE_CLIENTES[[Código]:[Nome Fantasia]],2,FALSE),"")</f>
        <v>DEVILLE HOTEIS E TURISMO LTDA</v>
      </c>
      <c r="G782" s="2" t="str">
        <f>IFERROR(VLOOKUP(TAB_OFICINAS[[#This Row],[Cliente]],LISTA_DE_CLIENTES[[Código]:[Nome Fantasia]],3,FALSE),"")</f>
        <v>MARRIOT GUARULHOS</v>
      </c>
      <c r="H782" s="63">
        <v>92115039920</v>
      </c>
      <c r="I782" s="28" t="s">
        <v>23006</v>
      </c>
      <c r="J782" s="91">
        <v>65</v>
      </c>
      <c r="K782" s="86">
        <v>46175</v>
      </c>
      <c r="L782" s="34">
        <v>65</v>
      </c>
      <c r="M782" s="6">
        <v>46193</v>
      </c>
      <c r="N782" s="6">
        <v>46184</v>
      </c>
      <c r="O782" s="19">
        <f>TAB_OFICINAS[[#This Row],[Data Retorno Produção]]-TAB_OFICINAS[[#This Row],[Data Prometida  Entrega]]</f>
        <v>-9</v>
      </c>
      <c r="P782" s="40" t="str">
        <f>IF(TAB_OFICINAS[[#This Row],[Dias Para Entrega]]&lt;=0,"Em dia","Dia de Atrasado")</f>
        <v>Em dia</v>
      </c>
      <c r="Q782" s="10">
        <f>IFERROR(TAB_OFICINAS[[#This Row],[Qtd pçs Enviadas]]-TAB_OFICINAS[[#This Row],[Qtd pçs Retornadas ]]," ")</f>
        <v>0</v>
      </c>
      <c r="R782" s="10"/>
      <c r="S782" s="5">
        <v>3246</v>
      </c>
      <c r="T782" s="5">
        <v>43</v>
      </c>
      <c r="U782" s="1">
        <v>13</v>
      </c>
      <c r="V782" s="3">
        <f>IFERROR(TAB_OFICINAS[[#This Row],[Valor Unit]]*TAB_OFICINAS[[#This Row],[Qtd pçs Enviadas]]," ")</f>
        <v>845</v>
      </c>
      <c r="W782" s="17">
        <v>46195</v>
      </c>
      <c r="X782" s="5" t="s">
        <v>6251</v>
      </c>
      <c r="Y782" s="4"/>
      <c r="Z78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3" spans="3:26" hidden="1">
      <c r="C783" s="28" t="s">
        <v>7</v>
      </c>
      <c r="D783" s="5">
        <v>4312</v>
      </c>
      <c r="E783" s="5">
        <v>22950</v>
      </c>
      <c r="F783" s="28" t="str">
        <f>IFERROR(VLOOKUP(TAB_OFICINAS[[#This Row],[Cliente]],LISTA_DE_CLIENTES[[Código]:[Nome Fantasia]],2,FALSE),"")</f>
        <v>BORGO HOTELARIA E RESTAURANTE LTDA</v>
      </c>
      <c r="G783" s="5" t="str">
        <f>IFERROR(VLOOKUP(TAB_OFICINAS[[#This Row],[Cliente]],LISTA_DE_CLIENTES[[Código]:[Nome Fantasia]],3,FALSE),"")</f>
        <v>BORGO DEL VINO HOTEL</v>
      </c>
      <c r="H783" s="51">
        <v>92104107588</v>
      </c>
      <c r="I783" s="28" t="str">
        <f>IFERROR(VLOOKUP(TAB_OFICINAS[[#This Row],[Codigo Produto ]],_000___PEDIDOS_DE_CLIENTES[[Data.Column2]:[Descrição Produto]],2,FALSE)," ")</f>
        <v>FRONHA 2 ABAS 5cm - CLASSIC - 400F 100% ALGODÃO ( NOVO ) - 0,50 X 0,70</v>
      </c>
      <c r="J783" s="91">
        <v>80</v>
      </c>
      <c r="K783" s="86">
        <v>46185</v>
      </c>
      <c r="L783" s="10">
        <v>80</v>
      </c>
      <c r="M783" s="6">
        <v>46195</v>
      </c>
      <c r="N783" s="6">
        <v>46189</v>
      </c>
      <c r="O783" s="19">
        <f>TAB_OFICINAS[[#This Row],[Data Retorno Produção]]-TAB_OFICINAS[[#This Row],[Data Prometida  Entrega]]</f>
        <v>-6</v>
      </c>
      <c r="P783" s="99" t="str">
        <f>IF(TAB_OFICINAS[[#This Row],[Dias Para Entrega]]&lt;=0,"Em dia","Dia de Atrasado")</f>
        <v>Em dia</v>
      </c>
      <c r="Q783" s="10">
        <f>IFERROR(TAB_OFICINAS[[#This Row],[Qtd pçs Enviadas]]-TAB_OFICINAS[[#This Row],[Qtd pçs Retornadas ]]," ")</f>
        <v>0</v>
      </c>
      <c r="R783" s="10"/>
      <c r="S783" s="5">
        <v>3270</v>
      </c>
      <c r="T783" s="5">
        <v>44</v>
      </c>
      <c r="U783" s="52">
        <v>4.3</v>
      </c>
      <c r="V783" s="44">
        <f>IFERROR(TAB_OFICINAS[[#This Row],[Valor Unit]]*TAB_OFICINAS[[#This Row],[Qtd pçs Enviadas]]," ")</f>
        <v>344</v>
      </c>
      <c r="W783" s="17">
        <f>TAB_OFICINAS[[#This Row],[Data Retorno Produção]]+10</f>
        <v>46199</v>
      </c>
      <c r="X783" s="5" t="s">
        <v>6251</v>
      </c>
      <c r="Y783" s="27"/>
      <c r="Z78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4" spans="3:26" hidden="1">
      <c r="C784" s="28" t="s">
        <v>7</v>
      </c>
      <c r="D784" s="5">
        <v>4312</v>
      </c>
      <c r="E784" s="5">
        <v>22950</v>
      </c>
      <c r="F784" s="28" t="str">
        <f>IFERROR(VLOOKUP(TAB_OFICINAS[[#This Row],[Cliente]],LISTA_DE_CLIENTES[[Código]:[Nome Fantasia]],2,FALSE),"")</f>
        <v>BORGO HOTELARIA E RESTAURANTE LTDA</v>
      </c>
      <c r="G784" s="5" t="str">
        <f>IFERROR(VLOOKUP(TAB_OFICINAS[[#This Row],[Cliente]],LISTA_DE_CLIENTES[[Código]:[Nome Fantasia]],3,FALSE),"")</f>
        <v>BORGO DEL VINO HOTEL</v>
      </c>
      <c r="H784" s="51">
        <v>92108341082</v>
      </c>
      <c r="I784" s="28" t="str">
        <f>IFERROR(VLOOKUP(TAB_OFICINAS[[#This Row],[Codigo Produto ]],_000___PEDIDOS_DE_CLIENTES[[Data.Column2]:[Descrição Produto]],2,FALSE)," ")</f>
        <v>SUPER FRONHA 2 ABAS 5CM CLASSIC 400F 100%
ALGODÃO 0,50 X 0,90</v>
      </c>
      <c r="J784" s="91">
        <v>60</v>
      </c>
      <c r="K784" s="86">
        <v>46185</v>
      </c>
      <c r="L784" s="10">
        <v>60</v>
      </c>
      <c r="M784" s="6">
        <v>46195</v>
      </c>
      <c r="N784" s="6">
        <v>46189</v>
      </c>
      <c r="O784" s="19">
        <f>TAB_OFICINAS[[#This Row],[Data Retorno Produção]]-TAB_OFICINAS[[#This Row],[Data Prometida  Entrega]]</f>
        <v>-6</v>
      </c>
      <c r="P784" s="99" t="str">
        <f>IF(TAB_OFICINAS[[#This Row],[Dias Para Entrega]]&lt;=0,"Em dia","Dia de Atrasado")</f>
        <v>Em dia</v>
      </c>
      <c r="Q784" s="10">
        <f>IFERROR(TAB_OFICINAS[[#This Row],[Qtd pçs Enviadas]]-TAB_OFICINAS[[#This Row],[Qtd pçs Retornadas ]],"N/D ")</f>
        <v>0</v>
      </c>
      <c r="R784" s="10"/>
      <c r="S784" s="5">
        <v>3270</v>
      </c>
      <c r="T784" s="5">
        <v>44</v>
      </c>
      <c r="U784" s="52">
        <v>4.9000000000000004</v>
      </c>
      <c r="V784" s="44">
        <f>IFERROR(TAB_OFICINAS[[#This Row],[Valor Unit]]*TAB_OFICINAS[[#This Row],[Qtd pçs Enviadas]]," ")</f>
        <v>294</v>
      </c>
      <c r="W784" s="17">
        <f>TAB_OFICINAS[[#This Row],[Data Retorno Produção]]+10</f>
        <v>46199</v>
      </c>
      <c r="X784" s="5" t="s">
        <v>6251</v>
      </c>
      <c r="Y784" s="27"/>
      <c r="Z78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5" spans="3:26" hidden="1">
      <c r="C785" s="28" t="s">
        <v>7</v>
      </c>
      <c r="D785" s="5">
        <v>4312</v>
      </c>
      <c r="E785" s="5">
        <v>22950</v>
      </c>
      <c r="F785" s="28" t="str">
        <f>IFERROR(VLOOKUP(TAB_OFICINAS[[#This Row],[Cliente]],LISTA_DE_CLIENTES[[Código]:[Nome Fantasia]],2,FALSE),"")</f>
        <v>BORGO HOTELARIA E RESTAURANTE LTDA</v>
      </c>
      <c r="G785" s="5" t="str">
        <f>IFERROR(VLOOKUP(TAB_OFICINAS[[#This Row],[Cliente]],LISTA_DE_CLIENTES[[Código]:[Nome Fantasia]],3,FALSE),"")</f>
        <v>BORGO DEL VINO HOTEL</v>
      </c>
      <c r="H785" s="51">
        <v>98111208582</v>
      </c>
      <c r="I785" s="28" t="str">
        <f>IFERROR(VLOOKUP(TAB_OFICINAS[[#This Row],[Codigo Produto ]],_000___PEDIDOS_DE_CLIENTES[[Data.Column2]:[Descrição Produto]],2,FALSE)," ")</f>
        <v>CAPA ROLINHO 400F CLASSIC 0,40 X 0,16</v>
      </c>
      <c r="J785" s="91">
        <v>40</v>
      </c>
      <c r="K785" s="86">
        <v>46185</v>
      </c>
      <c r="L785" s="10">
        <v>40</v>
      </c>
      <c r="M785" s="6">
        <v>46195</v>
      </c>
      <c r="N785" s="6">
        <v>46189</v>
      </c>
      <c r="O785" s="19">
        <f>TAB_OFICINAS[[#This Row],[Data Retorno Produção]]-TAB_OFICINAS[[#This Row],[Data Prometida  Entrega]]</f>
        <v>-6</v>
      </c>
      <c r="P785" s="99" t="str">
        <f>IF(TAB_OFICINAS[[#This Row],[Dias Para Entrega]]&lt;=0,"Em dia","Dia de Atrasado")</f>
        <v>Em dia</v>
      </c>
      <c r="Q785" s="10">
        <f>IFERROR(TAB_OFICINAS[[#This Row],[Qtd pçs Enviadas]]-TAB_OFICINAS[[#This Row],[Qtd pçs Retornadas ]],"N/D ")</f>
        <v>0</v>
      </c>
      <c r="R785" s="10"/>
      <c r="S785" s="5">
        <v>3270</v>
      </c>
      <c r="T785" s="5">
        <v>44</v>
      </c>
      <c r="U785" s="52">
        <v>6</v>
      </c>
      <c r="V785" s="44">
        <f>IFERROR(TAB_OFICINAS[[#This Row],[Valor Unit]]*TAB_OFICINAS[[#This Row],[Qtd pçs Enviadas]]," ")</f>
        <v>240</v>
      </c>
      <c r="W785" s="17">
        <f>TAB_OFICINAS[[#This Row],[Data Retorno Produção]]+10</f>
        <v>46199</v>
      </c>
      <c r="X785" s="5" t="s">
        <v>6251</v>
      </c>
      <c r="Y785" s="27"/>
      <c r="Z78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6" spans="3:26" hidden="1">
      <c r="C786" s="28" t="s">
        <v>7</v>
      </c>
      <c r="D786" s="5">
        <v>4312</v>
      </c>
      <c r="E786" s="5">
        <v>22950</v>
      </c>
      <c r="F786" s="28" t="str">
        <f>IFERROR(VLOOKUP(TAB_OFICINAS[[#This Row],[Cliente]],LISTA_DE_CLIENTES[[Código]:[Nome Fantasia]],2,FALSE),"")</f>
        <v>BORGO HOTELARIA E RESTAURANTE LTDA</v>
      </c>
      <c r="G786" s="5" t="str">
        <f>IFERROR(VLOOKUP(TAB_OFICINAS[[#This Row],[Cliente]],LISTA_DE_CLIENTES[[Código]:[Nome Fantasia]],3,FALSE),"")</f>
        <v>BORGO DEL VINO HOTEL</v>
      </c>
      <c r="H786" s="51">
        <v>2120059936</v>
      </c>
      <c r="I786" s="28" t="str">
        <f>IFERROR(VLOOKUP(TAB_OFICINAS[[#This Row],[Codigo Produto ]],_000___PEDIDOS_DE_CLIENTES[[Data.Column2]:[Descrição Produto]],2,FALSE)," ")</f>
        <v>SAIA BRIM BRANCO 0,89 X 1,98 X 0,35 MOLDURA E TRANSPASSE</v>
      </c>
      <c r="J786" s="91">
        <v>6</v>
      </c>
      <c r="K786" s="86">
        <v>46185</v>
      </c>
      <c r="L786" s="10">
        <v>6</v>
      </c>
      <c r="M786" s="6">
        <v>46195</v>
      </c>
      <c r="N786" s="6">
        <v>46189</v>
      </c>
      <c r="O786" s="19">
        <f>TAB_OFICINAS[[#This Row],[Data Retorno Produção]]-TAB_OFICINAS[[#This Row],[Data Prometida  Entrega]]</f>
        <v>-6</v>
      </c>
      <c r="P786" s="99" t="str">
        <f>IF(TAB_OFICINAS[[#This Row],[Dias Para Entrega]]&lt;=0,"Em dia","Dia de Atrasado")</f>
        <v>Em dia</v>
      </c>
      <c r="Q786" s="10">
        <f>IFERROR(TAB_OFICINAS[[#This Row],[Qtd pçs Enviadas]]-TAB_OFICINAS[[#This Row],[Qtd pçs Retornadas ]],"N/D ")</f>
        <v>0</v>
      </c>
      <c r="R786" s="10"/>
      <c r="S786" s="5">
        <v>3270</v>
      </c>
      <c r="T786" s="5">
        <v>44</v>
      </c>
      <c r="U786" s="52">
        <v>12</v>
      </c>
      <c r="V786" s="44">
        <f>IFERROR(TAB_OFICINAS[[#This Row],[Valor Unit]]*TAB_OFICINAS[[#This Row],[Qtd pçs Enviadas]]," ")</f>
        <v>72</v>
      </c>
      <c r="W786" s="17">
        <f>TAB_OFICINAS[[#This Row],[Data Retorno Produção]]+10</f>
        <v>46199</v>
      </c>
      <c r="X786" s="5" t="s">
        <v>6251</v>
      </c>
      <c r="Y786" s="27"/>
      <c r="Z78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7" spans="3:26" hidden="1">
      <c r="C787" s="28" t="s">
        <v>7</v>
      </c>
      <c r="D787" s="5">
        <v>5391</v>
      </c>
      <c r="E787" s="5">
        <v>23555</v>
      </c>
      <c r="F787" s="28" t="str">
        <f>IFERROR(VLOOKUP(TAB_OFICINAS[[#This Row],[Cliente]],LISTA_DE_CLIENTES[[Código]:[Nome Fantasia]],2,FALSE),"")</f>
        <v>PACIFICO OPERACOES HOSPITALARES S.A</v>
      </c>
      <c r="G787" s="2" t="str">
        <f>IFERROR(VLOOKUP(TAB_OFICINAS[[#This Row],[Cliente]],LISTA_DE_CLIENTES[[Código]:[Nome Fantasia]],3,FALSE),"")</f>
        <v>MATERNIDADE SAO LUIZ</v>
      </c>
      <c r="H787" s="51">
        <v>2101102488</v>
      </c>
      <c r="I787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787" s="91">
        <v>303</v>
      </c>
      <c r="K787" s="88">
        <v>46189</v>
      </c>
      <c r="L787" s="9">
        <v>303</v>
      </c>
      <c r="M787" s="6">
        <v>46206</v>
      </c>
      <c r="N787" s="6">
        <v>46198</v>
      </c>
      <c r="O787" s="23">
        <f>TAB_OFICINAS[[#This Row],[Data Retorno Produção]]-TAB_OFICINAS[[#This Row],[Data Prometida  Entrega]]</f>
        <v>-8</v>
      </c>
      <c r="P787" s="98" t="str">
        <f>IF(TAB_OFICINAS[[#This Row],[Dias Para Entrega]]&lt;=0,"Em dia","Dia de Atrasado")</f>
        <v>Em dia</v>
      </c>
      <c r="Q787" s="10">
        <f>IFERROR(TAB_OFICINAS[[#This Row],[Qtd pçs Enviadas]]-TAB_OFICINAS[[#This Row],[Qtd pçs Retornadas ]]," ")</f>
        <v>0</v>
      </c>
      <c r="R787" s="24"/>
      <c r="S787" s="5">
        <v>889</v>
      </c>
      <c r="T787" s="5">
        <v>45</v>
      </c>
      <c r="U787" s="11">
        <v>6.5</v>
      </c>
      <c r="V787" s="25">
        <f>IFERROR(TAB_OFICINAS[[#This Row],[Valor Unit]]*TAB_OFICINAS[[#This Row],[Qtd pçs Enviadas]]," ")</f>
        <v>1969.5</v>
      </c>
      <c r="W787" s="26">
        <f>TAB_OFICINAS[[#This Row],[Data Retorno Produção]]+11</f>
        <v>46209</v>
      </c>
      <c r="X787" s="17" t="s">
        <v>6251</v>
      </c>
      <c r="Y787" s="27"/>
      <c r="Z7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8" spans="3:26" hidden="1">
      <c r="C788" s="28" t="s">
        <v>7</v>
      </c>
      <c r="D788" s="5">
        <v>3660</v>
      </c>
      <c r="E788" s="5">
        <v>23695</v>
      </c>
      <c r="F788" s="28" t="str">
        <f>IFERROR(VLOOKUP(TAB_OFICINAS[[#This Row],[Cliente]],LISTA_DE_CLIENTES[[Código]:[Nome Fantasia]],2,FALSE),"")</f>
        <v>HOSPITAL ESPERANCA SA</v>
      </c>
      <c r="H788" s="51">
        <v>2101067951</v>
      </c>
      <c r="I788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788" s="91">
        <v>386</v>
      </c>
      <c r="K788" s="88">
        <v>46198</v>
      </c>
      <c r="L788" s="9">
        <v>386</v>
      </c>
      <c r="M788" s="6">
        <v>46211</v>
      </c>
      <c r="N788" s="6">
        <f ca="1">TODAY()</f>
        <v>46315</v>
      </c>
      <c r="O788" s="23">
        <f ca="1">TAB_OFICINAS[[#This Row],[Data Retorno Produção]]-TAB_OFICINAS[[#This Row],[Data Prometida  Entrega]]</f>
        <v>104</v>
      </c>
      <c r="P788" s="98" t="str">
        <f ca="1">IF(TAB_OFICINAS[[#This Row],[Dias Para Entrega]]&lt;=0,"Em dia","Dia de Atrasado")</f>
        <v>Dia de Atrasado</v>
      </c>
      <c r="Q788" s="10">
        <f>IFERROR(TAB_OFICINAS[[#This Row],[Qtd pçs Enviadas]]-TAB_OFICINAS[[#This Row],[Qtd pçs Retornadas ]]," ")</f>
        <v>0</v>
      </c>
      <c r="R788" s="24"/>
      <c r="S788" s="5">
        <v>899</v>
      </c>
      <c r="T788" s="5">
        <v>46</v>
      </c>
      <c r="U788" s="11">
        <v>7.5</v>
      </c>
      <c r="V788" s="25">
        <f>IFERROR(TAB_OFICINAS[[#This Row],[Valor Unit]]*TAB_OFICINAS[[#This Row],[Qtd pçs Enviadas]]," ")</f>
        <v>2895</v>
      </c>
      <c r="W788" s="26">
        <f ca="1">TAB_OFICINAS[[#This Row],[Data Retorno Produção]]+11</f>
        <v>46326</v>
      </c>
      <c r="X788" s="17" t="s">
        <v>6251</v>
      </c>
      <c r="Y788" s="27"/>
      <c r="Z7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89" spans="3:26" ht="28.5" hidden="1">
      <c r="C789" s="101" t="s">
        <v>21197</v>
      </c>
      <c r="D789" s="102">
        <v>3660</v>
      </c>
      <c r="E789" s="102">
        <v>23695</v>
      </c>
      <c r="F789" s="101" t="str">
        <f>IFERROR(VLOOKUP(TAB_OFICINAS[[#This Row],[Cliente]],LISTA_DE_CLIENTES[[Código]:[Nome Fantasia]],2,FALSE),"")</f>
        <v>HOSPITAL ESPERANCA SA</v>
      </c>
      <c r="G789" s="103" t="str">
        <f>IFERROR(VLOOKUP(TAB_OFICINAS[[#This Row],[Cliente]],LISTA_DE_CLIENTES[[Código]:[Nome Fantasia]],3,FALSE),"")</f>
        <v>HOSPITAL ALIANÇA</v>
      </c>
      <c r="H789" s="121">
        <v>2101067951</v>
      </c>
      <c r="I789" s="101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789" s="104">
        <v>400</v>
      </c>
      <c r="K789" s="111">
        <v>46199</v>
      </c>
      <c r="L789" s="9">
        <v>400</v>
      </c>
      <c r="M789" s="105">
        <v>46211</v>
      </c>
      <c r="N789" s="105">
        <v>46207</v>
      </c>
      <c r="O789" s="112">
        <f>TAB_OFICINAS[[#This Row],[Data Retorno Produção]]-TAB_OFICINAS[[#This Row],[Data Prometida  Entrega]]</f>
        <v>-4</v>
      </c>
      <c r="P789" s="113" t="str">
        <f>IF(TAB_OFICINAS[[#This Row],[Dias Para Entrega]]&lt;=0,"Em dia","Dia de Atrasado")</f>
        <v>Em dia</v>
      </c>
      <c r="Q789" s="114">
        <v>0</v>
      </c>
      <c r="R789" s="114"/>
      <c r="S789" s="102">
        <v>901</v>
      </c>
      <c r="T789" s="102">
        <v>77</v>
      </c>
      <c r="U789" s="115">
        <v>7.5</v>
      </c>
      <c r="V789" s="116">
        <f>IFERROR(TAB_OFICINAS[[#This Row],[Valor Unit]]*TAB_OFICINAS[[#This Row],[Qtd pçs Enviadas]]," ")</f>
        <v>3000</v>
      </c>
      <c r="W789" s="117">
        <f>TAB_OFICINAS[[#This Row],[Data Retorno Produção]]+10</f>
        <v>46217</v>
      </c>
      <c r="X789" s="109" t="s">
        <v>6251</v>
      </c>
      <c r="Y789" s="89" t="s">
        <v>23542</v>
      </c>
      <c r="Z789" s="118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0" spans="3:26" hidden="1">
      <c r="C790" s="28" t="s">
        <v>1</v>
      </c>
      <c r="D790" s="5">
        <v>1858</v>
      </c>
      <c r="E790" s="5">
        <v>23354</v>
      </c>
      <c r="F790" s="28" t="str">
        <f>IFERROR(VLOOKUP(TAB_OFICINAS[[#This Row],[Cliente]],LISTA_DE_CLIENTES[[Código]:[Nome Fantasia]],2,FALSE),"")</f>
        <v>SCP ADMINISTRADORA HOTEL PAMPULHA</v>
      </c>
      <c r="G790" s="5" t="str">
        <f>IFERROR(VLOOKUP(TAB_OFICINAS[[#This Row],[Cliente]],LISTA_DE_CLIENTES[[Código]:[Nome Fantasia]],3,FALSE),"")</f>
        <v>QUALITY PAMPULHA</v>
      </c>
      <c r="H790" s="63">
        <v>92101042469</v>
      </c>
      <c r="I790" s="28" t="s">
        <v>22452</v>
      </c>
      <c r="J790" s="91">
        <v>2</v>
      </c>
      <c r="K790" s="86">
        <v>46146</v>
      </c>
      <c r="L790" s="10">
        <v>2</v>
      </c>
      <c r="M790" s="6">
        <v>46150</v>
      </c>
      <c r="N790" s="6">
        <v>46147</v>
      </c>
      <c r="O790" s="19">
        <f>TAB_OFICINAS[[#This Row],[Data Retorno Produção]]-TAB_OFICINAS[[#This Row],[Data Prometida  Entrega]]</f>
        <v>-3</v>
      </c>
      <c r="P790" s="40" t="str">
        <f>IF(TAB_OFICINAS[[#This Row],[Dias Para Entrega]]&lt;=0,"Em dia","Dia de Atrasado")</f>
        <v>Em dia</v>
      </c>
      <c r="Q790" s="10">
        <f>IFERROR(TAB_OFICINAS[[#This Row],[Qtd pçs Enviadas]]-TAB_OFICINAS[[#This Row],[Qtd pçs Retornadas ]]," ")</f>
        <v>0</v>
      </c>
      <c r="R790" s="10"/>
      <c r="S790" s="5">
        <v>816</v>
      </c>
      <c r="T790" s="5">
        <v>49</v>
      </c>
      <c r="U790" s="52">
        <v>8</v>
      </c>
      <c r="V790" s="44">
        <f>IFERROR(TAB_OFICINAS[[#This Row],[Valor Unit]]*TAB_OFICINAS[[#This Row],[Qtd pçs Enviadas]]," ")</f>
        <v>16</v>
      </c>
      <c r="W790" s="17">
        <f>TAB_OFICINAS[[#This Row],[Data Retorno Produção]]+10</f>
        <v>46157</v>
      </c>
      <c r="X790" s="5" t="s">
        <v>6251</v>
      </c>
      <c r="Y790" s="27"/>
      <c r="Z79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1" spans="3:26" hidden="1">
      <c r="F791" s="28" t="str">
        <f>IFERROR(VLOOKUP(TAB_OFICINAS[[#This Row],[Cliente]],LISTA_DE_CLIENTES[[Código]:[Nome Fantasia]],2,FALSE),"")</f>
        <v/>
      </c>
      <c r="G791" s="5" t="str">
        <f>IFERROR(VLOOKUP(TAB_OFICINAS[[#This Row],[Cliente]],LISTA_DE_CLIENTES[[Código]:[Nome Fantasia]],3,FALSE),"")</f>
        <v/>
      </c>
      <c r="H791" s="63">
        <v>3301084129</v>
      </c>
      <c r="I791" s="28" t="s">
        <v>21238</v>
      </c>
      <c r="J791" s="91">
        <v>100</v>
      </c>
      <c r="K791" s="86">
        <v>46125</v>
      </c>
      <c r="L791" s="10"/>
      <c r="M791" s="6">
        <v>46133</v>
      </c>
      <c r="N791" s="6">
        <f ca="1">TODAY()</f>
        <v>46315</v>
      </c>
      <c r="O791" s="19">
        <f ca="1">TAB_OFICINAS[[#This Row],[Data Retorno Produção]]-TAB_OFICINAS[[#This Row],[Data Prometida  Entrega]]</f>
        <v>182</v>
      </c>
      <c r="P791" s="40" t="str">
        <f ca="1">IF(TAB_OFICINAS[[#This Row],[Dias Para Entrega]]&lt;=0,"Em dia","Dia de Atrasado")</f>
        <v>Dia de Atrasado</v>
      </c>
      <c r="Q791" s="10">
        <f>IFERROR(TAB_OFICINAS[[#This Row],[Qtd pçs Enviadas]]-TAB_OFICINAS[[#This Row],[Qtd pçs Retornadas ]]," ")</f>
        <v>100</v>
      </c>
      <c r="R791" s="10"/>
      <c r="S791" s="5">
        <v>746</v>
      </c>
      <c r="U791" s="52">
        <v>3.85</v>
      </c>
      <c r="V791" s="44">
        <f>IFERROR(TAB_OFICINAS[[#This Row],[Valor Unit]]*TAB_OFICINAS[[#This Row],[Qtd pçs Enviadas]]," ")</f>
        <v>385</v>
      </c>
      <c r="W791" s="17"/>
      <c r="X791" s="5" t="s">
        <v>6251</v>
      </c>
      <c r="Y791" s="27" t="s">
        <v>21572</v>
      </c>
      <c r="Z791" s="40" t="str">
        <f>IF(TAB_OFICINAS[[#This Row],[Qtd pçs Enviadas]]=TAB_OFICINAS[[#This Row],[Qtd pçs Retornadas ]],"Produção Finalizada",TAB_OFICINAS[[#This Row],[Qtd pçs Pendetente ]] &amp; " " &amp; "Pçs Pendente")</f>
        <v>100 Pçs Pendente</v>
      </c>
    </row>
    <row r="792" spans="3:26" hidden="1">
      <c r="C792" s="28" t="s">
        <v>3</v>
      </c>
      <c r="D792" s="5">
        <v>3346</v>
      </c>
      <c r="E792" s="5">
        <v>23073</v>
      </c>
      <c r="F792" s="28" t="str">
        <f>IFERROR(VLOOKUP(TAB_OFICINAS[[#This Row],[Cliente]],LISTA_DE_CLIENTES[[Código]:[Nome Fantasia]],2,FALSE),"")</f>
        <v>REDE D´OR SAO LUIZ S.A.</v>
      </c>
      <c r="G792" s="5" t="str">
        <f>IFERROR(VLOOKUP(TAB_OFICINAS[[#This Row],[Cliente]],LISTA_DE_CLIENTES[[Código]:[Nome Fantasia]],3,FALSE),"")</f>
        <v>MEMORIAL STAR</v>
      </c>
      <c r="H792" s="63">
        <v>2103062485</v>
      </c>
      <c r="I792" s="28" t="s">
        <v>20770</v>
      </c>
      <c r="J792" s="91">
        <v>500</v>
      </c>
      <c r="K792" s="86">
        <v>46128</v>
      </c>
      <c r="L792" s="10"/>
      <c r="M792" s="6">
        <v>46140</v>
      </c>
      <c r="N792" s="6">
        <f ca="1">TODAY()</f>
        <v>46315</v>
      </c>
      <c r="O792" s="19">
        <f ca="1">TAB_OFICINAS[[#This Row],[Data Retorno Produção]]-TAB_OFICINAS[[#This Row],[Data Prometida  Entrega]]</f>
        <v>175</v>
      </c>
      <c r="P792" s="40" t="str">
        <f ca="1">IF(TAB_OFICINAS[[#This Row],[Dias Para Entrega]]&lt;=0,"Em dia","Dia de Atrasado")</f>
        <v>Dia de Atrasado</v>
      </c>
      <c r="Q792" s="10">
        <f>IFERROR(TAB_OFICINAS[[#This Row],[Qtd pçs Enviadas]]-TAB_OFICINAS[[#This Row],[Qtd pçs Retornadas ]]," ")</f>
        <v>500</v>
      </c>
      <c r="R792" s="10"/>
      <c r="S792" s="5">
        <v>765</v>
      </c>
      <c r="U792" s="52">
        <v>5.15</v>
      </c>
      <c r="V792" s="44">
        <f>IFERROR(TAB_OFICINAS[[#This Row],[Valor Unit]]*TAB_OFICINAS[[#This Row],[Qtd pçs Enviadas]]," ")</f>
        <v>2575</v>
      </c>
      <c r="W792" s="17"/>
      <c r="X792" s="5" t="s">
        <v>6251</v>
      </c>
      <c r="Y792" s="27"/>
      <c r="Z792" s="40" t="str">
        <f>IF(TAB_OFICINAS[[#This Row],[Qtd pçs Enviadas]]=TAB_OFICINAS[[#This Row],[Qtd pçs Retornadas ]],"Produção Finalizada",TAB_OFICINAS[[#This Row],[Qtd pçs Pendetente ]] &amp; " " &amp; "Pçs Pendente")</f>
        <v>500 Pçs Pendente</v>
      </c>
    </row>
    <row r="793" spans="3:26" hidden="1">
      <c r="C793" s="28" t="s">
        <v>1</v>
      </c>
      <c r="D793" s="5">
        <v>1858</v>
      </c>
      <c r="E793" s="5">
        <v>23354</v>
      </c>
      <c r="F793" s="28" t="str">
        <f>IFERROR(VLOOKUP(TAB_OFICINAS[[#This Row],[Cliente]],LISTA_DE_CLIENTES[[Código]:[Nome Fantasia]],2,FALSE),"")</f>
        <v>SCP ADMINISTRADORA HOTEL PAMPULHA</v>
      </c>
      <c r="G793" s="5" t="str">
        <f>IFERROR(VLOOKUP(TAB_OFICINAS[[#This Row],[Cliente]],LISTA_DE_CLIENTES[[Código]:[Nome Fantasia]],3,FALSE),"")</f>
        <v>QUALITY PAMPULHA</v>
      </c>
      <c r="H793" s="63">
        <v>92101048606</v>
      </c>
      <c r="I793" s="28" t="s">
        <v>22456</v>
      </c>
      <c r="J793" s="91">
        <v>2</v>
      </c>
      <c r="K793" s="86">
        <v>46146</v>
      </c>
      <c r="L793" s="10">
        <v>2</v>
      </c>
      <c r="M793" s="6">
        <v>46150</v>
      </c>
      <c r="N793" s="6">
        <v>46147</v>
      </c>
      <c r="O793" s="19">
        <f>TAB_OFICINAS[[#This Row],[Data Retorno Produção]]-TAB_OFICINAS[[#This Row],[Data Prometida  Entrega]]</f>
        <v>-3</v>
      </c>
      <c r="P793" s="40" t="str">
        <f>IF(TAB_OFICINAS[[#This Row],[Dias Para Entrega]]&lt;=0,"Em dia","Dia de Atrasado")</f>
        <v>Em dia</v>
      </c>
      <c r="Q793" s="10">
        <f>IFERROR(TAB_OFICINAS[[#This Row],[Qtd pçs Enviadas]]-TAB_OFICINAS[[#This Row],[Qtd pçs Retornadas ]]," ")</f>
        <v>0</v>
      </c>
      <c r="R793" s="10"/>
      <c r="S793" s="5">
        <v>816</v>
      </c>
      <c r="T793" s="5">
        <v>49</v>
      </c>
      <c r="U793" s="52">
        <v>7.5</v>
      </c>
      <c r="V793" s="44">
        <f>IFERROR(TAB_OFICINAS[[#This Row],[Valor Unit]]*TAB_OFICINAS[[#This Row],[Qtd pçs Enviadas]]," ")</f>
        <v>15</v>
      </c>
      <c r="W793" s="17">
        <f>TAB_OFICINAS[[#This Row],[Data Retorno Produção]]+10</f>
        <v>46157</v>
      </c>
      <c r="X793" s="5" t="s">
        <v>6251</v>
      </c>
      <c r="Y793" s="27"/>
      <c r="Z79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4" spans="3:26" hidden="1">
      <c r="C794" s="28" t="s">
        <v>1</v>
      </c>
      <c r="D794" s="5">
        <v>1858</v>
      </c>
      <c r="E794" s="5">
        <v>23354</v>
      </c>
      <c r="F794" s="28" t="str">
        <f>IFERROR(VLOOKUP(TAB_OFICINAS[[#This Row],[Cliente]],LISTA_DE_CLIENTES[[Código]:[Nome Fantasia]],2,FALSE),"")</f>
        <v>SCP ADMINISTRADORA HOTEL PAMPULHA</v>
      </c>
      <c r="G794" s="5" t="str">
        <f>IFERROR(VLOOKUP(TAB_OFICINAS[[#This Row],[Cliente]],LISTA_DE_CLIENTES[[Código]:[Nome Fantasia]],3,FALSE),"")</f>
        <v>QUALITY PAMPULHA</v>
      </c>
      <c r="H794" s="63">
        <v>92101025515</v>
      </c>
      <c r="I794" s="28" t="s">
        <v>22450</v>
      </c>
      <c r="J794" s="91">
        <v>1</v>
      </c>
      <c r="K794" s="86">
        <v>46146</v>
      </c>
      <c r="L794" s="10">
        <v>1</v>
      </c>
      <c r="M794" s="6">
        <v>46150</v>
      </c>
      <c r="N794" s="6">
        <v>46147</v>
      </c>
      <c r="O794" s="19">
        <f>TAB_OFICINAS[[#This Row],[Data Retorno Produção]]-TAB_OFICINAS[[#This Row],[Data Prometida  Entrega]]</f>
        <v>-3</v>
      </c>
      <c r="P794" s="40" t="str">
        <f>IF(TAB_OFICINAS[[#This Row],[Dias Para Entrega]]&lt;=0,"Em dia","Dia de Atrasado")</f>
        <v>Em dia</v>
      </c>
      <c r="Q794" s="10">
        <f>IFERROR(TAB_OFICINAS[[#This Row],[Qtd pçs Enviadas]]-TAB_OFICINAS[[#This Row],[Qtd pçs Retornadas ]]," ")</f>
        <v>0</v>
      </c>
      <c r="R794" s="10"/>
      <c r="S794" s="5">
        <v>816</v>
      </c>
      <c r="T794" s="5">
        <v>49</v>
      </c>
      <c r="U794" s="52">
        <v>6</v>
      </c>
      <c r="V794" s="44">
        <f>IFERROR(TAB_OFICINAS[[#This Row],[Valor Unit]]*TAB_OFICINAS[[#This Row],[Qtd pçs Enviadas]]," ")</f>
        <v>6</v>
      </c>
      <c r="W794" s="17">
        <f>TAB_OFICINAS[[#This Row],[Data Retorno Produção]]+10</f>
        <v>46157</v>
      </c>
      <c r="X794" s="5" t="s">
        <v>6251</v>
      </c>
      <c r="Y794" s="27"/>
      <c r="Z79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5" spans="3:26" hidden="1">
      <c r="C795" s="28" t="s">
        <v>1</v>
      </c>
      <c r="D795" s="5">
        <v>1858</v>
      </c>
      <c r="E795" s="5">
        <v>23354</v>
      </c>
      <c r="F795" s="28" t="str">
        <f>IFERROR(VLOOKUP(TAB_OFICINAS[[#This Row],[Cliente]],LISTA_DE_CLIENTES[[Código]:[Nome Fantasia]],2,FALSE),"")</f>
        <v>SCP ADMINISTRADORA HOTEL PAMPULHA</v>
      </c>
      <c r="G795" s="5" t="str">
        <f>IFERROR(VLOOKUP(TAB_OFICINAS[[#This Row],[Cliente]],LISTA_DE_CLIENTES[[Código]:[Nome Fantasia]],3,FALSE),"")</f>
        <v>QUALITY PAMPULHA</v>
      </c>
      <c r="H795" s="63">
        <v>92101048603</v>
      </c>
      <c r="I795" s="28" t="s">
        <v>22454</v>
      </c>
      <c r="J795" s="91">
        <v>2</v>
      </c>
      <c r="K795" s="86">
        <v>46146</v>
      </c>
      <c r="L795" s="10">
        <v>2</v>
      </c>
      <c r="M795" s="6">
        <v>46150</v>
      </c>
      <c r="N795" s="6">
        <v>46147</v>
      </c>
      <c r="O795" s="19">
        <f>TAB_OFICINAS[[#This Row],[Data Retorno Produção]]-TAB_OFICINAS[[#This Row],[Data Prometida  Entrega]]</f>
        <v>-3</v>
      </c>
      <c r="P795" s="40" t="str">
        <f>IF(TAB_OFICINAS[[#This Row],[Dias Para Entrega]]&lt;=0,"Em dia","Dia de Atrasado")</f>
        <v>Em dia</v>
      </c>
      <c r="Q795" s="10">
        <f>IFERROR(TAB_OFICINAS[[#This Row],[Qtd pçs Enviadas]]-TAB_OFICINAS[[#This Row],[Qtd pçs Retornadas ]]," ")</f>
        <v>0</v>
      </c>
      <c r="R795" s="10"/>
      <c r="S795" s="5">
        <v>816</v>
      </c>
      <c r="T795" s="5">
        <v>49</v>
      </c>
      <c r="U795" s="52">
        <v>5.5</v>
      </c>
      <c r="V795" s="44">
        <f>IFERROR(TAB_OFICINAS[[#This Row],[Valor Unit]]*TAB_OFICINAS[[#This Row],[Qtd pçs Enviadas]]," ")</f>
        <v>11</v>
      </c>
      <c r="W795" s="17">
        <f>TAB_OFICINAS[[#This Row],[Data Retorno Produção]]+10</f>
        <v>46157</v>
      </c>
      <c r="X795" s="5" t="s">
        <v>6251</v>
      </c>
      <c r="Y795" s="27"/>
      <c r="Z79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6" spans="3:26" hidden="1">
      <c r="C796" s="28" t="s">
        <v>1</v>
      </c>
      <c r="D796" s="5">
        <v>1858</v>
      </c>
      <c r="E796" s="5">
        <v>23354</v>
      </c>
      <c r="F796" s="28" t="str">
        <f>IFERROR(VLOOKUP(TAB_OFICINAS[[#This Row],[Cliente]],LISTA_DE_CLIENTES[[Código]:[Nome Fantasia]],2,FALSE),"")</f>
        <v>SCP ADMINISTRADORA HOTEL PAMPULHA</v>
      </c>
      <c r="G796" s="5" t="str">
        <f>IFERROR(VLOOKUP(TAB_OFICINAS[[#This Row],[Cliente]],LISTA_DE_CLIENTES[[Código]:[Nome Fantasia]],3,FALSE),"")</f>
        <v>QUALITY PAMPULHA</v>
      </c>
      <c r="H796" s="63">
        <v>92101106303</v>
      </c>
      <c r="I796" s="28" t="s">
        <v>22460</v>
      </c>
      <c r="J796" s="91">
        <v>1</v>
      </c>
      <c r="K796" s="86">
        <v>46146</v>
      </c>
      <c r="L796" s="10">
        <v>1</v>
      </c>
      <c r="M796" s="6">
        <v>46150</v>
      </c>
      <c r="N796" s="6">
        <v>46147</v>
      </c>
      <c r="O796" s="19">
        <f>TAB_OFICINAS[[#This Row],[Data Retorno Produção]]-TAB_OFICINAS[[#This Row],[Data Prometida  Entrega]]</f>
        <v>-3</v>
      </c>
      <c r="P796" s="40" t="str">
        <f>IF(TAB_OFICINAS[[#This Row],[Dias Para Entrega]]&lt;=0,"Em dia","Dia de Atrasado")</f>
        <v>Em dia</v>
      </c>
      <c r="Q796" s="10">
        <f>IFERROR(TAB_OFICINAS[[#This Row],[Qtd pçs Enviadas]]-TAB_OFICINAS[[#This Row],[Qtd pçs Retornadas ]]," ")</f>
        <v>0</v>
      </c>
      <c r="R796" s="10"/>
      <c r="S796" s="5">
        <v>816</v>
      </c>
      <c r="T796" s="5">
        <v>49</v>
      </c>
      <c r="U796" s="52">
        <v>5</v>
      </c>
      <c r="V796" s="44">
        <f>IFERROR(TAB_OFICINAS[[#This Row],[Valor Unit]]*TAB_OFICINAS[[#This Row],[Qtd pçs Enviadas]]," ")</f>
        <v>5</v>
      </c>
      <c r="W796" s="17">
        <f>TAB_OFICINAS[[#This Row],[Data Retorno Produção]]+10</f>
        <v>46157</v>
      </c>
      <c r="X796" s="5" t="s">
        <v>6251</v>
      </c>
      <c r="Y796" s="27"/>
      <c r="Z796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7" spans="3:26" hidden="1">
      <c r="C797" s="28" t="s">
        <v>1</v>
      </c>
      <c r="D797" s="5">
        <v>1858</v>
      </c>
      <c r="E797" s="5">
        <v>23354</v>
      </c>
      <c r="F797" s="28" t="str">
        <f>IFERROR(VLOOKUP(TAB_OFICINAS[[#This Row],[Cliente]],LISTA_DE_CLIENTES[[Código]:[Nome Fantasia]],2,FALSE),"")</f>
        <v>SCP ADMINISTRADORA HOTEL PAMPULHA</v>
      </c>
      <c r="G797" s="5" t="str">
        <f>IFERROR(VLOOKUP(TAB_OFICINAS[[#This Row],[Cliente]],LISTA_DE_CLIENTES[[Código]:[Nome Fantasia]],3,FALSE),"")</f>
        <v>QUALITY PAMPULHA</v>
      </c>
      <c r="H797" s="63">
        <v>92102068609</v>
      </c>
      <c r="I797" s="28" t="s">
        <v>22464</v>
      </c>
      <c r="J797" s="91">
        <v>1</v>
      </c>
      <c r="K797" s="86">
        <v>46146</v>
      </c>
      <c r="L797" s="10">
        <v>1</v>
      </c>
      <c r="M797" s="6">
        <v>46150</v>
      </c>
      <c r="N797" s="6">
        <v>46147</v>
      </c>
      <c r="O797" s="19">
        <f>TAB_OFICINAS[[#This Row],[Data Retorno Produção]]-TAB_OFICINAS[[#This Row],[Data Prometida  Entrega]]</f>
        <v>-3</v>
      </c>
      <c r="P797" s="40" t="str">
        <f>IF(TAB_OFICINAS[[#This Row],[Dias Para Entrega]]&lt;=0,"Em dia","Dia de Atrasado")</f>
        <v>Em dia</v>
      </c>
      <c r="Q797" s="10">
        <f>IFERROR(TAB_OFICINAS[[#This Row],[Qtd pçs Enviadas]]-TAB_OFICINAS[[#This Row],[Qtd pçs Retornadas ]]," ")</f>
        <v>0</v>
      </c>
      <c r="R797" s="10"/>
      <c r="S797" s="5">
        <v>816</v>
      </c>
      <c r="T797" s="5">
        <v>49</v>
      </c>
      <c r="U797" s="52">
        <v>7</v>
      </c>
      <c r="V797" s="44">
        <f>IFERROR(TAB_OFICINAS[[#This Row],[Valor Unit]]*TAB_OFICINAS[[#This Row],[Qtd pçs Enviadas]]," ")</f>
        <v>7</v>
      </c>
      <c r="W797" s="17">
        <f>TAB_OFICINAS[[#This Row],[Data Retorno Produção]]+10</f>
        <v>46157</v>
      </c>
      <c r="X797" s="5" t="s">
        <v>6251</v>
      </c>
      <c r="Y797" s="27"/>
      <c r="Z797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8" spans="3:26" hidden="1">
      <c r="C798" s="28" t="s">
        <v>1</v>
      </c>
      <c r="D798" s="5">
        <v>1858</v>
      </c>
      <c r="E798" s="5">
        <v>23354</v>
      </c>
      <c r="F798" s="28" t="str">
        <f>IFERROR(VLOOKUP(TAB_OFICINAS[[#This Row],[Cliente]],LISTA_DE_CLIENTES[[Código]:[Nome Fantasia]],2,FALSE),"")</f>
        <v>SCP ADMINISTRADORA HOTEL PAMPULHA</v>
      </c>
      <c r="G798" s="5" t="str">
        <f>IFERROR(VLOOKUP(TAB_OFICINAS[[#This Row],[Cliente]],LISTA_DE_CLIENTES[[Código]:[Nome Fantasia]],3,FALSE),"")</f>
        <v>QUALITY PAMPULHA</v>
      </c>
      <c r="H798" s="63">
        <v>92102628604</v>
      </c>
      <c r="I798" s="28" t="s">
        <v>22466</v>
      </c>
      <c r="J798" s="91">
        <v>2</v>
      </c>
      <c r="K798" s="86">
        <v>46146</v>
      </c>
      <c r="L798" s="10">
        <v>2</v>
      </c>
      <c r="M798" s="6">
        <v>46150</v>
      </c>
      <c r="N798" s="6">
        <v>46147</v>
      </c>
      <c r="O798" s="19">
        <f>TAB_OFICINAS[[#This Row],[Data Retorno Produção]]-TAB_OFICINAS[[#This Row],[Data Prometida  Entrega]]</f>
        <v>-3</v>
      </c>
      <c r="P798" s="40" t="str">
        <f>IF(TAB_OFICINAS[[#This Row],[Dias Para Entrega]]&lt;=0,"Em dia","Dia de Atrasado")</f>
        <v>Em dia</v>
      </c>
      <c r="Q798" s="10">
        <f>IFERROR(TAB_OFICINAS[[#This Row],[Qtd pçs Enviadas]]-TAB_OFICINAS[[#This Row],[Qtd pçs Retornadas ]]," ")</f>
        <v>0</v>
      </c>
      <c r="R798" s="10"/>
      <c r="S798" s="5">
        <v>816</v>
      </c>
      <c r="T798" s="5">
        <v>49</v>
      </c>
      <c r="U798" s="52">
        <v>6</v>
      </c>
      <c r="V798" s="44">
        <f>IFERROR(TAB_OFICINAS[[#This Row],[Valor Unit]]*TAB_OFICINAS[[#This Row],[Qtd pçs Enviadas]]," ")</f>
        <v>12</v>
      </c>
      <c r="W798" s="17">
        <f>TAB_OFICINAS[[#This Row],[Data Retorno Produção]]+10</f>
        <v>46157</v>
      </c>
      <c r="X798" s="5" t="s">
        <v>6251</v>
      </c>
      <c r="Y798" s="27"/>
      <c r="Z798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799" spans="3:26" hidden="1">
      <c r="C799" s="28" t="s">
        <v>1</v>
      </c>
      <c r="D799" s="5">
        <v>1858</v>
      </c>
      <c r="E799" s="5">
        <v>23354</v>
      </c>
      <c r="F799" s="28" t="str">
        <f>IFERROR(VLOOKUP(TAB_OFICINAS[[#This Row],[Cliente]],LISTA_DE_CLIENTES[[Código]:[Nome Fantasia]],2,FALSE),"")</f>
        <v>SCP ADMINISTRADORA HOTEL PAMPULHA</v>
      </c>
      <c r="G799" s="5" t="str">
        <f>IFERROR(VLOOKUP(TAB_OFICINAS[[#This Row],[Cliente]],LISTA_DE_CLIENTES[[Código]:[Nome Fantasia]],3,FALSE),"")</f>
        <v>QUALITY PAMPULHA</v>
      </c>
      <c r="H799" s="63">
        <v>92102028607</v>
      </c>
      <c r="I799" s="28" t="s">
        <v>22462</v>
      </c>
      <c r="J799" s="91">
        <v>1</v>
      </c>
      <c r="K799" s="86">
        <v>46146</v>
      </c>
      <c r="L799" s="10">
        <v>1</v>
      </c>
      <c r="M799" s="6">
        <v>46150</v>
      </c>
      <c r="N799" s="6">
        <v>46147</v>
      </c>
      <c r="O799" s="19">
        <f>TAB_OFICINAS[[#This Row],[Data Retorno Produção]]-TAB_OFICINAS[[#This Row],[Data Prometida  Entrega]]</f>
        <v>-3</v>
      </c>
      <c r="P799" s="40" t="str">
        <f>IF(TAB_OFICINAS[[#This Row],[Dias Para Entrega]]&lt;=0,"Em dia","Dia de Atrasado")</f>
        <v>Em dia</v>
      </c>
      <c r="Q799" s="10">
        <f>IFERROR(TAB_OFICINAS[[#This Row],[Qtd pçs Enviadas]]-TAB_OFICINAS[[#This Row],[Qtd pçs Retornadas ]]," ")</f>
        <v>0</v>
      </c>
      <c r="R799" s="10"/>
      <c r="S799" s="5">
        <v>816</v>
      </c>
      <c r="T799" s="5">
        <v>49</v>
      </c>
      <c r="U799" s="52">
        <v>6</v>
      </c>
      <c r="V799" s="44">
        <f>IFERROR(TAB_OFICINAS[[#This Row],[Valor Unit]]*TAB_OFICINAS[[#This Row],[Qtd pçs Enviadas]]," ")</f>
        <v>6</v>
      </c>
      <c r="W799" s="17">
        <f>TAB_OFICINAS[[#This Row],[Data Retorno Produção]]+10</f>
        <v>46157</v>
      </c>
      <c r="X799" s="5" t="s">
        <v>6251</v>
      </c>
      <c r="Y799" s="27"/>
      <c r="Z799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0" spans="3:26" hidden="1">
      <c r="C800" s="28" t="s">
        <v>1</v>
      </c>
      <c r="D800" s="5">
        <v>1858</v>
      </c>
      <c r="E800" s="5">
        <v>23354</v>
      </c>
      <c r="F800" s="28" t="str">
        <f>IFERROR(VLOOKUP(TAB_OFICINAS[[#This Row],[Cliente]],LISTA_DE_CLIENTES[[Código]:[Nome Fantasia]],2,FALSE),"")</f>
        <v>SCP ADMINISTRADORA HOTEL PAMPULHA</v>
      </c>
      <c r="G800" s="5" t="str">
        <f>IFERROR(VLOOKUP(TAB_OFICINAS[[#This Row],[Cliente]],LISTA_DE_CLIENTES[[Código]:[Nome Fantasia]],3,FALSE),"")</f>
        <v>QUALITY PAMPULHA</v>
      </c>
      <c r="H800" s="63">
        <v>92104065539</v>
      </c>
      <c r="I800" s="28" t="s">
        <v>22468</v>
      </c>
      <c r="J800" s="91">
        <v>15</v>
      </c>
      <c r="K800" s="86">
        <v>46146</v>
      </c>
      <c r="L800" s="10">
        <v>15</v>
      </c>
      <c r="M800" s="6">
        <v>46150</v>
      </c>
      <c r="N800" s="6">
        <v>46147</v>
      </c>
      <c r="O800" s="19">
        <f>TAB_OFICINAS[[#This Row],[Data Retorno Produção]]-TAB_OFICINAS[[#This Row],[Data Prometida  Entrega]]</f>
        <v>-3</v>
      </c>
      <c r="P800" s="40" t="str">
        <f>IF(TAB_OFICINAS[[#This Row],[Dias Para Entrega]]&lt;=0,"Em dia","Dia de Atrasado")</f>
        <v>Em dia</v>
      </c>
      <c r="Q800" s="10">
        <f>IFERROR(TAB_OFICINAS[[#This Row],[Qtd pçs Enviadas]]-TAB_OFICINAS[[#This Row],[Qtd pçs Retornadas ]]," ")</f>
        <v>0</v>
      </c>
      <c r="R800" s="10"/>
      <c r="S800" s="5">
        <v>816</v>
      </c>
      <c r="T800" s="5">
        <v>49</v>
      </c>
      <c r="U800" s="52">
        <v>4.5</v>
      </c>
      <c r="V800" s="44">
        <f>IFERROR(TAB_OFICINAS[[#This Row],[Valor Unit]]*TAB_OFICINAS[[#This Row],[Qtd pçs Enviadas]]," ")</f>
        <v>67.5</v>
      </c>
      <c r="W800" s="17">
        <f>TAB_OFICINAS[[#This Row],[Data Retorno Produção]]+10</f>
        <v>46157</v>
      </c>
      <c r="X800" s="5" t="s">
        <v>6251</v>
      </c>
      <c r="Y800" s="27"/>
      <c r="Z800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1" spans="3:26" hidden="1">
      <c r="C801" s="28" t="s">
        <v>1</v>
      </c>
      <c r="D801" s="5">
        <v>943</v>
      </c>
      <c r="E801" s="5">
        <v>22882</v>
      </c>
      <c r="F801" s="28" t="str">
        <f>IFERROR(VLOOKUP(TAB_OFICINAS[[#This Row],[Cliente]],LISTA_DE_CLIENTES[[Código]:[Nome Fantasia]],2,FALSE),"")</f>
        <v>REDE DOR SAO LUIZ S.A.</v>
      </c>
      <c r="G801" s="5" t="str">
        <f>IFERROR(VLOOKUP(TAB_OFICINAS[[#This Row],[Cliente]],LISTA_DE_CLIENTES[[Código]:[Nome Fantasia]],3,FALSE),"")</f>
        <v>HOSPITAL COPA STAR</v>
      </c>
      <c r="H801" s="63">
        <v>2103062485</v>
      </c>
      <c r="I801" s="28" t="s">
        <v>20770</v>
      </c>
      <c r="J801" s="91">
        <v>400</v>
      </c>
      <c r="K801" s="86">
        <v>46142</v>
      </c>
      <c r="L801" s="10">
        <v>400</v>
      </c>
      <c r="M801" s="6">
        <v>46162</v>
      </c>
      <c r="N801" s="6">
        <v>46157</v>
      </c>
      <c r="O801" s="19">
        <f>TAB_OFICINAS[[#This Row],[Data Retorno Produção]]-TAB_OFICINAS[[#This Row],[Data Prometida  Entrega]]</f>
        <v>-5</v>
      </c>
      <c r="P801" s="40" t="str">
        <f>IF(TAB_OFICINAS[[#This Row],[Dias Para Entrega]]&lt;=0,"Em dia","Dia de Atrasado")</f>
        <v>Em dia</v>
      </c>
      <c r="Q801" s="10">
        <f>IFERROR(TAB_OFICINAS[[#This Row],[Qtd pçs Enviadas]]-TAB_OFICINAS[[#This Row],[Qtd pçs Retornadas ]]," ")</f>
        <v>0</v>
      </c>
      <c r="R801" s="10"/>
      <c r="S801" s="5">
        <v>803</v>
      </c>
      <c r="T801" s="5">
        <v>50</v>
      </c>
      <c r="U801" s="52">
        <v>5.15</v>
      </c>
      <c r="V801" s="44">
        <f>IFERROR(TAB_OFICINAS[[#This Row],[Valor Unit]]*TAB_OFICINAS[[#This Row],[Qtd pçs Enviadas]]," ")</f>
        <v>2060</v>
      </c>
      <c r="W801" s="17">
        <f>TAB_OFICINAS[[#This Row],[Data Retorno Produção]]+10</f>
        <v>46167</v>
      </c>
      <c r="X801" s="5" t="s">
        <v>6251</v>
      </c>
      <c r="Y801" s="27"/>
      <c r="Z801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2" spans="3:26" hidden="1">
      <c r="C802" s="28" t="s">
        <v>1</v>
      </c>
      <c r="D802" s="5">
        <v>164</v>
      </c>
      <c r="E802" s="5">
        <v>23220</v>
      </c>
      <c r="F802" s="28" t="str">
        <f>IFERROR(VLOOKUP(TAB_OFICINAS[[#This Row],[Cliente]],LISTA_DE_CLIENTES[[Código]:[Nome Fantasia]],2,FALSE),"")</f>
        <v>HOTEL CURITIBA CAPITAL S/A</v>
      </c>
      <c r="G802" s="5" t="str">
        <f>IFERROR(VLOOKUP(TAB_OFICINAS[[#This Row],[Cliente]],LISTA_DE_CLIENTES[[Código]:[Nome Fantasia]],3,FALSE),"")</f>
        <v>RADISSON CURITIBA</v>
      </c>
      <c r="H802" s="63">
        <v>92115022043</v>
      </c>
      <c r="I802" s="28" t="s">
        <v>22178</v>
      </c>
      <c r="J802" s="91">
        <v>33</v>
      </c>
      <c r="K802" s="86">
        <v>46157</v>
      </c>
      <c r="L802" s="10">
        <v>33</v>
      </c>
      <c r="M802" s="6">
        <v>46164</v>
      </c>
      <c r="N802" s="6">
        <v>46161</v>
      </c>
      <c r="O802" s="19">
        <f>TAB_OFICINAS[[#This Row],[Data Retorno Produção]]-TAB_OFICINAS[[#This Row],[Data Prometida  Entrega]]</f>
        <v>-3</v>
      </c>
      <c r="P802" s="40" t="str">
        <f>IF(TAB_OFICINAS[[#This Row],[Dias Para Entrega]]&lt;=0,"Em dia","Dia de Atrasado")</f>
        <v>Em dia</v>
      </c>
      <c r="Q802" s="10">
        <v>0</v>
      </c>
      <c r="R802" s="10"/>
      <c r="S802" s="5">
        <v>3211</v>
      </c>
      <c r="T802" s="5">
        <v>51</v>
      </c>
      <c r="U802" s="52">
        <v>14</v>
      </c>
      <c r="V802" s="44">
        <f>IFERROR(TAB_OFICINAS[[#This Row],[Valor Unit]]*TAB_OFICINAS[[#This Row],[Qtd pçs Enviadas]]," ")</f>
        <v>462</v>
      </c>
      <c r="W802" s="17">
        <f>TAB_OFICINAS[[#This Row],[Data Retorno Produção]]+10</f>
        <v>46171</v>
      </c>
      <c r="X802" s="5" t="s">
        <v>6251</v>
      </c>
      <c r="Y802" s="27"/>
      <c r="Z802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3" spans="3:26" hidden="1">
      <c r="C803" s="28" t="s">
        <v>1</v>
      </c>
      <c r="D803" s="5">
        <v>164</v>
      </c>
      <c r="E803" s="5">
        <v>23220</v>
      </c>
      <c r="F803" s="28" t="str">
        <f>IFERROR(VLOOKUP(TAB_OFICINAS[[#This Row],[Cliente]],LISTA_DE_CLIENTES[[Código]:[Nome Fantasia]],2,FALSE),"")</f>
        <v>HOTEL CURITIBA CAPITAL S/A</v>
      </c>
      <c r="G803" s="5" t="str">
        <f>IFERROR(VLOOKUP(TAB_OFICINAS[[#This Row],[Cliente]],LISTA_DE_CLIENTES[[Código]:[Nome Fantasia]],3,FALSE),"")</f>
        <v>RADISSON CURITIBA</v>
      </c>
      <c r="H803" s="63">
        <v>92101049640</v>
      </c>
      <c r="I803" s="28" t="s">
        <v>22140</v>
      </c>
      <c r="J803" s="91">
        <v>33</v>
      </c>
      <c r="K803" s="86">
        <v>46157</v>
      </c>
      <c r="L803" s="10">
        <v>33</v>
      </c>
      <c r="M803" s="6">
        <v>46164</v>
      </c>
      <c r="N803" s="6">
        <v>46161</v>
      </c>
      <c r="O803" s="19">
        <f>TAB_OFICINAS[[#This Row],[Data Retorno Produção]]-TAB_OFICINAS[[#This Row],[Data Prometida  Entrega]]</f>
        <v>-3</v>
      </c>
      <c r="P803" s="40" t="str">
        <f>IF(TAB_OFICINAS[[#This Row],[Dias Para Entrega]]&lt;=0,"Em dia","Dia de Atrasado")</f>
        <v>Em dia</v>
      </c>
      <c r="Q803" s="10">
        <v>0</v>
      </c>
      <c r="R803" s="10"/>
      <c r="S803" s="5">
        <v>3211</v>
      </c>
      <c r="T803" s="5">
        <v>51</v>
      </c>
      <c r="U803" s="52">
        <v>8</v>
      </c>
      <c r="V803" s="44">
        <f>IFERROR(TAB_OFICINAS[[#This Row],[Valor Unit]]*TAB_OFICINAS[[#This Row],[Qtd pçs Enviadas]]," ")</f>
        <v>264</v>
      </c>
      <c r="W803" s="17">
        <v>46171</v>
      </c>
      <c r="X803" s="5" t="s">
        <v>6251</v>
      </c>
      <c r="Y803" s="27"/>
      <c r="Z803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4" spans="3:26" hidden="1">
      <c r="C804" s="28" t="s">
        <v>1</v>
      </c>
      <c r="D804" s="5">
        <v>164</v>
      </c>
      <c r="E804" s="5">
        <v>23220</v>
      </c>
      <c r="F804" s="28" t="str">
        <f>IFERROR(VLOOKUP(TAB_OFICINAS[[#This Row],[Cliente]],LISTA_DE_CLIENTES[[Código]:[Nome Fantasia]],2,FALSE),"")</f>
        <v>HOTEL CURITIBA CAPITAL S/A</v>
      </c>
      <c r="G804" s="5" t="str">
        <f>IFERROR(VLOOKUP(TAB_OFICINAS[[#This Row],[Cliente]],LISTA_DE_CLIENTES[[Código]:[Nome Fantasia]],3,FALSE),"")</f>
        <v>RADISSON CURITIBA</v>
      </c>
      <c r="H804" s="63">
        <v>92102169641</v>
      </c>
      <c r="I804" s="28" t="s">
        <v>22167</v>
      </c>
      <c r="J804" s="91">
        <v>33</v>
      </c>
      <c r="K804" s="86">
        <v>46157</v>
      </c>
      <c r="L804" s="10">
        <v>33</v>
      </c>
      <c r="M804" s="6">
        <v>46164</v>
      </c>
      <c r="N804" s="6">
        <v>46161</v>
      </c>
      <c r="O804" s="19">
        <f>TAB_OFICINAS[[#This Row],[Data Retorno Produção]]-TAB_OFICINAS[[#This Row],[Data Prometida  Entrega]]</f>
        <v>-3</v>
      </c>
      <c r="P804" s="40" t="str">
        <f>IF(TAB_OFICINAS[[#This Row],[Dias Para Entrega]]&lt;=0,"Em dia","Dia de Atrasado")</f>
        <v>Em dia</v>
      </c>
      <c r="Q804" s="10">
        <v>0</v>
      </c>
      <c r="R804" s="10"/>
      <c r="S804" s="5">
        <v>3211</v>
      </c>
      <c r="T804" s="5">
        <v>51</v>
      </c>
      <c r="U804" s="52">
        <v>8.5</v>
      </c>
      <c r="V804" s="44">
        <f>IFERROR(TAB_OFICINAS[[#This Row],[Valor Unit]]*TAB_OFICINAS[[#This Row],[Qtd pçs Enviadas]]," ")</f>
        <v>280.5</v>
      </c>
      <c r="W804" s="17">
        <v>46171</v>
      </c>
      <c r="X804" s="5" t="s">
        <v>6251</v>
      </c>
      <c r="Y804" s="27"/>
      <c r="Z804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5" spans="3:26" hidden="1">
      <c r="C805" s="28" t="s">
        <v>1</v>
      </c>
      <c r="D805" s="5">
        <v>1941</v>
      </c>
      <c r="E805" s="5">
        <v>22893</v>
      </c>
      <c r="F805" s="28" t="str">
        <f>IFERROR(VLOOKUP(TAB_OFICINAS[[#This Row],[Cliente]],LISTA_DE_CLIENTES[[Código]:[Nome Fantasia]],2,FALSE),"")</f>
        <v>HOSPITAIS INTEGRADOS DA GAVEA S/A</v>
      </c>
      <c r="G805" s="5" t="str">
        <f>IFERROR(VLOOKUP(TAB_OFICINAS[[#This Row],[Cliente]],LISTA_DE_CLIENTES[[Código]:[Nome Fantasia]],3,FALSE),"")</f>
        <v>REDE D´OR - DF STAR</v>
      </c>
      <c r="H805" s="63">
        <v>2101102488</v>
      </c>
      <c r="I805" s="28" t="s">
        <v>21402</v>
      </c>
      <c r="J805" s="91">
        <v>650</v>
      </c>
      <c r="K805" s="86">
        <v>46157</v>
      </c>
      <c r="L805" s="10">
        <v>650</v>
      </c>
      <c r="M805" s="6">
        <v>46174</v>
      </c>
      <c r="N805" s="6">
        <v>46176</v>
      </c>
      <c r="O805" s="19">
        <f>TAB_OFICINAS[[#This Row],[Data Retorno Produção]]-TAB_OFICINAS[[#This Row],[Data Prometida  Entrega]]</f>
        <v>2</v>
      </c>
      <c r="P805" s="40" t="str">
        <f>IF(TAB_OFICINAS[[#This Row],[Dias Para Entrega]]&lt;=0,"Em dia","Dia de Atrasado")</f>
        <v>Dia de Atrasado</v>
      </c>
      <c r="Q805" s="10">
        <f>IFERROR(TAB_OFICINAS[[#This Row],[Qtd pçs Enviadas]]-TAB_OFICINAS[[#This Row],[Qtd pçs Retornadas ]]," ")</f>
        <v>0</v>
      </c>
      <c r="R805" s="10"/>
      <c r="S805" s="5">
        <v>842</v>
      </c>
      <c r="T805" s="5">
        <v>52</v>
      </c>
      <c r="U805" s="52">
        <v>6.5</v>
      </c>
      <c r="V805" s="44">
        <f>IFERROR(TAB_OFICINAS[[#This Row],[Valor Unit]]*TAB_OFICINAS[[#This Row],[Qtd pçs Enviadas]]," ")</f>
        <v>4225</v>
      </c>
      <c r="W805" s="17">
        <v>46185</v>
      </c>
      <c r="X805" s="5" t="s">
        <v>6251</v>
      </c>
      <c r="Y805" s="27"/>
      <c r="Z805" s="4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6" spans="3:26" hidden="1">
      <c r="C806" s="28" t="s">
        <v>1</v>
      </c>
      <c r="D806" s="5">
        <v>1934</v>
      </c>
      <c r="E806" s="5">
        <v>23548</v>
      </c>
      <c r="F806" s="28" t="str">
        <f>IFERROR(VLOOKUP(TAB_OFICINAS[[#This Row],[Cliente]],LISTA_DE_CLIENTES[[Código]:[Nome Fantasia]],2,FALSE),"")</f>
        <v>TS ITU HOTEL EMPREENDIMENTO IMOBILIARIO S.A</v>
      </c>
      <c r="G806" s="2" t="str">
        <f>IFERROR(VLOOKUP(TAB_OFICINAS[[#This Row],[Cliente]],LISTA_DE_CLIENTES[[Código]:[Nome Fantasia]],3,FALSE),"")</f>
        <v>NOVOTEL ITU</v>
      </c>
      <c r="H806" s="63">
        <v>92115029937</v>
      </c>
      <c r="I806" s="28" t="s">
        <v>22782</v>
      </c>
      <c r="J806" s="91">
        <v>200</v>
      </c>
      <c r="K806" s="86">
        <v>46182</v>
      </c>
      <c r="L806" s="34"/>
      <c r="M806" s="6">
        <v>46198</v>
      </c>
      <c r="N806" s="6">
        <v>46192</v>
      </c>
      <c r="O806" s="19">
        <f>TAB_OFICINAS[[#This Row],[Data Retorno Produção]]-TAB_OFICINAS[[#This Row],[Data Prometida  Entrega]]</f>
        <v>-6</v>
      </c>
      <c r="P806" s="40" t="str">
        <f>IF(TAB_OFICINAS[[#This Row],[Dias Para Entrega]]&lt;=0,"Em dia","Dia de Atrasado")</f>
        <v>Em dia</v>
      </c>
      <c r="Q806" s="10">
        <v>0</v>
      </c>
      <c r="R806" s="10"/>
      <c r="S806" s="5">
        <v>3257</v>
      </c>
      <c r="T806" s="5">
        <v>53</v>
      </c>
      <c r="U806" s="1">
        <v>15</v>
      </c>
      <c r="V806" s="3">
        <f>IFERROR(TAB_OFICINAS[[#This Row],[Valor Unit]]*TAB_OFICINAS[[#This Row],[Qtd pçs Enviadas]]," ")</f>
        <v>3000</v>
      </c>
      <c r="W806" s="17">
        <f>TAB_OFICINAS[[#This Row],[Data Retorno Produção]]+10</f>
        <v>46202</v>
      </c>
      <c r="X806" s="5" t="s">
        <v>6251</v>
      </c>
      <c r="Y806" s="4"/>
      <c r="Z806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807" spans="3:26" hidden="1">
      <c r="C807" s="28" t="s">
        <v>1</v>
      </c>
      <c r="D807" s="5">
        <v>1941</v>
      </c>
      <c r="E807" s="5">
        <v>22893</v>
      </c>
      <c r="F807" s="28" t="str">
        <f>IFERROR(VLOOKUP(TAB_OFICINAS[[#This Row],[Cliente]],LISTA_DE_CLIENTES[[Código]:[Nome Fantasia]],2,FALSE),"")</f>
        <v>HOSPITAIS INTEGRADOS DA GAVEA S/A</v>
      </c>
      <c r="G807" s="2" t="str">
        <f>IFERROR(VLOOKUP(TAB_OFICINAS[[#This Row],[Cliente]],LISTA_DE_CLIENTES[[Código]:[Nome Fantasia]],3,FALSE),"")</f>
        <v>REDE D´OR - DF STAR</v>
      </c>
      <c r="H807" s="51">
        <v>2101102488</v>
      </c>
      <c r="I807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07" s="91">
        <v>306</v>
      </c>
      <c r="K807" s="88">
        <v>46191</v>
      </c>
      <c r="L807" s="9">
        <v>306</v>
      </c>
      <c r="M807" s="6">
        <v>46209</v>
      </c>
      <c r="N807" s="6">
        <v>46203</v>
      </c>
      <c r="O807" s="23">
        <f>TAB_OFICINAS[[#This Row],[Data Retorno Produção]]-TAB_OFICINAS[[#This Row],[Data Prometida  Entrega]]</f>
        <v>-6</v>
      </c>
      <c r="P807" s="98" t="str">
        <f>IF(TAB_OFICINAS[[#This Row],[Dias Para Entrega]]&lt;=0,"Em dia","Dia de Atrasado")</f>
        <v>Em dia</v>
      </c>
      <c r="Q807" s="10">
        <f>IFERROR(TAB_OFICINAS[[#This Row],[Qtd pçs Enviadas]]-TAB_OFICINAS[[#This Row],[Qtd pçs Retornadas ]]," ")</f>
        <v>0</v>
      </c>
      <c r="R807" s="24"/>
      <c r="S807" s="5">
        <v>893</v>
      </c>
      <c r="T807" s="5">
        <v>54</v>
      </c>
      <c r="U807" s="11">
        <v>6.5</v>
      </c>
      <c r="V807" s="25">
        <f>IFERROR(TAB_OFICINAS[[#This Row],[Valor Unit]]*TAB_OFICINAS[[#This Row],[Qtd pçs Enviadas]]," ")</f>
        <v>1989</v>
      </c>
      <c r="W807" s="26">
        <f>TAB_OFICINAS[[#This Row],[Data Retorno Produção]]+10</f>
        <v>46213</v>
      </c>
      <c r="X807" s="17" t="s">
        <v>6251</v>
      </c>
      <c r="Y807" s="27"/>
      <c r="Z8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8" spans="3:26" hidden="1">
      <c r="C808" s="28" t="s">
        <v>1</v>
      </c>
      <c r="D808" s="5">
        <v>5391</v>
      </c>
      <c r="E808" s="5">
        <v>23555</v>
      </c>
      <c r="F808" s="28" t="str">
        <f>IFERROR(VLOOKUP(TAB_OFICINAS[[#This Row],[Cliente]],LISTA_DE_CLIENTES[[Código]:[Nome Fantasia]],2,FALSE),"")</f>
        <v>PACIFICO OPERACOES HOSPITALARES S.A</v>
      </c>
      <c r="G808" s="2" t="str">
        <f>IFERROR(VLOOKUP(TAB_OFICINAS[[#This Row],[Cliente]],LISTA_DE_CLIENTES[[Código]:[Nome Fantasia]],3,FALSE),"")</f>
        <v>MATERNIDADE SAO LUIZ</v>
      </c>
      <c r="H808" s="51">
        <v>2121017007</v>
      </c>
      <c r="I808" s="28" t="str">
        <f>IFERROR(VLOOKUP(TAB_OFICINAS[[#This Row],[Codigo Produto ]],_000___PEDIDOS_DE_CLIENTES[[Data.Column2]:[Descrição Produto]],2,FALSE)," ")</f>
        <v>COLCHA PIQUET MISTO PALLONCINO BRANCO - 1,80 X 2,30</v>
      </c>
      <c r="J808" s="91">
        <v>50</v>
      </c>
      <c r="K808" s="88">
        <v>46204</v>
      </c>
      <c r="L808" s="9">
        <v>50</v>
      </c>
      <c r="M808" s="6">
        <v>46213</v>
      </c>
      <c r="N808" s="6">
        <v>46205</v>
      </c>
      <c r="O808" s="23">
        <f>TAB_OFICINAS[[#This Row],[Data Retorno Produção]]-TAB_OFICINAS[[#This Row],[Data Prometida  Entrega]]</f>
        <v>-8</v>
      </c>
      <c r="P808" s="98" t="str">
        <f>IF(TAB_OFICINAS[[#This Row],[Dias Para Entrega]]&lt;=0,"Em dia","Dia de Atrasado")</f>
        <v>Em dia</v>
      </c>
      <c r="Q808" s="24">
        <f>IFERROR(TAB_OFICINAS[[#This Row],[Qtd pçs Enviadas]]-TAB_OFICINAS[[#This Row],[Qtd pçs Retornadas ]],"N/D ")</f>
        <v>0</v>
      </c>
      <c r="R808" s="24"/>
      <c r="S808" s="5">
        <v>677</v>
      </c>
      <c r="T808" s="5">
        <v>55</v>
      </c>
      <c r="U808" s="11">
        <v>8</v>
      </c>
      <c r="V808" s="25">
        <f>IFERROR(TAB_OFICINAS[[#This Row],[Valor Unit]]*TAB_OFICINAS[[#This Row],[Qtd pçs Enviadas]]," ")</f>
        <v>400</v>
      </c>
      <c r="W808" s="26">
        <f>TAB_OFICINAS[[#This Row],[Data Retorno Produção]]+11</f>
        <v>46216</v>
      </c>
      <c r="X808" s="17" t="s">
        <v>6251</v>
      </c>
      <c r="Y808" s="27"/>
      <c r="Z8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09" spans="3:26" hidden="1">
      <c r="C809" s="28" t="s">
        <v>22914</v>
      </c>
      <c r="D809" s="5">
        <v>943</v>
      </c>
      <c r="E809" s="5">
        <v>23354</v>
      </c>
      <c r="F809" s="28" t="str">
        <f>IFERROR(VLOOKUP(TAB_OFICINAS[[#This Row],[Cliente]],LISTA_DE_CLIENTES[[Código]:[Nome Fantasia]],2,FALSE),"")</f>
        <v>REDE DOR SAO LUIZ S.A.</v>
      </c>
      <c r="G809" s="2" t="str">
        <f>IFERROR(VLOOKUP(TAB_OFICINAS[[#This Row],[Cliente]],LISTA_DE_CLIENTES[[Código]:[Nome Fantasia]],3,FALSE),"")</f>
        <v>HOSPITAL COPA STAR</v>
      </c>
      <c r="H809" s="63">
        <v>2103067072</v>
      </c>
      <c r="I809" s="28" t="s">
        <v>21477</v>
      </c>
      <c r="J809" s="91">
        <v>708</v>
      </c>
      <c r="K809" s="86">
        <v>46174</v>
      </c>
      <c r="L809" s="34"/>
      <c r="M809" s="6">
        <v>46181</v>
      </c>
      <c r="N809" s="6">
        <v>46182</v>
      </c>
      <c r="O809" s="19">
        <f>TAB_OFICINAS[[#This Row],[Data Retorno Produção]]-TAB_OFICINAS[[#This Row],[Data Prometida  Entrega]]</f>
        <v>1</v>
      </c>
      <c r="P809" s="40" t="str">
        <f>IF(TAB_OFICINAS[[#This Row],[Dias Para Entrega]]&lt;=0,"Em dia","Dia de Atrasado")</f>
        <v>Dia de Atrasado</v>
      </c>
      <c r="Q809" s="10">
        <v>0</v>
      </c>
      <c r="R809" s="10"/>
      <c r="S809" s="5">
        <v>864</v>
      </c>
      <c r="T809" s="5">
        <v>345</v>
      </c>
      <c r="U809" s="1">
        <v>3</v>
      </c>
      <c r="V809" s="3">
        <f>IFERROR(TAB_OFICINAS[[#This Row],[Valor Unit]]*TAB_OFICINAS[[#This Row],[Qtd pçs Enviadas]]," ")</f>
        <v>2124</v>
      </c>
      <c r="W809" s="17">
        <f>TAB_OFICINAS[[#This Row],[Data Retorno Produção]]+10</f>
        <v>46192</v>
      </c>
      <c r="X809" s="5"/>
      <c r="Y809" s="4"/>
      <c r="Z809" s="4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810" spans="3:26" hidden="1">
      <c r="C810" s="28" t="s">
        <v>7</v>
      </c>
      <c r="D810" s="5">
        <v>5391</v>
      </c>
      <c r="E810" s="5">
        <v>23354</v>
      </c>
      <c r="F810" s="28" t="str">
        <f>IFERROR(VLOOKUP(TAB_OFICINAS[[#This Row],[Cliente]],LISTA_DE_CLIENTES[[Código]:[Nome Fantasia]],2,FALSE),"")</f>
        <v>PACIFICO OPERACOES HOSPITALARES S.A</v>
      </c>
      <c r="G810" s="2" t="str">
        <f>IFERROR(VLOOKUP(TAB_OFICINAS[[#This Row],[Cliente]],LISTA_DE_CLIENTES[[Código]:[Nome Fantasia]],3,FALSE),"")</f>
        <v>MATERNIDADE SAO LUIZ</v>
      </c>
      <c r="H810" s="51">
        <v>2121017007</v>
      </c>
      <c r="I810" s="28" t="str">
        <f>IFERROR(VLOOKUP(TAB_OFICINAS[[#This Row],[Codigo Produto ]],_000___PEDIDOS_DE_CLIENTES[[Data.Column2]:[Descrição Produto]],2,FALSE)," ")</f>
        <v>COLCHA PIQUET MISTO PALLONCINO BRANCO - 1,80 X 2,30</v>
      </c>
      <c r="J810" s="91">
        <v>50</v>
      </c>
      <c r="K810" s="88">
        <v>46204</v>
      </c>
      <c r="L810" s="9">
        <v>50</v>
      </c>
      <c r="M810" s="6">
        <v>46213</v>
      </c>
      <c r="N810" s="6">
        <v>46206</v>
      </c>
      <c r="O810" s="23">
        <f>TAB_OFICINAS[[#This Row],[Data Retorno Produção]]-TAB_OFICINAS[[#This Row],[Data Prometida  Entrega]]</f>
        <v>-7</v>
      </c>
      <c r="P810" s="98" t="str">
        <f>IF(TAB_OFICINAS[[#This Row],[Dias Para Entrega]]&lt;=0,"Em dia","Dia de Atrasado")</f>
        <v>Em dia</v>
      </c>
      <c r="Q810" s="24">
        <f>IFERROR(TAB_OFICINAS[[#This Row],[Qtd pçs Enviadas]]-TAB_OFICINAS[[#This Row],[Qtd pçs Retornadas ]],"N/D ")</f>
        <v>0</v>
      </c>
      <c r="R810" s="24"/>
      <c r="S810" s="5">
        <v>906</v>
      </c>
      <c r="T810" s="5">
        <v>47</v>
      </c>
      <c r="U810" s="11">
        <v>8</v>
      </c>
      <c r="V810" s="25">
        <f>IFERROR(TAB_OFICINAS[[#This Row],[Valor Unit]]*TAB_OFICINAS[[#This Row],[Qtd pçs Enviadas]]," ")</f>
        <v>400</v>
      </c>
      <c r="W810" s="26">
        <f>TAB_OFICINAS[[#This Row],[Data Retorno Produção]]+10</f>
        <v>46216</v>
      </c>
      <c r="X810" s="17" t="s">
        <v>6251</v>
      </c>
      <c r="Y810" s="27"/>
      <c r="Z8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1" spans="3:26" hidden="1">
      <c r="C811" s="28" t="s">
        <v>1</v>
      </c>
      <c r="D811" s="5">
        <v>1226</v>
      </c>
      <c r="E811" s="5">
        <v>23638</v>
      </c>
      <c r="F811" s="28" t="str">
        <f>IFERROR(VLOOKUP(TAB_OFICINAS[[#This Row],[Cliente]],LISTA_DE_CLIENTES[[Código]:[Nome Fantasia]],2,FALSE),"")</f>
        <v>RIO ATLANTICA HOTEL S/A</v>
      </c>
      <c r="G811" s="2" t="str">
        <f>IFERROR(VLOOKUP(TAB_OFICINAS[[#This Row],[Cliente]],LISTA_DE_CLIENTES[[Código]:[Nome Fantasia]],3,FALSE),"")</f>
        <v>HILTON COPACABANA</v>
      </c>
      <c r="H811" s="51">
        <v>92101062495</v>
      </c>
      <c r="I811" s="28" t="str">
        <f>IFERROR(VLOOKUP(TAB_OFICINAS[[#This Row],[Codigo Produto ]],_000___PEDIDOS_DE_CLIENTES[[Data.Column2]:[Descrição Produto]],2,FALSE)," ")</f>
        <v>LENÇOL BARRA ESTREITA 4 LADOS STRIPE ESTREITO 300FIOS MISTO LISTRA HORIZONTAL 3,00 X 2,90</v>
      </c>
      <c r="J811" s="91">
        <v>400</v>
      </c>
      <c r="K811" s="88">
        <v>46206</v>
      </c>
      <c r="L811" s="9">
        <v>400</v>
      </c>
      <c r="M811" s="6">
        <v>46216</v>
      </c>
      <c r="N811" s="6">
        <v>46211</v>
      </c>
      <c r="O811" s="23">
        <f>TAB_OFICINAS[[#This Row],[Data Retorno Produção]]-TAB_OFICINAS[[#This Row],[Data Prometida  Entrega]]</f>
        <v>-5</v>
      </c>
      <c r="P811" s="98" t="str">
        <f>IF(TAB_OFICINAS[[#This Row],[Dias Para Entrega]]&lt;=0,"Em dia","Dia de Atrasado")</f>
        <v>Em dia</v>
      </c>
      <c r="Q811" s="24">
        <f>IFERROR(TAB_OFICINAS[[#This Row],[Qtd pçs Enviadas]]-TAB_OFICINAS[[#This Row],[Qtd pçs Retornadas ]],"N/D ")</f>
        <v>0</v>
      </c>
      <c r="R811" s="24"/>
      <c r="S811" s="5">
        <v>3299</v>
      </c>
      <c r="T811" s="5">
        <v>56</v>
      </c>
      <c r="U811" s="11">
        <v>8</v>
      </c>
      <c r="V811" s="25">
        <f>IFERROR(TAB_OFICINAS[[#This Row],[Valor Unit]]*TAB_OFICINAS[[#This Row],[Qtd pçs Enviadas]]," ")</f>
        <v>3200</v>
      </c>
      <c r="W811" s="26">
        <v>46220</v>
      </c>
      <c r="X811" s="17" t="s">
        <v>6251</v>
      </c>
      <c r="Y811" s="27"/>
      <c r="Z8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2" spans="3:26" ht="57" hidden="1">
      <c r="C812" s="101" t="s">
        <v>3</v>
      </c>
      <c r="D812" s="102">
        <v>3807</v>
      </c>
      <c r="E812" s="5">
        <v>23354</v>
      </c>
      <c r="F812" s="101" t="str">
        <f>IFERROR(VLOOKUP(TAB_OFICINAS[[#This Row],[Cliente]],LISTA_DE_CLIENTES[[Código]:[Nome Fantasia]],2,FALSE),"")</f>
        <v>ESTANCIA SANTA CLARA LTDA</v>
      </c>
      <c r="G812" s="103" t="str">
        <f>IFERROR(VLOOKUP(TAB_OFICINAS[[#This Row],[Cliente]],LISTA_DE_CLIENTES[[Código]:[Nome Fantasia]],3,FALSE),"")</f>
        <v>CLARA RESORT IBIUNA</v>
      </c>
      <c r="H812" s="122">
        <v>3302303365</v>
      </c>
      <c r="I812" s="101" t="str">
        <f>IFERROR(VLOOKUP(TAB_OFICINAS[[#This Row],[Codigo Produto ]],_000___PEDIDOS_DE_CLIENTES[[Data.Column2]:[Descrição Produto]],2,FALSE)," ")</f>
        <v>TOALHA LAVABO - FELPA CARAMELO - 0,30 X 0,50</v>
      </c>
      <c r="J812" s="104">
        <v>160</v>
      </c>
      <c r="K812" s="100">
        <v>46195</v>
      </c>
      <c r="L812" s="34">
        <v>159</v>
      </c>
      <c r="M812" s="105">
        <v>46213</v>
      </c>
      <c r="N812" s="105">
        <v>46206</v>
      </c>
      <c r="O812" s="106">
        <f>TAB_OFICINAS[[#This Row],[Data Retorno Produção]]-TAB_OFICINAS[[#This Row],[Data Prometida  Entrega]]</f>
        <v>-7</v>
      </c>
      <c r="P812" s="99" t="str">
        <f>IF(TAB_OFICINAS[[#This Row],[Dias Para Entrega]]&lt;=0,"Em dia","Dia de Atrasado")</f>
        <v>Em dia</v>
      </c>
      <c r="Q812" s="34">
        <v>1</v>
      </c>
      <c r="R812" s="34"/>
      <c r="S812" s="102">
        <v>3283</v>
      </c>
      <c r="T812" s="102">
        <v>116</v>
      </c>
      <c r="U812" s="107">
        <v>4</v>
      </c>
      <c r="V812" s="108">
        <f>IFERROR(TAB_OFICINAS[[#This Row],[Valor Unit]]*TAB_OFICINAS[[#This Row],[Qtd pçs Enviadas]]," ")</f>
        <v>640</v>
      </c>
      <c r="W812" s="109">
        <f>TAB_OFICINAS[[#This Row],[Data Retorno Produção]]+10</f>
        <v>46216</v>
      </c>
      <c r="X812" s="102" t="s">
        <v>6251</v>
      </c>
      <c r="Y812" s="110" t="s">
        <v>23543</v>
      </c>
      <c r="Z812" s="99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813" spans="3:26" ht="99.75" hidden="1">
      <c r="C813" s="28" t="s">
        <v>17</v>
      </c>
      <c r="D813" s="5">
        <v>5601</v>
      </c>
      <c r="E813" s="5">
        <v>23354</v>
      </c>
      <c r="F813" s="28" t="str">
        <f>IFERROR(VLOOKUP(TAB_OFICINAS[[#This Row],[Cliente]],LISTA_DE_CLIENTES[[Código]:[Nome Fantasia]],2,FALSE),"")</f>
        <v>CANTO DOS VENTOS LTDA</v>
      </c>
      <c r="G813" s="2" t="str">
        <f>IFERROR(VLOOKUP(TAB_OFICINAS[[#This Row],[Cliente]],LISTA_DE_CLIENTES[[Código]:[Nome Fantasia]],3,FALSE),"")</f>
        <v>CANTO DOS VENTOS LTD</v>
      </c>
      <c r="H813" s="51">
        <v>3301081094</v>
      </c>
      <c r="I813" s="28" t="str">
        <f>IFERROR(VLOOKUP(TAB_OFICINAS[[#This Row],[Codigo Produto ]],_000___PEDIDOS_DE_CLIENTES[[Data.Column2]:[Descrição Produto]],2,FALSE)," ")</f>
        <v>ROUPÃO PIQUET MOSAICO TAM. XG</v>
      </c>
      <c r="J813" s="91">
        <v>4</v>
      </c>
      <c r="K813" s="88">
        <v>46195</v>
      </c>
      <c r="L813" s="9">
        <v>4</v>
      </c>
      <c r="M813" s="6">
        <v>46211</v>
      </c>
      <c r="N813" s="6">
        <v>46211</v>
      </c>
      <c r="O813" s="23">
        <f>TAB_OFICINAS[[#This Row],[Data Retorno Produção]]-TAB_OFICINAS[[#This Row],[Data Prometida  Entrega]]</f>
        <v>0</v>
      </c>
      <c r="P813" s="98" t="str">
        <f>IF(TAB_OFICINAS[[#This Row],[Dias Para Entrega]]&lt;=0,"Em dia","Dia de Atrasado")</f>
        <v>Em dia</v>
      </c>
      <c r="Q813" s="24">
        <f>IFERROR(TAB_OFICINAS[[#This Row],[Qtd pçs Enviadas]]-TAB_OFICINAS[[#This Row],[Qtd pçs Retornadas ]],"N/D ")</f>
        <v>0</v>
      </c>
      <c r="R813" s="24"/>
      <c r="S813" s="5">
        <v>896</v>
      </c>
      <c r="T813" s="5">
        <v>59</v>
      </c>
      <c r="U813" s="11">
        <v>16</v>
      </c>
      <c r="V813" s="25">
        <f>IFERROR(TAB_OFICINAS[[#This Row],[Valor Unit]]*TAB_OFICINAS[[#This Row],[Qtd pçs Enviadas]]," ")</f>
        <v>64</v>
      </c>
      <c r="W813" s="26">
        <v>46220</v>
      </c>
      <c r="X813" s="17" t="s">
        <v>6251</v>
      </c>
      <c r="Y813" s="27" t="s">
        <v>23544</v>
      </c>
      <c r="Z8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4" spans="3:26" ht="71.25" hidden="1">
      <c r="C814" s="28" t="s">
        <v>17</v>
      </c>
      <c r="D814" s="5">
        <v>5601</v>
      </c>
      <c r="E814" s="5">
        <v>23354</v>
      </c>
      <c r="F814" s="28" t="str">
        <f>IFERROR(VLOOKUP(TAB_OFICINAS[[#This Row],[Cliente]],LISTA_DE_CLIENTES[[Código]:[Nome Fantasia]],2,FALSE),"")</f>
        <v>CANTO DOS VENTOS LTDA</v>
      </c>
      <c r="G814" s="2" t="str">
        <f>IFERROR(VLOOKUP(TAB_OFICINAS[[#This Row],[Cliente]],LISTA_DE_CLIENTES[[Código]:[Nome Fantasia]],3,FALSE),"")</f>
        <v>CANTO DOS VENTOS LTD</v>
      </c>
      <c r="H814" s="51">
        <v>3301081093</v>
      </c>
      <c r="I814" s="28" t="str">
        <f>IFERROR(VLOOKUP(TAB_OFICINAS[[#This Row],[Codigo Produto ]],_000___PEDIDOS_DE_CLIENTES[[Data.Column2]:[Descrição Produto]],2,FALSE)," ")</f>
        <v>ROUPÃO PIQUET MOSAICO TAM. GG</v>
      </c>
      <c r="J814" s="91">
        <v>10</v>
      </c>
      <c r="K814" s="88">
        <v>46195</v>
      </c>
      <c r="L814" s="9">
        <v>10</v>
      </c>
      <c r="M814" s="6">
        <v>46211</v>
      </c>
      <c r="N814" s="6">
        <v>46211</v>
      </c>
      <c r="O814" s="23">
        <f>TAB_OFICINAS[[#This Row],[Data Retorno Produção]]-TAB_OFICINAS[[#This Row],[Data Prometida  Entrega]]</f>
        <v>0</v>
      </c>
      <c r="P814" s="98" t="str">
        <f>IF(TAB_OFICINAS[[#This Row],[Dias Para Entrega]]&lt;=0,"Em dia","Dia de Atrasado")</f>
        <v>Em dia</v>
      </c>
      <c r="Q814" s="24">
        <f>IFERROR(TAB_OFICINAS[[#This Row],[Qtd pçs Enviadas]]-TAB_OFICINAS[[#This Row],[Qtd pçs Retornadas ]],"N/D ")</f>
        <v>0</v>
      </c>
      <c r="R814" s="24"/>
      <c r="S814" s="5">
        <v>896</v>
      </c>
      <c r="T814" s="5">
        <v>59</v>
      </c>
      <c r="U814" s="11">
        <v>16</v>
      </c>
      <c r="V814" s="25">
        <f>IFERROR(TAB_OFICINAS[[#This Row],[Valor Unit]]*TAB_OFICINAS[[#This Row],[Qtd pçs Enviadas]]," ")</f>
        <v>160</v>
      </c>
      <c r="W814" s="26">
        <v>46220</v>
      </c>
      <c r="X814" s="17" t="s">
        <v>6251</v>
      </c>
      <c r="Y814" s="27" t="s">
        <v>23545</v>
      </c>
      <c r="Z8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5" spans="3:26" hidden="1">
      <c r="C815" s="28" t="s">
        <v>17</v>
      </c>
      <c r="D815" s="5">
        <v>5601</v>
      </c>
      <c r="E815" s="5">
        <v>23354</v>
      </c>
      <c r="F815" s="28" t="str">
        <f>IFERROR(VLOOKUP(TAB_OFICINAS[[#This Row],[Cliente]],LISTA_DE_CLIENTES[[Código]:[Nome Fantasia]],2,FALSE),"")</f>
        <v>CANTO DOS VENTOS LTDA</v>
      </c>
      <c r="G815" s="2" t="str">
        <f>IFERROR(VLOOKUP(TAB_OFICINAS[[#This Row],[Cliente]],LISTA_DE_CLIENTES[[Código]:[Nome Fantasia]],3,FALSE),"")</f>
        <v>CANTO DOS VENTOS LTD</v>
      </c>
      <c r="H815" s="51">
        <v>3301084132</v>
      </c>
      <c r="I815" s="28" t="str">
        <f>IFERROR(VLOOKUP(TAB_OFICINAS[[#This Row],[Codigo Produto ]],_000___PEDIDOS_DE_CLIENTES[[Data.Column2]:[Descrição Produto]],2,FALSE)," ")</f>
        <v>ROUPÃO PIQUET MOSAICO TAM. G</v>
      </c>
      <c r="J815" s="91">
        <v>15</v>
      </c>
      <c r="K815" s="88">
        <v>46195</v>
      </c>
      <c r="L815" s="9">
        <v>15</v>
      </c>
      <c r="M815" s="6">
        <v>46211</v>
      </c>
      <c r="N815" s="6">
        <v>46211</v>
      </c>
      <c r="O815" s="23">
        <f>TAB_OFICINAS[[#This Row],[Data Retorno Produção]]-TAB_OFICINAS[[#This Row],[Data Prometida  Entrega]]</f>
        <v>0</v>
      </c>
      <c r="P815" s="98" t="str">
        <f>IF(TAB_OFICINAS[[#This Row],[Dias Para Entrega]]&lt;=0,"Em dia","Dia de Atrasado")</f>
        <v>Em dia</v>
      </c>
      <c r="Q815" s="24">
        <f>IFERROR(TAB_OFICINAS[[#This Row],[Qtd pçs Enviadas]]-TAB_OFICINAS[[#This Row],[Qtd pçs Retornadas ]],"N/D ")</f>
        <v>0</v>
      </c>
      <c r="R815" s="24"/>
      <c r="S815" s="5">
        <v>896</v>
      </c>
      <c r="T815" s="5">
        <v>59</v>
      </c>
      <c r="U815" s="11">
        <v>16</v>
      </c>
      <c r="V815" s="25">
        <f>IFERROR(TAB_OFICINAS[[#This Row],[Valor Unit]]*TAB_OFICINAS[[#This Row],[Qtd pçs Enviadas]]," ")</f>
        <v>240</v>
      </c>
      <c r="W815" s="26">
        <v>46220</v>
      </c>
      <c r="X815" s="17" t="s">
        <v>6251</v>
      </c>
      <c r="Y815" s="27"/>
      <c r="Z8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6" spans="3:26" hidden="1">
      <c r="C816" s="28" t="s">
        <v>17</v>
      </c>
      <c r="D816" s="5">
        <v>5601</v>
      </c>
      <c r="E816" s="5">
        <v>23354</v>
      </c>
      <c r="F816" s="28" t="str">
        <f>IFERROR(VLOOKUP(TAB_OFICINAS[[#This Row],[Cliente]],LISTA_DE_CLIENTES[[Código]:[Nome Fantasia]],2,FALSE),"")</f>
        <v>CANTO DOS VENTOS LTDA</v>
      </c>
      <c r="G816" s="2" t="str">
        <f>IFERROR(VLOOKUP(TAB_OFICINAS[[#This Row],[Cliente]],LISTA_DE_CLIENTES[[Código]:[Nome Fantasia]],3,FALSE),"")</f>
        <v>CANTO DOS VENTOS LTD</v>
      </c>
      <c r="H816" s="51">
        <v>3301083988</v>
      </c>
      <c r="I816" s="28" t="str">
        <f>IFERROR(VLOOKUP(TAB_OFICINAS[[#This Row],[Codigo Produto ]],_000___PEDIDOS_DE_CLIENTES[[Data.Column2]:[Descrição Produto]],2,FALSE)," ")</f>
        <v>ROUPÃO PIQUET MOSAICO TAM. M</v>
      </c>
      <c r="J816" s="91">
        <v>15</v>
      </c>
      <c r="K816" s="88">
        <v>46195</v>
      </c>
      <c r="L816" s="9">
        <v>15</v>
      </c>
      <c r="M816" s="6">
        <v>46211</v>
      </c>
      <c r="N816" s="6">
        <v>46211</v>
      </c>
      <c r="O816" s="23">
        <f>TAB_OFICINAS[[#This Row],[Data Retorno Produção]]-TAB_OFICINAS[[#This Row],[Data Prometida  Entrega]]</f>
        <v>0</v>
      </c>
      <c r="P816" s="98" t="str">
        <f>IF(TAB_OFICINAS[[#This Row],[Dias Para Entrega]]&lt;=0,"Em dia","Dia de Atrasado")</f>
        <v>Em dia</v>
      </c>
      <c r="Q816" s="24">
        <f>IFERROR(TAB_OFICINAS[[#This Row],[Qtd pçs Enviadas]]-TAB_OFICINAS[[#This Row],[Qtd pçs Retornadas ]],"N/D ")</f>
        <v>0</v>
      </c>
      <c r="R816" s="24"/>
      <c r="S816" s="5">
        <v>896</v>
      </c>
      <c r="T816" s="5">
        <v>59</v>
      </c>
      <c r="U816" s="11">
        <v>16</v>
      </c>
      <c r="V816" s="25">
        <f>IFERROR(TAB_OFICINAS[[#This Row],[Valor Unit]]*TAB_OFICINAS[[#This Row],[Qtd pçs Enviadas]]," ")</f>
        <v>240</v>
      </c>
      <c r="W816" s="26">
        <v>46220</v>
      </c>
      <c r="X816" s="17" t="s">
        <v>6251</v>
      </c>
      <c r="Y816" s="27"/>
      <c r="Z8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7" spans="3:26" hidden="1">
      <c r="C817" s="28" t="s">
        <v>17</v>
      </c>
      <c r="D817" s="5">
        <v>5601</v>
      </c>
      <c r="E817" s="5">
        <v>23354</v>
      </c>
      <c r="F817" s="28" t="str">
        <f>IFERROR(VLOOKUP(TAB_OFICINAS[[#This Row],[Cliente]],LISTA_DE_CLIENTES[[Código]:[Nome Fantasia]],2,FALSE),"")</f>
        <v>CANTO DOS VENTOS LTDA</v>
      </c>
      <c r="G817" s="2" t="str">
        <f>IFERROR(VLOOKUP(TAB_OFICINAS[[#This Row],[Cliente]],LISTA_DE_CLIENTES[[Código]:[Nome Fantasia]],3,FALSE),"")</f>
        <v>CANTO DOS VENTOS LTD</v>
      </c>
      <c r="H817" s="51">
        <v>3301083953</v>
      </c>
      <c r="I817" s="28" t="str">
        <f>IFERROR(VLOOKUP(TAB_OFICINAS[[#This Row],[Codigo Produto ]],_000___PEDIDOS_DE_CLIENTES[[Data.Column2]:[Descrição Produto]],2,FALSE)," ")</f>
        <v>ROUPÃO PIQUET MOSAICO TAM. P</v>
      </c>
      <c r="J817" s="91">
        <v>15</v>
      </c>
      <c r="K817" s="88">
        <v>46195</v>
      </c>
      <c r="L817" s="9">
        <v>15</v>
      </c>
      <c r="M817" s="6">
        <v>46211</v>
      </c>
      <c r="N817" s="6">
        <v>46211</v>
      </c>
      <c r="O817" s="23">
        <f>TAB_OFICINAS[[#This Row],[Data Retorno Produção]]-TAB_OFICINAS[[#This Row],[Data Prometida  Entrega]]</f>
        <v>0</v>
      </c>
      <c r="P817" s="98" t="str">
        <f>IF(TAB_OFICINAS[[#This Row],[Dias Para Entrega]]&lt;=0,"Em dia","Dia de Atrasado")</f>
        <v>Em dia</v>
      </c>
      <c r="Q817" s="24">
        <f>IFERROR(TAB_OFICINAS[[#This Row],[Qtd pçs Enviadas]]-TAB_OFICINAS[[#This Row],[Qtd pçs Retornadas ]],"N/D ")</f>
        <v>0</v>
      </c>
      <c r="R817" s="24"/>
      <c r="S817" s="5">
        <v>896</v>
      </c>
      <c r="T817" s="5">
        <v>59</v>
      </c>
      <c r="U817" s="11">
        <v>16</v>
      </c>
      <c r="V817" s="25">
        <f>IFERROR(TAB_OFICINAS[[#This Row],[Valor Unit]]*TAB_OFICINAS[[#This Row],[Qtd pçs Enviadas]]," ")</f>
        <v>240</v>
      </c>
      <c r="W817" s="26">
        <v>46220</v>
      </c>
      <c r="X817" s="17" t="s">
        <v>6251</v>
      </c>
      <c r="Y817" s="27"/>
      <c r="Z8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8" spans="3:26" ht="42.75" hidden="1">
      <c r="C818" s="28" t="s">
        <v>20</v>
      </c>
      <c r="D818" s="5">
        <v>1226</v>
      </c>
      <c r="E818" s="5">
        <v>23638</v>
      </c>
      <c r="F818" s="28" t="str">
        <f>IFERROR(VLOOKUP(TAB_OFICINAS[[#This Row],[Cliente]],LISTA_DE_CLIENTES[[Código]:[Nome Fantasia]],2,FALSE),"")</f>
        <v>RIO ATLANTICA HOTEL S/A</v>
      </c>
      <c r="G818" s="2" t="str">
        <f>IFERROR(VLOOKUP(TAB_OFICINAS[[#This Row],[Cliente]],LISTA_DE_CLIENTES[[Código]:[Nome Fantasia]],3,FALSE),"")</f>
        <v>HILTON COPACABANA</v>
      </c>
      <c r="H818" s="51">
        <v>92101062495</v>
      </c>
      <c r="I818" s="28" t="str">
        <f>IFERROR(VLOOKUP(TAB_OFICINAS[[#This Row],[Codigo Produto ]],_000___PEDIDOS_DE_CLIENTES[[Data.Column2]:[Descrição Produto]],2,FALSE)," ")</f>
        <v>LENÇOL BARRA ESTREITA 4 LADOS STRIPE ESTREITO 300FIOS MISTO LISTRA HORIZONTAL 3,00 X 2,90</v>
      </c>
      <c r="J818" s="91">
        <v>400</v>
      </c>
      <c r="K818" s="88">
        <v>46206</v>
      </c>
      <c r="L818" s="9">
        <v>400</v>
      </c>
      <c r="M818" s="6">
        <v>46223</v>
      </c>
      <c r="N818" s="6">
        <v>46220</v>
      </c>
      <c r="O818" s="23">
        <f>TAB_OFICINAS[[#This Row],[Data Retorno Produção]]-TAB_OFICINAS[[#This Row],[Data Prometida  Entrega]]</f>
        <v>-3</v>
      </c>
      <c r="P818" s="98" t="str">
        <f>IF(TAB_OFICINAS[[#This Row],[Dias Para Entrega]]&lt;=0,"Em dia","Dia de Atrasado")</f>
        <v>Em dia</v>
      </c>
      <c r="Q818" s="24">
        <f>IFERROR(TAB_OFICINAS[[#This Row],[Qtd pçs Enviadas]]-TAB_OFICINAS[[#This Row],[Qtd pçs Retornadas ]],"N/D ")</f>
        <v>0</v>
      </c>
      <c r="R818" s="24"/>
      <c r="S818" s="5">
        <v>3304</v>
      </c>
      <c r="T818" s="5">
        <v>92</v>
      </c>
      <c r="U818" s="11">
        <v>8</v>
      </c>
      <c r="V818" s="25">
        <f>IFERROR(TAB_OFICINAS[[#This Row],[Valor Unit]]*TAB_OFICINAS[[#This Row],[Qtd pçs Enviadas]]," ")</f>
        <v>3200</v>
      </c>
      <c r="W818" s="26">
        <v>46230</v>
      </c>
      <c r="X818" s="17" t="s">
        <v>6251</v>
      </c>
      <c r="Y818" s="27" t="s">
        <v>23985</v>
      </c>
      <c r="Z8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19" spans="3:26" ht="85.5" hidden="1">
      <c r="C819" s="28" t="s">
        <v>16</v>
      </c>
      <c r="D819" s="5">
        <v>1226</v>
      </c>
      <c r="E819" s="5">
        <v>23354</v>
      </c>
      <c r="F819" s="28" t="str">
        <f>IFERROR(VLOOKUP(TAB_OFICINAS[[#This Row],[Cliente]],LISTA_DE_CLIENTES[[Código]:[Nome Fantasia]],2,FALSE),"")</f>
        <v>RIO ATLANTICA HOTEL S/A</v>
      </c>
      <c r="G819" s="2" t="str">
        <f>IFERROR(VLOOKUP(TAB_OFICINAS[[#This Row],[Cliente]],LISTA_DE_CLIENTES[[Código]:[Nome Fantasia]],3,FALSE),"")</f>
        <v>HILTON COPACABANA</v>
      </c>
      <c r="H819" s="51">
        <v>92101046444</v>
      </c>
      <c r="I819" s="28" t="str">
        <f>IFERROR(VLOOKUP(TAB_OFICINAS[[#This Row],[Codigo Produto ]],_000___PEDIDOS_DE_CLIENTES[[Data.Column2]:[Descrição Produto]],2,FALSE)," ")</f>
        <v>FRONHA 2 ABAS 5CM CLASSIC STRIPE ESTREITO 300FIOS MISTO LISTRA HORIZONTAL CLASSIC 0,50 X 0,70</v>
      </c>
      <c r="J819" s="91">
        <v>250</v>
      </c>
      <c r="K819" s="88">
        <v>46206</v>
      </c>
      <c r="L819" s="9">
        <v>250</v>
      </c>
      <c r="M819" s="6">
        <v>46223</v>
      </c>
      <c r="N819" s="6">
        <v>46213</v>
      </c>
      <c r="O819" s="23">
        <f>TAB_OFICINAS[[#This Row],[Data Retorno Produção]]-TAB_OFICINAS[[#This Row],[Data Prometida  Entrega]]</f>
        <v>-10</v>
      </c>
      <c r="P819" s="98" t="str">
        <f>IF(TAB_OFICINAS[[#This Row],[Dias Para Entrega]]&lt;=0,"Em dia","Dia de Atrasado")</f>
        <v>Em dia</v>
      </c>
      <c r="Q819" s="24">
        <f>IFERROR(TAB_OFICINAS[[#This Row],[Qtd pçs Enviadas]]-TAB_OFICINAS[[#This Row],[Qtd pçs Retornadas ]],"N/D ")</f>
        <v>0</v>
      </c>
      <c r="R819" s="24">
        <v>23</v>
      </c>
      <c r="S819" s="5">
        <v>3302</v>
      </c>
      <c r="T819" s="5">
        <v>56</v>
      </c>
      <c r="U819" s="11">
        <v>4.0999999999999996</v>
      </c>
      <c r="V819" s="25">
        <f>IFERROR(TAB_OFICINAS[[#This Row],[Valor Unit]]*TAB_OFICINAS[[#This Row],[Qtd pçs Enviadas]]," ")</f>
        <v>1025</v>
      </c>
      <c r="W819" s="26">
        <v>46223</v>
      </c>
      <c r="X819" s="17" t="s">
        <v>6251</v>
      </c>
      <c r="Y819" s="27" t="s">
        <v>23546</v>
      </c>
      <c r="Z8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0" spans="3:26" ht="228" hidden="1">
      <c r="C820" s="28" t="s">
        <v>19</v>
      </c>
      <c r="D820" s="5">
        <v>1942</v>
      </c>
      <c r="E820" s="5">
        <v>23100</v>
      </c>
      <c r="F820" s="28" t="str">
        <f>IFERROR(VLOOKUP(TAB_OFICINAS[[#This Row],[Cliente]],LISTA_DE_CLIENTES[[Código]:[Nome Fantasia]],2,FALSE),"")</f>
        <v>ONCO STAR SP ONCOLOGIA LTDA (REDE D´OR)</v>
      </c>
      <c r="G820" s="2" t="str">
        <f>IFERROR(VLOOKUP(TAB_OFICINAS[[#This Row],[Cliente]],LISTA_DE_CLIENTES[[Código]:[Nome Fantasia]],3,FALSE),"")</f>
        <v>R DOR VILA NOVA STAR</v>
      </c>
      <c r="H820" s="51">
        <v>3301084127</v>
      </c>
      <c r="I820" s="28" t="s">
        <v>23446</v>
      </c>
      <c r="J820" s="91">
        <v>150</v>
      </c>
      <c r="K820" s="88">
        <v>46205</v>
      </c>
      <c r="L820" s="9">
        <v>150</v>
      </c>
      <c r="M820" s="6">
        <v>46225</v>
      </c>
      <c r="N820" s="6">
        <v>46225</v>
      </c>
      <c r="O820" s="23">
        <f>TAB_OFICINAS[[#This Row],[Data Retorno Produção]]-TAB_OFICINAS[[#This Row],[Data Prometida  Entrega]]</f>
        <v>0</v>
      </c>
      <c r="P820" s="98" t="str">
        <f>IF(TAB_OFICINAS[[#This Row],[Dias Para Entrega]]&lt;=0,"Em dia","Dia de Atrasado")</f>
        <v>Em dia</v>
      </c>
      <c r="Q820" s="24">
        <f>IFERROR(TAB_OFICINAS[[#This Row],[Qtd pçs Enviadas]]-TAB_OFICINAS[[#This Row],[Qtd pçs Retornadas ]],"N/D ")</f>
        <v>0</v>
      </c>
      <c r="R820" s="24">
        <v>30</v>
      </c>
      <c r="S820" s="5">
        <v>910</v>
      </c>
      <c r="T820" s="5">
        <v>57</v>
      </c>
      <c r="U820" s="11">
        <v>14</v>
      </c>
      <c r="V820" s="25">
        <f>IFERROR(TAB_OFICINAS[[#This Row],[Valor Unit]]*TAB_OFICINAS[[#This Row],[Qtd pçs Enviadas]]," ")</f>
        <v>2100</v>
      </c>
      <c r="W820" s="26">
        <v>46234</v>
      </c>
      <c r="X820" s="17" t="s">
        <v>6251</v>
      </c>
      <c r="Y820" s="27" t="s">
        <v>23720</v>
      </c>
      <c r="Z8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1" spans="3:26" hidden="1">
      <c r="C821" s="28" t="s">
        <v>18</v>
      </c>
      <c r="D821" s="5">
        <v>1942</v>
      </c>
      <c r="E821" s="5">
        <v>23100</v>
      </c>
      <c r="F821" s="28" t="str">
        <f>IFERROR(VLOOKUP(TAB_OFICINAS[[#This Row],[Cliente]],LISTA_DE_CLIENTES[[Código]:[Nome Fantasia]],2,FALSE),"")</f>
        <v>ONCO STAR SP ONCOLOGIA LTDA (REDE D´OR)</v>
      </c>
      <c r="G821" s="2" t="str">
        <f>IFERROR(VLOOKUP(TAB_OFICINAS[[#This Row],[Cliente]],LISTA_DE_CLIENTES[[Código]:[Nome Fantasia]],3,FALSE),"")</f>
        <v>R DOR VILA NOVA STAR</v>
      </c>
      <c r="H821" s="51">
        <v>3301084128</v>
      </c>
      <c r="I821" s="28" t="s">
        <v>23445</v>
      </c>
      <c r="J821" s="91">
        <v>150</v>
      </c>
      <c r="K821" s="88">
        <v>46205</v>
      </c>
      <c r="L821" s="9">
        <v>150</v>
      </c>
      <c r="M821" s="6">
        <v>46225</v>
      </c>
      <c r="N821" s="6">
        <v>46230</v>
      </c>
      <c r="O821" s="23">
        <f>TAB_OFICINAS[[#This Row],[Data Retorno Produção]]-TAB_OFICINAS[[#This Row],[Data Prometida  Entrega]]</f>
        <v>5</v>
      </c>
      <c r="P821" s="98" t="str">
        <f>IF(TAB_OFICINAS[[#This Row],[Dias Para Entrega]]&lt;=0,"Em dia","Dia de Atrasado")</f>
        <v>Dia de Atrasado</v>
      </c>
      <c r="Q821" s="24">
        <f>IFERROR(TAB_OFICINAS[[#This Row],[Qtd pçs Enviadas]]-TAB_OFICINAS[[#This Row],[Qtd pçs Retornadas ]],"N/D ")</f>
        <v>0</v>
      </c>
      <c r="R821" s="24"/>
      <c r="S821" s="5">
        <v>909</v>
      </c>
      <c r="T821" s="5">
        <v>48</v>
      </c>
      <c r="U821" s="11">
        <v>14</v>
      </c>
      <c r="V821" s="25">
        <f>IFERROR(TAB_OFICINAS[[#This Row],[Valor Unit]]*TAB_OFICINAS[[#This Row],[Qtd pçs Enviadas]]," ")</f>
        <v>2100</v>
      </c>
      <c r="W821" s="26">
        <v>46240</v>
      </c>
      <c r="X821" s="17" t="s">
        <v>6251</v>
      </c>
      <c r="Y821" s="27"/>
      <c r="Z8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2" spans="3:26" hidden="1">
      <c r="C822" s="28" t="s">
        <v>15</v>
      </c>
      <c r="D822" s="5">
        <v>5391</v>
      </c>
      <c r="E822" s="5">
        <v>23354</v>
      </c>
      <c r="F822" s="28" t="str">
        <f>IFERROR(VLOOKUP(TAB_OFICINAS[[#This Row],[Cliente]],LISTA_DE_CLIENTES[[Código]:[Nome Fantasia]],2,FALSE),"")</f>
        <v>PACIFICO OPERACOES HOSPITALARES S.A</v>
      </c>
      <c r="G822" s="2" t="str">
        <f>IFERROR(VLOOKUP(TAB_OFICINAS[[#This Row],[Cliente]],LISTA_DE_CLIENTES[[Código]:[Nome Fantasia]],3,FALSE),"")</f>
        <v>MATERNIDADE SAO LUIZ</v>
      </c>
      <c r="H822" s="51">
        <v>2101102488</v>
      </c>
      <c r="I822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22" s="91">
        <v>502</v>
      </c>
      <c r="K822" s="88">
        <v>46206</v>
      </c>
      <c r="L822" s="9">
        <v>502</v>
      </c>
      <c r="M822" s="6">
        <v>46211</v>
      </c>
      <c r="N822" s="6">
        <v>46210</v>
      </c>
      <c r="O822" s="23">
        <f>TAB_OFICINAS[[#This Row],[Data Retorno Produção]]-TAB_OFICINAS[[#This Row],[Data Prometida  Entrega]]</f>
        <v>-1</v>
      </c>
      <c r="P822" s="98" t="str">
        <f>IF(TAB_OFICINAS[[#This Row],[Dias Para Entrega]]&lt;=0,"Em dia","Dia de Atrasado")</f>
        <v>Em dia</v>
      </c>
      <c r="Q822" s="24">
        <f>IFERROR(TAB_OFICINAS[[#This Row],[Qtd pçs Enviadas]]-TAB_OFICINAS[[#This Row],[Qtd pçs Retornadas ]],"N/D ")</f>
        <v>0</v>
      </c>
      <c r="R822" s="24"/>
      <c r="S822" s="5">
        <v>915</v>
      </c>
      <c r="T822" s="5">
        <v>17403</v>
      </c>
      <c r="U822" s="11">
        <v>3.85</v>
      </c>
      <c r="V822" s="25">
        <f>IFERROR(TAB_OFICINAS[[#This Row],[Valor Unit]]*TAB_OFICINAS[[#This Row],[Qtd pçs Enviadas]]," ")</f>
        <v>1932.7</v>
      </c>
      <c r="W822" s="26">
        <v>46217</v>
      </c>
      <c r="X822" s="17" t="s">
        <v>6251</v>
      </c>
      <c r="Y822" s="27" t="s">
        <v>21341</v>
      </c>
      <c r="Z8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3" spans="3:26" hidden="1">
      <c r="C823" s="28" t="s">
        <v>15</v>
      </c>
      <c r="D823" s="5">
        <v>964</v>
      </c>
      <c r="E823" s="5">
        <v>23354</v>
      </c>
      <c r="F823" s="28" t="str">
        <f>IFERROR(VLOOKUP(TAB_OFICINAS[[#This Row],[Cliente]],LISTA_DE_CLIENTES[[Código]:[Nome Fantasia]],2,FALSE),"")</f>
        <v>TRU COMMERCE IMP. EXP. E COM. DE ROUPA EIRELI</v>
      </c>
      <c r="G823" s="2" t="str">
        <f>IFERROR(VLOOKUP(TAB_OFICINAS[[#This Row],[Cliente]],LISTA_DE_CLIENTES[[Código]:[Nome Fantasia]],3,FALSE),"")</f>
        <v>TRU COMMERCE</v>
      </c>
      <c r="H823" s="51">
        <v>3161091206</v>
      </c>
      <c r="I823" s="28" t="s">
        <v>23453</v>
      </c>
      <c r="J823" s="91">
        <v>1</v>
      </c>
      <c r="K823" s="88">
        <v>46209</v>
      </c>
      <c r="L823" s="9">
        <v>1</v>
      </c>
      <c r="M823" s="6">
        <v>46211</v>
      </c>
      <c r="N823" s="6">
        <v>46212</v>
      </c>
      <c r="O823" s="23">
        <f>TAB_OFICINAS[[#This Row],[Data Retorno Produção]]-TAB_OFICINAS[[#This Row],[Data Prometida  Entrega]]</f>
        <v>1</v>
      </c>
      <c r="P823" s="98" t="str">
        <f>IF(TAB_OFICINAS[[#This Row],[Dias Para Entrega]]&lt;=0,"Em dia","Dia de Atrasado")</f>
        <v>Dia de Atrasado</v>
      </c>
      <c r="Q823" s="24">
        <f>IFERROR(TAB_OFICINAS[[#This Row],[Qtd pçs Enviadas]]-TAB_OFICINAS[[#This Row],[Qtd pçs Retornadas ]],"N/D ")</f>
        <v>0</v>
      </c>
      <c r="R823" s="24">
        <v>0</v>
      </c>
      <c r="S823" s="5">
        <v>919</v>
      </c>
      <c r="T823" s="5">
        <v>17415</v>
      </c>
      <c r="U823" s="11">
        <v>12</v>
      </c>
      <c r="V823" s="25">
        <f>IFERROR(TAB_OFICINAS[[#This Row],[Valor Unit]]*TAB_OFICINAS[[#This Row],[Qtd pçs Enviadas]]," ")</f>
        <v>12</v>
      </c>
      <c r="W823" s="26">
        <v>46224</v>
      </c>
      <c r="X823" s="17" t="s">
        <v>6251</v>
      </c>
      <c r="Y823" s="27" t="s">
        <v>23454</v>
      </c>
      <c r="Z8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4" spans="3:26" hidden="1">
      <c r="C824" s="28" t="s">
        <v>7</v>
      </c>
      <c r="D824" s="5">
        <v>1226</v>
      </c>
      <c r="E824" s="5">
        <v>23354</v>
      </c>
      <c r="F824" s="28" t="str">
        <f>IFERROR(VLOOKUP(TAB_OFICINAS[[#This Row],[Cliente]],LISTA_DE_CLIENTES[[Código]:[Nome Fantasia]],2,FALSE),"")</f>
        <v>RIO ATLANTICA HOTEL S/A</v>
      </c>
      <c r="G824" s="2" t="str">
        <f>IFERROR(VLOOKUP(TAB_OFICINAS[[#This Row],[Cliente]],LISTA_DE_CLIENTES[[Código]:[Nome Fantasia]],3,FALSE),"")</f>
        <v>HILTON COPACABANA</v>
      </c>
      <c r="H824" s="51">
        <v>92101062494</v>
      </c>
      <c r="I824" s="28" t="str">
        <f>IFERROR(VLOOKUP(TAB_OFICINAS[[#This Row],[Codigo Produto ]],_000___PEDIDOS_DE_CLIENTES[[Data.Column2]:[Descrição Produto]],2,FALSE)," ")</f>
        <v>LENÇOL BARRA ESTREITA 4 LADOS STRIPE ESTREITO 300FIOS MISTO LISTRA HORIZONTAL 2,16 X 2,90</v>
      </c>
      <c r="J824" s="91">
        <v>250</v>
      </c>
      <c r="K824" s="88">
        <v>46206</v>
      </c>
      <c r="L824" s="9">
        <v>250</v>
      </c>
      <c r="M824" s="6">
        <v>46216</v>
      </c>
      <c r="N824" s="6">
        <v>46211</v>
      </c>
      <c r="O824" s="23">
        <f>TAB_OFICINAS[[#This Row],[Data Retorno Produção]]-TAB_OFICINAS[[#This Row],[Data Prometida  Entrega]]</f>
        <v>-5</v>
      </c>
      <c r="P824" s="98" t="str">
        <f>IF(TAB_OFICINAS[[#This Row],[Dias Para Entrega]]&lt;=0,"Em dia","Dia de Atrasado")</f>
        <v>Em dia</v>
      </c>
      <c r="Q824" s="24">
        <f>IFERROR(TAB_OFICINAS[[#This Row],[Qtd pçs Enviadas]]-TAB_OFICINAS[[#This Row],[Qtd pçs Retornadas ]],"N/D ")</f>
        <v>0</v>
      </c>
      <c r="R824" s="24"/>
      <c r="S824" s="5">
        <v>3300</v>
      </c>
      <c r="T824" s="5">
        <v>48</v>
      </c>
      <c r="U824" s="11">
        <v>7.5</v>
      </c>
      <c r="V824" s="25">
        <f>IFERROR(TAB_OFICINAS[[#This Row],[Valor Unit]]*TAB_OFICINAS[[#This Row],[Qtd pçs Enviadas]]," ")</f>
        <v>1875</v>
      </c>
      <c r="W824" s="26">
        <f>TAB_OFICINAS[[#This Row],[Data Retorno Produção]]+10</f>
        <v>46221</v>
      </c>
      <c r="X824" s="17" t="s">
        <v>6251</v>
      </c>
      <c r="Y824" s="27"/>
      <c r="Z8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5" spans="3:26" hidden="1">
      <c r="C825" s="28" t="s">
        <v>15</v>
      </c>
      <c r="D825" s="5">
        <v>3660</v>
      </c>
      <c r="E825" s="5">
        <v>23354</v>
      </c>
      <c r="F825" s="28" t="str">
        <f>IFERROR(VLOOKUP(TAB_OFICINAS[[#This Row],[Cliente]],LISTA_DE_CLIENTES[[Código]:[Nome Fantasia]],2,FALSE),"")</f>
        <v>HOSPITAL ESPERANCA SA</v>
      </c>
      <c r="G825" s="2" t="str">
        <f>IFERROR(VLOOKUP(TAB_OFICINAS[[#This Row],[Cliente]],LISTA_DE_CLIENTES[[Código]:[Nome Fantasia]],3,FALSE),"")</f>
        <v>HOSPITAL ALIANÇA</v>
      </c>
      <c r="H825" s="51">
        <v>2101067951</v>
      </c>
      <c r="I825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825" s="91">
        <v>385</v>
      </c>
      <c r="K825" s="88">
        <v>46210</v>
      </c>
      <c r="L825" s="9">
        <v>385</v>
      </c>
      <c r="M825" s="6">
        <v>46216</v>
      </c>
      <c r="N825" s="6">
        <f ca="1">TODAY()</f>
        <v>46315</v>
      </c>
      <c r="O825" s="23">
        <f ca="1">TAB_OFICINAS[[#This Row],[Data Retorno Produção]]-TAB_OFICINAS[[#This Row],[Data Prometida  Entrega]]</f>
        <v>99</v>
      </c>
      <c r="P825" s="98" t="str">
        <f ca="1">IF(TAB_OFICINAS[[#This Row],[Dias Para Entrega]]&lt;=0,"Em dia","Dia de Atrasado")</f>
        <v>Dia de Atrasado</v>
      </c>
      <c r="Q825" s="24">
        <f>IFERROR(TAB_OFICINAS[[#This Row],[Qtd pçs Enviadas]]-TAB_OFICINAS[[#This Row],[Qtd pçs Retornadas ]],"N/D ")</f>
        <v>0</v>
      </c>
      <c r="R825" s="24">
        <v>0</v>
      </c>
      <c r="S825" s="5">
        <v>921</v>
      </c>
      <c r="T825" s="5">
        <v>17416</v>
      </c>
      <c r="U825" s="11">
        <v>3.85</v>
      </c>
      <c r="V825" s="25">
        <f>IFERROR(TAB_OFICINAS[[#This Row],[Valor Unit]]*TAB_OFICINAS[[#This Row],[Qtd pçs Enviadas]]," ")</f>
        <v>1482.25</v>
      </c>
      <c r="W825" s="26">
        <v>46224</v>
      </c>
      <c r="X825" s="17" t="s">
        <v>6251</v>
      </c>
      <c r="Y825" s="27" t="s">
        <v>21341</v>
      </c>
      <c r="Z8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6" spans="3:26" ht="28.5" hidden="1">
      <c r="C826" s="28" t="s">
        <v>15</v>
      </c>
      <c r="D826" s="5">
        <v>5514</v>
      </c>
      <c r="E826" s="5">
        <v>23354</v>
      </c>
      <c r="F826" s="28" t="str">
        <f>IFERROR(VLOOKUP(TAB_OFICINAS[[#This Row],[Cliente]],LISTA_DE_CLIENTES[[Código]:[Nome Fantasia]],2,FALSE),"")</f>
        <v>CESAR AUGUSTO ANTUNES SILVA</v>
      </c>
      <c r="G826" s="2" t="str">
        <f>IFERROR(VLOOKUP(TAB_OFICINAS[[#This Row],[Cliente]],LISTA_DE_CLIENTES[[Código]:[Nome Fantasia]],3,FALSE),"")</f>
        <v>CESAR AUGUSTO</v>
      </c>
      <c r="H826" s="51">
        <v>2101069811</v>
      </c>
      <c r="I826" s="28" t="s">
        <v>23540</v>
      </c>
      <c r="J826" s="91">
        <v>2</v>
      </c>
      <c r="K826" s="88">
        <v>46210</v>
      </c>
      <c r="L826" s="9">
        <v>2</v>
      </c>
      <c r="M826" s="6">
        <v>46213</v>
      </c>
      <c r="N826" s="6">
        <v>46212</v>
      </c>
      <c r="O826" s="23">
        <f>TAB_OFICINAS[[#This Row],[Data Retorno Produção]]-TAB_OFICINAS[[#This Row],[Data Prometida  Entrega]]</f>
        <v>-1</v>
      </c>
      <c r="P826" s="98" t="str">
        <f>IF(TAB_OFICINAS[[#This Row],[Dias Para Entrega]]&lt;=0,"Em dia","Dia de Atrasado")</f>
        <v>Em dia</v>
      </c>
      <c r="Q826" s="24">
        <f>IFERROR(TAB_OFICINAS[[#This Row],[Qtd pçs Enviadas]]-TAB_OFICINAS[[#This Row],[Qtd pçs Retornadas ]],"N/D ")</f>
        <v>0</v>
      </c>
      <c r="R826" s="24"/>
      <c r="S826" s="5" t="s">
        <v>21371</v>
      </c>
      <c r="U826" s="11">
        <v>0</v>
      </c>
      <c r="V826" s="25">
        <f>IFERROR(TAB_OFICINAS[[#This Row],[Valor Unit]]*TAB_OFICINAS[[#This Row],[Qtd pçs Enviadas]]," ")</f>
        <v>0</v>
      </c>
      <c r="W826" s="26"/>
      <c r="X826" s="17" t="s">
        <v>6251</v>
      </c>
      <c r="Y826" s="27" t="s">
        <v>23541</v>
      </c>
      <c r="Z8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7" spans="3:26" hidden="1">
      <c r="C827" s="28" t="s">
        <v>3</v>
      </c>
      <c r="D827" s="5">
        <v>3660</v>
      </c>
      <c r="E827" s="5">
        <v>23354</v>
      </c>
      <c r="F827" s="28" t="str">
        <f>IFERROR(VLOOKUP(TAB_OFICINAS[[#This Row],[Cliente]],LISTA_DE_CLIENTES[[Código]:[Nome Fantasia]],2,FALSE),"")</f>
        <v>HOSPITAL ESPERANCA SA</v>
      </c>
      <c r="G827" s="2" t="str">
        <f>IFERROR(VLOOKUP(TAB_OFICINAS[[#This Row],[Cliente]],LISTA_DE_CLIENTES[[Código]:[Nome Fantasia]],3,FALSE),"")</f>
        <v>HOSPITAL ALIANÇA</v>
      </c>
      <c r="H827" s="51">
        <v>2103067072</v>
      </c>
      <c r="I827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827" s="91">
        <v>261</v>
      </c>
      <c r="K827" s="88">
        <v>46210</v>
      </c>
      <c r="L827" s="9">
        <v>261</v>
      </c>
      <c r="M827" s="6">
        <v>46213</v>
      </c>
      <c r="N827" s="6">
        <v>46213</v>
      </c>
      <c r="O827" s="23">
        <f>TAB_OFICINAS[[#This Row],[Data Retorno Produção]]-TAB_OFICINAS[[#This Row],[Data Prometida  Entrega]]</f>
        <v>0</v>
      </c>
      <c r="P827" s="98" t="str">
        <f>IF(TAB_OFICINAS[[#This Row],[Dias Para Entrega]]&lt;=0,"Em dia","Dia de Atrasado")</f>
        <v>Em dia</v>
      </c>
      <c r="Q827" s="24">
        <f>IFERROR(TAB_OFICINAS[[#This Row],[Qtd pçs Enviadas]]-TAB_OFICINAS[[#This Row],[Qtd pçs Retornadas ]],"N/D ")</f>
        <v>0</v>
      </c>
      <c r="R827" s="24"/>
      <c r="S827" s="5">
        <v>922</v>
      </c>
      <c r="T827" s="5">
        <v>117</v>
      </c>
      <c r="U827" s="11">
        <v>3</v>
      </c>
      <c r="V827" s="25">
        <f>IFERROR(TAB_OFICINAS[[#This Row],[Valor Unit]]*TAB_OFICINAS[[#This Row],[Qtd pçs Enviadas]]," ")</f>
        <v>783</v>
      </c>
      <c r="W827" s="26"/>
      <c r="X827" s="17" t="s">
        <v>6251</v>
      </c>
      <c r="Y827" s="27"/>
      <c r="Z8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8" spans="3:26" hidden="1">
      <c r="C828" s="28" t="s">
        <v>21197</v>
      </c>
      <c r="D828" s="5">
        <v>3660</v>
      </c>
      <c r="E828" s="5">
        <v>23354</v>
      </c>
      <c r="F828" s="28" t="str">
        <f>IFERROR(VLOOKUP(TAB_OFICINAS[[#This Row],[Cliente]],LISTA_DE_CLIENTES[[Código]:[Nome Fantasia]],2,FALSE),"")</f>
        <v>HOSPITAL ESPERANCA SA</v>
      </c>
      <c r="G828" s="2" t="str">
        <f>IFERROR(VLOOKUP(TAB_OFICINAS[[#This Row],[Cliente]],LISTA_DE_CLIENTES[[Código]:[Nome Fantasia]],3,FALSE),"")</f>
        <v>HOSPITAL ALIANÇA</v>
      </c>
      <c r="H828" s="51">
        <v>2103067072</v>
      </c>
      <c r="I828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828" s="91">
        <v>545</v>
      </c>
      <c r="K828" s="88">
        <v>46204</v>
      </c>
      <c r="L828" s="9">
        <v>545</v>
      </c>
      <c r="M828" s="6">
        <v>46213</v>
      </c>
      <c r="N828" s="6">
        <v>46210</v>
      </c>
      <c r="O828" s="23">
        <f>TAB_OFICINAS[[#This Row],[Data Retorno Produção]]-TAB_OFICINAS[[#This Row],[Data Prometida  Entrega]]</f>
        <v>-3</v>
      </c>
      <c r="P828" s="98" t="str">
        <f>IF(TAB_OFICINAS[[#This Row],[Dias Para Entrega]]&lt;=0,"Em dia","Dia de Atrasado")</f>
        <v>Em dia</v>
      </c>
      <c r="Q828" s="24">
        <f>IFERROR(TAB_OFICINAS[[#This Row],[Qtd pçs Enviadas]]-TAB_OFICINAS[[#This Row],[Qtd pçs Retornadas ]],"N/D ")</f>
        <v>0</v>
      </c>
      <c r="R828" s="24"/>
      <c r="S828" s="5">
        <v>907</v>
      </c>
      <c r="T828" s="5">
        <v>78</v>
      </c>
      <c r="U828" s="11">
        <v>3</v>
      </c>
      <c r="V828" s="25">
        <f>IFERROR(TAB_OFICINAS[[#This Row],[Valor Unit]]*TAB_OFICINAS[[#This Row],[Qtd pçs Enviadas]]," ")</f>
        <v>1635</v>
      </c>
      <c r="W828" s="26">
        <f>TAB_OFICINAS[[#This Row],[Data Retorno Produção]]+13</f>
        <v>46223</v>
      </c>
      <c r="X828" s="17" t="s">
        <v>6251</v>
      </c>
      <c r="Y828" s="27"/>
      <c r="Z8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29" spans="3:26" hidden="1">
      <c r="C829" s="28" t="s">
        <v>21197</v>
      </c>
      <c r="D829" s="5">
        <v>3660</v>
      </c>
      <c r="E829" s="5" t="s">
        <v>23441</v>
      </c>
      <c r="F829" s="28" t="str">
        <f>IFERROR(VLOOKUP(TAB_OFICINAS[[#This Row],[Cliente]],LISTA_DE_CLIENTES[[Código]:[Nome Fantasia]],2,FALSE),"")</f>
        <v>HOSPITAL ESPERANCA SA</v>
      </c>
      <c r="G829" s="2" t="str">
        <f>IFERROR(VLOOKUP(TAB_OFICINAS[[#This Row],[Cliente]],LISTA_DE_CLIENTES[[Código]:[Nome Fantasia]],3,FALSE),"")</f>
        <v>HOSPITAL ALIANÇA</v>
      </c>
      <c r="H829" s="51">
        <v>2103067072</v>
      </c>
      <c r="I829" s="28" t="str">
        <f>IFERROR(VLOOKUP(TAB_OFICINAS[[#This Row],[Codigo Produto ]],_000___PEDIDOS_DE_CLIENTES[[Data.Column2]:[Descrição Produto]],2,FALSE)," ")</f>
        <v>FRONHA ENVELOPE - 180F 100% ALGODÃO - COM LOGO BORDADO COR ALABASTRO 07077 - 0,50 X 0,70</v>
      </c>
      <c r="J829" s="91">
        <v>500</v>
      </c>
      <c r="K829" s="88">
        <v>46209</v>
      </c>
      <c r="L829" s="9">
        <v>500</v>
      </c>
      <c r="M829" s="6">
        <v>46213</v>
      </c>
      <c r="N829" s="6">
        <v>46212</v>
      </c>
      <c r="O829" s="23">
        <f>TAB_OFICINAS[[#This Row],[Data Retorno Produção]]-TAB_OFICINAS[[#This Row],[Data Prometida  Entrega]]</f>
        <v>-1</v>
      </c>
      <c r="P829" s="98" t="str">
        <f>IF(TAB_OFICINAS[[#This Row],[Dias Para Entrega]]&lt;=0,"Em dia","Dia de Atrasado")</f>
        <v>Em dia</v>
      </c>
      <c r="Q829" s="24">
        <f>IFERROR(TAB_OFICINAS[[#This Row],[Qtd pçs Enviadas]]-TAB_OFICINAS[[#This Row],[Qtd pçs Retornadas ]],"N/D ")</f>
        <v>0</v>
      </c>
      <c r="R829" s="24"/>
      <c r="S829" s="5">
        <v>920</v>
      </c>
      <c r="T829" s="5">
        <v>80</v>
      </c>
      <c r="U829" s="11">
        <v>3</v>
      </c>
      <c r="V829" s="25">
        <f>IFERROR(TAB_OFICINAS[[#This Row],[Valor Unit]]*TAB_OFICINAS[[#This Row],[Qtd pçs Enviadas]]," ")</f>
        <v>1500</v>
      </c>
      <c r="W829" s="26">
        <f>TAB_OFICINAS[[#This Row],[Data Retorno Produção]]+11</f>
        <v>46223</v>
      </c>
      <c r="X829" s="17" t="s">
        <v>6251</v>
      </c>
      <c r="Y829" s="27"/>
      <c r="Z8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0" spans="3:26" hidden="1">
      <c r="C830" s="28" t="s">
        <v>21197</v>
      </c>
      <c r="D830" s="5">
        <v>1226</v>
      </c>
      <c r="E830" s="5">
        <v>23638</v>
      </c>
      <c r="F830" s="28" t="str">
        <f>IFERROR(VLOOKUP(TAB_OFICINAS[[#This Row],[Cliente]],LISTA_DE_CLIENTES[[Código]:[Nome Fantasia]],2,FALSE),"")</f>
        <v>RIO ATLANTICA HOTEL S/A</v>
      </c>
      <c r="G830" s="2" t="str">
        <f>IFERROR(VLOOKUP(TAB_OFICINAS[[#This Row],[Cliente]],LISTA_DE_CLIENTES[[Código]:[Nome Fantasia]],3,FALSE),"")</f>
        <v>HILTON COPACABANA</v>
      </c>
      <c r="H830" s="51">
        <v>92101086445</v>
      </c>
      <c r="I830" s="28" t="str">
        <f>IFERROR(VLOOKUP(TAB_OFICINAS[[#This Row],[Codigo Produto ]],_000___PEDIDOS_DE_CLIENTES[[Data.Column2]:[Descrição Produto]],2,FALSE)," ")</f>
        <v>SUPER FRONHA 2 ABAS 5CM CLASSIC STRIPE ESTREITO 300FIOS MISTO LISTRA HORIZONTAL 0,50 X 0,90</v>
      </c>
      <c r="J830" s="91">
        <v>661</v>
      </c>
      <c r="K830" s="88">
        <v>46209</v>
      </c>
      <c r="L830" s="9">
        <v>661</v>
      </c>
      <c r="M830" s="6">
        <v>46223</v>
      </c>
      <c r="N830" s="6">
        <v>46219</v>
      </c>
      <c r="O830" s="23">
        <f>TAB_OFICINAS[[#This Row],[Data Retorno Produção]]-TAB_OFICINAS[[#This Row],[Data Prometida  Entrega]]</f>
        <v>-4</v>
      </c>
      <c r="P830" s="98" t="str">
        <f>IF(TAB_OFICINAS[[#This Row],[Dias Para Entrega]]&lt;=0,"Em dia","Dia de Atrasado")</f>
        <v>Em dia</v>
      </c>
      <c r="Q830" s="24">
        <f>IFERROR(TAB_OFICINAS[[#This Row],[Qtd pçs Enviadas]]-TAB_OFICINAS[[#This Row],[Qtd pçs Retornadas ]],"N/D ")</f>
        <v>0</v>
      </c>
      <c r="R830" s="24"/>
      <c r="S830" s="5">
        <v>3306</v>
      </c>
      <c r="T830" s="5">
        <v>83</v>
      </c>
      <c r="U830" s="11">
        <v>4.3</v>
      </c>
      <c r="V830" s="25">
        <f>IFERROR(TAB_OFICINAS[[#This Row],[Valor Unit]]*TAB_OFICINAS[[#This Row],[Qtd pçs Enviadas]]," ")</f>
        <v>2842.2999999999997</v>
      </c>
      <c r="W830" s="26">
        <f>TAB_OFICINAS[[#This Row],[Data Retorno Produção]]+10</f>
        <v>46229</v>
      </c>
      <c r="X830" s="17" t="s">
        <v>6251</v>
      </c>
      <c r="Y830" s="27"/>
      <c r="Z8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1" spans="3:26" ht="171" hidden="1">
      <c r="C831" s="28" t="s">
        <v>15</v>
      </c>
      <c r="D831" s="5">
        <v>3660</v>
      </c>
      <c r="E831" s="5">
        <v>23695</v>
      </c>
      <c r="F831" s="28" t="str">
        <f>IFERROR(VLOOKUP(TAB_OFICINAS[[#This Row],[Cliente]],LISTA_DE_CLIENTES[[Código]:[Nome Fantasia]],2,FALSE),"")</f>
        <v>HOSPITAL ESPERANCA SA</v>
      </c>
      <c r="G831" s="2" t="str">
        <f>IFERROR(VLOOKUP(TAB_OFICINAS[[#This Row],[Cliente]],LISTA_DE_CLIENTES[[Código]:[Nome Fantasia]],3,FALSE),"")</f>
        <v>HOSPITAL ALIANÇA</v>
      </c>
      <c r="H831" s="51">
        <v>2101067951</v>
      </c>
      <c r="I831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831" s="91">
        <v>400</v>
      </c>
      <c r="K831" s="88">
        <v>46212</v>
      </c>
      <c r="L831" s="119">
        <v>400</v>
      </c>
      <c r="M831" s="6">
        <v>46218</v>
      </c>
      <c r="N831" s="6">
        <f ca="1">TODAY()</f>
        <v>46315</v>
      </c>
      <c r="O831" s="23">
        <f ca="1">TAB_OFICINAS[[#This Row],[Data Retorno Produção]]-TAB_OFICINAS[[#This Row],[Data Prometida  Entrega]]</f>
        <v>97</v>
      </c>
      <c r="P831" s="98" t="str">
        <f ca="1">IF(TAB_OFICINAS[[#This Row],[Dias Para Entrega]]&lt;=0,"Em dia","Dia de Atrasado")</f>
        <v>Dia de Atrasado</v>
      </c>
      <c r="Q831" s="24">
        <f>IFERROR(TAB_OFICINAS[[#This Row],[Qtd pçs Enviadas]]-TAB_OFICINAS[[#This Row],[Qtd pçs Retornadas ]],"N/D ")</f>
        <v>0</v>
      </c>
      <c r="R831" s="24">
        <v>32</v>
      </c>
      <c r="S831" s="5">
        <v>929</v>
      </c>
      <c r="T831" s="5">
        <v>17417</v>
      </c>
      <c r="U831" s="11">
        <v>3.85</v>
      </c>
      <c r="V831" s="25">
        <f>IFERROR(TAB_OFICINAS[[#This Row],[Valor Unit]]*TAB_OFICINAS[[#This Row],[Qtd pçs Enviadas]]," ")</f>
        <v>1540</v>
      </c>
      <c r="W831" s="26">
        <v>46225</v>
      </c>
      <c r="X831" s="17" t="s">
        <v>6251</v>
      </c>
      <c r="Y831" s="27" t="s">
        <v>23616</v>
      </c>
      <c r="Z8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2" spans="3:26" ht="99.75" hidden="1">
      <c r="C832" s="28" t="s">
        <v>17</v>
      </c>
      <c r="D832" s="5">
        <v>1942</v>
      </c>
      <c r="E832" s="5">
        <v>23100</v>
      </c>
      <c r="F832" s="28" t="str">
        <f>IFERROR(VLOOKUP(TAB_OFICINAS[[#This Row],[Cliente]],LISTA_DE_CLIENTES[[Código]:[Nome Fantasia]],2,FALSE),"")</f>
        <v>ONCO STAR SP ONCOLOGIA LTDA (REDE D´OR)</v>
      </c>
      <c r="G832" s="2" t="str">
        <f>IFERROR(VLOOKUP(TAB_OFICINAS[[#This Row],[Cliente]],LISTA_DE_CLIENTES[[Código]:[Nome Fantasia]],3,FALSE),"")</f>
        <v>R DOR VILA NOVA STAR</v>
      </c>
      <c r="H832" s="51">
        <v>3301084164</v>
      </c>
      <c r="I832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832" s="91">
        <v>100</v>
      </c>
      <c r="K832" s="88">
        <v>46211</v>
      </c>
      <c r="L832" s="9">
        <v>100</v>
      </c>
      <c r="M832" s="6">
        <v>46225</v>
      </c>
      <c r="N832" s="6">
        <v>46223</v>
      </c>
      <c r="O832" s="23">
        <f>TAB_OFICINAS[[#This Row],[Data Retorno Produção]]-TAB_OFICINAS[[#This Row],[Data Prometida  Entrega]]</f>
        <v>-2</v>
      </c>
      <c r="P832" s="98" t="str">
        <f>IF(TAB_OFICINAS[[#This Row],[Dias Para Entrega]]&lt;=0,"Em dia","Dia de Atrasado")</f>
        <v>Em dia</v>
      </c>
      <c r="Q832" s="24">
        <f>IFERROR(TAB_OFICINAS[[#This Row],[Qtd pçs Enviadas]]-TAB_OFICINAS[[#This Row],[Qtd pçs Retornadas ]],"N/D ")</f>
        <v>0</v>
      </c>
      <c r="R832" s="24">
        <v>12</v>
      </c>
      <c r="S832" s="5">
        <v>923</v>
      </c>
      <c r="T832" s="5">
        <v>60</v>
      </c>
      <c r="U832" s="11">
        <v>14</v>
      </c>
      <c r="V832" s="25">
        <f>IFERROR(TAB_OFICINAS[[#This Row],[Valor Unit]]*TAB_OFICINAS[[#This Row],[Qtd pçs Enviadas]]," ")</f>
        <v>1400</v>
      </c>
      <c r="W832" s="26">
        <v>46240</v>
      </c>
      <c r="X832" s="17" t="s">
        <v>6251</v>
      </c>
      <c r="Y832" s="27" t="s">
        <v>23988</v>
      </c>
      <c r="Z8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3" spans="3:26" ht="57" hidden="1">
      <c r="C833" s="28" t="s">
        <v>9</v>
      </c>
      <c r="D833" s="5">
        <v>5643</v>
      </c>
      <c r="E833" s="5">
        <v>23891</v>
      </c>
      <c r="F833" s="28" t="str">
        <f>IFERROR(VLOOKUP(TAB_OFICINAS[[#This Row],[Cliente]],LISTA_DE_CLIENTES[[Código]:[Nome Fantasia]],2,FALSE),"")</f>
        <v>ARTEMIS INCORPORADORA SPE LTDA</v>
      </c>
      <c r="G833" s="2" t="str">
        <f>IFERROR(VLOOKUP(TAB_OFICINAS[[#This Row],[Cliente]],LISTA_DE_CLIENTES[[Código]:[Nome Fantasia]],3,FALSE),"")</f>
        <v>NOON HIGIENÓPOLIS</v>
      </c>
      <c r="H833" s="51">
        <v>2115501207</v>
      </c>
      <c r="I833" s="28" t="s">
        <v>23609</v>
      </c>
      <c r="J833" s="91">
        <v>51</v>
      </c>
      <c r="K833" s="88">
        <v>46211</v>
      </c>
      <c r="L833" s="9">
        <v>0</v>
      </c>
      <c r="M833" s="6">
        <v>46225</v>
      </c>
      <c r="N833" s="6">
        <v>46219</v>
      </c>
      <c r="O833" s="23">
        <f>TAB_OFICINAS[[#This Row],[Data Retorno Produção]]-TAB_OFICINAS[[#This Row],[Data Prometida  Entrega]]</f>
        <v>-6</v>
      </c>
      <c r="P833" s="98" t="str">
        <f>IF(TAB_OFICINAS[[#This Row],[Dias Para Entrega]]&lt;=0,"Em dia","Dia de Atrasado")</f>
        <v>Em dia</v>
      </c>
      <c r="Q833" s="24">
        <v>0</v>
      </c>
      <c r="R833" s="24"/>
      <c r="S833" s="5">
        <v>927</v>
      </c>
      <c r="T833" s="5">
        <v>6</v>
      </c>
      <c r="U833" s="11">
        <v>13</v>
      </c>
      <c r="V833" s="25">
        <f>IFERROR(TAB_OFICINAS[[#This Row],[Valor Unit]]*TAB_OFICINAS[[#This Row],[Qtd pçs Enviadas]]," ")</f>
        <v>663</v>
      </c>
      <c r="W833" s="26">
        <f>TAB_OFICINAS[[#This Row],[Data Retorno Produção]]+9</f>
        <v>46228</v>
      </c>
      <c r="X833" s="17" t="s">
        <v>6251</v>
      </c>
      <c r="Y833" s="120" t="s">
        <v>23620</v>
      </c>
      <c r="Z833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834" spans="3:26" hidden="1">
      <c r="C834" s="28" t="s">
        <v>9</v>
      </c>
      <c r="D834" s="5">
        <v>5643</v>
      </c>
      <c r="E834" s="5">
        <v>23891</v>
      </c>
      <c r="F834" s="28" t="str">
        <f>IFERROR(VLOOKUP(TAB_OFICINAS[[#This Row],[Cliente]],LISTA_DE_CLIENTES[[Código]:[Nome Fantasia]],2,FALSE),"")</f>
        <v>ARTEMIS INCORPORADORA SPE LTDA</v>
      </c>
      <c r="G834" s="2" t="str">
        <f>IFERROR(VLOOKUP(TAB_OFICINAS[[#This Row],[Cliente]],LISTA_DE_CLIENTES[[Código]:[Nome Fantasia]],3,FALSE),"")</f>
        <v>NOON HIGIENÓPOLIS</v>
      </c>
      <c r="H834" s="51">
        <v>2111155826</v>
      </c>
      <c r="I834" s="28" t="s">
        <v>23610</v>
      </c>
      <c r="J834" s="91">
        <v>9</v>
      </c>
      <c r="K834" s="88">
        <v>46211</v>
      </c>
      <c r="M834" s="6">
        <v>46225</v>
      </c>
      <c r="N834" s="6">
        <v>46219</v>
      </c>
      <c r="O834" s="23">
        <f>TAB_OFICINAS[[#This Row],[Data Retorno Produção]]-TAB_OFICINAS[[#This Row],[Data Prometida  Entrega]]</f>
        <v>-6</v>
      </c>
      <c r="P834" s="98" t="str">
        <f>IF(TAB_OFICINAS[[#This Row],[Dias Para Entrega]]&lt;=0,"Em dia","Dia de Atrasado")</f>
        <v>Em dia</v>
      </c>
      <c r="Q834" s="24">
        <v>0</v>
      </c>
      <c r="R834" s="24"/>
      <c r="S834" s="5">
        <v>927</v>
      </c>
      <c r="T834" s="5">
        <v>6</v>
      </c>
      <c r="U834" s="11">
        <v>12</v>
      </c>
      <c r="V834" s="25">
        <f>IFERROR(TAB_OFICINAS[[#This Row],[Valor Unit]]*TAB_OFICINAS[[#This Row],[Qtd pçs Enviadas]]," ")</f>
        <v>108</v>
      </c>
      <c r="W834" s="26">
        <f>TAB_OFICINAS[[#This Row],[Data Retorno Produção]]+9</f>
        <v>46228</v>
      </c>
      <c r="X834" s="17" t="s">
        <v>6251</v>
      </c>
      <c r="Y834" s="27"/>
      <c r="Z834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835" spans="3:26" hidden="1">
      <c r="C835" s="28" t="s">
        <v>1</v>
      </c>
      <c r="D835" s="5">
        <v>943</v>
      </c>
      <c r="E835" s="5">
        <v>23090</v>
      </c>
      <c r="F835" s="28" t="str">
        <f>IFERROR(VLOOKUP(TAB_OFICINAS[[#This Row],[Cliente]],LISTA_DE_CLIENTES[[Código]:[Nome Fantasia]],2,FALSE),"")</f>
        <v>REDE DOR SAO LUIZ S.A.</v>
      </c>
      <c r="G835" s="2" t="str">
        <f>IFERROR(VLOOKUP(TAB_OFICINAS[[#This Row],[Cliente]],LISTA_DE_CLIENTES[[Código]:[Nome Fantasia]],3,FALSE),"")</f>
        <v>HOSPITAL COPA STAR</v>
      </c>
      <c r="H835" s="51">
        <v>2101102488</v>
      </c>
      <c r="I835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35" s="91">
        <v>252</v>
      </c>
      <c r="K835" s="88">
        <v>46212</v>
      </c>
      <c r="L835" s="9">
        <v>252</v>
      </c>
      <c r="M835" s="6">
        <v>46220</v>
      </c>
      <c r="N835" s="6">
        <v>46218</v>
      </c>
      <c r="O835" s="23">
        <f>TAB_OFICINAS[[#This Row],[Data Retorno Produção]]-TAB_OFICINAS[[#This Row],[Data Prometida  Entrega]]</f>
        <v>-2</v>
      </c>
      <c r="P835" s="98" t="str">
        <f>IF(TAB_OFICINAS[[#This Row],[Dias Para Entrega]]&lt;=0,"Em dia","Dia de Atrasado")</f>
        <v>Em dia</v>
      </c>
      <c r="Q835" s="24">
        <f>IFERROR(TAB_OFICINAS[[#This Row],[Qtd pçs Enviadas]]-TAB_OFICINAS[[#This Row],[Qtd pçs Retornadas ]],"N/D ")</f>
        <v>0</v>
      </c>
      <c r="R835" s="24"/>
      <c r="S835" s="5">
        <v>928</v>
      </c>
      <c r="T835" s="5">
        <v>57</v>
      </c>
      <c r="U835" s="11">
        <v>6.5</v>
      </c>
      <c r="V835" s="25">
        <f>IFERROR(TAB_OFICINAS[[#This Row],[Valor Unit]]*TAB_OFICINAS[[#This Row],[Qtd pçs Enviadas]]," ")</f>
        <v>1638</v>
      </c>
      <c r="W835" s="26">
        <v>46227</v>
      </c>
      <c r="X835" s="17" t="s">
        <v>6251</v>
      </c>
      <c r="Y835" s="27"/>
      <c r="Z8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6" spans="3:26" hidden="1">
      <c r="C836" s="28" t="s">
        <v>7</v>
      </c>
      <c r="D836" s="5">
        <v>943</v>
      </c>
      <c r="E836" s="5">
        <v>23090</v>
      </c>
      <c r="F836" s="28" t="str">
        <f>IFERROR(VLOOKUP(TAB_OFICINAS[[#This Row],[Cliente]],LISTA_DE_CLIENTES[[Código]:[Nome Fantasia]],2,FALSE),"")</f>
        <v>REDE DOR SAO LUIZ S.A.</v>
      </c>
      <c r="G836" s="2" t="str">
        <f>IFERROR(VLOOKUP(TAB_OFICINAS[[#This Row],[Cliente]],LISTA_DE_CLIENTES[[Código]:[Nome Fantasia]],3,FALSE),"")</f>
        <v>HOSPITAL COPA STAR</v>
      </c>
      <c r="H836" s="51">
        <v>2101102488</v>
      </c>
      <c r="I836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36" s="91">
        <v>251</v>
      </c>
      <c r="K836" s="88">
        <v>46211</v>
      </c>
      <c r="L836" s="9">
        <v>251</v>
      </c>
      <c r="M836" s="6">
        <v>46220</v>
      </c>
      <c r="N836" s="6">
        <v>46218</v>
      </c>
      <c r="O836" s="23">
        <f>TAB_OFICINAS[[#This Row],[Data Retorno Produção]]-TAB_OFICINAS[[#This Row],[Data Prometida  Entrega]]</f>
        <v>-2</v>
      </c>
      <c r="P836" s="98" t="str">
        <f>IF(TAB_OFICINAS[[#This Row],[Dias Para Entrega]]&lt;=0,"Em dia","Dia de Atrasado")</f>
        <v>Em dia</v>
      </c>
      <c r="Q836" s="24">
        <f>IFERROR(TAB_OFICINAS[[#This Row],[Qtd pçs Enviadas]]-TAB_OFICINAS[[#This Row],[Qtd pçs Retornadas ]],"N/D ")</f>
        <v>0</v>
      </c>
      <c r="R836" s="24"/>
      <c r="S836" s="5">
        <v>925</v>
      </c>
      <c r="T836" s="5">
        <v>49</v>
      </c>
      <c r="U836" s="11">
        <v>6.5</v>
      </c>
      <c r="V836" s="25">
        <f>IFERROR(TAB_OFICINAS[[#This Row],[Valor Unit]]*TAB_OFICINAS[[#This Row],[Qtd pçs Enviadas]]," ")</f>
        <v>1631.5</v>
      </c>
      <c r="W836" s="26">
        <v>46227</v>
      </c>
      <c r="X836" s="17" t="s">
        <v>6251</v>
      </c>
      <c r="Y836" s="27"/>
      <c r="Z8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7" spans="3:26" hidden="1">
      <c r="C837" s="28" t="s">
        <v>3</v>
      </c>
      <c r="D837" s="5">
        <v>3922</v>
      </c>
      <c r="E837" s="5">
        <v>23845</v>
      </c>
      <c r="F837" s="28" t="str">
        <f>IFERROR(VLOOKUP(TAB_OFICINAS[[#This Row],[Cliente]],LISTA_DE_CLIENTES[[Código]:[Nome Fantasia]],2,FALSE),"")</f>
        <v>ACCA TEXTIL COMERCIO UNIPESSOAL LTDA</v>
      </c>
      <c r="G837" s="2" t="str">
        <f>IFERROR(VLOOKUP(TAB_OFICINAS[[#This Row],[Cliente]],LISTA_DE_CLIENTES[[Código]:[Nome Fantasia]],3,FALSE),"")</f>
        <v>ACCA TEXTIL</v>
      </c>
      <c r="H837" s="51">
        <v>3302064065</v>
      </c>
      <c r="I837" s="28" t="str">
        <f>IFERROR(VLOOKUP(TAB_OFICINAS[[#This Row],[Codigo Produto ]],_000___PEDIDOS_DE_CLIENTES[[Data.Column2]:[Descrição Produto]],2,FALSE)," ")</f>
        <v>KIT BRINDE 2 TOALHA DE MÃO C/ BORDADO E SAQUINHO</v>
      </c>
      <c r="J837" s="91">
        <v>150</v>
      </c>
      <c r="K837" s="88">
        <v>46213</v>
      </c>
      <c r="L837" s="9">
        <v>150</v>
      </c>
      <c r="M837" s="6">
        <v>46220</v>
      </c>
      <c r="N837" s="6">
        <v>46219</v>
      </c>
      <c r="O837" s="23">
        <f>TAB_OFICINAS[[#This Row],[Data Retorno Produção]]-TAB_OFICINAS[[#This Row],[Data Prometida  Entrega]]</f>
        <v>-1</v>
      </c>
      <c r="P837" s="98" t="str">
        <f>IF(TAB_OFICINAS[[#This Row],[Dias Para Entrega]]&lt;=0,"Em dia","Dia de Atrasado")</f>
        <v>Em dia</v>
      </c>
      <c r="Q837" s="24">
        <f>N1600</f>
        <v>0</v>
      </c>
      <c r="R837" s="24"/>
      <c r="S837" s="5">
        <v>930</v>
      </c>
      <c r="T837" s="5">
        <v>118</v>
      </c>
      <c r="U837" s="11">
        <v>4</v>
      </c>
      <c r="V837" s="25">
        <f>IFERROR(TAB_OFICINAS[[#This Row],[Valor Unit]]*TAB_OFICINAS[[#This Row],[Qtd pçs Enviadas]]," ")</f>
        <v>600</v>
      </c>
      <c r="W837" s="26"/>
      <c r="X837" s="17" t="s">
        <v>6251</v>
      </c>
      <c r="Y837" s="27"/>
      <c r="Z8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8" spans="3:26" hidden="1">
      <c r="C838" s="28" t="s">
        <v>3</v>
      </c>
      <c r="D838" s="5">
        <v>3922</v>
      </c>
      <c r="E838" s="5">
        <v>23845</v>
      </c>
      <c r="F838" s="28" t="str">
        <f>IFERROR(VLOOKUP(TAB_OFICINAS[[#This Row],[Cliente]],LISTA_DE_CLIENTES[[Código]:[Nome Fantasia]],2,FALSE),"")</f>
        <v>ACCA TEXTIL COMERCIO UNIPESSOAL LTDA</v>
      </c>
      <c r="G838" s="2" t="str">
        <f>IFERROR(VLOOKUP(TAB_OFICINAS[[#This Row],[Cliente]],LISTA_DE_CLIENTES[[Código]:[Nome Fantasia]],3,FALSE),"")</f>
        <v>ACCA TEXTIL</v>
      </c>
      <c r="H838" s="51" t="s">
        <v>23962</v>
      </c>
      <c r="I838" s="28" t="s">
        <v>22778</v>
      </c>
      <c r="J838" s="91">
        <v>45</v>
      </c>
      <c r="K838" s="88">
        <v>46213</v>
      </c>
      <c r="L838" s="9">
        <v>45</v>
      </c>
      <c r="M838" s="6">
        <v>46220</v>
      </c>
      <c r="N838" s="6">
        <v>46219</v>
      </c>
      <c r="O838" s="23">
        <f>TAB_OFICINAS[[#This Row],[Data Retorno Produção]]-TAB_OFICINAS[[#This Row],[Data Prometida  Entrega]]</f>
        <v>-1</v>
      </c>
      <c r="P838" s="98" t="str">
        <f>IF(TAB_OFICINAS[[#This Row],[Dias Para Entrega]]&lt;=0,"Em dia","Dia de Atrasado")</f>
        <v>Em dia</v>
      </c>
      <c r="Q838" s="24">
        <v>0</v>
      </c>
      <c r="R838" s="24"/>
      <c r="S838" s="5">
        <v>930</v>
      </c>
      <c r="T838" s="5">
        <v>118</v>
      </c>
      <c r="U838" s="11">
        <v>3</v>
      </c>
      <c r="V838" s="25">
        <f>IFERROR(TAB_OFICINAS[[#This Row],[Valor Unit]]*TAB_OFICINAS[[#This Row],[Qtd pçs Enviadas]]," ")</f>
        <v>135</v>
      </c>
      <c r="W838" s="26"/>
      <c r="X838" s="17" t="s">
        <v>6251</v>
      </c>
      <c r="Y838" s="27"/>
      <c r="Z83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39" spans="3:26" hidden="1">
      <c r="C839" s="28" t="s">
        <v>3</v>
      </c>
      <c r="D839" s="5">
        <v>3922</v>
      </c>
      <c r="E839" s="5">
        <v>23845</v>
      </c>
      <c r="F839" s="28" t="str">
        <f>IFERROR(VLOOKUP(TAB_OFICINAS[[#This Row],[Cliente]],LISTA_DE_CLIENTES[[Código]:[Nome Fantasia]],2,FALSE),"")</f>
        <v>ACCA TEXTIL COMERCIO UNIPESSOAL LTDA</v>
      </c>
      <c r="G839" s="2" t="str">
        <f>IFERROR(VLOOKUP(TAB_OFICINAS[[#This Row],[Cliente]],LISTA_DE_CLIENTES[[Código]:[Nome Fantasia]],3,FALSE),"")</f>
        <v>ACCA TEXTIL</v>
      </c>
      <c r="H839" s="51" t="s">
        <v>23962</v>
      </c>
      <c r="I839" s="28" t="s">
        <v>23611</v>
      </c>
      <c r="J839" s="91">
        <v>165</v>
      </c>
      <c r="K839" s="88">
        <v>46213</v>
      </c>
      <c r="L839" s="9">
        <v>165</v>
      </c>
      <c r="M839" s="6">
        <v>46220</v>
      </c>
      <c r="N839" s="6">
        <v>46219</v>
      </c>
      <c r="O839" s="23">
        <f>TAB_OFICINAS[[#This Row],[Data Retorno Produção]]-TAB_OFICINAS[[#This Row],[Data Prometida  Entrega]]</f>
        <v>-1</v>
      </c>
      <c r="P839" s="98" t="str">
        <f>IF(TAB_OFICINAS[[#This Row],[Dias Para Entrega]]&lt;=0,"Em dia","Dia de Atrasado")</f>
        <v>Em dia</v>
      </c>
      <c r="Q839" s="24">
        <v>0</v>
      </c>
      <c r="R839" s="24"/>
      <c r="S839" s="5">
        <v>930</v>
      </c>
      <c r="T839" s="5">
        <v>118</v>
      </c>
      <c r="U839" s="11">
        <v>3</v>
      </c>
      <c r="V839" s="25">
        <f>IFERROR(TAB_OFICINAS[[#This Row],[Valor Unit]]*TAB_OFICINAS[[#This Row],[Qtd pçs Enviadas]]," ")</f>
        <v>495</v>
      </c>
      <c r="W839" s="26"/>
      <c r="X839" s="17" t="s">
        <v>6251</v>
      </c>
      <c r="Y839" s="27"/>
      <c r="Z83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0" spans="3:26" hidden="1">
      <c r="C840" s="28" t="s">
        <v>3</v>
      </c>
      <c r="D840" s="5">
        <v>3922</v>
      </c>
      <c r="E840" s="5">
        <v>23845</v>
      </c>
      <c r="F840" s="28" t="str">
        <f>IFERROR(VLOOKUP(TAB_OFICINAS[[#This Row],[Cliente]],LISTA_DE_CLIENTES[[Código]:[Nome Fantasia]],2,FALSE),"")</f>
        <v>ACCA TEXTIL COMERCIO UNIPESSOAL LTDA</v>
      </c>
      <c r="G840" s="2" t="str">
        <f>IFERROR(VLOOKUP(TAB_OFICINAS[[#This Row],[Cliente]],LISTA_DE_CLIENTES[[Código]:[Nome Fantasia]],3,FALSE),"")</f>
        <v>ACCA TEXTIL</v>
      </c>
      <c r="H840" s="51" t="s">
        <v>23962</v>
      </c>
      <c r="I840" s="28" t="s">
        <v>23612</v>
      </c>
      <c r="J840" s="91">
        <v>387</v>
      </c>
      <c r="K840" s="88">
        <v>46213</v>
      </c>
      <c r="L840" s="9">
        <v>387</v>
      </c>
      <c r="M840" s="6">
        <v>46220</v>
      </c>
      <c r="N840" s="6">
        <v>46219</v>
      </c>
      <c r="O840" s="23">
        <f>TAB_OFICINAS[[#This Row],[Data Retorno Produção]]-TAB_OFICINAS[[#This Row],[Data Prometida  Entrega]]</f>
        <v>-1</v>
      </c>
      <c r="P840" s="98" t="str">
        <f>IF(TAB_OFICINAS[[#This Row],[Dias Para Entrega]]&lt;=0,"Em dia","Dia de Atrasado")</f>
        <v>Em dia</v>
      </c>
      <c r="Q840" s="24">
        <v>0</v>
      </c>
      <c r="R840" s="24"/>
      <c r="S840" s="5">
        <v>930</v>
      </c>
      <c r="T840" s="5">
        <v>118</v>
      </c>
      <c r="U840" s="11">
        <v>4</v>
      </c>
      <c r="V840" s="25">
        <f>IFERROR(TAB_OFICINAS[[#This Row],[Valor Unit]]*TAB_OFICINAS[[#This Row],[Qtd pçs Enviadas]]," ")</f>
        <v>1548</v>
      </c>
      <c r="W840" s="26"/>
      <c r="X840" s="17" t="s">
        <v>6251</v>
      </c>
      <c r="Y840" s="27"/>
      <c r="Z8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1" spans="3:26" hidden="1">
      <c r="C841" s="28" t="s">
        <v>15</v>
      </c>
      <c r="D841" s="5">
        <v>5378</v>
      </c>
      <c r="E841" s="5">
        <v>23524</v>
      </c>
      <c r="F841" s="28" t="str">
        <f>IFERROR(VLOOKUP(TAB_OFICINAS[[#This Row],[Cliente]],LISTA_DE_CLIENTES[[Código]:[Nome Fantasia]],2,FALSE),"")</f>
        <v>ZIREH IMOVEIS E PARTICIPACOES LTDA</v>
      </c>
      <c r="G841" s="2" t="str">
        <f>IFERROR(VLOOKUP(TAB_OFICINAS[[#This Row],[Cliente]],LISTA_DE_CLIENTES[[Código]:[Nome Fantasia]],3,FALSE),"")</f>
        <v>ZIREH IMOVEIS</v>
      </c>
      <c r="H841" s="51">
        <v>3301091163</v>
      </c>
      <c r="I841" s="28" t="str">
        <f>IFERROR(VLOOKUP(TAB_OFICINAS[[#This Row],[Codigo Produto ]],_000___PEDIDOS_DE_CLIENTES[[Data.Column2]:[Descrição Produto]],2,FALSE)," ")</f>
        <v xml:space="preserve"> </v>
      </c>
      <c r="J841" s="91">
        <v>7</v>
      </c>
      <c r="K841" s="88">
        <v>46217</v>
      </c>
      <c r="L841" s="9">
        <v>7</v>
      </c>
      <c r="M841" s="6">
        <v>46220</v>
      </c>
      <c r="N841" s="6">
        <f t="shared" ref="N841:N844" ca="1" si="1">TODAY()</f>
        <v>46315</v>
      </c>
      <c r="O841" s="23">
        <f ca="1">TAB_OFICINAS[[#This Row],[Data Retorno Produção]]-TAB_OFICINAS[[#This Row],[Data Prometida  Entrega]]</f>
        <v>95</v>
      </c>
      <c r="P841" s="98" t="str">
        <f ca="1">IF(TAB_OFICINAS[[#This Row],[Dias Para Entrega]]&lt;=0,"Em dia","Dia de Atrasado")</f>
        <v>Dia de Atrasado</v>
      </c>
      <c r="Q841" s="24">
        <f>IFERROR(TAB_OFICINAS[[#This Row],[Qtd pçs Enviadas]]-TAB_OFICINAS[[#This Row],[Qtd pçs Retornadas ]],"N/D ")</f>
        <v>0</v>
      </c>
      <c r="R841" s="24"/>
      <c r="S841" s="5">
        <v>933</v>
      </c>
      <c r="T841" s="5">
        <v>17421</v>
      </c>
      <c r="U841" s="11">
        <v>4</v>
      </c>
      <c r="V841" s="25">
        <f>IFERROR(TAB_OFICINAS[[#This Row],[Valor Unit]]*TAB_OFICINAS[[#This Row],[Qtd pçs Enviadas]]," ")</f>
        <v>28</v>
      </c>
      <c r="W841" s="26">
        <v>46227</v>
      </c>
      <c r="X841" s="17" t="s">
        <v>6251</v>
      </c>
      <c r="Y841" s="27" t="s">
        <v>23417</v>
      </c>
      <c r="Z8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2" spans="3:26" hidden="1">
      <c r="C842" s="28" t="s">
        <v>15</v>
      </c>
      <c r="D842" s="5">
        <v>1942</v>
      </c>
      <c r="E842" s="5">
        <v>23440</v>
      </c>
      <c r="F842" s="28" t="str">
        <f>IFERROR(VLOOKUP(TAB_OFICINAS[[#This Row],[Cliente]],LISTA_DE_CLIENTES[[Código]:[Nome Fantasia]],2,FALSE),"")</f>
        <v>ONCO STAR SP ONCOLOGIA LTDA (REDE D´OR)</v>
      </c>
      <c r="G842" s="2" t="str">
        <f>IFERROR(VLOOKUP(TAB_OFICINAS[[#This Row],[Cliente]],LISTA_DE_CLIENTES[[Código]:[Nome Fantasia]],3,FALSE),"")</f>
        <v>R DOR VILA NOVA STAR</v>
      </c>
      <c r="H842" s="51">
        <v>2101102488</v>
      </c>
      <c r="I842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42" s="91">
        <v>100</v>
      </c>
      <c r="K842" s="88">
        <v>46217</v>
      </c>
      <c r="L842" s="9">
        <v>100</v>
      </c>
      <c r="M842" s="6">
        <v>46220</v>
      </c>
      <c r="N842" s="6">
        <v>46218</v>
      </c>
      <c r="O842" s="23">
        <f>TAB_OFICINAS[[#This Row],[Data Retorno Produção]]-TAB_OFICINAS[[#This Row],[Data Prometida  Entrega]]</f>
        <v>-2</v>
      </c>
      <c r="P842" s="98" t="str">
        <f>IF(TAB_OFICINAS[[#This Row],[Dias Para Entrega]]&lt;=0,"Em dia","Dia de Atrasado")</f>
        <v>Em dia</v>
      </c>
      <c r="Q842" s="24">
        <f>IFERROR(TAB_OFICINAS[[#This Row],[Qtd pçs Enviadas]]-TAB_OFICINAS[[#This Row],[Qtd pçs Retornadas ]],"N/D ")</f>
        <v>0</v>
      </c>
      <c r="R842" s="24">
        <v>0</v>
      </c>
      <c r="S842" s="5">
        <v>932</v>
      </c>
      <c r="T842" s="5">
        <v>17419</v>
      </c>
      <c r="U842" s="11">
        <v>3.85</v>
      </c>
      <c r="V842" s="25">
        <f>IFERROR(TAB_OFICINAS[[#This Row],[Valor Unit]]*TAB_OFICINAS[[#This Row],[Qtd pçs Enviadas]]," ")</f>
        <v>385</v>
      </c>
      <c r="W842" s="26">
        <v>46225</v>
      </c>
      <c r="X842" s="17" t="s">
        <v>6251</v>
      </c>
      <c r="Y842" s="27" t="s">
        <v>21341</v>
      </c>
      <c r="Z8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3" spans="3:26" hidden="1">
      <c r="C843" s="28" t="s">
        <v>15</v>
      </c>
      <c r="D843" s="5">
        <v>5651</v>
      </c>
      <c r="E843" s="5">
        <v>23910</v>
      </c>
      <c r="F843" s="28" t="str">
        <f>IFERROR(VLOOKUP(TAB_OFICINAS[[#This Row],[Cliente]],LISTA_DE_CLIENTES[[Código]:[Nome Fantasia]],2,FALSE),"")</f>
        <v>SARA TORRES GOMES SPA</v>
      </c>
      <c r="G843" s="2" t="str">
        <f>IFERROR(VLOOKUP(TAB_OFICINAS[[#This Row],[Cliente]],LISTA_DE_CLIENTES[[Código]:[Nome Fantasia]],3,FALSE),"")</f>
        <v>SPA ZENA</v>
      </c>
      <c r="H843" s="51">
        <v>3302138611</v>
      </c>
      <c r="I843" s="28" t="s">
        <v>23613</v>
      </c>
      <c r="J843" s="91">
        <v>1</v>
      </c>
      <c r="K843" s="88">
        <v>46213</v>
      </c>
      <c r="L843" s="9">
        <v>1</v>
      </c>
      <c r="M843" s="6">
        <v>46218</v>
      </c>
      <c r="N843" s="6">
        <v>46218</v>
      </c>
      <c r="O843" s="23">
        <f>TAB_OFICINAS[[#This Row],[Data Retorno Produção]]-TAB_OFICINAS[[#This Row],[Data Prometida  Entrega]]</f>
        <v>0</v>
      </c>
      <c r="P843" s="98" t="str">
        <f>IF(TAB_OFICINAS[[#This Row],[Dias Para Entrega]]&lt;=0,"Em dia","Dia de Atrasado")</f>
        <v>Em dia</v>
      </c>
      <c r="Q843" s="24">
        <f>IFERROR(TAB_OFICINAS[[#This Row],[Qtd pçs Enviadas]]-TAB_OFICINAS[[#This Row],[Qtd pçs Retornadas ]],"N/D ")</f>
        <v>0</v>
      </c>
      <c r="R843" s="24">
        <v>0</v>
      </c>
      <c r="S843" s="5">
        <v>931</v>
      </c>
      <c r="T843" s="5">
        <v>17418</v>
      </c>
      <c r="U843" s="11">
        <v>17</v>
      </c>
      <c r="V843" s="25">
        <f>IFERROR(TAB_OFICINAS[[#This Row],[Valor Unit]]*TAB_OFICINAS[[#This Row],[Qtd pçs Enviadas]]," ")</f>
        <v>17</v>
      </c>
      <c r="W843" s="26">
        <v>46225</v>
      </c>
      <c r="X843" s="17" t="s">
        <v>6251</v>
      </c>
      <c r="Y843" s="27" t="s">
        <v>23614</v>
      </c>
      <c r="Z8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4" spans="3:26" ht="28.5" hidden="1">
      <c r="C844" s="28" t="s">
        <v>15</v>
      </c>
      <c r="D844" s="5">
        <v>526</v>
      </c>
      <c r="E844" s="5">
        <v>23954</v>
      </c>
      <c r="F844" s="28" t="str">
        <f>IFERROR(VLOOKUP(TAB_OFICINAS[[#This Row],[Cliente]],LISTA_DE_CLIENTES[[Código]:[Nome Fantasia]],2,FALSE),"")</f>
        <v>ATMOSFERA GESTAO E HIGIENIZACAO DE TEXTEIS S.A.</v>
      </c>
      <c r="G844" s="2" t="str">
        <f>IFERROR(VLOOKUP(TAB_OFICINAS[[#This Row],[Cliente]],LISTA_DE_CLIENTES[[Código]:[Nome Fantasia]],3,FALSE),"")</f>
        <v>ATMOSFERA ST BARBARA</v>
      </c>
      <c r="H844" s="51">
        <v>92104156036</v>
      </c>
      <c r="I844" s="28" t="str">
        <f>IFERROR(VLOOKUP(TAB_OFICINAS[[#This Row],[Codigo Produto ]],_000___PEDIDOS_DE_CLIENTES[[Data.Column2]:[Descrição Produto]],2,FALSE)," ")</f>
        <v>FRONHA 2 ABAS 5cm - 230F MISTO C/ FESTONÊ T - 0,50 X 0,70</v>
      </c>
      <c r="J844" s="91">
        <v>700</v>
      </c>
      <c r="K844" s="88">
        <v>46218</v>
      </c>
      <c r="L844" s="9">
        <v>700</v>
      </c>
      <c r="M844" s="6">
        <v>46225</v>
      </c>
      <c r="N844" s="6">
        <f t="shared" ca="1" si="1"/>
        <v>46315</v>
      </c>
      <c r="O844" s="23">
        <f ca="1">TAB_OFICINAS[[#This Row],[Data Retorno Produção]]-TAB_OFICINAS[[#This Row],[Data Prometida  Entrega]]</f>
        <v>90</v>
      </c>
      <c r="P844" s="98" t="str">
        <f ca="1">IF(TAB_OFICINAS[[#This Row],[Dias Para Entrega]]&lt;=0,"Em dia","Dia de Atrasado")</f>
        <v>Dia de Atrasado</v>
      </c>
      <c r="Q844" s="24">
        <f>IFERROR(TAB_OFICINAS[[#This Row],[Qtd pçs Enviadas]]-TAB_OFICINAS[[#This Row],[Qtd pçs Retornadas ]],"N/D ")</f>
        <v>0</v>
      </c>
      <c r="R844" s="24">
        <v>2</v>
      </c>
      <c r="S844" s="5">
        <v>934</v>
      </c>
      <c r="T844" s="5">
        <v>17439</v>
      </c>
      <c r="U844" s="11">
        <v>15</v>
      </c>
      <c r="V844" s="25">
        <f>IFERROR(TAB_OFICINAS[[#This Row],[Valor Unit]]*TAB_OFICINAS[[#This Row],[Qtd pçs Enviadas]]," ")</f>
        <v>10500</v>
      </c>
      <c r="W844" s="26">
        <v>46237</v>
      </c>
      <c r="X844" s="17" t="s">
        <v>6251</v>
      </c>
      <c r="Y844" s="27" t="s">
        <v>23963</v>
      </c>
      <c r="Z8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5" spans="3:26" hidden="1">
      <c r="C845" s="28" t="s">
        <v>15</v>
      </c>
      <c r="D845" s="5">
        <v>1281</v>
      </c>
      <c r="E845" s="5">
        <v>23885</v>
      </c>
      <c r="F845" s="28" t="str">
        <f>IFERROR(VLOOKUP(TAB_OFICINAS[[#This Row],[Cliente]],LISTA_DE_CLIENTES[[Código]:[Nome Fantasia]],2,FALSE),"")</f>
        <v>PALACIO TANGARA DESENVOLVIMENTO IMOBILIARIO E EXPL</v>
      </c>
      <c r="G845" s="2" t="str">
        <f>IFERROR(VLOOKUP(TAB_OFICINAS[[#This Row],[Cliente]],LISTA_DE_CLIENTES[[Código]:[Nome Fantasia]],3,FALSE),"")</f>
        <v>PALÁCIO TANGARÁ</v>
      </c>
      <c r="H845" s="51">
        <v>3301096392</v>
      </c>
      <c r="I845" s="28" t="s">
        <v>23615</v>
      </c>
      <c r="J845" s="91">
        <v>10</v>
      </c>
      <c r="K845" s="88">
        <v>46218</v>
      </c>
      <c r="L845" s="9">
        <v>10</v>
      </c>
      <c r="M845" s="6">
        <v>46220</v>
      </c>
      <c r="N845" s="6">
        <v>46220</v>
      </c>
      <c r="O845" s="23">
        <f>TAB_OFICINAS[[#This Row],[Data Retorno Produção]]-TAB_OFICINAS[[#This Row],[Data Prometida  Entrega]]</f>
        <v>0</v>
      </c>
      <c r="P845" s="98" t="str">
        <f>IF(TAB_OFICINAS[[#This Row],[Dias Para Entrega]]&lt;=0,"Em dia","Dia de Atrasado")</f>
        <v>Em dia</v>
      </c>
      <c r="Q845" s="24">
        <f>IFERROR(TAB_OFICINAS[[#This Row],[Qtd pçs Enviadas]]-TAB_OFICINAS[[#This Row],[Qtd pçs Retornadas ]],"N/D ")</f>
        <v>0</v>
      </c>
      <c r="R845" s="24">
        <v>0</v>
      </c>
      <c r="S845" s="5">
        <v>934</v>
      </c>
      <c r="T845" s="5">
        <v>17421</v>
      </c>
      <c r="U845" s="11">
        <v>5.4</v>
      </c>
      <c r="V845" s="25">
        <f>IFERROR(TAB_OFICINAS[[#This Row],[Valor Unit]]*TAB_OFICINAS[[#This Row],[Qtd pçs Enviadas]]," ")</f>
        <v>54</v>
      </c>
      <c r="W845" s="26">
        <v>46227</v>
      </c>
      <c r="X845" s="17" t="s">
        <v>6251</v>
      </c>
      <c r="Y845" s="27" t="s">
        <v>23452</v>
      </c>
      <c r="Z8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6" spans="3:26" hidden="1">
      <c r="C846" s="28" t="s">
        <v>15</v>
      </c>
      <c r="D846" s="5">
        <v>1281</v>
      </c>
      <c r="E846" s="5">
        <v>23885</v>
      </c>
      <c r="F846" s="28" t="str">
        <f>IFERROR(VLOOKUP(TAB_OFICINAS[[#This Row],[Cliente]],LISTA_DE_CLIENTES[[Código]:[Nome Fantasia]],2,FALSE),"")</f>
        <v>PALACIO TANGARA DESENVOLVIMENTO IMOBILIARIO E EXPL</v>
      </c>
      <c r="G846" s="2" t="str">
        <f>IFERROR(VLOOKUP(TAB_OFICINAS[[#This Row],[Cliente]],LISTA_DE_CLIENTES[[Código]:[Nome Fantasia]],3,FALSE),"")</f>
        <v>PALÁCIO TANGARÁ</v>
      </c>
      <c r="H846" s="51">
        <v>3301096391</v>
      </c>
      <c r="I846" s="28" t="s">
        <v>23450</v>
      </c>
      <c r="J846" s="91">
        <v>8</v>
      </c>
      <c r="K846" s="88">
        <v>46218</v>
      </c>
      <c r="L846" s="9">
        <v>8</v>
      </c>
      <c r="M846" s="6">
        <v>46220</v>
      </c>
      <c r="N846" s="6">
        <v>46220</v>
      </c>
      <c r="O846" s="23">
        <f>TAB_OFICINAS[[#This Row],[Data Retorno Produção]]-TAB_OFICINAS[[#This Row],[Data Prometida  Entrega]]</f>
        <v>0</v>
      </c>
      <c r="P846" s="98" t="str">
        <f>IF(TAB_OFICINAS[[#This Row],[Dias Para Entrega]]&lt;=0,"Em dia","Dia de Atrasado")</f>
        <v>Em dia</v>
      </c>
      <c r="Q846" s="24">
        <f>IFERROR(TAB_OFICINAS[[#This Row],[Qtd pçs Enviadas]]-TAB_OFICINAS[[#This Row],[Qtd pçs Retornadas ]],"N/D ")</f>
        <v>0</v>
      </c>
      <c r="R846" s="24">
        <v>0</v>
      </c>
      <c r="S846" s="5">
        <v>934</v>
      </c>
      <c r="T846" s="5">
        <v>17421</v>
      </c>
      <c r="U846" s="11">
        <v>5.4</v>
      </c>
      <c r="V846" s="25">
        <f>IFERROR(TAB_OFICINAS[[#This Row],[Valor Unit]]*TAB_OFICINAS[[#This Row],[Qtd pçs Enviadas]]," ")</f>
        <v>43.2</v>
      </c>
      <c r="W846" s="26">
        <v>46227</v>
      </c>
      <c r="X846" s="17" t="s">
        <v>6251</v>
      </c>
      <c r="Y846" s="27" t="s">
        <v>23452</v>
      </c>
      <c r="Z8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7" spans="3:26" hidden="1">
      <c r="C847" s="28" t="s">
        <v>15</v>
      </c>
      <c r="D847" s="5">
        <v>1281</v>
      </c>
      <c r="E847" s="5">
        <v>23885</v>
      </c>
      <c r="F847" s="28" t="str">
        <f>IFERROR(VLOOKUP(TAB_OFICINAS[[#This Row],[Cliente]],LISTA_DE_CLIENTES[[Código]:[Nome Fantasia]],2,FALSE),"")</f>
        <v>PALACIO TANGARA DESENVOLVIMENTO IMOBILIARIO E EXPL</v>
      </c>
      <c r="G847" s="2" t="str">
        <f>IFERROR(VLOOKUP(TAB_OFICINAS[[#This Row],[Cliente]],LISTA_DE_CLIENTES[[Código]:[Nome Fantasia]],3,FALSE),"")</f>
        <v>PALÁCIO TANGARÁ</v>
      </c>
      <c r="H847" s="51">
        <v>3301096390</v>
      </c>
      <c r="I847" s="28" t="s">
        <v>23451</v>
      </c>
      <c r="J847" s="91">
        <v>10</v>
      </c>
      <c r="K847" s="88">
        <v>46218</v>
      </c>
      <c r="L847" s="9">
        <v>10</v>
      </c>
      <c r="M847" s="6">
        <v>46220</v>
      </c>
      <c r="N847" s="6">
        <v>46220</v>
      </c>
      <c r="O847" s="23">
        <f>TAB_OFICINAS[[#This Row],[Data Retorno Produção]]-TAB_OFICINAS[[#This Row],[Data Prometida  Entrega]]</f>
        <v>0</v>
      </c>
      <c r="P847" s="98" t="str">
        <f>IF(TAB_OFICINAS[[#This Row],[Dias Para Entrega]]&lt;=0,"Em dia","Dia de Atrasado")</f>
        <v>Em dia</v>
      </c>
      <c r="Q847" s="24">
        <f>IFERROR(TAB_OFICINAS[[#This Row],[Qtd pçs Enviadas]]-TAB_OFICINAS[[#This Row],[Qtd pçs Retornadas ]],"N/D ")</f>
        <v>0</v>
      </c>
      <c r="R847" s="24">
        <v>0</v>
      </c>
      <c r="S847" s="5">
        <v>934</v>
      </c>
      <c r="T847" s="5">
        <v>17421</v>
      </c>
      <c r="U847" s="11">
        <v>5.4</v>
      </c>
      <c r="V847" s="25">
        <f>IFERROR(TAB_OFICINAS[[#This Row],[Valor Unit]]*TAB_OFICINAS[[#This Row],[Qtd pçs Enviadas]]," ")</f>
        <v>54</v>
      </c>
      <c r="W847" s="26">
        <v>46227</v>
      </c>
      <c r="X847" s="17" t="s">
        <v>6251</v>
      </c>
      <c r="Y847" s="27" t="s">
        <v>23452</v>
      </c>
      <c r="Z8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8" spans="3:26" hidden="1">
      <c r="C848" s="28" t="s">
        <v>15</v>
      </c>
      <c r="D848" s="5">
        <v>1942</v>
      </c>
      <c r="E848" s="5">
        <v>23440</v>
      </c>
      <c r="F848" s="28" t="str">
        <f>IFERROR(VLOOKUP(TAB_OFICINAS[[#This Row],[Cliente]],LISTA_DE_CLIENTES[[Código]:[Nome Fantasia]],2,FALSE),"")</f>
        <v>ONCO STAR SP ONCOLOGIA LTDA (REDE D´OR)</v>
      </c>
      <c r="G848" s="2" t="str">
        <f>IFERROR(VLOOKUP(TAB_OFICINAS[[#This Row],[Cliente]],LISTA_DE_CLIENTES[[Código]:[Nome Fantasia]],3,FALSE),"")</f>
        <v>R DOR VILA NOVA STAR</v>
      </c>
      <c r="H848" s="51">
        <v>2101102488</v>
      </c>
      <c r="I848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48" s="91">
        <v>100</v>
      </c>
      <c r="K848" s="88">
        <v>46218</v>
      </c>
      <c r="L848" s="9">
        <v>100</v>
      </c>
      <c r="M848" s="6">
        <v>46220</v>
      </c>
      <c r="N848" s="6">
        <v>46220</v>
      </c>
      <c r="O848" s="23">
        <f>TAB_OFICINAS[[#This Row],[Data Retorno Produção]]-TAB_OFICINAS[[#This Row],[Data Prometida  Entrega]]</f>
        <v>0</v>
      </c>
      <c r="P848" s="98" t="str">
        <f>IF(TAB_OFICINAS[[#This Row],[Dias Para Entrega]]&lt;=0,"Em dia","Dia de Atrasado")</f>
        <v>Em dia</v>
      </c>
      <c r="Q848" s="24">
        <f>IFERROR(TAB_OFICINAS[[#This Row],[Qtd pçs Enviadas]]-TAB_OFICINAS[[#This Row],[Qtd pçs Retornadas ]],"N/D ")</f>
        <v>0</v>
      </c>
      <c r="R848" s="24">
        <v>0</v>
      </c>
      <c r="S848" s="5">
        <v>934</v>
      </c>
      <c r="T848" s="5">
        <v>17421</v>
      </c>
      <c r="U848" s="11">
        <v>3.85</v>
      </c>
      <c r="V848" s="25">
        <f>IFERROR(TAB_OFICINAS[[#This Row],[Valor Unit]]*TAB_OFICINAS[[#This Row],[Qtd pçs Enviadas]]," ")</f>
        <v>385</v>
      </c>
      <c r="W848" s="26">
        <v>46227</v>
      </c>
      <c r="X848" s="17" t="s">
        <v>6251</v>
      </c>
      <c r="Y848" s="27" t="s">
        <v>21341</v>
      </c>
      <c r="Z8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49" spans="3:26" hidden="1">
      <c r="C849" s="28" t="s">
        <v>23617</v>
      </c>
      <c r="D849" s="5">
        <v>943</v>
      </c>
      <c r="E849" s="5">
        <v>23090</v>
      </c>
      <c r="F849" s="28" t="str">
        <f>IFERROR(VLOOKUP(TAB_OFICINAS[[#This Row],[Cliente]],LISTA_DE_CLIENTES[[Código]:[Nome Fantasia]],2,FALSE),"")</f>
        <v>REDE DOR SAO LUIZ S.A.</v>
      </c>
      <c r="G849" s="2" t="str">
        <f>IFERROR(VLOOKUP(TAB_OFICINAS[[#This Row],[Cliente]],LISTA_DE_CLIENTES[[Código]:[Nome Fantasia]],3,FALSE),"")</f>
        <v>HOSPITAL COPA STAR</v>
      </c>
      <c r="H849" s="51">
        <v>2103062494</v>
      </c>
      <c r="I849" s="28" t="str">
        <f>IFERROR(VLOOKUP(TAB_OFICINAS[[#This Row],[Codigo Produto ]],_000___PEDIDOS_DE_CLIENTES[[Data.Column2]:[Descrição Produto]],2,FALSE)," ")</f>
        <v>S. FRONHA 4 ABAS 5cm - 400F 100% ALG COM FESTONÊ E LOGO BORDADO COR ALABASTRO 07077 - 0,50 X 0,90</v>
      </c>
      <c r="J849" s="91">
        <v>1</v>
      </c>
      <c r="K849" s="88">
        <v>46218</v>
      </c>
      <c r="L849" s="9">
        <v>1</v>
      </c>
      <c r="M849" s="6">
        <v>46219</v>
      </c>
      <c r="N849" s="6">
        <v>46219</v>
      </c>
      <c r="O849" s="23">
        <f>TAB_OFICINAS[[#This Row],[Data Retorno Produção]]-TAB_OFICINAS[[#This Row],[Data Prometida  Entrega]]</f>
        <v>0</v>
      </c>
      <c r="P849" s="98" t="str">
        <f>IF(TAB_OFICINAS[[#This Row],[Dias Para Entrega]]&lt;=0,"Em dia","Dia de Atrasado")</f>
        <v>Em dia</v>
      </c>
      <c r="Q849" s="24">
        <f>IFERROR(TAB_OFICINAS[[#This Row],[Qtd pçs Enviadas]]-TAB_OFICINAS[[#This Row],[Qtd pçs Retornadas ]],"N/D ")</f>
        <v>0</v>
      </c>
      <c r="R849" s="24"/>
      <c r="S849" s="5">
        <v>941</v>
      </c>
      <c r="T849" s="5">
        <v>54</v>
      </c>
      <c r="U849" s="11">
        <v>7</v>
      </c>
      <c r="V849" s="25">
        <f>IFERROR(TAB_OFICINAS[[#This Row],[Valor Unit]]*TAB_OFICINAS[[#This Row],[Qtd pçs Enviadas]]," ")</f>
        <v>7</v>
      </c>
      <c r="W849" s="26">
        <v>46234</v>
      </c>
      <c r="X849" s="17" t="s">
        <v>6251</v>
      </c>
      <c r="Y849" s="27" t="s">
        <v>23619</v>
      </c>
      <c r="Z8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0" spans="3:26" hidden="1">
      <c r="C850" s="28" t="s">
        <v>23617</v>
      </c>
      <c r="D850" s="5">
        <v>943</v>
      </c>
      <c r="E850" s="5">
        <v>23090</v>
      </c>
      <c r="F850" s="28" t="str">
        <f>IFERROR(VLOOKUP(TAB_OFICINAS[[#This Row],[Cliente]],LISTA_DE_CLIENTES[[Código]:[Nome Fantasia]],2,FALSE),"")</f>
        <v>REDE DOR SAO LUIZ S.A.</v>
      </c>
      <c r="G850" s="2" t="str">
        <f>IFERROR(VLOOKUP(TAB_OFICINAS[[#This Row],[Cliente]],LISTA_DE_CLIENTES[[Código]:[Nome Fantasia]],3,FALSE),"")</f>
        <v>HOSPITAL COPA STAR</v>
      </c>
      <c r="H850" s="51">
        <v>2103062485</v>
      </c>
      <c r="I850" s="28" t="str">
        <f>IFERROR(VLOOKUP(TAB_OFICINAS[[#This Row],[Codigo Produto ]],_000___PEDIDOS_DE_CLIENTES[[Data.Column2]:[Descrição Produto]],2,FALSE)," ")</f>
        <v>FRONHA 4 ABAS 5cm - COM ACABAMENTO FESTONÊ E LOGO BORDADO COR ALABASTRO 07077 - 0,50 X 0,70</v>
      </c>
      <c r="J850" s="91">
        <v>1</v>
      </c>
      <c r="K850" s="88">
        <v>46218</v>
      </c>
      <c r="L850" s="9">
        <v>1</v>
      </c>
      <c r="M850" s="6">
        <v>46219</v>
      </c>
      <c r="N850" s="6">
        <v>46219</v>
      </c>
      <c r="O850" s="23">
        <f>TAB_OFICINAS[[#This Row],[Data Retorno Produção]]-TAB_OFICINAS[[#This Row],[Data Prometida  Entrega]]</f>
        <v>0</v>
      </c>
      <c r="P850" s="98" t="str">
        <f>IF(TAB_OFICINAS[[#This Row],[Dias Para Entrega]]&lt;=0,"Em dia","Dia de Atrasado")</f>
        <v>Em dia</v>
      </c>
      <c r="Q850" s="24">
        <f>IFERROR(TAB_OFICINAS[[#This Row],[Qtd pçs Enviadas]]-TAB_OFICINAS[[#This Row],[Qtd pçs Retornadas ]],"N/D ")</f>
        <v>0</v>
      </c>
      <c r="R850" s="24"/>
      <c r="S850" s="5">
        <v>941</v>
      </c>
      <c r="T850" s="5">
        <v>54</v>
      </c>
      <c r="U850" s="11">
        <v>7</v>
      </c>
      <c r="V850" s="25">
        <f>IFERROR(TAB_OFICINAS[[#This Row],[Valor Unit]]*TAB_OFICINAS[[#This Row],[Qtd pçs Enviadas]]," ")</f>
        <v>7</v>
      </c>
      <c r="W850" s="26">
        <v>46234</v>
      </c>
      <c r="X850" s="17" t="s">
        <v>6251</v>
      </c>
      <c r="Y850" s="27" t="s">
        <v>23619</v>
      </c>
      <c r="Z8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1" spans="3:26" hidden="1">
      <c r="C851" s="28" t="s">
        <v>1</v>
      </c>
      <c r="D851" s="5">
        <v>799</v>
      </c>
      <c r="E851" s="5">
        <v>23731</v>
      </c>
      <c r="F851" s="28" t="str">
        <f>IFERROR(VLOOKUP(TAB_OFICINAS[[#This Row],[Cliente]],LISTA_DE_CLIENTES[[Código]:[Nome Fantasia]],2,FALSE),"")</f>
        <v>SERVICO NACIONAL DE APRENDIZAGEM COMERCIAL SENAC</v>
      </c>
      <c r="G851" s="2" t="str">
        <f>IFERROR(VLOOKUP(TAB_OFICINAS[[#This Row],[Cliente]],LISTA_DE_CLIENTES[[Código]:[Nome Fantasia]],3,FALSE),"")</f>
        <v>GRANDE HOTEL SENAC</v>
      </c>
      <c r="H851" s="51">
        <v>3301091765</v>
      </c>
      <c r="I851" s="28" t="str">
        <f>IFERROR(VLOOKUP(TAB_OFICINAS[[#This Row],[Codigo Produto ]],_000___PEDIDOS_DE_CLIENTES[[Data.Column2]:[Descrição Produto]],2,FALSE)," ")</f>
        <v>ROUPÃO FELPA VELUX BRANCO EXG</v>
      </c>
      <c r="J851" s="91">
        <v>10</v>
      </c>
      <c r="K851" s="88">
        <v>46223</v>
      </c>
      <c r="L851" s="9">
        <v>10</v>
      </c>
      <c r="M851" s="6">
        <v>46233</v>
      </c>
      <c r="N851" s="6">
        <v>46234</v>
      </c>
      <c r="O851" s="23">
        <f>TAB_OFICINAS[[#This Row],[Data Retorno Produção]]-TAB_OFICINAS[[#This Row],[Data Prometida  Entrega]]</f>
        <v>1</v>
      </c>
      <c r="P851" s="98" t="str">
        <f>IF(TAB_OFICINAS[[#This Row],[Dias Para Entrega]]&lt;=0,"Em dia","Dia de Atrasado")</f>
        <v>Dia de Atrasado</v>
      </c>
      <c r="Q851" s="24">
        <f>IFERROR(TAB_OFICINAS[[#This Row],[Qtd pçs Enviadas]]-TAB_OFICINAS[[#This Row],[Qtd pçs Retornadas ]],"N/D ")</f>
        <v>0</v>
      </c>
      <c r="R851" s="24"/>
      <c r="S851" s="5">
        <v>3326</v>
      </c>
      <c r="T851" s="5">
        <v>58</v>
      </c>
      <c r="U851" s="11">
        <v>16</v>
      </c>
      <c r="V851" s="25">
        <f>IFERROR(TAB_OFICINAS[[#This Row],[Valor Unit]]*TAB_OFICINAS[[#This Row],[Qtd pçs Enviadas]]," ")</f>
        <v>160</v>
      </c>
      <c r="W851" s="26">
        <f>TAB_OFICINAS[[#This Row],[Data Retorno Produção]]+10</f>
        <v>46244</v>
      </c>
      <c r="X851" s="17" t="s">
        <v>6251</v>
      </c>
      <c r="Y851" s="27"/>
      <c r="Z8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2" spans="3:26" hidden="1">
      <c r="C852" s="28" t="s">
        <v>1</v>
      </c>
      <c r="D852" s="5">
        <v>799</v>
      </c>
      <c r="E852" s="5">
        <v>23731</v>
      </c>
      <c r="F852" s="28" t="str">
        <f>IFERROR(VLOOKUP(TAB_OFICINAS[[#This Row],[Cliente]],LISTA_DE_CLIENTES[[Código]:[Nome Fantasia]],2,FALSE),"")</f>
        <v>SERVICO NACIONAL DE APRENDIZAGEM COMERCIAL SENAC</v>
      </c>
      <c r="G852" s="2" t="str">
        <f>IFERROR(VLOOKUP(TAB_OFICINAS[[#This Row],[Cliente]],LISTA_DE_CLIENTES[[Código]:[Nome Fantasia]],3,FALSE),"")</f>
        <v>GRANDE HOTEL SENAC</v>
      </c>
      <c r="H852" s="51">
        <v>3301099653</v>
      </c>
      <c r="I852" s="28" t="str">
        <f>IFERROR(VLOOKUP(TAB_OFICINAS[[#This Row],[Codigo Produto ]],_000___PEDIDOS_DE_CLIENTES[[Data.Column2]:[Descrição Produto]],2,FALSE)," ")</f>
        <v>ROUPÃO VELUX BRANCO - GG</v>
      </c>
      <c r="J852" s="91">
        <v>40</v>
      </c>
      <c r="K852" s="88">
        <v>46223</v>
      </c>
      <c r="L852" s="9">
        <v>40</v>
      </c>
      <c r="M852" s="6">
        <v>46233</v>
      </c>
      <c r="N852" s="6">
        <v>46234</v>
      </c>
      <c r="O852" s="23">
        <f>TAB_OFICINAS[[#This Row],[Data Retorno Produção]]-TAB_OFICINAS[[#This Row],[Data Prometida  Entrega]]</f>
        <v>1</v>
      </c>
      <c r="P852" s="98" t="str">
        <f>IF(TAB_OFICINAS[[#This Row],[Dias Para Entrega]]&lt;=0,"Em dia","Dia de Atrasado")</f>
        <v>Dia de Atrasado</v>
      </c>
      <c r="Q852" s="24">
        <f>IFERROR(TAB_OFICINAS[[#This Row],[Qtd pçs Enviadas]]-TAB_OFICINAS[[#This Row],[Qtd pçs Retornadas ]],"N/D ")</f>
        <v>0</v>
      </c>
      <c r="R852" s="24"/>
      <c r="S852" s="5">
        <v>3326</v>
      </c>
      <c r="T852" s="5">
        <v>58</v>
      </c>
      <c r="U852" s="11">
        <v>16</v>
      </c>
      <c r="V852" s="25">
        <f>IFERROR(TAB_OFICINAS[[#This Row],[Valor Unit]]*TAB_OFICINAS[[#This Row],[Qtd pçs Enviadas]]," ")</f>
        <v>640</v>
      </c>
      <c r="W852" s="26">
        <v>46244</v>
      </c>
      <c r="X852" s="17" t="s">
        <v>6251</v>
      </c>
      <c r="Y852" s="27"/>
      <c r="Z8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3" spans="3:26" hidden="1">
      <c r="C853" s="28" t="s">
        <v>1</v>
      </c>
      <c r="D853" s="5">
        <v>799</v>
      </c>
      <c r="E853" s="5">
        <v>23731</v>
      </c>
      <c r="F853" s="28" t="str">
        <f>IFERROR(VLOOKUP(TAB_OFICINAS[[#This Row],[Cliente]],LISTA_DE_CLIENTES[[Código]:[Nome Fantasia]],2,FALSE),"")</f>
        <v>SERVICO NACIONAL DE APRENDIZAGEM COMERCIAL SENAC</v>
      </c>
      <c r="G853" s="2" t="str">
        <f>IFERROR(VLOOKUP(TAB_OFICINAS[[#This Row],[Cliente]],LISTA_DE_CLIENTES[[Código]:[Nome Fantasia]],3,FALSE),"")</f>
        <v>GRANDE HOTEL SENAC</v>
      </c>
      <c r="H853" s="51">
        <v>3301091670</v>
      </c>
      <c r="I853" s="28" t="str">
        <f>IFERROR(VLOOKUP(TAB_OFICINAS[[#This Row],[Codigo Produto ]],_000___PEDIDOS_DE_CLIENTES[[Data.Column2]:[Descrição Produto]],2,FALSE)," ")</f>
        <v>ROUPÃO VELUX BRANCO - G</v>
      </c>
      <c r="J853" s="91">
        <v>60</v>
      </c>
      <c r="K853" s="88">
        <v>46223</v>
      </c>
      <c r="L853" s="9">
        <v>60</v>
      </c>
      <c r="M853" s="6">
        <v>46233</v>
      </c>
      <c r="N853" s="6">
        <v>46234</v>
      </c>
      <c r="O853" s="23">
        <f>TAB_OFICINAS[[#This Row],[Data Retorno Produção]]-TAB_OFICINAS[[#This Row],[Data Prometida  Entrega]]</f>
        <v>1</v>
      </c>
      <c r="P853" s="98" t="str">
        <f>IF(TAB_OFICINAS[[#This Row],[Dias Para Entrega]]&lt;=0,"Em dia","Dia de Atrasado")</f>
        <v>Dia de Atrasado</v>
      </c>
      <c r="Q853" s="24">
        <f>IFERROR(TAB_OFICINAS[[#This Row],[Qtd pçs Enviadas]]-TAB_OFICINAS[[#This Row],[Qtd pçs Retornadas ]],"N/D ")</f>
        <v>0</v>
      </c>
      <c r="R853" s="24"/>
      <c r="S853" s="5">
        <v>3326</v>
      </c>
      <c r="T853" s="5">
        <v>58</v>
      </c>
      <c r="U853" s="11">
        <v>16</v>
      </c>
      <c r="V853" s="25">
        <f>IFERROR(TAB_OFICINAS[[#This Row],[Valor Unit]]*TAB_OFICINAS[[#This Row],[Qtd pçs Enviadas]]," ")</f>
        <v>960</v>
      </c>
      <c r="W853" s="26">
        <v>46244</v>
      </c>
      <c r="X853" s="17" t="s">
        <v>6251</v>
      </c>
      <c r="Y853" s="27"/>
      <c r="Z8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4" spans="3:26" hidden="1">
      <c r="C854" s="28" t="s">
        <v>1</v>
      </c>
      <c r="D854" s="5">
        <v>799</v>
      </c>
      <c r="E854" s="5">
        <v>23731</v>
      </c>
      <c r="F854" s="28" t="str">
        <f>IFERROR(VLOOKUP(TAB_OFICINAS[[#This Row],[Cliente]],LISTA_DE_CLIENTES[[Código]:[Nome Fantasia]],2,FALSE),"")</f>
        <v>SERVICO NACIONAL DE APRENDIZAGEM COMERCIAL SENAC</v>
      </c>
      <c r="G854" s="2" t="str">
        <f>IFERROR(VLOOKUP(TAB_OFICINAS[[#This Row],[Cliente]],LISTA_DE_CLIENTES[[Código]:[Nome Fantasia]],3,FALSE),"")</f>
        <v>GRANDE HOTEL SENAC</v>
      </c>
      <c r="H854" s="51">
        <v>3301098625</v>
      </c>
      <c r="I854" s="28" t="str">
        <f>IFERROR(VLOOKUP(TAB_OFICINAS[[#This Row],[Codigo Produto ]],_000___PEDIDOS_DE_CLIENTES[[Data.Column2]:[Descrição Produto]],2,FALSE)," ")</f>
        <v>ROUPÃO FELPA VELUX BRANCO - M</v>
      </c>
      <c r="J854" s="91">
        <v>71</v>
      </c>
      <c r="K854" s="88">
        <v>46223</v>
      </c>
      <c r="L854" s="9">
        <v>71</v>
      </c>
      <c r="M854" s="6">
        <v>46233</v>
      </c>
      <c r="N854" s="6">
        <v>46234</v>
      </c>
      <c r="O854" s="23">
        <f>TAB_OFICINAS[[#This Row],[Data Retorno Produção]]-TAB_OFICINAS[[#This Row],[Data Prometida  Entrega]]</f>
        <v>1</v>
      </c>
      <c r="P854" s="98" t="str">
        <f>IF(TAB_OFICINAS[[#This Row],[Dias Para Entrega]]&lt;=0,"Em dia","Dia de Atrasado")</f>
        <v>Dia de Atrasado</v>
      </c>
      <c r="Q854" s="24">
        <f>IFERROR(TAB_OFICINAS[[#This Row],[Qtd pçs Enviadas]]-TAB_OFICINAS[[#This Row],[Qtd pçs Retornadas ]],"N/D ")</f>
        <v>0</v>
      </c>
      <c r="R854" s="24"/>
      <c r="S854" s="5">
        <v>3326</v>
      </c>
      <c r="T854" s="5">
        <v>58</v>
      </c>
      <c r="U854" s="11">
        <v>16</v>
      </c>
      <c r="V854" s="25">
        <f>IFERROR(TAB_OFICINAS[[#This Row],[Valor Unit]]*TAB_OFICINAS[[#This Row],[Qtd pçs Enviadas]]," ")</f>
        <v>1136</v>
      </c>
      <c r="W854" s="26">
        <v>46244</v>
      </c>
      <c r="X854" s="17" t="s">
        <v>6251</v>
      </c>
      <c r="Y854" s="27"/>
      <c r="Z8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5" spans="3:26" ht="71.25" hidden="1">
      <c r="C855" s="101" t="s">
        <v>21197</v>
      </c>
      <c r="D855" s="102">
        <v>526</v>
      </c>
      <c r="E855" s="102">
        <v>23954</v>
      </c>
      <c r="F855" s="102" t="str">
        <f>IFERROR(VLOOKUP(TAB_OFICINAS[[#This Row],[Cliente]],LISTA_DE_CLIENTES[[Código]:[Nome Fantasia]],2,FALSE),"")</f>
        <v>ATMOSFERA GESTAO E HIGIENIZACAO DE TEXTEIS S.A.</v>
      </c>
      <c r="G855" s="102" t="str">
        <f>IFERROR(VLOOKUP(TAB_OFICINAS[[#This Row],[Cliente]],LISTA_DE_CLIENTES[[Código]:[Nome Fantasia]],3,FALSE),"")</f>
        <v>ATMOSFERA ST BARBARA</v>
      </c>
      <c r="H855" s="121">
        <v>92104156036</v>
      </c>
      <c r="I855" s="102" t="str">
        <f>IFERROR(VLOOKUP(TAB_OFICINAS[[#This Row],[Codigo Produto ]],_000___PEDIDOS_DE_CLIENTES[[Data.Column2]:[Descrição Produto]],2,FALSE)," ")</f>
        <v>FRONHA 2 ABAS 5cm - 230F MISTO C/ FESTONÊ T - 0,50 X 0,70</v>
      </c>
      <c r="J855" s="104">
        <v>700</v>
      </c>
      <c r="K855" s="117">
        <v>46219</v>
      </c>
      <c r="L855" s="9">
        <v>700</v>
      </c>
      <c r="M855" s="109">
        <v>46233</v>
      </c>
      <c r="N855" s="109">
        <v>46238</v>
      </c>
      <c r="O855" s="112">
        <f>TAB_OFICINAS[[#This Row],[Data Retorno Produção]]-TAB_OFICINAS[[#This Row],[Data Prometida  Entrega]]</f>
        <v>5</v>
      </c>
      <c r="P855" s="113" t="str">
        <f>IF(TAB_OFICINAS[[#This Row],[Dias Para Entrega]]&lt;=0,"Em dia","Dia de Atrasado")</f>
        <v>Dia de Atrasado</v>
      </c>
      <c r="Q855" s="114">
        <f>IFERROR(TAB_OFICINAS[[#This Row],[Qtd pçs Enviadas]]-TAB_OFICINAS[[#This Row],[Qtd pçs Retornadas ]],"N/D ")</f>
        <v>0</v>
      </c>
      <c r="R855" s="114"/>
      <c r="S855" s="102">
        <v>3319</v>
      </c>
      <c r="T855" s="102"/>
      <c r="U855" s="130">
        <v>4</v>
      </c>
      <c r="V855" s="131">
        <f>IFERROR(TAB_OFICINAS[[#This Row],[Valor Unit]]*TAB_OFICINAS[[#This Row],[Qtd pçs Enviadas]]," ")</f>
        <v>2800</v>
      </c>
      <c r="W855" s="117">
        <v>46248</v>
      </c>
      <c r="X855" s="109" t="s">
        <v>6251</v>
      </c>
      <c r="Y855" s="89" t="s">
        <v>24262</v>
      </c>
      <c r="Z855" s="118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6" spans="3:26" hidden="1">
      <c r="C856" s="28" t="s">
        <v>7</v>
      </c>
      <c r="D856" s="5">
        <v>5675</v>
      </c>
      <c r="E856" s="5">
        <v>24015</v>
      </c>
      <c r="F856" s="28" t="str">
        <f>IFERROR(VLOOKUP(TAB_OFICINAS[[#This Row],[Cliente]],LISTA_DE_CLIENTES[[Código]:[Nome Fantasia]],2,FALSE),"")</f>
        <v>CAMILA QUOOS GOVERNICI</v>
      </c>
      <c r="G856" s="2" t="str">
        <f>IFERROR(VLOOKUP(TAB_OFICINAS[[#This Row],[Cliente]],LISTA_DE_CLIENTES[[Código]:[Nome Fantasia]],3,FALSE),"")</f>
        <v>CAMILA QUOOS GOVERNI</v>
      </c>
      <c r="H856" s="51" t="s">
        <v>23693</v>
      </c>
      <c r="I856" s="28" t="s">
        <v>23698</v>
      </c>
      <c r="J856" s="91">
        <v>1</v>
      </c>
      <c r="K856" s="88">
        <v>46224</v>
      </c>
      <c r="L856" s="9">
        <v>1</v>
      </c>
      <c r="M856" s="6">
        <v>46225</v>
      </c>
      <c r="N856" s="6">
        <v>46225</v>
      </c>
      <c r="O856" s="23">
        <f>TAB_OFICINAS[[#This Row],[Data Retorno Produção]]-TAB_OFICINAS[[#This Row],[Data Prometida  Entrega]]</f>
        <v>0</v>
      </c>
      <c r="P856" s="98" t="str">
        <f>IF(TAB_OFICINAS[[#This Row],[Dias Para Entrega]]&lt;=0,"Em dia","Dia de Atrasado")</f>
        <v>Em dia</v>
      </c>
      <c r="Q856" s="24">
        <f>IFERROR(TAB_OFICINAS[[#This Row],[Qtd pçs Enviadas]]-TAB_OFICINAS[[#This Row],[Qtd pçs Retornadas ]],"N/D ")</f>
        <v>0</v>
      </c>
      <c r="R856" s="24">
        <v>0</v>
      </c>
      <c r="S856" s="5">
        <v>940</v>
      </c>
      <c r="T856" s="5">
        <v>50</v>
      </c>
      <c r="U856" s="11">
        <v>6</v>
      </c>
      <c r="V856" s="25">
        <f>IFERROR(TAB_OFICINAS[[#This Row],[Valor Unit]]*TAB_OFICINAS[[#This Row],[Qtd pçs Enviadas]]," ")</f>
        <v>6</v>
      </c>
      <c r="W856" s="26">
        <v>46234</v>
      </c>
      <c r="X856" s="17" t="s">
        <v>6251</v>
      </c>
      <c r="Y856" s="27"/>
      <c r="Z8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7" spans="3:26" hidden="1">
      <c r="C857" s="28" t="s">
        <v>7</v>
      </c>
      <c r="D857" s="5">
        <v>5671</v>
      </c>
      <c r="E857" s="5">
        <v>24001</v>
      </c>
      <c r="F857" s="28" t="str">
        <f>IFERROR(VLOOKUP(TAB_OFICINAS[[#This Row],[Cliente]],LISTA_DE_CLIENTES[[Código]:[Nome Fantasia]],2,FALSE),"")</f>
        <v>GABRIELY ORIANI THOMASELLA</v>
      </c>
      <c r="G857" s="2" t="str">
        <f>IFERROR(VLOOKUP(TAB_OFICINAS[[#This Row],[Cliente]],LISTA_DE_CLIENTES[[Código]:[Nome Fantasia]],3,FALSE),"")</f>
        <v>GABRIELY ORIANI THOM</v>
      </c>
      <c r="H857" s="51" t="s">
        <v>23693</v>
      </c>
      <c r="I857" s="28" t="s">
        <v>23698</v>
      </c>
      <c r="J857" s="91">
        <v>1</v>
      </c>
      <c r="K857" s="88">
        <v>46224</v>
      </c>
      <c r="L857" s="9">
        <v>1</v>
      </c>
      <c r="M857" s="6">
        <v>46225</v>
      </c>
      <c r="N857" s="6">
        <v>46225</v>
      </c>
      <c r="O857" s="23">
        <f>TAB_OFICINAS[[#This Row],[Data Retorno Produção]]-TAB_OFICINAS[[#This Row],[Data Prometida  Entrega]]</f>
        <v>0</v>
      </c>
      <c r="P857" s="98" t="str">
        <f>IF(TAB_OFICINAS[[#This Row],[Dias Para Entrega]]&lt;=0,"Em dia","Dia de Atrasado")</f>
        <v>Em dia</v>
      </c>
      <c r="Q857" s="24">
        <f>IFERROR(TAB_OFICINAS[[#This Row],[Qtd pçs Enviadas]]-TAB_OFICINAS[[#This Row],[Qtd pçs Retornadas ]],"N/D ")</f>
        <v>0</v>
      </c>
      <c r="R857" s="24">
        <v>0</v>
      </c>
      <c r="S857" s="5">
        <v>940</v>
      </c>
      <c r="T857" s="5">
        <v>50</v>
      </c>
      <c r="U857" s="11">
        <v>6</v>
      </c>
      <c r="V857" s="25">
        <f>IFERROR(TAB_OFICINAS[[#This Row],[Valor Unit]]*TAB_OFICINAS[[#This Row],[Qtd pçs Enviadas]]," ")</f>
        <v>6</v>
      </c>
      <c r="W857" s="26">
        <v>46234</v>
      </c>
      <c r="X857" s="17" t="s">
        <v>6251</v>
      </c>
      <c r="Y857" s="27"/>
      <c r="Z8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8" spans="3:26" hidden="1">
      <c r="C858" s="28" t="s">
        <v>7</v>
      </c>
      <c r="D858" s="5">
        <v>5671</v>
      </c>
      <c r="E858" s="5">
        <v>24001</v>
      </c>
      <c r="F858" s="28" t="str">
        <f>IFERROR(VLOOKUP(TAB_OFICINAS[[#This Row],[Cliente]],LISTA_DE_CLIENTES[[Código]:[Nome Fantasia]],2,FALSE),"")</f>
        <v>GABRIELY ORIANI THOMASELLA</v>
      </c>
      <c r="G858" s="2" t="str">
        <f>IFERROR(VLOOKUP(TAB_OFICINAS[[#This Row],[Cliente]],LISTA_DE_CLIENTES[[Código]:[Nome Fantasia]],3,FALSE),"")</f>
        <v>GABRIELY ORIANI THOM</v>
      </c>
      <c r="H858" s="51" t="s">
        <v>23962</v>
      </c>
      <c r="I858" s="28" t="s">
        <v>23694</v>
      </c>
      <c r="J858" s="91">
        <v>1</v>
      </c>
      <c r="K858" s="88">
        <v>46224</v>
      </c>
      <c r="L858" s="9">
        <v>1</v>
      </c>
      <c r="M858" s="6">
        <v>46225</v>
      </c>
      <c r="N858" s="6">
        <v>46225</v>
      </c>
      <c r="O858" s="23">
        <f>TAB_OFICINAS[[#This Row],[Data Retorno Produção]]-TAB_OFICINAS[[#This Row],[Data Prometida  Entrega]]</f>
        <v>0</v>
      </c>
      <c r="P858" s="98" t="str">
        <f>IF(TAB_OFICINAS[[#This Row],[Dias Para Entrega]]&lt;=0,"Em dia","Dia de Atrasado")</f>
        <v>Em dia</v>
      </c>
      <c r="Q858" s="24">
        <f>IFERROR(TAB_OFICINAS[[#This Row],[Qtd pçs Enviadas]]-TAB_OFICINAS[[#This Row],[Qtd pçs Retornadas ]],"N/D ")</f>
        <v>0</v>
      </c>
      <c r="R858" s="24">
        <v>0</v>
      </c>
      <c r="S858" s="5">
        <v>940</v>
      </c>
      <c r="T858" s="5">
        <v>50</v>
      </c>
      <c r="U858" s="11">
        <v>12</v>
      </c>
      <c r="V858" s="25">
        <f>IFERROR(TAB_OFICINAS[[#This Row],[Valor Unit]]*TAB_OFICINAS[[#This Row],[Qtd pçs Enviadas]]," ")</f>
        <v>12</v>
      </c>
      <c r="W858" s="26">
        <v>46234</v>
      </c>
      <c r="X858" s="17" t="s">
        <v>6251</v>
      </c>
      <c r="Y858" s="27"/>
      <c r="Z8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59" spans="3:26" hidden="1">
      <c r="C859" s="28" t="s">
        <v>7</v>
      </c>
      <c r="D859" s="5">
        <v>5671</v>
      </c>
      <c r="E859" s="5">
        <v>24001</v>
      </c>
      <c r="F859" s="28" t="str">
        <f>IFERROR(VLOOKUP(TAB_OFICINAS[[#This Row],[Cliente]],LISTA_DE_CLIENTES[[Código]:[Nome Fantasia]],2,FALSE),"")</f>
        <v>GABRIELY ORIANI THOMASELLA</v>
      </c>
      <c r="G859" s="2" t="str">
        <f>IFERROR(VLOOKUP(TAB_OFICINAS[[#This Row],[Cliente]],LISTA_DE_CLIENTES[[Código]:[Nome Fantasia]],3,FALSE),"")</f>
        <v>GABRIELY ORIANI THOM</v>
      </c>
      <c r="H859" s="51" t="s">
        <v>23962</v>
      </c>
      <c r="I859" s="28" t="s">
        <v>23697</v>
      </c>
      <c r="J859" s="91">
        <v>1</v>
      </c>
      <c r="K859" s="88">
        <v>46224</v>
      </c>
      <c r="L859" s="9">
        <v>1</v>
      </c>
      <c r="M859" s="6">
        <v>46225</v>
      </c>
      <c r="N859" s="6">
        <v>46225</v>
      </c>
      <c r="O859" s="23">
        <f>TAB_OFICINAS[[#This Row],[Data Retorno Produção]]-TAB_OFICINAS[[#This Row],[Data Prometida  Entrega]]</f>
        <v>0</v>
      </c>
      <c r="P859" s="98" t="str">
        <f>IF(TAB_OFICINAS[[#This Row],[Dias Para Entrega]]&lt;=0,"Em dia","Dia de Atrasado")</f>
        <v>Em dia</v>
      </c>
      <c r="Q859" s="24">
        <f>IFERROR(TAB_OFICINAS[[#This Row],[Qtd pçs Enviadas]]-TAB_OFICINAS[[#This Row],[Qtd pçs Retornadas ]],"N/D ")</f>
        <v>0</v>
      </c>
      <c r="R859" s="24">
        <v>0</v>
      </c>
      <c r="S859" s="5">
        <v>940</v>
      </c>
      <c r="T859" s="5">
        <v>50</v>
      </c>
      <c r="U859" s="11">
        <v>12</v>
      </c>
      <c r="V859" s="25">
        <f>IFERROR(TAB_OFICINAS[[#This Row],[Valor Unit]]*TAB_OFICINAS[[#This Row],[Qtd pçs Enviadas]]," ")</f>
        <v>12</v>
      </c>
      <c r="W859" s="26">
        <v>46234</v>
      </c>
      <c r="X859" s="17" t="s">
        <v>6251</v>
      </c>
      <c r="Y859" s="27"/>
      <c r="Z8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0" spans="3:26" hidden="1">
      <c r="C860" s="28" t="s">
        <v>7</v>
      </c>
      <c r="D860" s="5">
        <v>5675</v>
      </c>
      <c r="E860" s="5">
        <v>24015</v>
      </c>
      <c r="F860" s="28" t="str">
        <f>IFERROR(VLOOKUP(TAB_OFICINAS[[#This Row],[Cliente]],LISTA_DE_CLIENTES[[Código]:[Nome Fantasia]],2,FALSE),"")</f>
        <v>CAMILA QUOOS GOVERNICI</v>
      </c>
      <c r="G860" s="2" t="str">
        <f>IFERROR(VLOOKUP(TAB_OFICINAS[[#This Row],[Cliente]],LISTA_DE_CLIENTES[[Código]:[Nome Fantasia]],3,FALSE),"")</f>
        <v>CAMILA QUOOS GOVERNI</v>
      </c>
      <c r="H860" s="51" t="s">
        <v>23962</v>
      </c>
      <c r="I860" s="28" t="s">
        <v>23696</v>
      </c>
      <c r="J860" s="91">
        <v>1</v>
      </c>
      <c r="K860" s="88">
        <v>46224</v>
      </c>
      <c r="L860" s="9">
        <v>1</v>
      </c>
      <c r="M860" s="6">
        <v>46225</v>
      </c>
      <c r="N860" s="6">
        <v>46225</v>
      </c>
      <c r="O860" s="23">
        <f>TAB_OFICINAS[[#This Row],[Data Retorno Produção]]-TAB_OFICINAS[[#This Row],[Data Prometida  Entrega]]</f>
        <v>0</v>
      </c>
      <c r="P860" s="98" t="str">
        <f>IF(TAB_OFICINAS[[#This Row],[Dias Para Entrega]]&lt;=0,"Em dia","Dia de Atrasado")</f>
        <v>Em dia</v>
      </c>
      <c r="Q860" s="24">
        <f>IFERROR(TAB_OFICINAS[[#This Row],[Qtd pçs Enviadas]]-TAB_OFICINAS[[#This Row],[Qtd pçs Retornadas ]],"N/D ")</f>
        <v>0</v>
      </c>
      <c r="R860" s="24">
        <v>0</v>
      </c>
      <c r="S860" s="5">
        <v>940</v>
      </c>
      <c r="T860" s="5">
        <v>50</v>
      </c>
      <c r="U860" s="11">
        <v>12</v>
      </c>
      <c r="V860" s="25">
        <f>IFERROR(TAB_OFICINAS[[#This Row],[Valor Unit]]*TAB_OFICINAS[[#This Row],[Qtd pçs Enviadas]]," ")</f>
        <v>12</v>
      </c>
      <c r="W860" s="26">
        <v>46234</v>
      </c>
      <c r="X860" s="17" t="s">
        <v>6251</v>
      </c>
      <c r="Y860" s="27"/>
      <c r="Z8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1" spans="3:26" hidden="1">
      <c r="C861" s="28" t="s">
        <v>7</v>
      </c>
      <c r="D861" s="5">
        <v>5675</v>
      </c>
      <c r="E861" s="5">
        <v>24015</v>
      </c>
      <c r="F861" s="28" t="str">
        <f>IFERROR(VLOOKUP(TAB_OFICINAS[[#This Row],[Cliente]],LISTA_DE_CLIENTES[[Código]:[Nome Fantasia]],2,FALSE),"")</f>
        <v>CAMILA QUOOS GOVERNICI</v>
      </c>
      <c r="G861" s="2" t="str">
        <f>IFERROR(VLOOKUP(TAB_OFICINAS[[#This Row],[Cliente]],LISTA_DE_CLIENTES[[Código]:[Nome Fantasia]],3,FALSE),"")</f>
        <v>CAMILA QUOOS GOVERNI</v>
      </c>
      <c r="H861" s="51" t="s">
        <v>23962</v>
      </c>
      <c r="I861" s="28" t="s">
        <v>23695</v>
      </c>
      <c r="J861" s="91">
        <v>1</v>
      </c>
      <c r="K861" s="88">
        <v>46224</v>
      </c>
      <c r="L861" s="9">
        <v>1</v>
      </c>
      <c r="M861" s="6">
        <v>46225</v>
      </c>
      <c r="N861" s="6">
        <v>46225</v>
      </c>
      <c r="O861" s="23">
        <f>TAB_OFICINAS[[#This Row],[Data Retorno Produção]]-TAB_OFICINAS[[#This Row],[Data Prometida  Entrega]]</f>
        <v>0</v>
      </c>
      <c r="P861" s="98" t="str">
        <f>IF(TAB_OFICINAS[[#This Row],[Dias Para Entrega]]&lt;=0,"Em dia","Dia de Atrasado")</f>
        <v>Em dia</v>
      </c>
      <c r="Q861" s="24">
        <f>IFERROR(TAB_OFICINAS[[#This Row],[Qtd pçs Enviadas]]-TAB_OFICINAS[[#This Row],[Qtd pçs Retornadas ]],"N/D ")</f>
        <v>0</v>
      </c>
      <c r="R861" s="24">
        <v>0</v>
      </c>
      <c r="S861" s="5">
        <v>940</v>
      </c>
      <c r="T861" s="5">
        <v>50</v>
      </c>
      <c r="U861" s="11">
        <v>12</v>
      </c>
      <c r="V861" s="25">
        <f>IFERROR(TAB_OFICINAS[[#This Row],[Valor Unit]]*TAB_OFICINAS[[#This Row],[Qtd pçs Enviadas]]," ")</f>
        <v>12</v>
      </c>
      <c r="W861" s="26">
        <v>46234</v>
      </c>
      <c r="X861" s="17" t="s">
        <v>6251</v>
      </c>
      <c r="Y861" s="27"/>
      <c r="Z8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2" spans="3:26" hidden="1">
      <c r="C862" s="28" t="s">
        <v>15</v>
      </c>
      <c r="D862" s="5">
        <v>5645</v>
      </c>
      <c r="E862" s="5">
        <v>23888</v>
      </c>
      <c r="F862" s="28" t="str">
        <f>IFERROR(VLOOKUP(TAB_OFICINAS[[#This Row],[Cliente]],LISTA_DE_CLIENTES[[Código]:[Nome Fantasia]],2,FALSE),"")</f>
        <v>HCC HOTELS GESTAO HOTELEIRA SA</v>
      </c>
      <c r="G862" s="2" t="str">
        <f>IFERROR(VLOOKUP(TAB_OFICINAS[[#This Row],[Cliente]],LISTA_DE_CLIENTES[[Código]:[Nome Fantasia]],3,FALSE),"")</f>
        <v>CASA COSTA</v>
      </c>
      <c r="H862" s="51">
        <v>3301093860</v>
      </c>
      <c r="I862" s="28" t="s">
        <v>23699</v>
      </c>
      <c r="J862" s="91">
        <v>1</v>
      </c>
      <c r="K862" s="88">
        <v>46220</v>
      </c>
      <c r="L862" s="9">
        <v>1</v>
      </c>
      <c r="M862" s="6">
        <v>46230</v>
      </c>
      <c r="N862" s="6">
        <v>46227</v>
      </c>
      <c r="O862" s="23">
        <f>TAB_OFICINAS[[#This Row],[Data Retorno Produção]]-TAB_OFICINAS[[#This Row],[Data Prometida  Entrega]]</f>
        <v>-3</v>
      </c>
      <c r="P862" s="98" t="str">
        <f>IF(TAB_OFICINAS[[#This Row],[Dias Para Entrega]]&lt;=0,"Em dia","Dia de Atrasado")</f>
        <v>Em dia</v>
      </c>
      <c r="Q862" s="24">
        <f>IFERROR(TAB_OFICINAS[[#This Row],[Qtd pçs Enviadas]]-TAB_OFICINAS[[#This Row],[Qtd pçs Retornadas ]],"N/D ")</f>
        <v>0</v>
      </c>
      <c r="R862" s="24">
        <v>0</v>
      </c>
      <c r="S862" s="5">
        <v>937</v>
      </c>
      <c r="T862" s="5">
        <v>17438</v>
      </c>
      <c r="U862" s="11">
        <v>12</v>
      </c>
      <c r="V862" s="25">
        <f>IFERROR(TAB_OFICINAS[[#This Row],[Valor Unit]]*TAB_OFICINAS[[#This Row],[Qtd pçs Enviadas]]," ")</f>
        <v>12</v>
      </c>
      <c r="W862" s="26">
        <v>46234</v>
      </c>
      <c r="X862" s="17" t="s">
        <v>6251</v>
      </c>
      <c r="Y862" s="27" t="s">
        <v>23700</v>
      </c>
      <c r="Z8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3" spans="3:26" hidden="1">
      <c r="C863" s="28" t="s">
        <v>15</v>
      </c>
      <c r="D863" s="5">
        <v>943</v>
      </c>
      <c r="E863" s="5">
        <v>23090</v>
      </c>
      <c r="F863" s="28" t="str">
        <f>IFERROR(VLOOKUP(TAB_OFICINAS[[#This Row],[Cliente]],LISTA_DE_CLIENTES[[Código]:[Nome Fantasia]],2,FALSE),"")</f>
        <v>REDE DOR SAO LUIZ S.A.</v>
      </c>
      <c r="G863" s="2" t="str">
        <f>IFERROR(VLOOKUP(TAB_OFICINAS[[#This Row],[Cliente]],LISTA_DE_CLIENTES[[Código]:[Nome Fantasia]],3,FALSE),"")</f>
        <v>HOSPITAL COPA STAR</v>
      </c>
      <c r="H863" s="51">
        <v>2103062494</v>
      </c>
      <c r="I863" s="28" t="str">
        <f>IFERROR(VLOOKUP(TAB_OFICINAS[[#This Row],[Codigo Produto ]],_000___PEDIDOS_DE_CLIENTES[[Data.Column2]:[Descrição Produto]],2,FALSE)," ")</f>
        <v>S. FRONHA 4 ABAS 5cm - 400F 100% ALG COM FESTONÊ E LOGO BORDADO COR ALABASTRO 07077 - 0,50 X 0,90</v>
      </c>
      <c r="J863" s="91">
        <v>499</v>
      </c>
      <c r="K863" s="88">
        <v>46220</v>
      </c>
      <c r="L863" s="9">
        <v>499</v>
      </c>
      <c r="M863" s="6">
        <v>46224</v>
      </c>
      <c r="N863" s="6">
        <v>46225</v>
      </c>
      <c r="O863" s="23">
        <f>TAB_OFICINAS[[#This Row],[Data Retorno Produção]]-TAB_OFICINAS[[#This Row],[Data Prometida  Entrega]]</f>
        <v>1</v>
      </c>
      <c r="P863" s="98" t="str">
        <f>IF(TAB_OFICINAS[[#This Row],[Dias Para Entrega]]&lt;=0,"Em dia","Dia de Atrasado")</f>
        <v>Dia de Atrasado</v>
      </c>
      <c r="Q863" s="24">
        <f>IFERROR(TAB_OFICINAS[[#This Row],[Qtd pçs Enviadas]]-TAB_OFICINAS[[#This Row],[Qtd pçs Retornadas ]],"N/D ")</f>
        <v>0</v>
      </c>
      <c r="R863" s="24"/>
      <c r="S863" s="5">
        <v>937</v>
      </c>
      <c r="T863" s="5">
        <v>17435</v>
      </c>
      <c r="U863" s="11">
        <v>3.85</v>
      </c>
      <c r="V863" s="25">
        <f>IFERROR(TAB_OFICINAS[[#This Row],[Valor Unit]]*TAB_OFICINAS[[#This Row],[Qtd pçs Enviadas]]," ")</f>
        <v>1921.15</v>
      </c>
      <c r="W863" s="26">
        <v>46230</v>
      </c>
      <c r="X863" s="17" t="s">
        <v>6251</v>
      </c>
      <c r="Y863" s="27" t="s">
        <v>21378</v>
      </c>
      <c r="Z8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4" spans="3:26" ht="114" hidden="1">
      <c r="C864" s="28" t="s">
        <v>15</v>
      </c>
      <c r="D864" s="5">
        <v>943</v>
      </c>
      <c r="E864" s="5">
        <v>23090</v>
      </c>
      <c r="F864" s="28" t="str">
        <f>IFERROR(VLOOKUP(TAB_OFICINAS[[#This Row],[Cliente]],LISTA_DE_CLIENTES[[Código]:[Nome Fantasia]],2,FALSE),"")</f>
        <v>REDE DOR SAO LUIZ S.A.</v>
      </c>
      <c r="G864" s="2" t="str">
        <f>IFERROR(VLOOKUP(TAB_OFICINAS[[#This Row],[Cliente]],LISTA_DE_CLIENTES[[Código]:[Nome Fantasia]],3,FALSE),"")</f>
        <v>HOSPITAL COPA STAR</v>
      </c>
      <c r="H864" s="51">
        <v>2103062485</v>
      </c>
      <c r="I864" s="28" t="str">
        <f>IFERROR(VLOOKUP(TAB_OFICINAS[[#This Row],[Codigo Produto ]],_000___PEDIDOS_DE_CLIENTES[[Data.Column2]:[Descrição Produto]],2,FALSE)," ")</f>
        <v>FRONHA 4 ABAS 5cm - COM ACABAMENTO FESTONÊ E LOGO BORDADO COR ALABASTRO 07077 - 0,50 X 0,70</v>
      </c>
      <c r="J864" s="91">
        <v>703</v>
      </c>
      <c r="K864" s="88">
        <v>46220</v>
      </c>
      <c r="L864" s="9">
        <v>703</v>
      </c>
      <c r="M864" s="6">
        <v>46224</v>
      </c>
      <c r="N864" s="6">
        <v>46225</v>
      </c>
      <c r="O864" s="23">
        <f>TAB_OFICINAS[[#This Row],[Data Retorno Produção]]-TAB_OFICINAS[[#This Row],[Data Prometida  Entrega]]</f>
        <v>1</v>
      </c>
      <c r="P864" s="98" t="str">
        <f>IF(TAB_OFICINAS[[#This Row],[Dias Para Entrega]]&lt;=0,"Em dia","Dia de Atrasado")</f>
        <v>Dia de Atrasado</v>
      </c>
      <c r="Q864" s="24">
        <f>IFERROR(TAB_OFICINAS[[#This Row],[Qtd pçs Enviadas]]-TAB_OFICINAS[[#This Row],[Qtd pçs Retornadas ]],"N/D ")</f>
        <v>0</v>
      </c>
      <c r="R864" s="24"/>
      <c r="S864" s="5">
        <v>937</v>
      </c>
      <c r="T864" s="5">
        <v>17435</v>
      </c>
      <c r="U864" s="11">
        <v>3.85</v>
      </c>
      <c r="V864" s="25">
        <f>IFERROR(TAB_OFICINAS[[#This Row],[Valor Unit]]*TAB_OFICINAS[[#This Row],[Qtd pçs Enviadas]]," ")</f>
        <v>2706.55</v>
      </c>
      <c r="W864" s="26">
        <v>46230</v>
      </c>
      <c r="X864" s="17" t="s">
        <v>6251</v>
      </c>
      <c r="Y864" s="27" t="s">
        <v>23701</v>
      </c>
      <c r="Z86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5" spans="3:26" hidden="1">
      <c r="C865" s="28" t="s">
        <v>15</v>
      </c>
      <c r="D865" s="5">
        <v>240</v>
      </c>
      <c r="E865" s="5">
        <v>23916</v>
      </c>
      <c r="F865" s="28" t="str">
        <f>IFERROR(VLOOKUP(TAB_OFICINAS[[#This Row],[Cliente]],LISTA_DE_CLIENTES[[Código]:[Nome Fantasia]],2,FALSE),"")</f>
        <v>MEIRA LINS HOTEIS LTDA</v>
      </c>
      <c r="G865" s="2" t="str">
        <f>IFERROR(VLOOKUP(TAB_OFICINAS[[#This Row],[Cliente]],LISTA_DE_CLIENTES[[Código]:[Nome Fantasia]],3,FALSE),"")</f>
        <v>NANNAI RESORT &amp; SPA</v>
      </c>
      <c r="H865" s="51">
        <v>3301146819</v>
      </c>
      <c r="I865" s="28" t="s">
        <v>23702</v>
      </c>
      <c r="J865" s="91">
        <v>41</v>
      </c>
      <c r="K865" s="88">
        <v>46220</v>
      </c>
      <c r="L865" s="9">
        <v>41</v>
      </c>
      <c r="M865" s="6">
        <v>46227</v>
      </c>
      <c r="N865" s="6">
        <v>46227</v>
      </c>
      <c r="O865" s="23">
        <f>TAB_OFICINAS[[#This Row],[Data Retorno Produção]]-TAB_OFICINAS[[#This Row],[Data Prometida  Entrega]]</f>
        <v>0</v>
      </c>
      <c r="P865" s="98" t="str">
        <f>IF(TAB_OFICINAS[[#This Row],[Dias Para Entrega]]&lt;=0,"Em dia","Dia de Atrasado")</f>
        <v>Em dia</v>
      </c>
      <c r="Q865" s="24">
        <f>IFERROR(TAB_OFICINAS[[#This Row],[Qtd pçs Enviadas]]-TAB_OFICINAS[[#This Row],[Qtd pçs Retornadas ]],"N/D ")</f>
        <v>0</v>
      </c>
      <c r="R865" s="24"/>
      <c r="S865" s="5">
        <v>936</v>
      </c>
      <c r="T865" s="5">
        <v>17437</v>
      </c>
      <c r="U865" s="11">
        <v>3.6</v>
      </c>
      <c r="V865" s="25">
        <f>IFERROR(TAB_OFICINAS[[#This Row],[Valor Unit]]*TAB_OFICINAS[[#This Row],[Qtd pçs Enviadas]]," ")</f>
        <v>147.6</v>
      </c>
      <c r="W865" s="26">
        <v>46234</v>
      </c>
      <c r="X865" s="17" t="s">
        <v>6251</v>
      </c>
      <c r="Y865" s="27" t="s">
        <v>23703</v>
      </c>
      <c r="Z8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6" spans="3:26" hidden="1">
      <c r="C866" s="28" t="s">
        <v>15</v>
      </c>
      <c r="D866" s="5">
        <v>3107</v>
      </c>
      <c r="E866" s="5">
        <v>23956</v>
      </c>
      <c r="F866" s="28" t="str">
        <f>IFERROR(VLOOKUP(TAB_OFICINAS[[#This Row],[Cliente]],LISTA_DE_CLIENTES[[Código]:[Nome Fantasia]],2,FALSE),"")</f>
        <v>HCC HOTELS GESTAO HOTELEIRA LTDA.</v>
      </c>
      <c r="G866" s="2" t="str">
        <f>IFERROR(VLOOKUP(TAB_OFICINAS[[#This Row],[Cliente]],LISTA_DE_CLIENTES[[Código]:[Nome Fantasia]],3,FALSE),"")</f>
        <v>QOYA SP</v>
      </c>
      <c r="H866" s="51">
        <v>3301078559</v>
      </c>
      <c r="I866" s="28" t="str">
        <f>IFERROR(VLOOKUP(TAB_OFICINAS[[#This Row],[Codigo Produto ]],_000___PEDIDOS_DE_CLIENTES[[Data.Column2]:[Descrição Produto]],2,FALSE)," ")</f>
        <v>ROUPÃO FELPA VELUX CINZA C/ GOLA XALE SEM CETIM, LOGO BORDADA E VIVO PRETO NA GOLA E NAS MANGAS TAM GG</v>
      </c>
      <c r="J866" s="91">
        <v>18</v>
      </c>
      <c r="K866" s="88">
        <v>46224</v>
      </c>
      <c r="L866" s="9">
        <v>18</v>
      </c>
      <c r="M866" s="6">
        <v>46230</v>
      </c>
      <c r="N866" s="6">
        <v>46227</v>
      </c>
      <c r="O866" s="23">
        <f>TAB_OFICINAS[[#This Row],[Data Retorno Produção]]-TAB_OFICINAS[[#This Row],[Data Prometida  Entrega]]</f>
        <v>-3</v>
      </c>
      <c r="P866" s="98" t="str">
        <f>IF(TAB_OFICINAS[[#This Row],[Dias Para Entrega]]&lt;=0,"Em dia","Dia de Atrasado")</f>
        <v>Em dia</v>
      </c>
      <c r="Q866" s="24">
        <f>IFERROR(TAB_OFICINAS[[#This Row],[Qtd pçs Enviadas]]-TAB_OFICINAS[[#This Row],[Qtd pçs Retornadas ]],"N/D ")</f>
        <v>0</v>
      </c>
      <c r="R866" s="24">
        <v>0</v>
      </c>
      <c r="S866" s="5">
        <v>939</v>
      </c>
      <c r="T866" s="5">
        <v>17438</v>
      </c>
      <c r="U866" s="11">
        <v>3.6</v>
      </c>
      <c r="V866" s="25">
        <f>IFERROR(TAB_OFICINAS[[#This Row],[Valor Unit]]*TAB_OFICINAS[[#This Row],[Qtd pçs Enviadas]]," ")</f>
        <v>64.8</v>
      </c>
      <c r="W866" s="26">
        <v>46234</v>
      </c>
      <c r="X866" s="17" t="s">
        <v>6251</v>
      </c>
      <c r="Y866" s="27" t="s">
        <v>23704</v>
      </c>
      <c r="Z8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7" spans="3:26" hidden="1">
      <c r="C867" s="28" t="s">
        <v>15</v>
      </c>
      <c r="D867" s="5">
        <v>3107</v>
      </c>
      <c r="E867" s="5">
        <v>23956</v>
      </c>
      <c r="F867" s="28" t="str">
        <f>IFERROR(VLOOKUP(TAB_OFICINAS[[#This Row],[Cliente]],LISTA_DE_CLIENTES[[Código]:[Nome Fantasia]],2,FALSE),"")</f>
        <v>HCC HOTELS GESTAO HOTELEIRA LTDA.</v>
      </c>
      <c r="G867" s="2" t="str">
        <f>IFERROR(VLOOKUP(TAB_OFICINAS[[#This Row],[Cliente]],LISTA_DE_CLIENTES[[Código]:[Nome Fantasia]],3,FALSE),"")</f>
        <v>QOYA SP</v>
      </c>
      <c r="H867" s="51">
        <v>3301076808</v>
      </c>
      <c r="I867" s="28" t="str">
        <f>IFERROR(VLOOKUP(TAB_OFICINAS[[#This Row],[Codigo Produto ]],_000___PEDIDOS_DE_CLIENTES[[Data.Column2]:[Descrição Produto]],2,FALSE)," ")</f>
        <v>ROUPÃO FELPA VELUX CINZA C/ GOLA XALE SEM CETIM, LOGO BORDADA E VIVO PRETO NA GOLA E NAS MANGAS TAM G</v>
      </c>
      <c r="J867" s="91">
        <v>18</v>
      </c>
      <c r="K867" s="88">
        <v>46224</v>
      </c>
      <c r="L867" s="9">
        <v>18</v>
      </c>
      <c r="M867" s="6">
        <v>46230</v>
      </c>
      <c r="N867" s="6">
        <v>46227</v>
      </c>
      <c r="O867" s="23">
        <f>TAB_OFICINAS[[#This Row],[Data Retorno Produção]]-TAB_OFICINAS[[#This Row],[Data Prometida  Entrega]]</f>
        <v>-3</v>
      </c>
      <c r="P867" s="98" t="str">
        <f>IF(TAB_OFICINAS[[#This Row],[Dias Para Entrega]]&lt;=0,"Em dia","Dia de Atrasado")</f>
        <v>Em dia</v>
      </c>
      <c r="Q867" s="24">
        <f>IFERROR(TAB_OFICINAS[[#This Row],[Qtd pçs Enviadas]]-TAB_OFICINAS[[#This Row],[Qtd pçs Retornadas ]],"N/D ")</f>
        <v>0</v>
      </c>
      <c r="R867" s="24">
        <v>0</v>
      </c>
      <c r="S867" s="5">
        <v>939</v>
      </c>
      <c r="T867" s="5">
        <v>17438</v>
      </c>
      <c r="U867" s="11">
        <v>3.6</v>
      </c>
      <c r="V867" s="25">
        <f>IFERROR(TAB_OFICINAS[[#This Row],[Valor Unit]]*TAB_OFICINAS[[#This Row],[Qtd pçs Enviadas]]," ")</f>
        <v>64.8</v>
      </c>
      <c r="W867" s="26">
        <v>46234</v>
      </c>
      <c r="X867" s="17" t="s">
        <v>6251</v>
      </c>
      <c r="Y867" s="27" t="s">
        <v>23704</v>
      </c>
      <c r="Z86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8" spans="3:26" ht="85.5" hidden="1">
      <c r="C868" s="28" t="s">
        <v>17</v>
      </c>
      <c r="D868" s="5">
        <v>3107</v>
      </c>
      <c r="E868" s="5">
        <v>23956</v>
      </c>
      <c r="F868" s="28" t="str">
        <f>IFERROR(VLOOKUP(TAB_OFICINAS[[#This Row],[Cliente]],LISTA_DE_CLIENTES[[Código]:[Nome Fantasia]],2,FALSE),"")</f>
        <v>HCC HOTELS GESTAO HOTELEIRA LTDA.</v>
      </c>
      <c r="G868" s="2" t="str">
        <f>IFERROR(VLOOKUP(TAB_OFICINAS[[#This Row],[Cliente]],LISTA_DE_CLIENTES[[Código]:[Nome Fantasia]],3,FALSE),"")</f>
        <v>QOYA SP</v>
      </c>
      <c r="H868" s="51">
        <v>3301076808</v>
      </c>
      <c r="I868" s="28" t="str">
        <f>IFERROR(VLOOKUP(TAB_OFICINAS[[#This Row],[Codigo Produto ]],_000___PEDIDOS_DE_CLIENTES[[Data.Column2]:[Descrição Produto]],2,FALSE)," ")</f>
        <v>ROUPÃO FELPA VELUX CINZA C/ GOLA XALE SEM CETIM, LOGO BORDADA E VIVO PRETO NA GOLA E NAS MANGAS TAM G</v>
      </c>
      <c r="J868" s="91">
        <v>18</v>
      </c>
      <c r="K868" s="88">
        <v>46224</v>
      </c>
      <c r="L868" s="9">
        <v>18</v>
      </c>
      <c r="M868" s="6">
        <v>46245</v>
      </c>
      <c r="N868" s="6">
        <v>46238</v>
      </c>
      <c r="O868" s="23">
        <f>TAB_OFICINAS[[#This Row],[Data Retorno Produção]]-TAB_OFICINAS[[#This Row],[Data Prometida  Entrega]]</f>
        <v>-7</v>
      </c>
      <c r="P868" s="98" t="str">
        <f>IF(TAB_OFICINAS[[#This Row],[Dias Para Entrega]]&lt;=0,"Em dia","Dia de Atrasado")</f>
        <v>Em dia</v>
      </c>
      <c r="Q868" s="24">
        <f>IFERROR(TAB_OFICINAS[[#This Row],[Qtd pçs Enviadas]]-TAB_OFICINAS[[#This Row],[Qtd pçs Retornadas ]],"N/D ")</f>
        <v>0</v>
      </c>
      <c r="R868" s="24"/>
      <c r="S868" s="5">
        <v>3332</v>
      </c>
      <c r="T868" s="5">
        <v>61</v>
      </c>
      <c r="U868" s="11">
        <v>16</v>
      </c>
      <c r="V868" s="25">
        <f>IFERROR(TAB_OFICINAS[[#This Row],[Valor Unit]]*TAB_OFICINAS[[#This Row],[Qtd pçs Enviadas]]," ")</f>
        <v>288</v>
      </c>
      <c r="W868" s="26">
        <v>46248</v>
      </c>
      <c r="X868" s="17" t="s">
        <v>6251</v>
      </c>
      <c r="Y868" s="27" t="s">
        <v>25288</v>
      </c>
      <c r="Z86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69" spans="3:26" hidden="1">
      <c r="C869" s="28" t="s">
        <v>17</v>
      </c>
      <c r="D869" s="5">
        <v>3107</v>
      </c>
      <c r="E869" s="5">
        <v>23956</v>
      </c>
      <c r="F869" s="28" t="str">
        <f>IFERROR(VLOOKUP(TAB_OFICINAS[[#This Row],[Cliente]],LISTA_DE_CLIENTES[[Código]:[Nome Fantasia]],2,FALSE),"")</f>
        <v>HCC HOTELS GESTAO HOTELEIRA LTDA.</v>
      </c>
      <c r="G869" s="2" t="str">
        <f>IFERROR(VLOOKUP(TAB_OFICINAS[[#This Row],[Cliente]],LISTA_DE_CLIENTES[[Código]:[Nome Fantasia]],3,FALSE),"")</f>
        <v>QOYA SP</v>
      </c>
      <c r="H869" s="51">
        <v>3301078559</v>
      </c>
      <c r="I869" s="28" t="str">
        <f>IFERROR(VLOOKUP(TAB_OFICINAS[[#This Row],[Codigo Produto ]],_000___PEDIDOS_DE_CLIENTES[[Data.Column2]:[Descrição Produto]],2,FALSE)," ")</f>
        <v>ROUPÃO FELPA VELUX CINZA C/ GOLA XALE SEM CETIM, LOGO BORDADA E VIVO PRETO NA GOLA E NAS MANGAS TAM GG</v>
      </c>
      <c r="J869" s="91">
        <v>18</v>
      </c>
      <c r="K869" s="88">
        <v>46224</v>
      </c>
      <c r="L869" s="9">
        <v>18</v>
      </c>
      <c r="M869" s="6">
        <v>46245</v>
      </c>
      <c r="N869" s="6">
        <v>46238</v>
      </c>
      <c r="O869" s="23">
        <f>TAB_OFICINAS[[#This Row],[Data Retorno Produção]]-TAB_OFICINAS[[#This Row],[Data Prometida  Entrega]]</f>
        <v>-7</v>
      </c>
      <c r="P869" s="98" t="str">
        <f>IF(TAB_OFICINAS[[#This Row],[Dias Para Entrega]]&lt;=0,"Em dia","Dia de Atrasado")</f>
        <v>Em dia</v>
      </c>
      <c r="Q869" s="24">
        <f>IFERROR(TAB_OFICINAS[[#This Row],[Qtd pçs Enviadas]]-TAB_OFICINAS[[#This Row],[Qtd pçs Retornadas ]],"N/D ")</f>
        <v>0</v>
      </c>
      <c r="R869" s="24"/>
      <c r="S869" s="5">
        <v>3332</v>
      </c>
      <c r="T869" s="5">
        <v>61</v>
      </c>
      <c r="U869" s="11">
        <v>16</v>
      </c>
      <c r="V869" s="25">
        <f>IFERROR(TAB_OFICINAS[[#This Row],[Valor Unit]]*TAB_OFICINAS[[#This Row],[Qtd pçs Enviadas]]," ")</f>
        <v>288</v>
      </c>
      <c r="W869" s="26">
        <v>46248</v>
      </c>
      <c r="X869" s="17" t="s">
        <v>6251</v>
      </c>
      <c r="Y869" s="27"/>
      <c r="Z8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0" spans="3:26" hidden="1">
      <c r="C870" s="28" t="s">
        <v>16</v>
      </c>
      <c r="D870" s="5">
        <v>2319</v>
      </c>
      <c r="E870" s="5">
        <v>23983</v>
      </c>
      <c r="F870" s="28" t="str">
        <f>IFERROR(VLOOKUP(TAB_OFICINAS[[#This Row],[Cliente]],LISTA_DE_CLIENTES[[Código]:[Nome Fantasia]],2,FALSE),"")</f>
        <v>TITRIZ MOVEIS E ACESSORIOS INFANTIS EIRELI</v>
      </c>
      <c r="G870" s="2" t="str">
        <f>IFERROR(VLOOKUP(TAB_OFICINAS[[#This Row],[Cliente]],LISTA_DE_CLIENTES[[Código]:[Nome Fantasia]],3,FALSE),"")</f>
        <v>BICHO PAPÃO ST JUSTI</v>
      </c>
      <c r="H870" s="51" t="s">
        <v>23962</v>
      </c>
      <c r="I870" s="28" t="s">
        <v>23705</v>
      </c>
      <c r="J870" s="91">
        <v>17</v>
      </c>
      <c r="K870" s="88">
        <v>46223</v>
      </c>
      <c r="L870" s="9">
        <v>17</v>
      </c>
      <c r="M870" s="6">
        <v>46238</v>
      </c>
      <c r="N870" s="6">
        <v>46226</v>
      </c>
      <c r="O870" s="23">
        <f>TAB_OFICINAS[[#This Row],[Data Retorno Produção]]-TAB_OFICINAS[[#This Row],[Data Prometida  Entrega]]</f>
        <v>-12</v>
      </c>
      <c r="P870" s="98" t="str">
        <f>IF(TAB_OFICINAS[[#This Row],[Dias Para Entrega]]&lt;=0,"Em dia","Dia de Atrasado")</f>
        <v>Em dia</v>
      </c>
      <c r="Q870" s="24">
        <f>IFERROR(TAB_OFICINAS[[#This Row],[Qtd pçs Enviadas]]-TAB_OFICINAS[[#This Row],[Qtd pçs Retornadas ]],"N/D ")</f>
        <v>0</v>
      </c>
      <c r="R870" s="24"/>
      <c r="S870" s="5">
        <v>3325</v>
      </c>
      <c r="T870" s="5">
        <v>57</v>
      </c>
      <c r="U870" s="11">
        <v>4</v>
      </c>
      <c r="V870" s="25">
        <f>IFERROR(TAB_OFICINAS[[#This Row],[Valor Unit]]*TAB_OFICINAS[[#This Row],[Qtd pçs Enviadas]]," ")</f>
        <v>68</v>
      </c>
      <c r="W870" s="26">
        <v>46237</v>
      </c>
      <c r="X870" s="17" t="s">
        <v>6251</v>
      </c>
      <c r="Y870" s="27"/>
      <c r="Z8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1" spans="3:26" hidden="1">
      <c r="C871" s="28" t="s">
        <v>16</v>
      </c>
      <c r="D871" s="5">
        <v>2319</v>
      </c>
      <c r="E871" s="5">
        <v>23983</v>
      </c>
      <c r="F871" s="28" t="str">
        <f>IFERROR(VLOOKUP(TAB_OFICINAS[[#This Row],[Cliente]],LISTA_DE_CLIENTES[[Código]:[Nome Fantasia]],2,FALSE),"")</f>
        <v>TITRIZ MOVEIS E ACESSORIOS INFANTIS EIRELI</v>
      </c>
      <c r="G871" s="2" t="str">
        <f>IFERROR(VLOOKUP(TAB_OFICINAS[[#This Row],[Cliente]],LISTA_DE_CLIENTES[[Código]:[Nome Fantasia]],3,FALSE),"")</f>
        <v>BICHO PAPÃO ST JUSTI</v>
      </c>
      <c r="H871" s="51" t="s">
        <v>23962</v>
      </c>
      <c r="I871" s="28" t="s">
        <v>23706</v>
      </c>
      <c r="J871" s="91">
        <v>2</v>
      </c>
      <c r="K871" s="88">
        <v>46223</v>
      </c>
      <c r="L871" s="9">
        <v>2</v>
      </c>
      <c r="M871" s="6">
        <v>46238</v>
      </c>
      <c r="N871" s="6">
        <v>46226</v>
      </c>
      <c r="O871" s="23">
        <f>TAB_OFICINAS[[#This Row],[Data Retorno Produção]]-TAB_OFICINAS[[#This Row],[Data Prometida  Entrega]]</f>
        <v>-12</v>
      </c>
      <c r="P871" s="98" t="str">
        <f>IF(TAB_OFICINAS[[#This Row],[Dias Para Entrega]]&lt;=0,"Em dia","Dia de Atrasado")</f>
        <v>Em dia</v>
      </c>
      <c r="Q871" s="24">
        <f>IFERROR(TAB_OFICINAS[[#This Row],[Qtd pçs Enviadas]]-TAB_OFICINAS[[#This Row],[Qtd pçs Retornadas ]],"N/D ")</f>
        <v>0</v>
      </c>
      <c r="R871" s="24"/>
      <c r="S871" s="5">
        <v>3325</v>
      </c>
      <c r="T871" s="5">
        <v>57</v>
      </c>
      <c r="U871" s="11">
        <v>6</v>
      </c>
      <c r="V871" s="25">
        <f>IFERROR(TAB_OFICINAS[[#This Row],[Valor Unit]]*TAB_OFICINAS[[#This Row],[Qtd pçs Enviadas]]," ")</f>
        <v>12</v>
      </c>
      <c r="W871" s="26">
        <v>46237</v>
      </c>
      <c r="X871" s="17" t="s">
        <v>6251</v>
      </c>
      <c r="Y871" s="27"/>
      <c r="Z8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2" spans="3:26" hidden="1">
      <c r="C872" s="28" t="s">
        <v>16</v>
      </c>
      <c r="D872" s="5">
        <v>2319</v>
      </c>
      <c r="E872" s="5">
        <v>23983</v>
      </c>
      <c r="F872" s="28" t="str">
        <f>IFERROR(VLOOKUP(TAB_OFICINAS[[#This Row],[Cliente]],LISTA_DE_CLIENTES[[Código]:[Nome Fantasia]],2,FALSE),"")</f>
        <v>TITRIZ MOVEIS E ACESSORIOS INFANTIS EIRELI</v>
      </c>
      <c r="G872" s="2" t="str">
        <f>IFERROR(VLOOKUP(TAB_OFICINAS[[#This Row],[Cliente]],LISTA_DE_CLIENTES[[Código]:[Nome Fantasia]],3,FALSE),"")</f>
        <v>BICHO PAPÃO ST JUSTI</v>
      </c>
      <c r="H872" s="51" t="s">
        <v>23962</v>
      </c>
      <c r="I872" s="28" t="s">
        <v>23707</v>
      </c>
      <c r="J872" s="91">
        <v>2</v>
      </c>
      <c r="K872" s="88">
        <v>46223</v>
      </c>
      <c r="L872" s="9">
        <v>2</v>
      </c>
      <c r="M872" s="6">
        <v>46238</v>
      </c>
      <c r="N872" s="6">
        <v>46226</v>
      </c>
      <c r="O872" s="23">
        <f>TAB_OFICINAS[[#This Row],[Data Retorno Produção]]-TAB_OFICINAS[[#This Row],[Data Prometida  Entrega]]</f>
        <v>-12</v>
      </c>
      <c r="P872" s="98" t="str">
        <f>IF(TAB_OFICINAS[[#This Row],[Dias Para Entrega]]&lt;=0,"Em dia","Dia de Atrasado")</f>
        <v>Em dia</v>
      </c>
      <c r="Q872" s="24">
        <f>IFERROR(TAB_OFICINAS[[#This Row],[Qtd pçs Enviadas]]-TAB_OFICINAS[[#This Row],[Qtd pçs Retornadas ]],"N/D ")</f>
        <v>0</v>
      </c>
      <c r="R872" s="24"/>
      <c r="S872" s="5">
        <v>3325</v>
      </c>
      <c r="T872" s="5">
        <v>57</v>
      </c>
      <c r="U872" s="11">
        <v>2.9</v>
      </c>
      <c r="V872" s="25">
        <f>IFERROR(TAB_OFICINAS[[#This Row],[Valor Unit]]*TAB_OFICINAS[[#This Row],[Qtd pçs Enviadas]]," ")</f>
        <v>5.8</v>
      </c>
      <c r="W872" s="26">
        <v>46237</v>
      </c>
      <c r="X872" s="17" t="s">
        <v>6251</v>
      </c>
      <c r="Y872" s="27"/>
      <c r="Z8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3" spans="3:26" hidden="1">
      <c r="C873" s="28" t="s">
        <v>16</v>
      </c>
      <c r="D873" s="5">
        <v>2319</v>
      </c>
      <c r="E873" s="5">
        <v>23983</v>
      </c>
      <c r="F873" s="28" t="str">
        <f>IFERROR(VLOOKUP(TAB_OFICINAS[[#This Row],[Cliente]],LISTA_DE_CLIENTES[[Código]:[Nome Fantasia]],2,FALSE),"")</f>
        <v>TITRIZ MOVEIS E ACESSORIOS INFANTIS EIRELI</v>
      </c>
      <c r="G873" s="2" t="str">
        <f>IFERROR(VLOOKUP(TAB_OFICINAS[[#This Row],[Cliente]],LISTA_DE_CLIENTES[[Código]:[Nome Fantasia]],3,FALSE),"")</f>
        <v>BICHO PAPÃO ST JUSTI</v>
      </c>
      <c r="H873" s="51" t="s">
        <v>23962</v>
      </c>
      <c r="I873" s="28" t="s">
        <v>23708</v>
      </c>
      <c r="J873" s="91">
        <v>2</v>
      </c>
      <c r="K873" s="88">
        <v>46223</v>
      </c>
      <c r="L873" s="9">
        <v>2</v>
      </c>
      <c r="M873" s="6">
        <v>46238</v>
      </c>
      <c r="N873" s="6">
        <v>46226</v>
      </c>
      <c r="O873" s="23">
        <f>TAB_OFICINAS[[#This Row],[Data Retorno Produção]]-TAB_OFICINAS[[#This Row],[Data Prometida  Entrega]]</f>
        <v>-12</v>
      </c>
      <c r="P873" s="98" t="str">
        <f>IF(TAB_OFICINAS[[#This Row],[Dias Para Entrega]]&lt;=0,"Em dia","Dia de Atrasado")</f>
        <v>Em dia</v>
      </c>
      <c r="Q873" s="24">
        <f>IFERROR(TAB_OFICINAS[[#This Row],[Qtd pçs Enviadas]]-TAB_OFICINAS[[#This Row],[Qtd pçs Retornadas ]],"N/D ")</f>
        <v>0</v>
      </c>
      <c r="R873" s="24"/>
      <c r="S873" s="5">
        <v>3325</v>
      </c>
      <c r="T873" s="5">
        <v>57</v>
      </c>
      <c r="U873" s="11">
        <v>6</v>
      </c>
      <c r="V873" s="25">
        <f>IFERROR(TAB_OFICINAS[[#This Row],[Valor Unit]]*TAB_OFICINAS[[#This Row],[Qtd pçs Enviadas]]," ")</f>
        <v>12</v>
      </c>
      <c r="W873" s="26">
        <v>46237</v>
      </c>
      <c r="X873" s="17" t="s">
        <v>6251</v>
      </c>
      <c r="Y873" s="27"/>
      <c r="Z8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4" spans="3:26" hidden="1">
      <c r="C874" s="28" t="s">
        <v>16</v>
      </c>
      <c r="D874" s="5">
        <v>2319</v>
      </c>
      <c r="E874" s="5">
        <v>23983</v>
      </c>
      <c r="F874" s="28" t="str">
        <f>IFERROR(VLOOKUP(TAB_OFICINAS[[#This Row],[Cliente]],LISTA_DE_CLIENTES[[Código]:[Nome Fantasia]],2,FALSE),"")</f>
        <v>TITRIZ MOVEIS E ACESSORIOS INFANTIS EIRELI</v>
      </c>
      <c r="G874" s="2" t="str">
        <f>IFERROR(VLOOKUP(TAB_OFICINAS[[#This Row],[Cliente]],LISTA_DE_CLIENTES[[Código]:[Nome Fantasia]],3,FALSE),"")</f>
        <v>BICHO PAPÃO ST JUSTI</v>
      </c>
      <c r="H874" s="51" t="s">
        <v>23962</v>
      </c>
      <c r="I874" s="28" t="s">
        <v>23709</v>
      </c>
      <c r="J874" s="91">
        <v>2</v>
      </c>
      <c r="K874" s="88">
        <v>46223</v>
      </c>
      <c r="L874" s="9">
        <v>2</v>
      </c>
      <c r="M874" s="6">
        <v>46238</v>
      </c>
      <c r="N874" s="6">
        <v>46226</v>
      </c>
      <c r="O874" s="23">
        <f>TAB_OFICINAS[[#This Row],[Data Retorno Produção]]-TAB_OFICINAS[[#This Row],[Data Prometida  Entrega]]</f>
        <v>-12</v>
      </c>
      <c r="P874" s="98" t="str">
        <f>IF(TAB_OFICINAS[[#This Row],[Dias Para Entrega]]&lt;=0,"Em dia","Dia de Atrasado")</f>
        <v>Em dia</v>
      </c>
      <c r="Q874" s="24">
        <f>IFERROR(TAB_OFICINAS[[#This Row],[Qtd pçs Enviadas]]-TAB_OFICINAS[[#This Row],[Qtd pçs Retornadas ]],"N/D ")</f>
        <v>0</v>
      </c>
      <c r="R874" s="24"/>
      <c r="S874" s="5">
        <v>3325</v>
      </c>
      <c r="T874" s="5">
        <v>57</v>
      </c>
      <c r="U874" s="11">
        <v>2.9</v>
      </c>
      <c r="V874" s="25">
        <f>IFERROR(TAB_OFICINAS[[#This Row],[Valor Unit]]*TAB_OFICINAS[[#This Row],[Qtd pçs Enviadas]]," ")</f>
        <v>5.8</v>
      </c>
      <c r="W874" s="26">
        <v>46237</v>
      </c>
      <c r="X874" s="17" t="s">
        <v>6251</v>
      </c>
      <c r="Y874" s="27"/>
      <c r="Z8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5" spans="3:26" hidden="1">
      <c r="C875" s="28" t="s">
        <v>16</v>
      </c>
      <c r="D875" s="5">
        <v>2319</v>
      </c>
      <c r="E875" s="5">
        <v>23983</v>
      </c>
      <c r="F875" s="28" t="str">
        <f>IFERROR(VLOOKUP(TAB_OFICINAS[[#This Row],[Cliente]],LISTA_DE_CLIENTES[[Código]:[Nome Fantasia]],2,FALSE),"")</f>
        <v>TITRIZ MOVEIS E ACESSORIOS INFANTIS EIRELI</v>
      </c>
      <c r="G875" s="2" t="str">
        <f>IFERROR(VLOOKUP(TAB_OFICINAS[[#This Row],[Cliente]],LISTA_DE_CLIENTES[[Código]:[Nome Fantasia]],3,FALSE),"")</f>
        <v>BICHO PAPÃO ST JUSTI</v>
      </c>
      <c r="H875" s="51" t="s">
        <v>23962</v>
      </c>
      <c r="I875" s="28" t="s">
        <v>23710</v>
      </c>
      <c r="J875" s="91">
        <v>3</v>
      </c>
      <c r="K875" s="88">
        <v>46223</v>
      </c>
      <c r="L875" s="9">
        <v>3</v>
      </c>
      <c r="M875" s="6">
        <v>46238</v>
      </c>
      <c r="N875" s="6">
        <v>46226</v>
      </c>
      <c r="O875" s="23">
        <f>TAB_OFICINAS[[#This Row],[Data Retorno Produção]]-TAB_OFICINAS[[#This Row],[Data Prometida  Entrega]]</f>
        <v>-12</v>
      </c>
      <c r="P875" s="98" t="str">
        <f>IF(TAB_OFICINAS[[#This Row],[Dias Para Entrega]]&lt;=0,"Em dia","Dia de Atrasado")</f>
        <v>Em dia</v>
      </c>
      <c r="Q875" s="24">
        <f>IFERROR(TAB_OFICINAS[[#This Row],[Qtd pçs Enviadas]]-TAB_OFICINAS[[#This Row],[Qtd pçs Retornadas ]],"N/D ")</f>
        <v>0</v>
      </c>
      <c r="R875" s="24"/>
      <c r="S875" s="5">
        <v>3325</v>
      </c>
      <c r="T875" s="5">
        <v>57</v>
      </c>
      <c r="U875" s="11">
        <v>6</v>
      </c>
      <c r="V875" s="25">
        <f>IFERROR(TAB_OFICINAS[[#This Row],[Valor Unit]]*TAB_OFICINAS[[#This Row],[Qtd pçs Enviadas]]," ")</f>
        <v>18</v>
      </c>
      <c r="W875" s="26">
        <v>46237</v>
      </c>
      <c r="X875" s="17" t="s">
        <v>6251</v>
      </c>
      <c r="Y875" s="27"/>
      <c r="Z8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6" spans="3:26" hidden="1">
      <c r="C876" s="28" t="s">
        <v>16</v>
      </c>
      <c r="D876" s="5">
        <v>2319</v>
      </c>
      <c r="E876" s="5">
        <v>23983</v>
      </c>
      <c r="F876" s="28" t="str">
        <f>IFERROR(VLOOKUP(TAB_OFICINAS[[#This Row],[Cliente]],LISTA_DE_CLIENTES[[Código]:[Nome Fantasia]],2,FALSE),"")</f>
        <v>TITRIZ MOVEIS E ACESSORIOS INFANTIS EIRELI</v>
      </c>
      <c r="G876" s="2" t="str">
        <f>IFERROR(VLOOKUP(TAB_OFICINAS[[#This Row],[Cliente]],LISTA_DE_CLIENTES[[Código]:[Nome Fantasia]],3,FALSE),"")</f>
        <v>BICHO PAPÃO ST JUSTI</v>
      </c>
      <c r="H876" s="51" t="s">
        <v>23962</v>
      </c>
      <c r="I876" s="28" t="s">
        <v>23711</v>
      </c>
      <c r="J876" s="91">
        <v>3</v>
      </c>
      <c r="K876" s="88">
        <v>46223</v>
      </c>
      <c r="L876" s="9">
        <v>3</v>
      </c>
      <c r="M876" s="6">
        <v>46238</v>
      </c>
      <c r="N876" s="6">
        <v>46226</v>
      </c>
      <c r="O876" s="23">
        <f>TAB_OFICINAS[[#This Row],[Data Retorno Produção]]-TAB_OFICINAS[[#This Row],[Data Prometida  Entrega]]</f>
        <v>-12</v>
      </c>
      <c r="P876" s="98" t="str">
        <f>IF(TAB_OFICINAS[[#This Row],[Dias Para Entrega]]&lt;=0,"Em dia","Dia de Atrasado")</f>
        <v>Em dia</v>
      </c>
      <c r="Q876" s="24">
        <f>IFERROR(TAB_OFICINAS[[#This Row],[Qtd pçs Enviadas]]-TAB_OFICINAS[[#This Row],[Qtd pçs Retornadas ]],"N/D ")</f>
        <v>0</v>
      </c>
      <c r="R876" s="24"/>
      <c r="S876" s="5">
        <v>3325</v>
      </c>
      <c r="T876" s="5">
        <v>57</v>
      </c>
      <c r="U876" s="11">
        <v>2.9</v>
      </c>
      <c r="V876" s="25">
        <f>IFERROR(TAB_OFICINAS[[#This Row],[Valor Unit]]*TAB_OFICINAS[[#This Row],[Qtd pçs Enviadas]]," ")</f>
        <v>8.6999999999999993</v>
      </c>
      <c r="W876" s="26">
        <v>46237</v>
      </c>
      <c r="X876" s="17" t="s">
        <v>6251</v>
      </c>
      <c r="Y876" s="27"/>
      <c r="Z8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7" spans="3:26" hidden="1">
      <c r="C877" s="28" t="s">
        <v>16</v>
      </c>
      <c r="D877" s="5">
        <v>2319</v>
      </c>
      <c r="E877" s="5">
        <v>23983</v>
      </c>
      <c r="F877" s="28" t="str">
        <f>IFERROR(VLOOKUP(TAB_OFICINAS[[#This Row],[Cliente]],LISTA_DE_CLIENTES[[Código]:[Nome Fantasia]],2,FALSE),"")</f>
        <v>TITRIZ MOVEIS E ACESSORIOS INFANTIS EIRELI</v>
      </c>
      <c r="G877" s="2" t="str">
        <f>IFERROR(VLOOKUP(TAB_OFICINAS[[#This Row],[Cliente]],LISTA_DE_CLIENTES[[Código]:[Nome Fantasia]],3,FALSE),"")</f>
        <v>BICHO PAPÃO ST JUSTI</v>
      </c>
      <c r="H877" s="51" t="s">
        <v>23962</v>
      </c>
      <c r="I877" s="28" t="s">
        <v>23712</v>
      </c>
      <c r="J877" s="91">
        <v>1</v>
      </c>
      <c r="K877" s="88">
        <v>46223</v>
      </c>
      <c r="L877" s="9">
        <v>1</v>
      </c>
      <c r="M877" s="6">
        <v>46238</v>
      </c>
      <c r="N877" s="6">
        <v>46226</v>
      </c>
      <c r="O877" s="23">
        <f>TAB_OFICINAS[[#This Row],[Data Retorno Produção]]-TAB_OFICINAS[[#This Row],[Data Prometida  Entrega]]</f>
        <v>-12</v>
      </c>
      <c r="P877" s="98" t="str">
        <f>IF(TAB_OFICINAS[[#This Row],[Dias Para Entrega]]&lt;=0,"Em dia","Dia de Atrasado")</f>
        <v>Em dia</v>
      </c>
      <c r="Q877" s="24">
        <f>IFERROR(TAB_OFICINAS[[#This Row],[Qtd pçs Enviadas]]-TAB_OFICINAS[[#This Row],[Qtd pçs Retornadas ]],"N/D ")</f>
        <v>0</v>
      </c>
      <c r="R877" s="24"/>
      <c r="S877" s="5">
        <v>3325</v>
      </c>
      <c r="T877" s="5">
        <v>57</v>
      </c>
      <c r="U877" s="11">
        <v>6</v>
      </c>
      <c r="V877" s="25">
        <f>IFERROR(TAB_OFICINAS[[#This Row],[Valor Unit]]*TAB_OFICINAS[[#This Row],[Qtd pçs Enviadas]]," ")</f>
        <v>6</v>
      </c>
      <c r="W877" s="26">
        <v>46237</v>
      </c>
      <c r="X877" s="17" t="s">
        <v>6251</v>
      </c>
      <c r="Y877" s="27"/>
      <c r="Z8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8" spans="3:26" hidden="1">
      <c r="C878" s="28" t="s">
        <v>16</v>
      </c>
      <c r="D878" s="5">
        <v>2319</v>
      </c>
      <c r="E878" s="5">
        <v>23983</v>
      </c>
      <c r="F878" s="28" t="str">
        <f>IFERROR(VLOOKUP(TAB_OFICINAS[[#This Row],[Cliente]],LISTA_DE_CLIENTES[[Código]:[Nome Fantasia]],2,FALSE),"")</f>
        <v>TITRIZ MOVEIS E ACESSORIOS INFANTIS EIRELI</v>
      </c>
      <c r="G878" s="2" t="str">
        <f>IFERROR(VLOOKUP(TAB_OFICINAS[[#This Row],[Cliente]],LISTA_DE_CLIENTES[[Código]:[Nome Fantasia]],3,FALSE),"")</f>
        <v>BICHO PAPÃO ST JUSTI</v>
      </c>
      <c r="H878" s="51" t="s">
        <v>23962</v>
      </c>
      <c r="I878" s="28" t="s">
        <v>23713</v>
      </c>
      <c r="J878" s="91">
        <v>1</v>
      </c>
      <c r="K878" s="88">
        <v>46223</v>
      </c>
      <c r="L878" s="9">
        <v>1</v>
      </c>
      <c r="M878" s="6">
        <v>46238</v>
      </c>
      <c r="N878" s="6">
        <v>46226</v>
      </c>
      <c r="O878" s="23">
        <f>TAB_OFICINAS[[#This Row],[Data Retorno Produção]]-TAB_OFICINAS[[#This Row],[Data Prometida  Entrega]]</f>
        <v>-12</v>
      </c>
      <c r="P878" s="98" t="str">
        <f>IF(TAB_OFICINAS[[#This Row],[Dias Para Entrega]]&lt;=0,"Em dia","Dia de Atrasado")</f>
        <v>Em dia</v>
      </c>
      <c r="Q878" s="24">
        <f>IFERROR(TAB_OFICINAS[[#This Row],[Qtd pçs Enviadas]]-TAB_OFICINAS[[#This Row],[Qtd pçs Retornadas ]],"N/D ")</f>
        <v>0</v>
      </c>
      <c r="R878" s="24"/>
      <c r="S878" s="5">
        <v>3325</v>
      </c>
      <c r="T878" s="5">
        <v>57</v>
      </c>
      <c r="U878" s="11">
        <v>2.9</v>
      </c>
      <c r="V878" s="25">
        <f>IFERROR(TAB_OFICINAS[[#This Row],[Valor Unit]]*TAB_OFICINAS[[#This Row],[Qtd pçs Enviadas]]," ")</f>
        <v>2.9</v>
      </c>
      <c r="W878" s="26">
        <v>46237</v>
      </c>
      <c r="X878" s="17" t="s">
        <v>6251</v>
      </c>
      <c r="Y878" s="27"/>
      <c r="Z8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79" spans="3:26" hidden="1">
      <c r="C879" s="28" t="s">
        <v>16</v>
      </c>
      <c r="D879" s="5">
        <v>2319</v>
      </c>
      <c r="E879" s="5">
        <v>23983</v>
      </c>
      <c r="F879" s="28" t="str">
        <f>IFERROR(VLOOKUP(TAB_OFICINAS[[#This Row],[Cliente]],LISTA_DE_CLIENTES[[Código]:[Nome Fantasia]],2,FALSE),"")</f>
        <v>TITRIZ MOVEIS E ACESSORIOS INFANTIS EIRELI</v>
      </c>
      <c r="G879" s="2" t="str">
        <f>IFERROR(VLOOKUP(TAB_OFICINAS[[#This Row],[Cliente]],LISTA_DE_CLIENTES[[Código]:[Nome Fantasia]],3,FALSE),"")</f>
        <v>BICHO PAPÃO ST JUSTI</v>
      </c>
      <c r="H879" s="51" t="s">
        <v>23962</v>
      </c>
      <c r="I879" s="28" t="s">
        <v>23714</v>
      </c>
      <c r="J879" s="91">
        <v>4</v>
      </c>
      <c r="K879" s="88">
        <v>46223</v>
      </c>
      <c r="L879" s="9">
        <v>4</v>
      </c>
      <c r="M879" s="6">
        <v>46238</v>
      </c>
      <c r="N879" s="6">
        <v>46226</v>
      </c>
      <c r="O879" s="23">
        <f>TAB_OFICINAS[[#This Row],[Data Retorno Produção]]-TAB_OFICINAS[[#This Row],[Data Prometida  Entrega]]</f>
        <v>-12</v>
      </c>
      <c r="P879" s="98" t="str">
        <f>IF(TAB_OFICINAS[[#This Row],[Dias Para Entrega]]&lt;=0,"Em dia","Dia de Atrasado")</f>
        <v>Em dia</v>
      </c>
      <c r="Q879" s="24">
        <f>IFERROR(TAB_OFICINAS[[#This Row],[Qtd pçs Enviadas]]-TAB_OFICINAS[[#This Row],[Qtd pçs Retornadas ]],"N/D ")</f>
        <v>0</v>
      </c>
      <c r="R879" s="24"/>
      <c r="S879" s="5">
        <v>3325</v>
      </c>
      <c r="T879" s="5">
        <v>57</v>
      </c>
      <c r="U879" s="11">
        <v>6</v>
      </c>
      <c r="V879" s="25">
        <f>IFERROR(TAB_OFICINAS[[#This Row],[Valor Unit]]*TAB_OFICINAS[[#This Row],[Qtd pçs Enviadas]]," ")</f>
        <v>24</v>
      </c>
      <c r="W879" s="26">
        <v>46237</v>
      </c>
      <c r="X879" s="17" t="s">
        <v>6251</v>
      </c>
      <c r="Y879" s="27"/>
      <c r="Z8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0" spans="3:26" hidden="1">
      <c r="C880" s="28" t="s">
        <v>16</v>
      </c>
      <c r="D880" s="5">
        <v>2319</v>
      </c>
      <c r="E880" s="5">
        <v>23983</v>
      </c>
      <c r="F880" s="28" t="str">
        <f>IFERROR(VLOOKUP(TAB_OFICINAS[[#This Row],[Cliente]],LISTA_DE_CLIENTES[[Código]:[Nome Fantasia]],2,FALSE),"")</f>
        <v>TITRIZ MOVEIS E ACESSORIOS INFANTIS EIRELI</v>
      </c>
      <c r="G880" s="2" t="str">
        <f>IFERROR(VLOOKUP(TAB_OFICINAS[[#This Row],[Cliente]],LISTA_DE_CLIENTES[[Código]:[Nome Fantasia]],3,FALSE),"")</f>
        <v>BICHO PAPÃO ST JUSTI</v>
      </c>
      <c r="H880" s="51" t="s">
        <v>23962</v>
      </c>
      <c r="I880" s="28" t="s">
        <v>23715</v>
      </c>
      <c r="J880" s="91">
        <v>4</v>
      </c>
      <c r="K880" s="88">
        <v>46223</v>
      </c>
      <c r="L880" s="9">
        <v>4</v>
      </c>
      <c r="M880" s="6">
        <v>46238</v>
      </c>
      <c r="N880" s="6">
        <v>46226</v>
      </c>
      <c r="O880" s="23">
        <f>TAB_OFICINAS[[#This Row],[Data Retorno Produção]]-TAB_OFICINAS[[#This Row],[Data Prometida  Entrega]]</f>
        <v>-12</v>
      </c>
      <c r="P880" s="98" t="str">
        <f>IF(TAB_OFICINAS[[#This Row],[Dias Para Entrega]]&lt;=0,"Em dia","Dia de Atrasado")</f>
        <v>Em dia</v>
      </c>
      <c r="Q880" s="24">
        <f>IFERROR(TAB_OFICINAS[[#This Row],[Qtd pçs Enviadas]]-TAB_OFICINAS[[#This Row],[Qtd pçs Retornadas ]],"N/D ")</f>
        <v>0</v>
      </c>
      <c r="R880" s="24"/>
      <c r="S880" s="5">
        <v>3325</v>
      </c>
      <c r="T880" s="5">
        <v>57</v>
      </c>
      <c r="U880" s="11">
        <v>2.9</v>
      </c>
      <c r="V880" s="25">
        <f>IFERROR(TAB_OFICINAS[[#This Row],[Valor Unit]]*TAB_OFICINAS[[#This Row],[Qtd pçs Enviadas]]," ")</f>
        <v>11.6</v>
      </c>
      <c r="W880" s="26">
        <v>46237</v>
      </c>
      <c r="X880" s="17" t="s">
        <v>6251</v>
      </c>
      <c r="Y880" s="27"/>
      <c r="Z8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1" spans="3:26" hidden="1">
      <c r="C881" s="28" t="s">
        <v>16</v>
      </c>
      <c r="D881" s="5">
        <v>2319</v>
      </c>
      <c r="E881" s="5">
        <v>23983</v>
      </c>
      <c r="F881" s="28" t="str">
        <f>IFERROR(VLOOKUP(TAB_OFICINAS[[#This Row],[Cliente]],LISTA_DE_CLIENTES[[Código]:[Nome Fantasia]],2,FALSE),"")</f>
        <v>TITRIZ MOVEIS E ACESSORIOS INFANTIS EIRELI</v>
      </c>
      <c r="G881" s="2" t="str">
        <f>IFERROR(VLOOKUP(TAB_OFICINAS[[#This Row],[Cliente]],LISTA_DE_CLIENTES[[Código]:[Nome Fantasia]],3,FALSE),"")</f>
        <v>BICHO PAPÃO ST JUSTI</v>
      </c>
      <c r="H881" s="51" t="s">
        <v>23962</v>
      </c>
      <c r="I881" s="28" t="s">
        <v>23716</v>
      </c>
      <c r="J881" s="91">
        <v>1</v>
      </c>
      <c r="K881" s="88">
        <v>46223</v>
      </c>
      <c r="L881" s="9">
        <v>1</v>
      </c>
      <c r="M881" s="6">
        <v>46238</v>
      </c>
      <c r="N881" s="6">
        <v>46226</v>
      </c>
      <c r="O881" s="23">
        <f>TAB_OFICINAS[[#This Row],[Data Retorno Produção]]-TAB_OFICINAS[[#This Row],[Data Prometida  Entrega]]</f>
        <v>-12</v>
      </c>
      <c r="P881" s="98" t="str">
        <f>IF(TAB_OFICINAS[[#This Row],[Dias Para Entrega]]&lt;=0,"Em dia","Dia de Atrasado")</f>
        <v>Em dia</v>
      </c>
      <c r="Q881" s="24">
        <f>IFERROR(TAB_OFICINAS[[#This Row],[Qtd pçs Enviadas]]-TAB_OFICINAS[[#This Row],[Qtd pçs Retornadas ]],"N/D ")</f>
        <v>0</v>
      </c>
      <c r="R881" s="24"/>
      <c r="S881" s="5">
        <v>3325</v>
      </c>
      <c r="T881" s="5">
        <v>57</v>
      </c>
      <c r="U881" s="11">
        <v>6</v>
      </c>
      <c r="V881" s="25">
        <f>IFERROR(TAB_OFICINAS[[#This Row],[Valor Unit]]*TAB_OFICINAS[[#This Row],[Qtd pçs Enviadas]]," ")</f>
        <v>6</v>
      </c>
      <c r="W881" s="26">
        <v>46237</v>
      </c>
      <c r="X881" s="17" t="s">
        <v>6251</v>
      </c>
      <c r="Y881" s="27"/>
      <c r="Z8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2" spans="3:26" hidden="1">
      <c r="C882" s="28" t="s">
        <v>16</v>
      </c>
      <c r="D882" s="5">
        <v>2319</v>
      </c>
      <c r="E882" s="5">
        <v>23983</v>
      </c>
      <c r="F882" s="28" t="str">
        <f>IFERROR(VLOOKUP(TAB_OFICINAS[[#This Row],[Cliente]],LISTA_DE_CLIENTES[[Código]:[Nome Fantasia]],2,FALSE),"")</f>
        <v>TITRIZ MOVEIS E ACESSORIOS INFANTIS EIRELI</v>
      </c>
      <c r="G882" s="2" t="str">
        <f>IFERROR(VLOOKUP(TAB_OFICINAS[[#This Row],[Cliente]],LISTA_DE_CLIENTES[[Código]:[Nome Fantasia]],3,FALSE),"")</f>
        <v>BICHO PAPÃO ST JUSTI</v>
      </c>
      <c r="H882" s="51" t="s">
        <v>23962</v>
      </c>
      <c r="I882" s="28" t="s">
        <v>23717</v>
      </c>
      <c r="J882" s="91">
        <v>1</v>
      </c>
      <c r="K882" s="88">
        <v>46223</v>
      </c>
      <c r="L882" s="9">
        <v>1</v>
      </c>
      <c r="M882" s="6">
        <v>46238</v>
      </c>
      <c r="N882" s="6">
        <v>46226</v>
      </c>
      <c r="O882" s="23">
        <f>TAB_OFICINAS[[#This Row],[Data Retorno Produção]]-TAB_OFICINAS[[#This Row],[Data Prometida  Entrega]]</f>
        <v>-12</v>
      </c>
      <c r="P882" s="98" t="str">
        <f>IF(TAB_OFICINAS[[#This Row],[Dias Para Entrega]]&lt;=0,"Em dia","Dia de Atrasado")</f>
        <v>Em dia</v>
      </c>
      <c r="Q882" s="24">
        <f>IFERROR(TAB_OFICINAS[[#This Row],[Qtd pçs Enviadas]]-TAB_OFICINAS[[#This Row],[Qtd pçs Retornadas ]],"N/D ")</f>
        <v>0</v>
      </c>
      <c r="R882" s="24"/>
      <c r="S882" s="5">
        <v>3325</v>
      </c>
      <c r="T882" s="5">
        <v>57</v>
      </c>
      <c r="U882" s="11">
        <v>2.9</v>
      </c>
      <c r="V882" s="25">
        <f>IFERROR(TAB_OFICINAS[[#This Row],[Valor Unit]]*TAB_OFICINAS[[#This Row],[Qtd pçs Enviadas]]," ")</f>
        <v>2.9</v>
      </c>
      <c r="W882" s="26">
        <v>46237</v>
      </c>
      <c r="X882" s="17" t="s">
        <v>6251</v>
      </c>
      <c r="Y882" s="27"/>
      <c r="Z8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3" spans="3:26" hidden="1">
      <c r="C883" s="28" t="s">
        <v>16</v>
      </c>
      <c r="D883" s="5">
        <v>2319</v>
      </c>
      <c r="E883" s="5">
        <v>23983</v>
      </c>
      <c r="F883" s="28" t="str">
        <f>IFERROR(VLOOKUP(TAB_OFICINAS[[#This Row],[Cliente]],LISTA_DE_CLIENTES[[Código]:[Nome Fantasia]],2,FALSE),"")</f>
        <v>TITRIZ MOVEIS E ACESSORIOS INFANTIS EIRELI</v>
      </c>
      <c r="G883" s="2" t="str">
        <f>IFERROR(VLOOKUP(TAB_OFICINAS[[#This Row],[Cliente]],LISTA_DE_CLIENTES[[Código]:[Nome Fantasia]],3,FALSE),"")</f>
        <v>BICHO PAPÃO ST JUSTI</v>
      </c>
      <c r="H883" s="51" t="s">
        <v>23962</v>
      </c>
      <c r="I883" s="28" t="s">
        <v>23718</v>
      </c>
      <c r="J883" s="91">
        <v>4</v>
      </c>
      <c r="K883" s="88">
        <v>46223</v>
      </c>
      <c r="L883" s="9">
        <v>4</v>
      </c>
      <c r="M883" s="6">
        <v>46238</v>
      </c>
      <c r="N883" s="6">
        <v>46226</v>
      </c>
      <c r="O883" s="23">
        <f>TAB_OFICINAS[[#This Row],[Data Retorno Produção]]-TAB_OFICINAS[[#This Row],[Data Prometida  Entrega]]</f>
        <v>-12</v>
      </c>
      <c r="P883" s="98" t="str">
        <f>IF(TAB_OFICINAS[[#This Row],[Dias Para Entrega]]&lt;=0,"Em dia","Dia de Atrasado")</f>
        <v>Em dia</v>
      </c>
      <c r="Q883" s="24">
        <f>IFERROR(TAB_OFICINAS[[#This Row],[Qtd pçs Enviadas]]-TAB_OFICINAS[[#This Row],[Qtd pçs Retornadas ]],"N/D ")</f>
        <v>0</v>
      </c>
      <c r="R883" s="24"/>
      <c r="S883" s="5">
        <v>3325</v>
      </c>
      <c r="T883" s="5">
        <v>57</v>
      </c>
      <c r="U883" s="11">
        <v>6</v>
      </c>
      <c r="V883" s="25">
        <f>IFERROR(TAB_OFICINAS[[#This Row],[Valor Unit]]*TAB_OFICINAS[[#This Row],[Qtd pçs Enviadas]]," ")</f>
        <v>24</v>
      </c>
      <c r="W883" s="26">
        <v>46237</v>
      </c>
      <c r="X883" s="17" t="s">
        <v>6251</v>
      </c>
      <c r="Y883" s="27"/>
      <c r="Z8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4" spans="3:26" hidden="1">
      <c r="C884" s="28" t="s">
        <v>16</v>
      </c>
      <c r="D884" s="5">
        <v>2319</v>
      </c>
      <c r="E884" s="5">
        <v>23983</v>
      </c>
      <c r="F884" s="28" t="str">
        <f>IFERROR(VLOOKUP(TAB_OFICINAS[[#This Row],[Cliente]],LISTA_DE_CLIENTES[[Código]:[Nome Fantasia]],2,FALSE),"")</f>
        <v>TITRIZ MOVEIS E ACESSORIOS INFANTIS EIRELI</v>
      </c>
      <c r="G884" s="2" t="str">
        <f>IFERROR(VLOOKUP(TAB_OFICINAS[[#This Row],[Cliente]],LISTA_DE_CLIENTES[[Código]:[Nome Fantasia]],3,FALSE),"")</f>
        <v>BICHO PAPÃO ST JUSTI</v>
      </c>
      <c r="H884" s="51" t="s">
        <v>23962</v>
      </c>
      <c r="I884" s="28" t="s">
        <v>23719</v>
      </c>
      <c r="J884" s="91">
        <v>4</v>
      </c>
      <c r="K884" s="88">
        <v>46223</v>
      </c>
      <c r="L884" s="9">
        <v>4</v>
      </c>
      <c r="M884" s="6">
        <v>46238</v>
      </c>
      <c r="N884" s="6">
        <v>46226</v>
      </c>
      <c r="O884" s="23">
        <f>TAB_OFICINAS[[#This Row],[Data Retorno Produção]]-TAB_OFICINAS[[#This Row],[Data Prometida  Entrega]]</f>
        <v>-12</v>
      </c>
      <c r="P884" s="98" t="str">
        <f>IF(TAB_OFICINAS[[#This Row],[Dias Para Entrega]]&lt;=0,"Em dia","Dia de Atrasado")</f>
        <v>Em dia</v>
      </c>
      <c r="Q884" s="24">
        <f>IFERROR(TAB_OFICINAS[[#This Row],[Qtd pçs Enviadas]]-TAB_OFICINAS[[#This Row],[Qtd pçs Retornadas ]],"N/D ")</f>
        <v>0</v>
      </c>
      <c r="R884" s="24"/>
      <c r="S884" s="5">
        <v>3325</v>
      </c>
      <c r="T884" s="5">
        <v>57</v>
      </c>
      <c r="U884" s="11">
        <v>2.9</v>
      </c>
      <c r="V884" s="25">
        <f>IFERROR(TAB_OFICINAS[[#This Row],[Valor Unit]]*TAB_OFICINAS[[#This Row],[Qtd pçs Enviadas]]," ")</f>
        <v>11.6</v>
      </c>
      <c r="W884" s="26">
        <v>46237</v>
      </c>
      <c r="X884" s="17" t="s">
        <v>6251</v>
      </c>
      <c r="Y884" s="27"/>
      <c r="Z8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5" spans="3:26" hidden="1">
      <c r="C885" s="28" t="s">
        <v>16</v>
      </c>
      <c r="D885" s="5">
        <v>1973</v>
      </c>
      <c r="E885" s="5">
        <v>23996</v>
      </c>
      <c r="F885" s="28" t="str">
        <f>IFERROR(VLOOKUP(TAB_OFICINAS[[#This Row],[Cliente]],LISTA_DE_CLIENTES[[Código]:[Nome Fantasia]],2,FALSE),"")</f>
        <v>L.E.B.S.P.E. EMPREENDIMENTOS E PARTICIPACOES LTDA.</v>
      </c>
      <c r="G885" s="2" t="str">
        <f>IFERROR(VLOOKUP(TAB_OFICINAS[[#This Row],[Cliente]],LISTA_DE_CLIENTES[[Código]:[Nome Fantasia]],3,FALSE),"")</f>
        <v>GRAND MERCURE ITAIM</v>
      </c>
      <c r="H885" s="51">
        <v>2104034419</v>
      </c>
      <c r="I885" s="28" t="str">
        <f>IFERROR(VLOOKUP(TAB_OFICINAS[[#This Row],[Codigo Produto ]],_000___PEDIDOS_DE_CLIENTES[[Data.Column2]:[Descrição Produto]],2,FALSE)," ")</f>
        <v>FRONHA 2 ABAS 5cm CLASSIC - 230F MISTO - 0,50 X 0,70</v>
      </c>
      <c r="J885" s="91">
        <v>1000</v>
      </c>
      <c r="K885" s="88">
        <v>46226</v>
      </c>
      <c r="L885" s="9">
        <v>1000</v>
      </c>
      <c r="M885" s="6">
        <v>46248</v>
      </c>
      <c r="N885" s="6">
        <v>46241</v>
      </c>
      <c r="O885" s="23">
        <f>TAB_OFICINAS[[#This Row],[Data Retorno Produção]]-TAB_OFICINAS[[#This Row],[Data Prometida  Entrega]]</f>
        <v>-7</v>
      </c>
      <c r="P885" s="98" t="str">
        <f>IF(TAB_OFICINAS[[#This Row],[Dias Para Entrega]]&lt;=0,"Em dia","Dia de Atrasado")</f>
        <v>Em dia</v>
      </c>
      <c r="Q885" s="24">
        <f>IFERROR(TAB_OFICINAS[[#This Row],[Qtd pçs Enviadas]]-TAB_OFICINAS[[#This Row],[Qtd pçs Retornadas ]],"N/D ")</f>
        <v>0</v>
      </c>
      <c r="R885" s="24">
        <v>0</v>
      </c>
      <c r="S885" s="5">
        <v>943</v>
      </c>
      <c r="T885" s="5">
        <v>58</v>
      </c>
      <c r="U885" s="11">
        <v>4.0999999999999996</v>
      </c>
      <c r="V885" s="25">
        <f>IFERROR(TAB_OFICINAS[[#This Row],[Valor Unit]]*TAB_OFICINAS[[#This Row],[Qtd pçs Enviadas]]," ")</f>
        <v>4100</v>
      </c>
      <c r="W885" s="26">
        <v>46251</v>
      </c>
      <c r="X885" s="17" t="s">
        <v>6251</v>
      </c>
      <c r="Y885" s="27"/>
      <c r="Z8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6" spans="3:26" hidden="1">
      <c r="C886" s="28" t="s">
        <v>20</v>
      </c>
      <c r="D886" s="5">
        <v>1973</v>
      </c>
      <c r="E886" s="5">
        <v>23996</v>
      </c>
      <c r="F886" s="28" t="str">
        <f>IFERROR(VLOOKUP(TAB_OFICINAS[[#This Row],[Cliente]],LISTA_DE_CLIENTES[[Código]:[Nome Fantasia]],2,FALSE),"")</f>
        <v>L.E.B.S.P.E. EMPREENDIMENTOS E PARTICIPACOES LTDA.</v>
      </c>
      <c r="G886" s="2" t="str">
        <f>IFERROR(VLOOKUP(TAB_OFICINAS[[#This Row],[Cliente]],LISTA_DE_CLIENTES[[Código]:[Nome Fantasia]],3,FALSE),"")</f>
        <v>GRAND MERCURE ITAIM</v>
      </c>
      <c r="H886" s="51">
        <v>2101046053</v>
      </c>
      <c r="I886" s="28" t="str">
        <f>IFERROR(VLOOKUP(TAB_OFICINAS[[#This Row],[Codigo Produto ]],_000___PEDIDOS_DE_CLIENTES[[Data.Column2]:[Descrição Produto]],2,FALSE)," ")</f>
        <v>LENÇOL BARRA ESTREITA 4 LADOS - 230F MISTO - 2,80 X 3,00 - COSTURA VERDE PARA IDENTIFICAÇÃO</v>
      </c>
      <c r="J886" s="91">
        <v>149</v>
      </c>
      <c r="K886" s="88">
        <v>46226</v>
      </c>
      <c r="L886" s="9">
        <v>149</v>
      </c>
      <c r="M886" s="6">
        <v>46239</v>
      </c>
      <c r="N886" s="6">
        <v>46232</v>
      </c>
      <c r="O886" s="23">
        <f>TAB_OFICINAS[[#This Row],[Data Retorno Produção]]-TAB_OFICINAS[[#This Row],[Data Prometida  Entrega]]</f>
        <v>-7</v>
      </c>
      <c r="P886" s="98" t="str">
        <f>IF(TAB_OFICINAS[[#This Row],[Dias Para Entrega]]&lt;=0,"Em dia","Dia de Atrasado")</f>
        <v>Em dia</v>
      </c>
      <c r="Q886" s="24">
        <f>IFERROR(TAB_OFICINAS[[#This Row],[Qtd pçs Enviadas]]-TAB_OFICINAS[[#This Row],[Qtd pçs Retornadas ]],"N/D ")</f>
        <v>0</v>
      </c>
      <c r="R886" s="24"/>
      <c r="S886" s="5">
        <v>944</v>
      </c>
      <c r="T886" s="5">
        <v>93</v>
      </c>
      <c r="U886" s="11">
        <v>7.5</v>
      </c>
      <c r="V886" s="25">
        <f>IFERROR(TAB_OFICINAS[[#This Row],[Valor Unit]]*TAB_OFICINAS[[#This Row],[Qtd pçs Enviadas]]," ")</f>
        <v>1117.5</v>
      </c>
      <c r="W886" s="26">
        <v>46241</v>
      </c>
      <c r="X886" s="17" t="s">
        <v>6251</v>
      </c>
      <c r="Y886" s="27"/>
      <c r="Z8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87" spans="3:26" hidden="1">
      <c r="C887" s="28" t="s">
        <v>9</v>
      </c>
      <c r="D887" s="5">
        <v>5645</v>
      </c>
      <c r="E887" s="5">
        <v>23888</v>
      </c>
      <c r="F887" s="28" t="str">
        <f>IFERROR(VLOOKUP(TAB_OFICINAS[[#This Row],[Cliente]],LISTA_DE_CLIENTES[[Código]:[Nome Fantasia]],2,FALSE),"")</f>
        <v>HCC HOTELS GESTAO HOTELEIRA SA</v>
      </c>
      <c r="G887" s="2" t="str">
        <f>IFERROR(VLOOKUP(TAB_OFICINAS[[#This Row],[Cliente]],LISTA_DE_CLIENTES[[Código]:[Nome Fantasia]],3,FALSE),"")</f>
        <v>CASA COSTA</v>
      </c>
      <c r="H887" s="51">
        <v>3301093860</v>
      </c>
      <c r="I887" s="28" t="str">
        <f>IFERROR(VLOOKUP(TAB_OFICINAS[[#This Row],[Codigo Produto ]],_000___PEDIDOS_DE_CLIENTES[[Data.Column2]:[Descrição Produto]],2,FALSE)," ")</f>
        <v>ROUPÃO FELPA CARAMELO BORDADO ESCRITA CASA COSTA COR BEGE 5305 GG</v>
      </c>
      <c r="J887" s="91">
        <v>183</v>
      </c>
      <c r="K887" s="88">
        <v>46227</v>
      </c>
      <c r="M887" s="6">
        <v>46287</v>
      </c>
      <c r="N887" s="6">
        <f t="shared" ref="N887:N925" ca="1" si="2">TODAY()</f>
        <v>46315</v>
      </c>
      <c r="O887" s="23">
        <f ca="1">TAB_OFICINAS[[#This Row],[Data Retorno Produção]]-TAB_OFICINAS[[#This Row],[Data Prometida  Entrega]]</f>
        <v>28</v>
      </c>
      <c r="P887" s="98" t="str">
        <f ca="1">IF(TAB_OFICINAS[[#This Row],[Dias Para Entrega]]&lt;=0,"Em dia","Dia de Atrasado")</f>
        <v>Dia de Atrasado</v>
      </c>
      <c r="Q887" s="24">
        <f>IFERROR(TAB_OFICINAS[[#This Row],[Qtd pçs Enviadas]]-TAB_OFICINAS[[#This Row],[Qtd pçs Retornadas ]],"N/D ")</f>
        <v>183</v>
      </c>
      <c r="R887" s="24"/>
      <c r="S887" s="5">
        <v>3336</v>
      </c>
      <c r="U887" s="11">
        <v>16</v>
      </c>
      <c r="V887" s="25">
        <f>IFERROR(TAB_OFICINAS[[#This Row],[Valor Unit]]*TAB_OFICINAS[[#This Row],[Qtd pçs Enviadas]]," ")</f>
        <v>2928</v>
      </c>
      <c r="W887" s="26"/>
      <c r="X887" s="17" t="s">
        <v>6251</v>
      </c>
      <c r="Y887" s="27"/>
      <c r="Z887" s="90" t="str">
        <f>IF(TAB_OFICINAS[[#This Row],[Qtd pçs Enviadas]]=TAB_OFICINAS[[#This Row],[Qtd pçs Retornadas ]],"Produção Finalizada",TAB_OFICINAS[[#This Row],[Qtd pçs Pendetente ]] &amp; " " &amp; "Pçs Pendente")</f>
        <v>183 Pçs Pendente</v>
      </c>
    </row>
    <row r="888" spans="3:26" hidden="1">
      <c r="C888" s="28" t="s">
        <v>9</v>
      </c>
      <c r="D888" s="5">
        <v>5645</v>
      </c>
      <c r="E888" s="5">
        <v>23888</v>
      </c>
      <c r="F888" s="28" t="str">
        <f>IFERROR(VLOOKUP(TAB_OFICINAS[[#This Row],[Cliente]],LISTA_DE_CLIENTES[[Código]:[Nome Fantasia]],2,FALSE),"")</f>
        <v>HCC HOTELS GESTAO HOTELEIRA SA</v>
      </c>
      <c r="G888" s="2" t="str">
        <f>IFERROR(VLOOKUP(TAB_OFICINAS[[#This Row],[Cliente]],LISTA_DE_CLIENTES[[Código]:[Nome Fantasia]],3,FALSE),"")</f>
        <v>CASA COSTA</v>
      </c>
      <c r="H888" s="51">
        <v>3301091220</v>
      </c>
      <c r="I888" s="28" t="str">
        <f>IFERROR(VLOOKUP(TAB_OFICINAS[[#This Row],[Codigo Produto ]],_000___PEDIDOS_DE_CLIENTES[[Data.Column2]:[Descrição Produto]],2,FALSE)," ")</f>
        <v>ROUPÃO FELPA CARAMELO BORDADO ESCRITA CASA COSTA COR BEGE 5305 G</v>
      </c>
      <c r="J888" s="91">
        <v>184</v>
      </c>
      <c r="K888" s="88">
        <v>46227</v>
      </c>
      <c r="M888" s="6">
        <v>46287</v>
      </c>
      <c r="N888" s="6">
        <f t="shared" ca="1" si="2"/>
        <v>46315</v>
      </c>
      <c r="O888" s="23">
        <f ca="1">TAB_OFICINAS[[#This Row],[Data Retorno Produção]]-TAB_OFICINAS[[#This Row],[Data Prometida  Entrega]]</f>
        <v>28</v>
      </c>
      <c r="P888" s="98" t="str">
        <f ca="1">IF(TAB_OFICINAS[[#This Row],[Dias Para Entrega]]&lt;=0,"Em dia","Dia de Atrasado")</f>
        <v>Dia de Atrasado</v>
      </c>
      <c r="Q888" s="24">
        <f>IFERROR(TAB_OFICINAS[[#This Row],[Qtd pçs Enviadas]]-TAB_OFICINAS[[#This Row],[Qtd pçs Retornadas ]],"N/D ")</f>
        <v>184</v>
      </c>
      <c r="R888" s="24"/>
      <c r="S888" s="5">
        <v>3336</v>
      </c>
      <c r="U888" s="11">
        <v>16</v>
      </c>
      <c r="V888" s="25">
        <f>IFERROR(TAB_OFICINAS[[#This Row],[Valor Unit]]*TAB_OFICINAS[[#This Row],[Qtd pçs Enviadas]]," ")</f>
        <v>2944</v>
      </c>
      <c r="W888" s="26"/>
      <c r="X888" s="17" t="s">
        <v>6251</v>
      </c>
      <c r="Y888" s="27"/>
      <c r="Z888" s="90" t="str">
        <f>IF(TAB_OFICINAS[[#This Row],[Qtd pçs Enviadas]]=TAB_OFICINAS[[#This Row],[Qtd pçs Retornadas ]],"Produção Finalizada",TAB_OFICINAS[[#This Row],[Qtd pçs Pendetente ]] &amp; " " &amp; "Pçs Pendente")</f>
        <v>184 Pçs Pendente</v>
      </c>
    </row>
    <row r="889" spans="3:26" ht="42.75" hidden="1">
      <c r="C889" s="28" t="s">
        <v>15</v>
      </c>
      <c r="D889" s="5">
        <v>943</v>
      </c>
      <c r="E889" s="5">
        <v>23090</v>
      </c>
      <c r="F889" s="28" t="str">
        <f>IFERROR(VLOOKUP(TAB_OFICINAS[[#This Row],[Cliente]],LISTA_DE_CLIENTES[[Código]:[Nome Fantasia]],2,FALSE),"")</f>
        <v>REDE DOR SAO LUIZ S.A.</v>
      </c>
      <c r="G889" s="2" t="str">
        <f>IFERROR(VLOOKUP(TAB_OFICINAS[[#This Row],[Cliente]],LISTA_DE_CLIENTES[[Código]:[Nome Fantasia]],3,FALSE),"")</f>
        <v>HOSPITAL COPA STAR</v>
      </c>
      <c r="H889" s="51">
        <v>2101102488</v>
      </c>
      <c r="I889" s="28" t="str">
        <f>IFERROR(VLOOKUP(TAB_OFICINAS[[#This Row],[Codigo Produto ]],_000___PEDIDOS_DE_CLIENTES[[Data.Column2]:[Descrição Produto]],2,FALSE)," ")</f>
        <v>LENÇOL DE CMA BRANCO - 400F 100% ALGODÃO FESTONÊ E LOGO BORDADO COR ALABASTRO 07077 - 1,80 X 2,80</v>
      </c>
      <c r="J889" s="91">
        <v>503</v>
      </c>
      <c r="K889" s="88">
        <v>46227</v>
      </c>
      <c r="L889" s="9">
        <v>503</v>
      </c>
      <c r="M889" s="6">
        <v>46237</v>
      </c>
      <c r="N889" s="6">
        <v>46234</v>
      </c>
      <c r="O889" s="23">
        <f>TAB_OFICINAS[[#This Row],[Data Retorno Produção]]-TAB_OFICINAS[[#This Row],[Data Prometida  Entrega]]</f>
        <v>-3</v>
      </c>
      <c r="P889" s="98" t="str">
        <f>IF(TAB_OFICINAS[[#This Row],[Dias Para Entrega]]&lt;=0,"Em dia","Dia de Atrasado")</f>
        <v>Em dia</v>
      </c>
      <c r="Q889" s="24">
        <f>IFERROR(TAB_OFICINAS[[#This Row],[Qtd pçs Enviadas]]-TAB_OFICINAS[[#This Row],[Qtd pçs Retornadas ]],"N/D ")</f>
        <v>0</v>
      </c>
      <c r="R889" s="24">
        <v>1</v>
      </c>
      <c r="S889" s="5">
        <v>945</v>
      </c>
      <c r="T889" s="5">
        <v>17461</v>
      </c>
      <c r="U889" s="11">
        <v>3.85</v>
      </c>
      <c r="V889" s="25">
        <f>IFERROR(TAB_OFICINAS[[#This Row],[Valor Unit]]*TAB_OFICINAS[[#This Row],[Qtd pçs Enviadas]]," ")</f>
        <v>1936.55</v>
      </c>
      <c r="W889" s="26">
        <v>46241</v>
      </c>
      <c r="X889" s="17" t="s">
        <v>6251</v>
      </c>
      <c r="Y889" s="27" t="s">
        <v>23989</v>
      </c>
      <c r="Z8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0" spans="3:26" ht="85.5" hidden="1">
      <c r="C890" s="28" t="s">
        <v>19</v>
      </c>
      <c r="D890" s="5">
        <v>5391</v>
      </c>
      <c r="E890" s="5">
        <v>23881</v>
      </c>
      <c r="F890" s="28" t="str">
        <f>IFERROR(VLOOKUP(TAB_OFICINAS[[#This Row],[Cliente]],LISTA_DE_CLIENTES[[Código]:[Nome Fantasia]],2,FALSE),"")</f>
        <v>PACIFICO OPERACOES HOSPITALARES S.A</v>
      </c>
      <c r="G890" s="2" t="str">
        <f>IFERROR(VLOOKUP(TAB_OFICINAS[[#This Row],[Cliente]],LISTA_DE_CLIENTES[[Código]:[Nome Fantasia]],3,FALSE),"")</f>
        <v>MATERNIDADE SAO LUIZ</v>
      </c>
      <c r="H890" s="51">
        <v>3301084127</v>
      </c>
      <c r="I890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890" s="91">
        <v>40</v>
      </c>
      <c r="K890" s="88">
        <v>46230</v>
      </c>
      <c r="L890" s="9">
        <v>40</v>
      </c>
      <c r="M890" s="6">
        <v>46248</v>
      </c>
      <c r="N890" s="6">
        <v>46244</v>
      </c>
      <c r="O890" s="23">
        <f>TAB_OFICINAS[[#This Row],[Data Retorno Produção]]-TAB_OFICINAS[[#This Row],[Data Prometida  Entrega]]</f>
        <v>-4</v>
      </c>
      <c r="P890" s="98" t="str">
        <f>IF(TAB_OFICINAS[[#This Row],[Dias Para Entrega]]&lt;=0,"Em dia","Dia de Atrasado")</f>
        <v>Em dia</v>
      </c>
      <c r="Q890" s="24">
        <f>IFERROR(TAB_OFICINAS[[#This Row],[Qtd pçs Enviadas]]-TAB_OFICINAS[[#This Row],[Qtd pçs Retornadas ]],"N/D ")</f>
        <v>0</v>
      </c>
      <c r="R890" s="24">
        <v>5</v>
      </c>
      <c r="S890" s="5">
        <v>948</v>
      </c>
      <c r="T890" s="5">
        <v>58</v>
      </c>
      <c r="U890" s="11">
        <v>14</v>
      </c>
      <c r="V890" s="25">
        <f>IFERROR(TAB_OFICINAS[[#This Row],[Valor Unit]]*TAB_OFICINAS[[#This Row],[Qtd pçs Enviadas]]," ")</f>
        <v>560</v>
      </c>
      <c r="W890" s="26">
        <v>46254</v>
      </c>
      <c r="X890" s="17" t="s">
        <v>6251</v>
      </c>
      <c r="Y890" s="27" t="s">
        <v>24275</v>
      </c>
      <c r="Z89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1" spans="3:26" hidden="1">
      <c r="C891" s="28" t="s">
        <v>19</v>
      </c>
      <c r="D891" s="5">
        <v>5391</v>
      </c>
      <c r="E891" s="5">
        <v>23881</v>
      </c>
      <c r="F891" s="28" t="str">
        <f>IFERROR(VLOOKUP(TAB_OFICINAS[[#This Row],[Cliente]],LISTA_DE_CLIENTES[[Código]:[Nome Fantasia]],2,FALSE),"")</f>
        <v>PACIFICO OPERACOES HOSPITALARES S.A</v>
      </c>
      <c r="G891" s="2" t="str">
        <f>IFERROR(VLOOKUP(TAB_OFICINAS[[#This Row],[Cliente]],LISTA_DE_CLIENTES[[Código]:[Nome Fantasia]],3,FALSE),"")</f>
        <v>MATERNIDADE SAO LUIZ</v>
      </c>
      <c r="H891" s="51">
        <v>3301084164</v>
      </c>
      <c r="I891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891" s="91">
        <v>40</v>
      </c>
      <c r="K891" s="88">
        <v>46230</v>
      </c>
      <c r="L891" s="9">
        <v>40</v>
      </c>
      <c r="M891" s="6">
        <v>46248</v>
      </c>
      <c r="N891" s="6">
        <v>46244</v>
      </c>
      <c r="O891" s="23">
        <f>TAB_OFICINAS[[#This Row],[Data Retorno Produção]]-TAB_OFICINAS[[#This Row],[Data Prometida  Entrega]]</f>
        <v>-4</v>
      </c>
      <c r="P891" s="98" t="str">
        <f>IF(TAB_OFICINAS[[#This Row],[Dias Para Entrega]]&lt;=0,"Em dia","Dia de Atrasado")</f>
        <v>Em dia</v>
      </c>
      <c r="Q891" s="24">
        <f>IFERROR(TAB_OFICINAS[[#This Row],[Qtd pçs Enviadas]]-TAB_OFICINAS[[#This Row],[Qtd pçs Retornadas ]],"N/D ")</f>
        <v>0</v>
      </c>
      <c r="R891" s="24">
        <v>0</v>
      </c>
      <c r="S891" s="5">
        <v>948</v>
      </c>
      <c r="T891" s="5">
        <v>58</v>
      </c>
      <c r="U891" s="11">
        <v>14</v>
      </c>
      <c r="V891" s="25">
        <f>IFERROR(TAB_OFICINAS[[#This Row],[Valor Unit]]*TAB_OFICINAS[[#This Row],[Qtd pçs Enviadas]]," ")</f>
        <v>560</v>
      </c>
      <c r="W891" s="26">
        <v>46254</v>
      </c>
      <c r="X891" s="17" t="s">
        <v>6251</v>
      </c>
      <c r="Y891" s="27"/>
      <c r="Z8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2" spans="3:26" hidden="1">
      <c r="C892" s="28" t="s">
        <v>18</v>
      </c>
      <c r="D892" s="5">
        <v>5391</v>
      </c>
      <c r="E892" s="5">
        <v>23881</v>
      </c>
      <c r="F892" s="28" t="str">
        <f>IFERROR(VLOOKUP(TAB_OFICINAS[[#This Row],[Cliente]],LISTA_DE_CLIENTES[[Código]:[Nome Fantasia]],2,FALSE),"")</f>
        <v>PACIFICO OPERACOES HOSPITALARES S.A</v>
      </c>
      <c r="G892" s="2" t="str">
        <f>IFERROR(VLOOKUP(TAB_OFICINAS[[#This Row],[Cliente]],LISTA_DE_CLIENTES[[Código]:[Nome Fantasia]],3,FALSE),"")</f>
        <v>MATERNIDADE SAO LUIZ</v>
      </c>
      <c r="H892" s="51">
        <v>3301084129</v>
      </c>
      <c r="I892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892" s="91">
        <v>20</v>
      </c>
      <c r="K892" s="88">
        <v>46230</v>
      </c>
      <c r="L892" s="9">
        <v>20</v>
      </c>
      <c r="M892" s="6">
        <v>46246</v>
      </c>
      <c r="N892" s="6">
        <v>46247</v>
      </c>
      <c r="O892" s="23">
        <f>TAB_OFICINAS[[#This Row],[Data Retorno Produção]]-TAB_OFICINAS[[#This Row],[Data Prometida  Entrega]]</f>
        <v>1</v>
      </c>
      <c r="P892" s="98" t="str">
        <f>IF(TAB_OFICINAS[[#This Row],[Dias Para Entrega]]&lt;=0,"Em dia","Dia de Atrasado")</f>
        <v>Dia de Atrasado</v>
      </c>
      <c r="Q892" s="24">
        <f>IFERROR(TAB_OFICINAS[[#This Row],[Qtd pçs Enviadas]]-TAB_OFICINAS[[#This Row],[Qtd pçs Retornadas ]],"N/D ")</f>
        <v>0</v>
      </c>
      <c r="R892" s="24"/>
      <c r="S892" s="5">
        <v>947</v>
      </c>
      <c r="T892" s="5">
        <v>49</v>
      </c>
      <c r="U892" s="11">
        <v>14</v>
      </c>
      <c r="V892" s="25">
        <f>IFERROR(TAB_OFICINAS[[#This Row],[Valor Unit]]*TAB_OFICINAS[[#This Row],[Qtd pçs Enviadas]]," ")</f>
        <v>280</v>
      </c>
      <c r="W892" s="26">
        <v>46258</v>
      </c>
      <c r="X892" s="17" t="s">
        <v>6251</v>
      </c>
      <c r="Y892" s="27"/>
      <c r="Z8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3" spans="3:26" hidden="1">
      <c r="C893" s="28" t="s">
        <v>18</v>
      </c>
      <c r="D893" s="5">
        <v>5391</v>
      </c>
      <c r="E893" s="5">
        <v>23881</v>
      </c>
      <c r="F893" s="28" t="str">
        <f>IFERROR(VLOOKUP(TAB_OFICINAS[[#This Row],[Cliente]],LISTA_DE_CLIENTES[[Código]:[Nome Fantasia]],2,FALSE),"")</f>
        <v>PACIFICO OPERACOES HOSPITALARES S.A</v>
      </c>
      <c r="G893" s="2" t="str">
        <f>IFERROR(VLOOKUP(TAB_OFICINAS[[#This Row],[Cliente]],LISTA_DE_CLIENTES[[Código]:[Nome Fantasia]],3,FALSE),"")</f>
        <v>MATERNIDADE SAO LUIZ</v>
      </c>
      <c r="H893" s="51">
        <v>3301084128</v>
      </c>
      <c r="I893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893" s="91">
        <v>40</v>
      </c>
      <c r="K893" s="88">
        <v>46230</v>
      </c>
      <c r="L893" s="9">
        <v>40</v>
      </c>
      <c r="M893" s="6">
        <v>46246</v>
      </c>
      <c r="N893" s="6">
        <v>46247</v>
      </c>
      <c r="O893" s="23">
        <f>TAB_OFICINAS[[#This Row],[Data Retorno Produção]]-TAB_OFICINAS[[#This Row],[Data Prometida  Entrega]]</f>
        <v>1</v>
      </c>
      <c r="P893" s="98" t="str">
        <f>IF(TAB_OFICINAS[[#This Row],[Dias Para Entrega]]&lt;=0,"Em dia","Dia de Atrasado")</f>
        <v>Dia de Atrasado</v>
      </c>
      <c r="Q893" s="24">
        <f>IFERROR(TAB_OFICINAS[[#This Row],[Qtd pçs Enviadas]]-TAB_OFICINAS[[#This Row],[Qtd pçs Retornadas ]],"N/D ")</f>
        <v>0</v>
      </c>
      <c r="R893" s="24"/>
      <c r="S893" s="5">
        <v>947</v>
      </c>
      <c r="T893" s="5">
        <v>49</v>
      </c>
      <c r="U893" s="11">
        <v>14</v>
      </c>
      <c r="V893" s="25">
        <f>IFERROR(TAB_OFICINAS[[#This Row],[Valor Unit]]*TAB_OFICINAS[[#This Row],[Qtd pçs Enviadas]]," ")</f>
        <v>560</v>
      </c>
      <c r="W893" s="26">
        <v>46258</v>
      </c>
      <c r="X893" s="17" t="s">
        <v>6251</v>
      </c>
      <c r="Y893" s="27"/>
      <c r="Z8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4" spans="3:26" hidden="1">
      <c r="C894" s="28" t="s">
        <v>15</v>
      </c>
      <c r="D894" s="5">
        <v>5391</v>
      </c>
      <c r="E894" s="5">
        <v>23881</v>
      </c>
      <c r="F894" s="28" t="str">
        <f>IFERROR(VLOOKUP(TAB_OFICINAS[[#This Row],[Cliente]],LISTA_DE_CLIENTES[[Código]:[Nome Fantasia]],2,FALSE),"")</f>
        <v>PACIFICO OPERACOES HOSPITALARES S.A</v>
      </c>
      <c r="G894" s="2" t="str">
        <f>IFERROR(VLOOKUP(TAB_OFICINAS[[#This Row],[Cliente]],LISTA_DE_CLIENTES[[Código]:[Nome Fantasia]],3,FALSE),"")</f>
        <v>MATERNIDADE SAO LUIZ</v>
      </c>
      <c r="H894" s="51">
        <v>3301084127</v>
      </c>
      <c r="I894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894" s="91">
        <v>40</v>
      </c>
      <c r="K894" s="88">
        <v>46225</v>
      </c>
      <c r="L894" s="9">
        <v>40</v>
      </c>
      <c r="M894" s="6">
        <v>46232</v>
      </c>
      <c r="N894" s="6">
        <v>46233</v>
      </c>
      <c r="O894" s="23">
        <f>TAB_OFICINAS[[#This Row],[Data Retorno Produção]]-TAB_OFICINAS[[#This Row],[Data Prometida  Entrega]]</f>
        <v>1</v>
      </c>
      <c r="P894" s="98" t="str">
        <f>IF(TAB_OFICINAS[[#This Row],[Dias Para Entrega]]&lt;=0,"Em dia","Dia de Atrasado")</f>
        <v>Dia de Atrasado</v>
      </c>
      <c r="Q894" s="24">
        <f>IFERROR(TAB_OFICINAS[[#This Row],[Qtd pçs Enviadas]]-TAB_OFICINAS[[#This Row],[Qtd pçs Retornadas ]],"N/D ")</f>
        <v>0</v>
      </c>
      <c r="R894" s="24"/>
      <c r="S894" s="5">
        <v>946</v>
      </c>
      <c r="U894" s="11">
        <v>3.85</v>
      </c>
      <c r="V894" s="25">
        <f>IFERROR(TAB_OFICINAS[[#This Row],[Valor Unit]]*TAB_OFICINAS[[#This Row],[Qtd pçs Enviadas]]," ")</f>
        <v>154</v>
      </c>
      <c r="W894" s="26"/>
      <c r="X894" s="17" t="s">
        <v>6251</v>
      </c>
      <c r="Y894" s="27" t="s">
        <v>21341</v>
      </c>
      <c r="Z8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5" spans="3:26" hidden="1">
      <c r="C895" s="28" t="s">
        <v>15</v>
      </c>
      <c r="D895" s="5">
        <v>5391</v>
      </c>
      <c r="E895" s="5">
        <v>23881</v>
      </c>
      <c r="F895" s="28" t="str">
        <f>IFERROR(VLOOKUP(TAB_OFICINAS[[#This Row],[Cliente]],LISTA_DE_CLIENTES[[Código]:[Nome Fantasia]],2,FALSE),"")</f>
        <v>PACIFICO OPERACOES HOSPITALARES S.A</v>
      </c>
      <c r="G895" s="2" t="str">
        <f>IFERROR(VLOOKUP(TAB_OFICINAS[[#This Row],[Cliente]],LISTA_DE_CLIENTES[[Código]:[Nome Fantasia]],3,FALSE),"")</f>
        <v>MATERNIDADE SAO LUIZ</v>
      </c>
      <c r="H895" s="51">
        <v>3301084164</v>
      </c>
      <c r="I895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895" s="91">
        <v>40</v>
      </c>
      <c r="K895" s="88">
        <v>46225</v>
      </c>
      <c r="L895" s="9">
        <v>40</v>
      </c>
      <c r="M895" s="6">
        <v>46232</v>
      </c>
      <c r="N895" s="6">
        <v>46233</v>
      </c>
      <c r="O895" s="23">
        <f>TAB_OFICINAS[[#This Row],[Data Retorno Produção]]-TAB_OFICINAS[[#This Row],[Data Prometida  Entrega]]</f>
        <v>1</v>
      </c>
      <c r="P895" s="98" t="str">
        <f>IF(TAB_OFICINAS[[#This Row],[Dias Para Entrega]]&lt;=0,"Em dia","Dia de Atrasado")</f>
        <v>Dia de Atrasado</v>
      </c>
      <c r="Q895" s="24">
        <f>IFERROR(TAB_OFICINAS[[#This Row],[Qtd pçs Enviadas]]-TAB_OFICINAS[[#This Row],[Qtd pçs Retornadas ]],"N/D ")</f>
        <v>0</v>
      </c>
      <c r="R895" s="24"/>
      <c r="S895" s="5">
        <v>946</v>
      </c>
      <c r="U895" s="11">
        <v>3.85</v>
      </c>
      <c r="V895" s="25">
        <f>IFERROR(TAB_OFICINAS[[#This Row],[Valor Unit]]*TAB_OFICINAS[[#This Row],[Qtd pçs Enviadas]]," ")</f>
        <v>154</v>
      </c>
      <c r="W895" s="26"/>
      <c r="X895" s="17" t="s">
        <v>6251</v>
      </c>
      <c r="Y895" s="27" t="s">
        <v>21341</v>
      </c>
      <c r="Z89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6" spans="3:26" hidden="1">
      <c r="C896" s="28" t="s">
        <v>15</v>
      </c>
      <c r="D896" s="5">
        <v>5391</v>
      </c>
      <c r="E896" s="5">
        <v>23881</v>
      </c>
      <c r="F896" s="28" t="str">
        <f>IFERROR(VLOOKUP(TAB_OFICINAS[[#This Row],[Cliente]],LISTA_DE_CLIENTES[[Código]:[Nome Fantasia]],2,FALSE),"")</f>
        <v>PACIFICO OPERACOES HOSPITALARES S.A</v>
      </c>
      <c r="G896" s="2" t="str">
        <f>IFERROR(VLOOKUP(TAB_OFICINAS[[#This Row],[Cliente]],LISTA_DE_CLIENTES[[Código]:[Nome Fantasia]],3,FALSE),"")</f>
        <v>MATERNIDADE SAO LUIZ</v>
      </c>
      <c r="H896" s="51">
        <v>3301084128</v>
      </c>
      <c r="I896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896" s="91">
        <v>40</v>
      </c>
      <c r="K896" s="88">
        <v>46225</v>
      </c>
      <c r="L896" s="9">
        <v>40</v>
      </c>
      <c r="M896" s="6">
        <v>46232</v>
      </c>
      <c r="N896" s="6">
        <v>46233</v>
      </c>
      <c r="O896" s="23">
        <f>TAB_OFICINAS[[#This Row],[Data Retorno Produção]]-TAB_OFICINAS[[#This Row],[Data Prometida  Entrega]]</f>
        <v>1</v>
      </c>
      <c r="P896" s="98" t="str">
        <f>IF(TAB_OFICINAS[[#This Row],[Dias Para Entrega]]&lt;=0,"Em dia","Dia de Atrasado")</f>
        <v>Dia de Atrasado</v>
      </c>
      <c r="Q896" s="24">
        <f>IFERROR(TAB_OFICINAS[[#This Row],[Qtd pçs Enviadas]]-TAB_OFICINAS[[#This Row],[Qtd pçs Retornadas ]],"N/D ")</f>
        <v>0</v>
      </c>
      <c r="R896" s="24"/>
      <c r="S896" s="5">
        <v>946</v>
      </c>
      <c r="U896" s="11">
        <v>3.85</v>
      </c>
      <c r="V896" s="25">
        <f>IFERROR(TAB_OFICINAS[[#This Row],[Valor Unit]]*TAB_OFICINAS[[#This Row],[Qtd pçs Enviadas]]," ")</f>
        <v>154</v>
      </c>
      <c r="W896" s="26"/>
      <c r="X896" s="17" t="s">
        <v>6251</v>
      </c>
      <c r="Y896" s="27" t="s">
        <v>21341</v>
      </c>
      <c r="Z89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7" spans="3:26" hidden="1">
      <c r="C897" s="28" t="s">
        <v>15</v>
      </c>
      <c r="D897" s="5">
        <v>5391</v>
      </c>
      <c r="E897" s="5">
        <v>23881</v>
      </c>
      <c r="F897" s="28" t="str">
        <f>IFERROR(VLOOKUP(TAB_OFICINAS[[#This Row],[Cliente]],LISTA_DE_CLIENTES[[Código]:[Nome Fantasia]],2,FALSE),"")</f>
        <v>PACIFICO OPERACOES HOSPITALARES S.A</v>
      </c>
      <c r="G897" s="2" t="str">
        <f>IFERROR(VLOOKUP(TAB_OFICINAS[[#This Row],[Cliente]],LISTA_DE_CLIENTES[[Código]:[Nome Fantasia]],3,FALSE),"")</f>
        <v>MATERNIDADE SAO LUIZ</v>
      </c>
      <c r="H897" s="51">
        <v>3301084129</v>
      </c>
      <c r="I897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897" s="91">
        <v>20</v>
      </c>
      <c r="K897" s="88">
        <v>46225</v>
      </c>
      <c r="L897" s="9">
        <v>20</v>
      </c>
      <c r="M897" s="6">
        <v>46232</v>
      </c>
      <c r="N897" s="6">
        <v>46233</v>
      </c>
      <c r="O897" s="23">
        <f>TAB_OFICINAS[[#This Row],[Data Retorno Produção]]-TAB_OFICINAS[[#This Row],[Data Prometida  Entrega]]</f>
        <v>1</v>
      </c>
      <c r="P897" s="98" t="str">
        <f>IF(TAB_OFICINAS[[#This Row],[Dias Para Entrega]]&lt;=0,"Em dia","Dia de Atrasado")</f>
        <v>Dia de Atrasado</v>
      </c>
      <c r="Q897" s="24">
        <f>IFERROR(TAB_OFICINAS[[#This Row],[Qtd pçs Enviadas]]-TAB_OFICINAS[[#This Row],[Qtd pçs Retornadas ]],"N/D ")</f>
        <v>0</v>
      </c>
      <c r="R897" s="24"/>
      <c r="S897" s="5">
        <v>946</v>
      </c>
      <c r="U897" s="11">
        <v>3.85</v>
      </c>
      <c r="V897" s="25">
        <f>IFERROR(TAB_OFICINAS[[#This Row],[Valor Unit]]*TAB_OFICINAS[[#This Row],[Qtd pçs Enviadas]]," ")</f>
        <v>77</v>
      </c>
      <c r="W897" s="26"/>
      <c r="X897" s="17" t="s">
        <v>6251</v>
      </c>
      <c r="Y897" s="27" t="s">
        <v>21341</v>
      </c>
      <c r="Z89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8" spans="3:26" hidden="1">
      <c r="C898" s="28" t="s">
        <v>3</v>
      </c>
      <c r="D898" s="5">
        <v>4464</v>
      </c>
      <c r="E898" s="5">
        <v>24020</v>
      </c>
      <c r="F898" s="28" t="str">
        <f>IFERROR(VLOOKUP(TAB_OFICINAS[[#This Row],[Cliente]],LISTA_DE_CLIENTES[[Código]:[Nome Fantasia]],2,FALSE),"")</f>
        <v>CARNAUBA WIND HOUSE</v>
      </c>
      <c r="G898" s="2" t="str">
        <f>IFERROR(VLOOKUP(TAB_OFICINAS[[#This Row],[Cliente]],LISTA_DE_CLIENTES[[Código]:[Nome Fantasia]],3,FALSE),"")</f>
        <v>CARNAUBA - VILLAS 1</v>
      </c>
      <c r="H898" s="51">
        <v>3302303365</v>
      </c>
      <c r="I898" s="28" t="str">
        <f>IFERROR(VLOOKUP(TAB_OFICINAS[[#This Row],[Codigo Produto ]],_000___PEDIDOS_DE_CLIENTES[[Data.Column2]:[Descrição Produto]],2,FALSE)," ")</f>
        <v>TOALHA LAVABO - FELPA CARAMELO - 0,30 X 0,50</v>
      </c>
      <c r="J898" s="91">
        <v>120</v>
      </c>
      <c r="K898" s="88">
        <v>46225</v>
      </c>
      <c r="L898" s="9">
        <v>120</v>
      </c>
      <c r="M898" s="6">
        <v>46239</v>
      </c>
      <c r="N898" s="6">
        <v>46231</v>
      </c>
      <c r="O898" s="23">
        <f>TAB_OFICINAS[[#This Row],[Data Retorno Produção]]-TAB_OFICINAS[[#This Row],[Data Prometida  Entrega]]</f>
        <v>-8</v>
      </c>
      <c r="P898" s="98" t="str">
        <f>IF(TAB_OFICINAS[[#This Row],[Dias Para Entrega]]&lt;=0,"Em dia","Dia de Atrasado")</f>
        <v>Em dia</v>
      </c>
      <c r="Q898" s="24">
        <f>IFERROR(TAB_OFICINAS[[#This Row],[Qtd pçs Enviadas]]-TAB_OFICINAS[[#This Row],[Qtd pçs Retornadas ]],"N/D ")</f>
        <v>0</v>
      </c>
      <c r="R898" s="24"/>
      <c r="S898" s="5">
        <v>3334</v>
      </c>
      <c r="T898" s="5">
        <v>119</v>
      </c>
      <c r="U898" s="11">
        <v>4</v>
      </c>
      <c r="V898" s="25">
        <f>IFERROR(TAB_OFICINAS[[#This Row],[Valor Unit]]*TAB_OFICINAS[[#This Row],[Qtd pçs Enviadas]]," ")</f>
        <v>480</v>
      </c>
      <c r="W898" s="26">
        <v>46241</v>
      </c>
      <c r="X898" s="17" t="s">
        <v>6251</v>
      </c>
      <c r="Y898" s="27"/>
      <c r="Z89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899" spans="3:26" hidden="1">
      <c r="C899" s="28" t="s">
        <v>3</v>
      </c>
      <c r="D899" s="5" t="s">
        <v>20290</v>
      </c>
      <c r="E899" s="5" t="s">
        <v>20290</v>
      </c>
      <c r="F899" s="28" t="s">
        <v>23964</v>
      </c>
      <c r="G899" s="2" t="s">
        <v>23692</v>
      </c>
      <c r="H899" s="51">
        <v>3759313469</v>
      </c>
      <c r="I899" s="28" t="str">
        <f>IFERROR(VLOOKUP(TAB_OFICINAS[[#This Row],[Codigo Produto ]],_000___PEDIDOS_DE_CLIENTES[[Data.Column2]:[Descrição Produto]],2,FALSE)," ")</f>
        <v>TOALHA DE MÃO - FELPA CARAMELO - 0,30 X 0,30</v>
      </c>
      <c r="J899" s="91">
        <v>457</v>
      </c>
      <c r="K899" s="88">
        <v>46225</v>
      </c>
      <c r="L899" s="9">
        <v>457</v>
      </c>
      <c r="M899" s="6">
        <v>46239</v>
      </c>
      <c r="N899" s="6">
        <v>46231</v>
      </c>
      <c r="O899" s="23">
        <f>TAB_OFICINAS[[#This Row],[Data Retorno Produção]]-TAB_OFICINAS[[#This Row],[Data Prometida  Entrega]]</f>
        <v>-8</v>
      </c>
      <c r="P899" s="98" t="str">
        <f>IF(TAB_OFICINAS[[#This Row],[Dias Para Entrega]]&lt;=0,"Em dia","Dia de Atrasado")</f>
        <v>Em dia</v>
      </c>
      <c r="Q899" s="24">
        <v>0</v>
      </c>
      <c r="R899" s="24"/>
      <c r="S899" s="5">
        <v>3334</v>
      </c>
      <c r="T899" s="5">
        <v>119</v>
      </c>
      <c r="U899" s="11">
        <v>3</v>
      </c>
      <c r="V899" s="25">
        <f>IFERROR(TAB_OFICINAS[[#This Row],[Valor Unit]]*TAB_OFICINAS[[#This Row],[Qtd pçs Enviadas]]," ")</f>
        <v>1371</v>
      </c>
      <c r="W899" s="26">
        <v>46241</v>
      </c>
      <c r="X899" s="17" t="s">
        <v>6251</v>
      </c>
      <c r="Y899" s="27"/>
      <c r="Z89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0" spans="3:26" hidden="1">
      <c r="C900" s="28" t="s">
        <v>3</v>
      </c>
      <c r="D900" s="5" t="s">
        <v>20290</v>
      </c>
      <c r="E900" s="5" t="s">
        <v>20290</v>
      </c>
      <c r="F900" s="28" t="s">
        <v>23692</v>
      </c>
      <c r="G900" s="2" t="s">
        <v>23692</v>
      </c>
      <c r="H900" s="51">
        <v>3302303365</v>
      </c>
      <c r="I900" s="28" t="str">
        <f>IFERROR(VLOOKUP(TAB_OFICINAS[[#This Row],[Codigo Produto ]],_000___PEDIDOS_DE_CLIENTES[[Data.Column2]:[Descrição Produto]],2,FALSE)," ")</f>
        <v>TOALHA LAVABO - FELPA CARAMELO - 0,30 X 0,50</v>
      </c>
      <c r="J900" s="91">
        <v>94</v>
      </c>
      <c r="K900" s="88">
        <v>46225</v>
      </c>
      <c r="L900" s="9">
        <v>94</v>
      </c>
      <c r="M900" s="6">
        <v>46239</v>
      </c>
      <c r="N900" s="6">
        <v>46231</v>
      </c>
      <c r="O900" s="23">
        <f>TAB_OFICINAS[[#This Row],[Data Retorno Produção]]-TAB_OFICINAS[[#This Row],[Data Prometida  Entrega]]</f>
        <v>-8</v>
      </c>
      <c r="P900" s="98" t="str">
        <f>IF(TAB_OFICINAS[[#This Row],[Dias Para Entrega]]&lt;=0,"Em dia","Dia de Atrasado")</f>
        <v>Em dia</v>
      </c>
      <c r="Q900" s="24">
        <v>0</v>
      </c>
      <c r="R900" s="24"/>
      <c r="S900" s="5">
        <v>3334</v>
      </c>
      <c r="T900" s="5">
        <v>119</v>
      </c>
      <c r="U900" s="11">
        <v>4</v>
      </c>
      <c r="V900" s="25">
        <f>IFERROR(TAB_OFICINAS[[#This Row],[Valor Unit]]*TAB_OFICINAS[[#This Row],[Qtd pçs Enviadas]]," ")</f>
        <v>376</v>
      </c>
      <c r="W900" s="26">
        <v>46241</v>
      </c>
      <c r="X900" s="17" t="s">
        <v>6251</v>
      </c>
      <c r="Y900" s="27"/>
      <c r="Z9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1" spans="3:26" hidden="1">
      <c r="C901" s="28" t="s">
        <v>3</v>
      </c>
      <c r="D901" s="5" t="s">
        <v>20290</v>
      </c>
      <c r="E901" s="5" t="s">
        <v>20290</v>
      </c>
      <c r="F901" s="28" t="s">
        <v>23692</v>
      </c>
      <c r="G901" s="2" t="s">
        <v>23692</v>
      </c>
      <c r="H901" s="51">
        <v>3302303364</v>
      </c>
      <c r="I901" s="28" t="str">
        <f>IFERROR(VLOOKUP(TAB_OFICINAS[[#This Row],[Codigo Produto ]],_000___PEDIDOS_DE_CLIENTES[[Data.Column2]:[Descrição Produto]],2,FALSE)," ")</f>
        <v>TOALHA LAVABO - FELPA CINZA - 0,30 X 0,50</v>
      </c>
      <c r="J901" s="91">
        <v>84</v>
      </c>
      <c r="K901" s="88">
        <v>46225</v>
      </c>
      <c r="L901" s="9">
        <v>84</v>
      </c>
      <c r="M901" s="6">
        <v>46239</v>
      </c>
      <c r="N901" s="6">
        <v>46231</v>
      </c>
      <c r="O901" s="23">
        <f>TAB_OFICINAS[[#This Row],[Data Retorno Produção]]-TAB_OFICINAS[[#This Row],[Data Prometida  Entrega]]</f>
        <v>-8</v>
      </c>
      <c r="P901" s="98" t="str">
        <f>IF(TAB_OFICINAS[[#This Row],[Dias Para Entrega]]&lt;=0,"Em dia","Dia de Atrasado")</f>
        <v>Em dia</v>
      </c>
      <c r="Q901" s="24">
        <v>0</v>
      </c>
      <c r="R901" s="24"/>
      <c r="S901" s="5">
        <v>3334</v>
      </c>
      <c r="T901" s="5">
        <v>119</v>
      </c>
      <c r="U901" s="11">
        <v>4</v>
      </c>
      <c r="V901" s="25">
        <f>IFERROR(TAB_OFICINAS[[#This Row],[Valor Unit]]*TAB_OFICINAS[[#This Row],[Qtd pçs Enviadas]]," ")</f>
        <v>336</v>
      </c>
      <c r="W901" s="26">
        <v>46241</v>
      </c>
      <c r="X901" s="17" t="s">
        <v>6251</v>
      </c>
      <c r="Y901" s="27"/>
      <c r="Z9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2" spans="3:26" hidden="1">
      <c r="C902" s="28" t="s">
        <v>3</v>
      </c>
      <c r="D902" s="5" t="s">
        <v>20290</v>
      </c>
      <c r="E902" s="5" t="s">
        <v>20290</v>
      </c>
      <c r="F902" s="28" t="s">
        <v>23692</v>
      </c>
      <c r="G902" s="2" t="s">
        <v>23692</v>
      </c>
      <c r="H902" s="51"/>
      <c r="I902" s="28" t="s">
        <v>23965</v>
      </c>
      <c r="J902" s="91">
        <v>199</v>
      </c>
      <c r="K902" s="88">
        <v>46225</v>
      </c>
      <c r="L902" s="9">
        <v>199</v>
      </c>
      <c r="M902" s="6">
        <v>46239</v>
      </c>
      <c r="N902" s="6">
        <v>46231</v>
      </c>
      <c r="O902" s="23">
        <f>TAB_OFICINAS[[#This Row],[Data Retorno Produção]]-TAB_OFICINAS[[#This Row],[Data Prometida  Entrega]]</f>
        <v>-8</v>
      </c>
      <c r="P902" s="98" t="str">
        <f>IF(TAB_OFICINAS[[#This Row],[Dias Para Entrega]]&lt;=0,"Em dia","Dia de Atrasado")</f>
        <v>Em dia</v>
      </c>
      <c r="Q902" s="24">
        <v>0</v>
      </c>
      <c r="R902" s="24"/>
      <c r="S902" s="5">
        <v>3334</v>
      </c>
      <c r="T902" s="5">
        <v>119</v>
      </c>
      <c r="U902" s="11">
        <v>4</v>
      </c>
      <c r="V902" s="25">
        <f>IFERROR(TAB_OFICINAS[[#This Row],[Valor Unit]]*TAB_OFICINAS[[#This Row],[Qtd pçs Enviadas]]," ")</f>
        <v>796</v>
      </c>
      <c r="W902" s="26">
        <v>46241</v>
      </c>
      <c r="X902" s="17" t="s">
        <v>6251</v>
      </c>
      <c r="Y902" s="27"/>
      <c r="Z90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3" spans="3:26" hidden="1">
      <c r="C903" s="28" t="s">
        <v>3</v>
      </c>
      <c r="D903" s="5">
        <v>4464</v>
      </c>
      <c r="E903" s="5">
        <v>24020</v>
      </c>
      <c r="F903" s="28" t="str">
        <f>IFERROR(VLOOKUP(TAB_OFICINAS[[#This Row],[Cliente]],LISTA_DE_CLIENTES[[Código]:[Nome Fantasia]],2,FALSE),"")</f>
        <v>CARNAUBA WIND HOUSE</v>
      </c>
      <c r="G903" s="2" t="str">
        <f>IFERROR(VLOOKUP(TAB_OFICINAS[[#This Row],[Cliente]],LISTA_DE_CLIENTES[[Código]:[Nome Fantasia]],3,FALSE),"")</f>
        <v>CARNAUBA - VILLAS 1</v>
      </c>
      <c r="H903" s="51">
        <v>3302111244</v>
      </c>
      <c r="I903" s="28" t="str">
        <f>IFERROR(VLOOKUP(TAB_OFICINAS[[#This Row],[Codigo Produto ]],_000___PEDIDOS_DE_CLIENTES[[Data.Column2]:[Descrição Produto]],2,FALSE)," ")</f>
        <v>TOALHA BANHÃO FELPA CARAMELO (LISA) S/ LOGO BORDADA 1,00 X 2,10</v>
      </c>
      <c r="J903" s="91">
        <v>15</v>
      </c>
      <c r="K903" s="88">
        <v>46231</v>
      </c>
      <c r="L903" s="9">
        <v>15</v>
      </c>
      <c r="M903" s="6">
        <v>46240</v>
      </c>
      <c r="N903" s="6">
        <v>46232</v>
      </c>
      <c r="O903" s="23">
        <f>TAB_OFICINAS[[#This Row],[Data Retorno Produção]]-TAB_OFICINAS[[#This Row],[Data Prometida  Entrega]]</f>
        <v>-8</v>
      </c>
      <c r="P903" s="98" t="str">
        <f>IF(TAB_OFICINAS[[#This Row],[Dias Para Entrega]]&lt;=0,"Em dia","Dia de Atrasado")</f>
        <v>Em dia</v>
      </c>
      <c r="Q903" s="24">
        <f>IFERROR(TAB_OFICINAS[[#This Row],[Qtd pçs Enviadas]]-TAB_OFICINAS[[#This Row],[Qtd pçs Retornadas ]],"N/D ")</f>
        <v>0</v>
      </c>
      <c r="R903" s="24"/>
      <c r="S903" s="5">
        <v>950</v>
      </c>
      <c r="T903" s="5">
        <v>120</v>
      </c>
      <c r="U903" s="11">
        <v>7</v>
      </c>
      <c r="V903" s="25">
        <f>IFERROR(TAB_OFICINAS[[#This Row],[Valor Unit]]*TAB_OFICINAS[[#This Row],[Qtd pçs Enviadas]]," ")</f>
        <v>105</v>
      </c>
      <c r="W903" s="26">
        <f>TAB_OFICINAS[[#This Row],[Data Retorno Produção]]+9</f>
        <v>46241</v>
      </c>
      <c r="X903" s="17" t="s">
        <v>6251</v>
      </c>
      <c r="Y903" s="27"/>
      <c r="Z9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4" spans="3:26" hidden="1">
      <c r="C904" s="28" t="s">
        <v>3</v>
      </c>
      <c r="D904" s="5">
        <v>4464</v>
      </c>
      <c r="E904" s="5">
        <v>24020</v>
      </c>
      <c r="F904" s="28" t="str">
        <f>IFERROR(VLOOKUP(TAB_OFICINAS[[#This Row],[Cliente]],LISTA_DE_CLIENTES[[Código]:[Nome Fantasia]],2,FALSE),"")</f>
        <v>CARNAUBA WIND HOUSE</v>
      </c>
      <c r="G904" s="2" t="str">
        <f>IFERROR(VLOOKUP(TAB_OFICINAS[[#This Row],[Cliente]],LISTA_DE_CLIENTES[[Código]:[Nome Fantasia]],3,FALSE),"")</f>
        <v>CARNAUBA - VILLAS 1</v>
      </c>
      <c r="H904" s="51">
        <v>3302135943</v>
      </c>
      <c r="I904" s="28" t="str">
        <f>IFERROR(VLOOKUP(TAB_OFICINAS[[#This Row],[Codigo Produto ]],_000___PEDIDOS_DE_CLIENTES[[Data.Column2]:[Descrição Produto]],2,FALSE)," ")</f>
        <v>TOALHA FITNESS FELPA CARAMELO 0,30 X 1,20</v>
      </c>
      <c r="J904" s="91">
        <v>100</v>
      </c>
      <c r="K904" s="88">
        <v>46231</v>
      </c>
      <c r="L904" s="9">
        <v>100</v>
      </c>
      <c r="M904" s="6">
        <v>46240</v>
      </c>
      <c r="N904" s="6">
        <v>46232</v>
      </c>
      <c r="O904" s="23">
        <f>TAB_OFICINAS[[#This Row],[Data Retorno Produção]]-TAB_OFICINAS[[#This Row],[Data Prometida  Entrega]]</f>
        <v>-8</v>
      </c>
      <c r="P904" s="98" t="str">
        <f>IF(TAB_OFICINAS[[#This Row],[Dias Para Entrega]]&lt;=0,"Em dia","Dia de Atrasado")</f>
        <v>Em dia</v>
      </c>
      <c r="Q904" s="24">
        <f>IFERROR(TAB_OFICINAS[[#This Row],[Qtd pçs Enviadas]]-TAB_OFICINAS[[#This Row],[Qtd pçs Retornadas ]],"N/D ")</f>
        <v>0</v>
      </c>
      <c r="R904" s="24"/>
      <c r="S904" s="5">
        <v>950</v>
      </c>
      <c r="T904" s="5">
        <v>120</v>
      </c>
      <c r="U904" s="11">
        <v>4</v>
      </c>
      <c r="V904" s="25">
        <f>IFERROR(TAB_OFICINAS[[#This Row],[Valor Unit]]*TAB_OFICINAS[[#This Row],[Qtd pçs Enviadas]]," ")</f>
        <v>400</v>
      </c>
      <c r="W904" s="26">
        <v>46241</v>
      </c>
      <c r="X904" s="17" t="s">
        <v>6251</v>
      </c>
      <c r="Y904" s="27"/>
      <c r="Z90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5" spans="3:26" ht="99.75" hidden="1">
      <c r="C905" s="28" t="s">
        <v>15</v>
      </c>
      <c r="E905" s="5">
        <v>493</v>
      </c>
      <c r="F905" s="28" t="s">
        <v>20290</v>
      </c>
      <c r="G905" s="2" t="s">
        <v>20290</v>
      </c>
      <c r="H905" s="51">
        <v>3161095212</v>
      </c>
      <c r="I905" s="28" t="str">
        <f>IFERROR(VLOOKUP(TAB_OFICINAS[[#This Row],[Codigo Produto ]],_000___PEDIDOS_DE_CLIENTES[[Data.Column2]:[Descrição Produto]],2,FALSE)," ")</f>
        <v>FRONHA BABY - 200F - COLEÇÃO STAR AZUL</v>
      </c>
      <c r="J905" s="91">
        <v>8</v>
      </c>
      <c r="K905" s="88">
        <v>46231</v>
      </c>
      <c r="L905" s="9">
        <v>8</v>
      </c>
      <c r="M905" s="6">
        <v>46241</v>
      </c>
      <c r="N905" s="6">
        <v>46241</v>
      </c>
      <c r="O905" s="23">
        <f>TAB_OFICINAS[[#This Row],[Data Retorno Produção]]-TAB_OFICINAS[[#This Row],[Data Prometida  Entrega]]</f>
        <v>0</v>
      </c>
      <c r="P905" s="98" t="str">
        <f>IF(TAB_OFICINAS[[#This Row],[Dias Para Entrega]]&lt;=0,"Em dia","Dia de Atrasado")</f>
        <v>Em dia</v>
      </c>
      <c r="Q905" s="24">
        <f>IFERROR(TAB_OFICINAS[[#This Row],[Qtd pçs Enviadas]]-TAB_OFICINAS[[#This Row],[Qtd pçs Retornadas ]],"N/D ")</f>
        <v>0</v>
      </c>
      <c r="R905" s="24">
        <v>0</v>
      </c>
      <c r="S905" s="5">
        <v>951</v>
      </c>
      <c r="T905" s="5">
        <v>17487</v>
      </c>
      <c r="U905" s="11">
        <v>12</v>
      </c>
      <c r="V905" s="25">
        <f>IFERROR(TAB_OFICINAS[[#This Row],[Valor Unit]]*TAB_OFICINAS[[#This Row],[Qtd pçs Enviadas]]," ")</f>
        <v>96</v>
      </c>
      <c r="W905" s="26">
        <v>46251</v>
      </c>
      <c r="X905" s="17" t="s">
        <v>6251</v>
      </c>
      <c r="Y905" s="27" t="s">
        <v>23966</v>
      </c>
      <c r="Z90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6" spans="3:26" hidden="1">
      <c r="C906" s="28" t="s">
        <v>15</v>
      </c>
      <c r="E906" s="5">
        <v>507</v>
      </c>
      <c r="F906" s="28" t="str">
        <f>IFERROR(VLOOKUP(TAB_OFICINAS[[#This Row],[Cliente]],LISTA_DE_CLIENTES[[Código]:[Nome Fantasia]],2,FALSE),"")</f>
        <v/>
      </c>
      <c r="G906" s="2" t="s">
        <v>20385</v>
      </c>
      <c r="H906" s="51" t="s">
        <v>23962</v>
      </c>
      <c r="I906" s="28" t="s">
        <v>23967</v>
      </c>
      <c r="J906" s="91">
        <v>6</v>
      </c>
      <c r="K906" s="88">
        <v>46231</v>
      </c>
      <c r="L906" s="9">
        <v>6</v>
      </c>
      <c r="M906" s="6">
        <v>46241</v>
      </c>
      <c r="N906" s="6">
        <v>46241</v>
      </c>
      <c r="O906" s="23">
        <f>TAB_OFICINAS[[#This Row],[Data Retorno Produção]]-TAB_OFICINAS[[#This Row],[Data Prometida  Entrega]]</f>
        <v>0</v>
      </c>
      <c r="P906" s="98" t="str">
        <f>IF(TAB_OFICINAS[[#This Row],[Dias Para Entrega]]&lt;=0,"Em dia","Dia de Atrasado")</f>
        <v>Em dia</v>
      </c>
      <c r="Q906" s="24">
        <f>IFERROR(TAB_OFICINAS[[#This Row],[Qtd pçs Enviadas]]-TAB_OFICINAS[[#This Row],[Qtd pçs Retornadas ]],"N/D ")</f>
        <v>0</v>
      </c>
      <c r="R906" s="24">
        <v>0</v>
      </c>
      <c r="S906" s="5">
        <v>951</v>
      </c>
      <c r="T906" s="5">
        <v>17487</v>
      </c>
      <c r="U906" s="11">
        <v>12</v>
      </c>
      <c r="V906" s="25">
        <f>IFERROR(TAB_OFICINAS[[#This Row],[Valor Unit]]*TAB_OFICINAS[[#This Row],[Qtd pçs Enviadas]]," ")</f>
        <v>72</v>
      </c>
      <c r="W906" s="26">
        <v>46251</v>
      </c>
      <c r="X906" s="17" t="s">
        <v>6251</v>
      </c>
      <c r="Y906" s="27" t="s">
        <v>23969</v>
      </c>
      <c r="Z9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7" spans="3:26" hidden="1">
      <c r="C907" s="28" t="s">
        <v>15</v>
      </c>
      <c r="E907" s="5">
        <v>507</v>
      </c>
      <c r="F907" s="28" t="str">
        <f>IFERROR(VLOOKUP(TAB_OFICINAS[[#This Row],[Cliente]],LISTA_DE_CLIENTES[[Código]:[Nome Fantasia]],2,FALSE),"")</f>
        <v/>
      </c>
      <c r="G907" s="2" t="s">
        <v>20385</v>
      </c>
      <c r="H907" s="51" t="s">
        <v>23962</v>
      </c>
      <c r="I907" s="28" t="s">
        <v>23968</v>
      </c>
      <c r="J907" s="91">
        <v>8</v>
      </c>
      <c r="K907" s="88">
        <v>46231</v>
      </c>
      <c r="L907" s="9">
        <v>8</v>
      </c>
      <c r="M907" s="6">
        <v>46241</v>
      </c>
      <c r="N907" s="6">
        <v>46240</v>
      </c>
      <c r="O907" s="23">
        <f>TAB_OFICINAS[[#This Row],[Data Retorno Produção]]-TAB_OFICINAS[[#This Row],[Data Prometida  Entrega]]</f>
        <v>-1</v>
      </c>
      <c r="P907" s="98" t="str">
        <f>IF(TAB_OFICINAS[[#This Row],[Dias Para Entrega]]&lt;=0,"Em dia","Dia de Atrasado")</f>
        <v>Em dia</v>
      </c>
      <c r="Q907" s="24">
        <f>IFERROR(TAB_OFICINAS[[#This Row],[Qtd pçs Enviadas]]-TAB_OFICINAS[[#This Row],[Qtd pçs Retornadas ]],"N/D ")</f>
        <v>0</v>
      </c>
      <c r="R907" s="24">
        <v>0</v>
      </c>
      <c r="S907" s="5">
        <v>951</v>
      </c>
      <c r="T907" s="5">
        <v>17487</v>
      </c>
      <c r="U907" s="11">
        <v>12</v>
      </c>
      <c r="V907" s="25">
        <f>IFERROR(TAB_OFICINAS[[#This Row],[Valor Unit]]*TAB_OFICINAS[[#This Row],[Qtd pçs Enviadas]]," ")</f>
        <v>96</v>
      </c>
      <c r="W907" s="26">
        <v>46251</v>
      </c>
      <c r="X907" s="17" t="s">
        <v>6251</v>
      </c>
      <c r="Y907" s="27" t="s">
        <v>23970</v>
      </c>
      <c r="Z9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8" spans="3:26" hidden="1">
      <c r="C908" s="28" t="s">
        <v>15</v>
      </c>
      <c r="E908" s="5">
        <v>507</v>
      </c>
      <c r="F908" s="28" t="str">
        <f>IFERROR(VLOOKUP(TAB_OFICINAS[[#This Row],[Cliente]],LISTA_DE_CLIENTES[[Código]:[Nome Fantasia]],2,FALSE),"")</f>
        <v/>
      </c>
      <c r="G908" s="2" t="s">
        <v>20385</v>
      </c>
      <c r="H908" s="51" t="s">
        <v>23962</v>
      </c>
      <c r="I908" s="28" t="s">
        <v>23971</v>
      </c>
      <c r="J908" s="91">
        <v>3</v>
      </c>
      <c r="K908" s="88">
        <v>46231</v>
      </c>
      <c r="L908" s="9">
        <v>3</v>
      </c>
      <c r="M908" s="6">
        <v>46241</v>
      </c>
      <c r="N908" s="6">
        <v>46240</v>
      </c>
      <c r="O908" s="23">
        <f>TAB_OFICINAS[[#This Row],[Data Retorno Produção]]-TAB_OFICINAS[[#This Row],[Data Prometida  Entrega]]</f>
        <v>-1</v>
      </c>
      <c r="P908" s="98" t="str">
        <f>IF(TAB_OFICINAS[[#This Row],[Dias Para Entrega]]&lt;=0,"Em dia","Dia de Atrasado")</f>
        <v>Em dia</v>
      </c>
      <c r="Q908" s="24">
        <f>IFERROR(TAB_OFICINAS[[#This Row],[Qtd pçs Enviadas]]-TAB_OFICINAS[[#This Row],[Qtd pçs Retornadas ]],"N/D ")</f>
        <v>0</v>
      </c>
      <c r="R908" s="24">
        <v>0</v>
      </c>
      <c r="S908" s="5">
        <v>951</v>
      </c>
      <c r="T908" s="5">
        <v>17487</v>
      </c>
      <c r="U908" s="11">
        <v>12</v>
      </c>
      <c r="V908" s="25">
        <f>IFERROR(TAB_OFICINAS[[#This Row],[Valor Unit]]*TAB_OFICINAS[[#This Row],[Qtd pçs Enviadas]]," ")</f>
        <v>36</v>
      </c>
      <c r="W908" s="26">
        <v>46251</v>
      </c>
      <c r="X908" s="17" t="s">
        <v>6251</v>
      </c>
      <c r="Y908" s="27" t="s">
        <v>23412</v>
      </c>
      <c r="Z9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09" spans="3:26" hidden="1">
      <c r="C909" s="28" t="s">
        <v>15</v>
      </c>
      <c r="E909" s="5">
        <v>507</v>
      </c>
      <c r="F909" s="28" t="str">
        <f>IFERROR(VLOOKUP(TAB_OFICINAS[[#This Row],[Cliente]],LISTA_DE_CLIENTES[[Código]:[Nome Fantasia]],2,FALSE),"")</f>
        <v/>
      </c>
      <c r="G909" s="2" t="s">
        <v>20385</v>
      </c>
      <c r="H909" s="51" t="s">
        <v>23962</v>
      </c>
      <c r="I909" s="28" t="s">
        <v>23972</v>
      </c>
      <c r="J909" s="91">
        <v>4</v>
      </c>
      <c r="K909" s="88">
        <v>46231</v>
      </c>
      <c r="L909" s="9">
        <v>4</v>
      </c>
      <c r="M909" s="6">
        <v>46241</v>
      </c>
      <c r="N909" s="6">
        <v>46240</v>
      </c>
      <c r="O909" s="23">
        <f>TAB_OFICINAS[[#This Row],[Data Retorno Produção]]-TAB_OFICINAS[[#This Row],[Data Prometida  Entrega]]</f>
        <v>-1</v>
      </c>
      <c r="P909" s="98" t="str">
        <f>IF(TAB_OFICINAS[[#This Row],[Dias Para Entrega]]&lt;=0,"Em dia","Dia de Atrasado")</f>
        <v>Em dia</v>
      </c>
      <c r="Q909" s="24">
        <f>IFERROR(TAB_OFICINAS[[#This Row],[Qtd pçs Enviadas]]-TAB_OFICINAS[[#This Row],[Qtd pçs Retornadas ]],"N/D ")</f>
        <v>0</v>
      </c>
      <c r="R909" s="24">
        <v>0</v>
      </c>
      <c r="S909" s="5">
        <v>951</v>
      </c>
      <c r="T909" s="5">
        <v>17487</v>
      </c>
      <c r="U909" s="11">
        <v>12</v>
      </c>
      <c r="V909" s="25">
        <f>IFERROR(TAB_OFICINAS[[#This Row],[Valor Unit]]*TAB_OFICINAS[[#This Row],[Qtd pçs Enviadas]]," ")</f>
        <v>48</v>
      </c>
      <c r="W909" s="26">
        <v>46251</v>
      </c>
      <c r="X909" s="17" t="s">
        <v>6251</v>
      </c>
      <c r="Y909" s="27" t="s">
        <v>23412</v>
      </c>
      <c r="Z9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0" spans="3:26" hidden="1">
      <c r="C910" s="28" t="s">
        <v>15</v>
      </c>
      <c r="E910" s="5">
        <v>507</v>
      </c>
      <c r="F910" s="28" t="str">
        <f>IFERROR(VLOOKUP(TAB_OFICINAS[[#This Row],[Cliente]],LISTA_DE_CLIENTES[[Código]:[Nome Fantasia]],2,FALSE),"")</f>
        <v/>
      </c>
      <c r="G910" s="2" t="s">
        <v>20385</v>
      </c>
      <c r="H910" s="51">
        <v>3161094211</v>
      </c>
      <c r="I910" s="28" t="str">
        <f>IFERROR(VLOOKUP(TAB_OFICINAS[[#This Row],[Codigo Produto ]],_000___PEDIDOS_DE_CLIENTES[[Data.Column2]:[Descrição Produto]],2,FALSE)," ")</f>
        <v>TOALHA DE BANHO KIDS COM CAPUZ FELPA BRANCA ACAB/ AJOUR - STAR BEGE</v>
      </c>
      <c r="J910" s="91">
        <v>3</v>
      </c>
      <c r="K910" s="88">
        <v>46231</v>
      </c>
      <c r="L910" s="9">
        <v>3</v>
      </c>
      <c r="M910" s="6">
        <v>46241</v>
      </c>
      <c r="N910" s="6">
        <v>46241</v>
      </c>
      <c r="O910" s="23">
        <f>TAB_OFICINAS[[#This Row],[Data Retorno Produção]]-TAB_OFICINAS[[#This Row],[Data Prometida  Entrega]]</f>
        <v>0</v>
      </c>
      <c r="P910" s="98" t="str">
        <f>IF(TAB_OFICINAS[[#This Row],[Dias Para Entrega]]&lt;=0,"Em dia","Dia de Atrasado")</f>
        <v>Em dia</v>
      </c>
      <c r="Q910" s="24">
        <f>IFERROR(TAB_OFICINAS[[#This Row],[Qtd pçs Enviadas]]-TAB_OFICINAS[[#This Row],[Qtd pçs Retornadas ]],"N/D ")</f>
        <v>0</v>
      </c>
      <c r="R910" s="24">
        <v>0</v>
      </c>
      <c r="S910" s="5">
        <v>951</v>
      </c>
      <c r="T910" s="5">
        <v>17487</v>
      </c>
      <c r="U910" s="11">
        <v>12</v>
      </c>
      <c r="V910" s="25">
        <f>IFERROR(TAB_OFICINAS[[#This Row],[Valor Unit]]*TAB_OFICINAS[[#This Row],[Qtd pçs Enviadas]]," ")</f>
        <v>36</v>
      </c>
      <c r="W910" s="26">
        <v>46251</v>
      </c>
      <c r="X910" s="17" t="s">
        <v>6251</v>
      </c>
      <c r="Y910" s="27" t="s">
        <v>23412</v>
      </c>
      <c r="Z9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1" spans="3:26" hidden="1">
      <c r="C911" s="28" t="s">
        <v>15</v>
      </c>
      <c r="E911" s="5">
        <v>507</v>
      </c>
      <c r="F911" s="28" t="str">
        <f>IFERROR(VLOOKUP(TAB_OFICINAS[[#This Row],[Cliente]],LISTA_DE_CLIENTES[[Código]:[Nome Fantasia]],2,FALSE),"")</f>
        <v/>
      </c>
      <c r="G911" s="2" t="s">
        <v>20385</v>
      </c>
      <c r="H911" s="51">
        <v>3161093651</v>
      </c>
      <c r="I911" s="28" t="str">
        <f>IFERROR(VLOOKUP(TAB_OFICINAS[[#This Row],[Codigo Produto ]],_000___PEDIDOS_DE_CLIENTES[[Data.Column2]:[Descrição Produto]],2,FALSE)," ")</f>
        <v>TOALHA DE BANHO KIDS COM CAPUZ FELPA BRANCA ACAB/ AJOUR - STAR ROSA</v>
      </c>
      <c r="J911" s="91">
        <v>3</v>
      </c>
      <c r="K911" s="88">
        <v>46231</v>
      </c>
      <c r="L911" s="9">
        <v>3</v>
      </c>
      <c r="M911" s="6">
        <v>46241</v>
      </c>
      <c r="N911" s="6">
        <v>46241</v>
      </c>
      <c r="O911" s="23">
        <f>TAB_OFICINAS[[#This Row],[Data Retorno Produção]]-TAB_OFICINAS[[#This Row],[Data Prometida  Entrega]]</f>
        <v>0</v>
      </c>
      <c r="P911" s="98" t="str">
        <f>IF(TAB_OFICINAS[[#This Row],[Dias Para Entrega]]&lt;=0,"Em dia","Dia de Atrasado")</f>
        <v>Em dia</v>
      </c>
      <c r="Q911" s="24">
        <f>IFERROR(TAB_OFICINAS[[#This Row],[Qtd pçs Enviadas]]-TAB_OFICINAS[[#This Row],[Qtd pçs Retornadas ]],"N/D ")</f>
        <v>0</v>
      </c>
      <c r="R911" s="24">
        <v>0</v>
      </c>
      <c r="S911" s="5">
        <v>951</v>
      </c>
      <c r="T911" s="5">
        <v>17487</v>
      </c>
      <c r="U911" s="11">
        <v>12</v>
      </c>
      <c r="V911" s="25">
        <f>IFERROR(TAB_OFICINAS[[#This Row],[Valor Unit]]*TAB_OFICINAS[[#This Row],[Qtd pçs Enviadas]]," ")</f>
        <v>36</v>
      </c>
      <c r="W911" s="26">
        <v>46251</v>
      </c>
      <c r="X911" s="17" t="s">
        <v>6251</v>
      </c>
      <c r="Y911" s="27" t="s">
        <v>23412</v>
      </c>
      <c r="Z9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2" spans="3:26" hidden="1">
      <c r="C912" s="28" t="s">
        <v>15</v>
      </c>
      <c r="E912" s="5">
        <v>507</v>
      </c>
      <c r="F912" s="28" t="str">
        <f>IFERROR(VLOOKUP(TAB_OFICINAS[[#This Row],[Cliente]],LISTA_DE_CLIENTES[[Código]:[Nome Fantasia]],2,FALSE),"")</f>
        <v/>
      </c>
      <c r="G912" s="2" t="s">
        <v>20385</v>
      </c>
      <c r="H912" s="51">
        <v>3161093831</v>
      </c>
      <c r="I912" s="28" t="str">
        <f>IFERROR(VLOOKUP(TAB_OFICINAS[[#This Row],[Codigo Produto ]],_000___PEDIDOS_DE_CLIENTES[[Data.Column2]:[Descrição Produto]],2,FALSE)," ")</f>
        <v>TOALHA DE BANHO KIDS COM CAPUZ FELPA BRANCA ACAB/ AJOUR - STAR AZUL</v>
      </c>
      <c r="J912" s="91">
        <v>2</v>
      </c>
      <c r="K912" s="88">
        <v>46231</v>
      </c>
      <c r="L912" s="9">
        <v>2</v>
      </c>
      <c r="M912" s="6">
        <v>46241</v>
      </c>
      <c r="N912" s="6">
        <v>46241</v>
      </c>
      <c r="O912" s="23">
        <f>TAB_OFICINAS[[#This Row],[Data Retorno Produção]]-TAB_OFICINAS[[#This Row],[Data Prometida  Entrega]]</f>
        <v>0</v>
      </c>
      <c r="P912" s="98" t="str">
        <f>IF(TAB_OFICINAS[[#This Row],[Dias Para Entrega]]&lt;=0,"Em dia","Dia de Atrasado")</f>
        <v>Em dia</v>
      </c>
      <c r="Q912" s="24">
        <f>IFERROR(TAB_OFICINAS[[#This Row],[Qtd pçs Enviadas]]-TAB_OFICINAS[[#This Row],[Qtd pçs Retornadas ]],"N/D ")</f>
        <v>0</v>
      </c>
      <c r="R912" s="24">
        <v>0</v>
      </c>
      <c r="S912" s="5">
        <v>951</v>
      </c>
      <c r="T912" s="5">
        <v>17487</v>
      </c>
      <c r="U912" s="11">
        <v>12</v>
      </c>
      <c r="V912" s="25">
        <f>IFERROR(TAB_OFICINAS[[#This Row],[Valor Unit]]*TAB_OFICINAS[[#This Row],[Qtd pçs Enviadas]]," ")</f>
        <v>24</v>
      </c>
      <c r="W912" s="26">
        <v>46251</v>
      </c>
      <c r="X912" s="17" t="s">
        <v>6251</v>
      </c>
      <c r="Y912" s="27" t="s">
        <v>23412</v>
      </c>
      <c r="Z91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3" spans="2:26" ht="28.5" hidden="1">
      <c r="C913" s="28" t="s">
        <v>15</v>
      </c>
      <c r="E913" s="5">
        <v>507</v>
      </c>
      <c r="F913" s="28" t="str">
        <f>IFERROR(VLOOKUP(TAB_OFICINAS[[#This Row],[Cliente]],LISTA_DE_CLIENTES[[Código]:[Nome Fantasia]],2,FALSE),"")</f>
        <v/>
      </c>
      <c r="G913" s="2" t="s">
        <v>20385</v>
      </c>
      <c r="H913" s="51">
        <v>3161095242</v>
      </c>
      <c r="I913" s="28" t="str">
        <f>IFERROR(VLOOKUP(TAB_OFICINAS[[#This Row],[Codigo Produto ]],_000___PEDIDOS_DE_CLIENTES[[Data.Column2]:[Descrição Produto]],2,FALSE)," ")</f>
        <v>TOALHA DE BANHO KIDS COM CAPUZ FELPA BRANCA ACAB/ AJOUR</v>
      </c>
      <c r="J913" s="91">
        <v>4</v>
      </c>
      <c r="K913" s="88">
        <v>46231</v>
      </c>
      <c r="L913" s="9">
        <v>4</v>
      </c>
      <c r="M913" s="6">
        <v>46241</v>
      </c>
      <c r="N913" s="6">
        <v>46240</v>
      </c>
      <c r="O913" s="23">
        <f>TAB_OFICINAS[[#This Row],[Data Retorno Produção]]-TAB_OFICINAS[[#This Row],[Data Prometida  Entrega]]</f>
        <v>-1</v>
      </c>
      <c r="P913" s="98" t="str">
        <f>IF(TAB_OFICINAS[[#This Row],[Dias Para Entrega]]&lt;=0,"Em dia","Dia de Atrasado")</f>
        <v>Em dia</v>
      </c>
      <c r="Q913" s="24">
        <f>IFERROR(TAB_OFICINAS[[#This Row],[Qtd pçs Enviadas]]-TAB_OFICINAS[[#This Row],[Qtd pçs Retornadas ]],"N/D ")</f>
        <v>0</v>
      </c>
      <c r="R913" s="24">
        <v>0</v>
      </c>
      <c r="S913" s="5">
        <v>951</v>
      </c>
      <c r="T913" s="5">
        <v>17487</v>
      </c>
      <c r="U913" s="11">
        <v>12</v>
      </c>
      <c r="V913" s="25">
        <f>IFERROR(TAB_OFICINAS[[#This Row],[Valor Unit]]*TAB_OFICINAS[[#This Row],[Qtd pçs Enviadas]]," ")</f>
        <v>48</v>
      </c>
      <c r="W913" s="26">
        <v>46251</v>
      </c>
      <c r="X913" s="17" t="s">
        <v>6251</v>
      </c>
      <c r="Y913" s="27" t="s">
        <v>23973</v>
      </c>
      <c r="Z9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4" spans="2:26" hidden="1">
      <c r="C914" s="28" t="s">
        <v>15</v>
      </c>
      <c r="E914" s="5">
        <v>507</v>
      </c>
      <c r="F914" s="28" t="str">
        <f>IFERROR(VLOOKUP(TAB_OFICINAS[[#This Row],[Cliente]],LISTA_DE_CLIENTES[[Código]:[Nome Fantasia]],2,FALSE),"")</f>
        <v/>
      </c>
      <c r="G914" s="2" t="s">
        <v>20385</v>
      </c>
      <c r="H914" s="51">
        <v>3105114351</v>
      </c>
      <c r="I914" s="28" t="str">
        <f>IFERROR(VLOOKUP(TAB_OFICINAS[[#This Row],[Codigo Produto ]],_000___PEDIDOS_DE_CLIENTES[[Data.Column2]:[Descrição Produto]],2,FALSE)," ")</f>
        <v>TOALHA CAPUZ KIDS COELHO BORDADO - COLEÇÃO ALICE</v>
      </c>
      <c r="J914" s="91">
        <v>3</v>
      </c>
      <c r="K914" s="88">
        <v>46231</v>
      </c>
      <c r="L914" s="9">
        <v>3</v>
      </c>
      <c r="M914" s="6">
        <v>46241</v>
      </c>
      <c r="N914" s="6">
        <v>46241</v>
      </c>
      <c r="O914" s="23">
        <f>TAB_OFICINAS[[#This Row],[Data Retorno Produção]]-TAB_OFICINAS[[#This Row],[Data Prometida  Entrega]]</f>
        <v>0</v>
      </c>
      <c r="P914" s="98" t="str">
        <f>IF(TAB_OFICINAS[[#This Row],[Dias Para Entrega]]&lt;=0,"Em dia","Dia de Atrasado")</f>
        <v>Em dia</v>
      </c>
      <c r="Q914" s="24">
        <f>IFERROR(TAB_OFICINAS[[#This Row],[Qtd pçs Enviadas]]-TAB_OFICINAS[[#This Row],[Qtd pçs Retornadas ]],"N/D ")</f>
        <v>0</v>
      </c>
      <c r="R914" s="24">
        <v>0</v>
      </c>
      <c r="S914" s="5">
        <v>951</v>
      </c>
      <c r="T914" s="5">
        <v>17487</v>
      </c>
      <c r="U914" s="11">
        <v>14.7</v>
      </c>
      <c r="V914" s="25">
        <f>IFERROR(TAB_OFICINAS[[#This Row],[Valor Unit]]*TAB_OFICINAS[[#This Row],[Qtd pçs Enviadas]]," ")</f>
        <v>44.099999999999994</v>
      </c>
      <c r="W914" s="26">
        <v>46251</v>
      </c>
      <c r="X914" s="17" t="s">
        <v>6251</v>
      </c>
      <c r="Y914" s="27" t="s">
        <v>23974</v>
      </c>
      <c r="Z9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5" spans="2:26" hidden="1">
      <c r="C915" s="28" t="s">
        <v>15</v>
      </c>
      <c r="E915" s="5">
        <v>507</v>
      </c>
      <c r="F915" s="28" t="str">
        <f>IFERROR(VLOOKUP(TAB_OFICINAS[[#This Row],[Cliente]],LISTA_DE_CLIENTES[[Código]:[Nome Fantasia]],2,FALSE),"")</f>
        <v/>
      </c>
      <c r="G915" s="2" t="s">
        <v>20385</v>
      </c>
      <c r="H915" s="51" t="s">
        <v>23962</v>
      </c>
      <c r="I915" s="28" t="s">
        <v>23977</v>
      </c>
      <c r="J915" s="91">
        <v>4</v>
      </c>
      <c r="K915" s="88">
        <v>46231</v>
      </c>
      <c r="L915" s="9">
        <v>4</v>
      </c>
      <c r="M915" s="6">
        <v>46241</v>
      </c>
      <c r="N915" s="6">
        <v>46241</v>
      </c>
      <c r="O915" s="23">
        <f>TAB_OFICINAS[[#This Row],[Data Retorno Produção]]-TAB_OFICINAS[[#This Row],[Data Prometida  Entrega]]</f>
        <v>0</v>
      </c>
      <c r="P915" s="98" t="str">
        <f>IF(TAB_OFICINAS[[#This Row],[Dias Para Entrega]]&lt;=0,"Em dia","Dia de Atrasado")</f>
        <v>Em dia</v>
      </c>
      <c r="Q915" s="24">
        <f>IFERROR(TAB_OFICINAS[[#This Row],[Qtd pçs Enviadas]]-TAB_OFICINAS[[#This Row],[Qtd pçs Retornadas ]],"N/D ")</f>
        <v>0</v>
      </c>
      <c r="R915" s="24">
        <v>0</v>
      </c>
      <c r="S915" s="5">
        <v>951</v>
      </c>
      <c r="T915" s="5">
        <v>17487</v>
      </c>
      <c r="U915" s="11">
        <v>14.7</v>
      </c>
      <c r="V915" s="25">
        <f>IFERROR(TAB_OFICINAS[[#This Row],[Valor Unit]]*TAB_OFICINAS[[#This Row],[Qtd pçs Enviadas]]," ")</f>
        <v>58.8</v>
      </c>
      <c r="W915" s="26">
        <v>46251</v>
      </c>
      <c r="X915" s="17" t="s">
        <v>6251</v>
      </c>
      <c r="Y915" s="27" t="s">
        <v>23975</v>
      </c>
      <c r="Z9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6" spans="2:26" ht="28.5" hidden="1">
      <c r="C916" s="28" t="s">
        <v>15</v>
      </c>
      <c r="E916" s="5">
        <v>507</v>
      </c>
      <c r="F916" s="28" t="str">
        <f>IFERROR(VLOOKUP(TAB_OFICINAS[[#This Row],[Cliente]],LISTA_DE_CLIENTES[[Código]:[Nome Fantasia]],2,FALSE),"")</f>
        <v/>
      </c>
      <c r="G916" s="2" t="s">
        <v>20385</v>
      </c>
      <c r="H916" s="51" t="s">
        <v>23962</v>
      </c>
      <c r="I916" s="28" t="s">
        <v>23976</v>
      </c>
      <c r="J916" s="91">
        <v>4</v>
      </c>
      <c r="K916" s="88">
        <v>46231</v>
      </c>
      <c r="L916" s="9">
        <v>4</v>
      </c>
      <c r="M916" s="6">
        <v>46241</v>
      </c>
      <c r="N916" s="6">
        <v>46241</v>
      </c>
      <c r="O916" s="23">
        <f>TAB_OFICINAS[[#This Row],[Data Retorno Produção]]-TAB_OFICINAS[[#This Row],[Data Prometida  Entrega]]</f>
        <v>0</v>
      </c>
      <c r="P916" s="98" t="str">
        <f>IF(TAB_OFICINAS[[#This Row],[Dias Para Entrega]]&lt;=0,"Em dia","Dia de Atrasado")</f>
        <v>Em dia</v>
      </c>
      <c r="Q916" s="24">
        <f>IFERROR(TAB_OFICINAS[[#This Row],[Qtd pçs Enviadas]]-TAB_OFICINAS[[#This Row],[Qtd pçs Retornadas ]],"N/D ")</f>
        <v>0</v>
      </c>
      <c r="R916" s="24">
        <v>0</v>
      </c>
      <c r="S916" s="5">
        <v>951</v>
      </c>
      <c r="T916" s="5">
        <v>17487</v>
      </c>
      <c r="U916" s="11">
        <v>23.25</v>
      </c>
      <c r="V916" s="25">
        <f>IFERROR(TAB_OFICINAS[[#This Row],[Valor Unit]]*TAB_OFICINAS[[#This Row],[Qtd pçs Enviadas]]," ")</f>
        <v>93</v>
      </c>
      <c r="W916" s="26">
        <v>46251</v>
      </c>
      <c r="X916" s="17" t="s">
        <v>6251</v>
      </c>
      <c r="Y916" s="27" t="s">
        <v>23978</v>
      </c>
      <c r="Z9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7" spans="2:26" hidden="1">
      <c r="C917" s="28" t="s">
        <v>15</v>
      </c>
      <c r="E917" s="5">
        <v>507</v>
      </c>
      <c r="F917" s="28" t="str">
        <f>IFERROR(VLOOKUP(TAB_OFICINAS[[#This Row],[Cliente]],LISTA_DE_CLIENTES[[Código]:[Nome Fantasia]],2,FALSE),"")</f>
        <v/>
      </c>
      <c r="G917" s="2" t="s">
        <v>20385</v>
      </c>
      <c r="H917" s="51" t="s">
        <v>23962</v>
      </c>
      <c r="I917" s="28" t="s">
        <v>23979</v>
      </c>
      <c r="J917" s="91">
        <v>4</v>
      </c>
      <c r="K917" s="88">
        <v>46231</v>
      </c>
      <c r="L917" s="9">
        <v>4</v>
      </c>
      <c r="M917" s="6">
        <v>46241</v>
      </c>
      <c r="N917" s="6">
        <v>46241</v>
      </c>
      <c r="O917" s="23">
        <f>TAB_OFICINAS[[#This Row],[Data Retorno Produção]]-TAB_OFICINAS[[#This Row],[Data Prometida  Entrega]]</f>
        <v>0</v>
      </c>
      <c r="P917" s="98" t="str">
        <f>IF(TAB_OFICINAS[[#This Row],[Dias Para Entrega]]&lt;=0,"Em dia","Dia de Atrasado")</f>
        <v>Em dia</v>
      </c>
      <c r="Q917" s="24">
        <f>IFERROR(TAB_OFICINAS[[#This Row],[Qtd pçs Enviadas]]-TAB_OFICINAS[[#This Row],[Qtd pçs Retornadas ]],"N/D ")</f>
        <v>0</v>
      </c>
      <c r="R917" s="24">
        <v>0</v>
      </c>
      <c r="S917" s="5">
        <v>951</v>
      </c>
      <c r="T917" s="5">
        <v>17487</v>
      </c>
      <c r="U917" s="11">
        <v>12</v>
      </c>
      <c r="V917" s="25">
        <f>IFERROR(TAB_OFICINAS[[#This Row],[Valor Unit]]*TAB_OFICINAS[[#This Row],[Qtd pçs Enviadas]]," ")</f>
        <v>48</v>
      </c>
      <c r="W917" s="26">
        <v>46251</v>
      </c>
      <c r="X917" s="17" t="s">
        <v>6251</v>
      </c>
      <c r="Y917" s="27" t="s">
        <v>23981</v>
      </c>
      <c r="Z9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8" spans="2:26" ht="28.5" hidden="1">
      <c r="C918" s="28" t="s">
        <v>15</v>
      </c>
      <c r="E918" s="5">
        <v>507</v>
      </c>
      <c r="F918" s="28" t="str">
        <f>IFERROR(VLOOKUP(TAB_OFICINAS[[#This Row],[Cliente]],LISTA_DE_CLIENTES[[Código]:[Nome Fantasia]],2,FALSE),"")</f>
        <v/>
      </c>
      <c r="G918" s="2" t="s">
        <v>20385</v>
      </c>
      <c r="H918" s="51" t="s">
        <v>23962</v>
      </c>
      <c r="I918" s="28" t="s">
        <v>23980</v>
      </c>
      <c r="J918" s="91">
        <v>4</v>
      </c>
      <c r="K918" s="88">
        <v>46231</v>
      </c>
      <c r="L918" s="9">
        <v>4</v>
      </c>
      <c r="M918" s="6">
        <v>46241</v>
      </c>
      <c r="N918" s="6">
        <v>46241</v>
      </c>
      <c r="O918" s="23">
        <f>TAB_OFICINAS[[#This Row],[Data Retorno Produção]]-TAB_OFICINAS[[#This Row],[Data Prometida  Entrega]]</f>
        <v>0</v>
      </c>
      <c r="P918" s="98" t="str">
        <f>IF(TAB_OFICINAS[[#This Row],[Dias Para Entrega]]&lt;=0,"Em dia","Dia de Atrasado")</f>
        <v>Em dia</v>
      </c>
      <c r="Q918" s="24">
        <f>IFERROR(TAB_OFICINAS[[#This Row],[Qtd pçs Enviadas]]-TAB_OFICINAS[[#This Row],[Qtd pçs Retornadas ]],"N/D ")</f>
        <v>0</v>
      </c>
      <c r="R918" s="24">
        <v>0</v>
      </c>
      <c r="S918" s="5">
        <v>951</v>
      </c>
      <c r="T918" s="5">
        <v>17487</v>
      </c>
      <c r="U918" s="11">
        <v>24</v>
      </c>
      <c r="V918" s="25">
        <f>IFERROR(TAB_OFICINAS[[#This Row],[Valor Unit]]*TAB_OFICINAS[[#This Row],[Qtd pçs Enviadas]]," ")</f>
        <v>96</v>
      </c>
      <c r="W918" s="26">
        <v>46251</v>
      </c>
      <c r="X918" s="17" t="s">
        <v>6251</v>
      </c>
      <c r="Y918" s="27" t="s">
        <v>23982</v>
      </c>
      <c r="Z9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19" spans="2:26" ht="28.5" hidden="1">
      <c r="B919" t="s">
        <v>23441</v>
      </c>
      <c r="C919" s="28" t="s">
        <v>15</v>
      </c>
      <c r="E919" s="5">
        <v>507</v>
      </c>
      <c r="F919" s="28" t="str">
        <f>IFERROR(VLOOKUP(TAB_OFICINAS[[#This Row],[Cliente]],LISTA_DE_CLIENTES[[Código]:[Nome Fantasia]],2,FALSE),"")</f>
        <v/>
      </c>
      <c r="G919" s="2" t="s">
        <v>20385</v>
      </c>
      <c r="H919" s="51">
        <v>3161094502</v>
      </c>
      <c r="I919" s="28" t="str">
        <f>IFERROR(VLOOKUP(TAB_OFICINAS[[#This Row],[Codigo Produto ]],_000___PEDIDOS_DE_CLIENTES[[Data.Column2]:[Descrição Produto]],2,FALSE)," ")</f>
        <v>TOALHA DE BANHO C/ CAPUZ KIDS - BORDADA CAVALINHO</v>
      </c>
      <c r="J919" s="91">
        <v>3</v>
      </c>
      <c r="K919" s="88">
        <v>46231</v>
      </c>
      <c r="L919" s="9">
        <v>3</v>
      </c>
      <c r="M919" s="6">
        <v>46241</v>
      </c>
      <c r="N919" s="6">
        <v>46241</v>
      </c>
      <c r="O919" s="23">
        <f>TAB_OFICINAS[[#This Row],[Data Retorno Produção]]-TAB_OFICINAS[[#This Row],[Data Prometida  Entrega]]</f>
        <v>0</v>
      </c>
      <c r="P919" s="98" t="str">
        <f>IF(TAB_OFICINAS[[#This Row],[Dias Para Entrega]]&lt;=0,"Em dia","Dia de Atrasado")</f>
        <v>Em dia</v>
      </c>
      <c r="Q919" s="24">
        <f>IFERROR(TAB_OFICINAS[[#This Row],[Qtd pçs Enviadas]]-TAB_OFICINAS[[#This Row],[Qtd pçs Retornadas ]],"N/D ")</f>
        <v>0</v>
      </c>
      <c r="R919" s="24">
        <v>0</v>
      </c>
      <c r="S919" s="5">
        <v>951</v>
      </c>
      <c r="T919" s="5">
        <v>17487</v>
      </c>
      <c r="U919" s="11">
        <v>16</v>
      </c>
      <c r="V919" s="25">
        <f>IFERROR(TAB_OFICINAS[[#This Row],[Valor Unit]]*TAB_OFICINAS[[#This Row],[Qtd pçs Enviadas]]," ")</f>
        <v>48</v>
      </c>
      <c r="W919" s="26">
        <v>46251</v>
      </c>
      <c r="X919" s="17" t="s">
        <v>6251</v>
      </c>
      <c r="Y919" s="27" t="s">
        <v>23983</v>
      </c>
      <c r="Z9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0" spans="2:26" hidden="1">
      <c r="C920" s="28" t="s">
        <v>15</v>
      </c>
      <c r="E920" s="5">
        <v>507</v>
      </c>
      <c r="F920" s="28" t="str">
        <f>IFERROR(VLOOKUP(TAB_OFICINAS[[#This Row],[Cliente]],LISTA_DE_CLIENTES[[Código]:[Nome Fantasia]],2,FALSE),"")</f>
        <v/>
      </c>
      <c r="G920" s="2" t="s">
        <v>20385</v>
      </c>
      <c r="H920" s="51">
        <v>3161094496</v>
      </c>
      <c r="I920" s="28" t="str">
        <f>IFERROR(VLOOKUP(TAB_OFICINAS[[#This Row],[Codigo Produto ]],_000___PEDIDOS_DE_CLIENTES[[Data.Column2]:[Descrição Produto]],2,FALSE)," ")</f>
        <v>TOALHA DE BANHO C/ CAPUZ KIDS - BORDADO JARDIM</v>
      </c>
      <c r="J920" s="91">
        <v>3</v>
      </c>
      <c r="K920" s="88">
        <v>46231</v>
      </c>
      <c r="L920" s="9">
        <v>3</v>
      </c>
      <c r="M920" s="6">
        <v>46241</v>
      </c>
      <c r="N920" s="6">
        <v>46241</v>
      </c>
      <c r="O920" s="23">
        <f>TAB_OFICINAS[[#This Row],[Data Retorno Produção]]-TAB_OFICINAS[[#This Row],[Data Prometida  Entrega]]</f>
        <v>0</v>
      </c>
      <c r="P920" s="98" t="str">
        <f>IF(TAB_OFICINAS[[#This Row],[Dias Para Entrega]]&lt;=0,"Em dia","Dia de Atrasado")</f>
        <v>Em dia</v>
      </c>
      <c r="Q920" s="24">
        <f>IFERROR(TAB_OFICINAS[[#This Row],[Qtd pçs Enviadas]]-TAB_OFICINAS[[#This Row],[Qtd pçs Retornadas ]],"N/D ")</f>
        <v>0</v>
      </c>
      <c r="R920" s="24">
        <v>0</v>
      </c>
      <c r="S920" s="5">
        <v>951</v>
      </c>
      <c r="T920" s="5">
        <v>17487</v>
      </c>
      <c r="U920" s="11">
        <v>12</v>
      </c>
      <c r="V920" s="25">
        <f>IFERROR(TAB_OFICINAS[[#This Row],[Valor Unit]]*TAB_OFICINAS[[#This Row],[Qtd pçs Enviadas]]," ")</f>
        <v>36</v>
      </c>
      <c r="W920" s="26">
        <v>46251</v>
      </c>
      <c r="X920" s="17" t="s">
        <v>6251</v>
      </c>
      <c r="Y920" s="27" t="s">
        <v>22867</v>
      </c>
      <c r="Z9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1" spans="2:26" hidden="1">
      <c r="C921" s="28" t="s">
        <v>15</v>
      </c>
      <c r="D921" s="5">
        <v>5674</v>
      </c>
      <c r="E921" s="5">
        <v>24005</v>
      </c>
      <c r="F921" s="28" t="str">
        <f>IFERROR(VLOOKUP(TAB_OFICINAS[[#This Row],[Cliente]],LISTA_DE_CLIENTES[[Código]:[Nome Fantasia]],2,FALSE),"")</f>
        <v>REDE D´OR SAO LUIZ S.A.</v>
      </c>
      <c r="G921" s="2" t="str">
        <f>IFERROR(VLOOKUP(TAB_OFICINAS[[#This Row],[Cliente]],LISTA_DE_CLIENTES[[Código]:[Nome Fantasia]],3,FALSE),"")</f>
        <v>SAO LUIZ - UNIDADE B</v>
      </c>
      <c r="H921" s="51">
        <v>2103061229</v>
      </c>
      <c r="I921" s="28" t="str">
        <f>IFERROR(VLOOKUP(TAB_OFICINAS[[#This Row],[Codigo Produto ]],_000___PEDIDOS_DE_CLIENTES[[Data.Column2]:[Descrição Produto]],2,FALSE)," ")</f>
        <v>SUPER FRONHA ENVELOPE 180F MISTO AZUL CLARO - LOGO BORDADO COR LAPÍS 7115 - 0,50 X 0,90</v>
      </c>
      <c r="J921" s="91">
        <v>1</v>
      </c>
      <c r="K921" s="88">
        <v>46231</v>
      </c>
      <c r="L921" s="9">
        <v>1</v>
      </c>
      <c r="M921" s="6">
        <v>46232</v>
      </c>
      <c r="N921" s="6">
        <v>46232</v>
      </c>
      <c r="O921" s="23">
        <f>TAB_OFICINAS[[#This Row],[Data Retorno Produção]]-TAB_OFICINAS[[#This Row],[Data Prometida  Entrega]]</f>
        <v>0</v>
      </c>
      <c r="P921" s="98" t="str">
        <f>IF(TAB_OFICINAS[[#This Row],[Dias Para Entrega]]&lt;=0,"Em dia","Dia de Atrasado")</f>
        <v>Em dia</v>
      </c>
      <c r="Q921" s="24">
        <f>IFERROR(TAB_OFICINAS[[#This Row],[Qtd pçs Enviadas]]-TAB_OFICINAS[[#This Row],[Qtd pçs Retornadas ]],"N/D ")</f>
        <v>0</v>
      </c>
      <c r="R921" s="24"/>
      <c r="S921" s="5">
        <v>951</v>
      </c>
      <c r="T921" s="5">
        <v>17487</v>
      </c>
      <c r="U921" s="11">
        <v>3.85</v>
      </c>
      <c r="V921" s="25">
        <f>IFERROR(TAB_OFICINAS[[#This Row],[Valor Unit]]*TAB_OFICINAS[[#This Row],[Qtd pçs Enviadas]]," ")</f>
        <v>3.85</v>
      </c>
      <c r="W921" s="26">
        <v>46251</v>
      </c>
      <c r="X921" s="17" t="s">
        <v>6251</v>
      </c>
      <c r="Y921" s="27" t="s">
        <v>23984</v>
      </c>
      <c r="Z9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2" spans="2:26" hidden="1">
      <c r="C922" s="28" t="s">
        <v>7</v>
      </c>
      <c r="D922" s="5">
        <v>1973</v>
      </c>
      <c r="E922" s="5">
        <v>23975</v>
      </c>
      <c r="F922" s="28" t="str">
        <f>IFERROR(VLOOKUP(TAB_OFICINAS[[#This Row],[Cliente]],LISTA_DE_CLIENTES[[Código]:[Nome Fantasia]],2,FALSE),"")</f>
        <v>L.E.B.S.P.E. EMPREENDIMENTOS E PARTICIPACOES LTDA.</v>
      </c>
      <c r="G922" s="2" t="str">
        <f>IFERROR(VLOOKUP(TAB_OFICINAS[[#This Row],[Cliente]],LISTA_DE_CLIENTES[[Código]:[Nome Fantasia]],3,FALSE),"")</f>
        <v>GRAND MERCURE ITAIM</v>
      </c>
      <c r="H922" s="51">
        <v>2115035266</v>
      </c>
      <c r="I922" s="28" t="str">
        <f>IFERROR(VLOOKUP(TAB_OFICINAS[[#This Row],[Codigo Produto ]],_000___PEDIDOS_DE_CLIENTES[[Data.Column2]:[Descrição Produto]],2,FALSE)," ")</f>
        <v>DUVET (CAPA) 230F MISTO CLASSIC COM ENVELOPE 1,80 X 2,40 COM COSTURA AZUL PARA IDENTIFICAÇÃO</v>
      </c>
      <c r="J922" s="91">
        <v>149</v>
      </c>
      <c r="K922" s="88">
        <v>46224</v>
      </c>
      <c r="L922" s="9">
        <v>149</v>
      </c>
      <c r="M922" s="6">
        <v>46240</v>
      </c>
      <c r="N922" s="6">
        <v>46231</v>
      </c>
      <c r="O922" s="23">
        <f>TAB_OFICINAS[[#This Row],[Data Retorno Produção]]-TAB_OFICINAS[[#This Row],[Data Prometida  Entrega]]</f>
        <v>-9</v>
      </c>
      <c r="P922" s="98" t="str">
        <f>IF(TAB_OFICINAS[[#This Row],[Dias Para Entrega]]&lt;=0,"Em dia","Dia de Atrasado")</f>
        <v>Em dia</v>
      </c>
      <c r="Q922" s="24">
        <f>IFERROR(TAB_OFICINAS[[#This Row],[Qtd pçs Enviadas]]-TAB_OFICINAS[[#This Row],[Qtd pçs Retornadas ]],"N/D ")</f>
        <v>0</v>
      </c>
      <c r="R922" s="24"/>
      <c r="S922" s="5">
        <v>938</v>
      </c>
      <c r="T922" s="5">
        <v>51</v>
      </c>
      <c r="U922" s="11">
        <v>10</v>
      </c>
      <c r="V922" s="25">
        <f>IFERROR(TAB_OFICINAS[[#This Row],[Valor Unit]]*TAB_OFICINAS[[#This Row],[Qtd pçs Enviadas]]," ")</f>
        <v>1490</v>
      </c>
      <c r="W922" s="26">
        <f>TAB_OFICINAS[[#This Row],[Data Retorno Produção]]+8</f>
        <v>46239</v>
      </c>
      <c r="X922" s="17" t="s">
        <v>6251</v>
      </c>
      <c r="Y922" s="27"/>
      <c r="Z9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3" spans="2:26" hidden="1">
      <c r="C923" s="28" t="s">
        <v>7</v>
      </c>
      <c r="D923" s="5">
        <v>1973</v>
      </c>
      <c r="E923" s="5">
        <v>23975</v>
      </c>
      <c r="F923" s="28" t="str">
        <f>IFERROR(VLOOKUP(TAB_OFICINAS[[#This Row],[Cliente]],LISTA_DE_CLIENTES[[Código]:[Nome Fantasia]],2,FALSE),"")</f>
        <v>L.E.B.S.P.E. EMPREENDIMENTOS E PARTICIPACOES LTDA.</v>
      </c>
      <c r="G923" s="2" t="str">
        <f>IFERROR(VLOOKUP(TAB_OFICINAS[[#This Row],[Cliente]],LISTA_DE_CLIENTES[[Código]:[Nome Fantasia]],3,FALSE),"")</f>
        <v>GRAND MERCURE ITAIM</v>
      </c>
      <c r="H923" s="51">
        <v>2101021234</v>
      </c>
      <c r="I923" s="28" t="str">
        <f>IFERROR(VLOOKUP(TAB_OFICINAS[[#This Row],[Codigo Produto ]],_000___PEDIDOS_DE_CLIENTES[[Data.Column2]:[Descrição Produto]],2,FALSE)," ")</f>
        <v>LENÇOL BARRA ESTREITA 230F MISTO LISO 1,80 X 3,00 - COM COSTURA AZUL PARA IDENTIFICAÇÃO</v>
      </c>
      <c r="J923" s="91">
        <v>149</v>
      </c>
      <c r="K923" s="88">
        <v>46224</v>
      </c>
      <c r="L923" s="9">
        <v>149</v>
      </c>
      <c r="M923" s="6">
        <v>46240</v>
      </c>
      <c r="N923" s="6">
        <v>46231</v>
      </c>
      <c r="O923" s="23">
        <f>TAB_OFICINAS[[#This Row],[Data Retorno Produção]]-TAB_OFICINAS[[#This Row],[Data Prometida  Entrega]]</f>
        <v>-9</v>
      </c>
      <c r="P923" s="98" t="str">
        <f>IF(TAB_OFICINAS[[#This Row],[Dias Para Entrega]]&lt;=0,"Em dia","Dia de Atrasado")</f>
        <v>Em dia</v>
      </c>
      <c r="Q923" s="24">
        <f>IFERROR(TAB_OFICINAS[[#This Row],[Qtd pçs Enviadas]]-TAB_OFICINAS[[#This Row],[Qtd pçs Retornadas ]],"N/D ")</f>
        <v>0</v>
      </c>
      <c r="R923" s="24"/>
      <c r="S923" s="5">
        <v>938</v>
      </c>
      <c r="T923" s="5">
        <v>51</v>
      </c>
      <c r="U923" s="11">
        <v>6</v>
      </c>
      <c r="V923" s="25">
        <f>IFERROR(TAB_OFICINAS[[#This Row],[Valor Unit]]*TAB_OFICINAS[[#This Row],[Qtd pçs Enviadas]]," ")</f>
        <v>894</v>
      </c>
      <c r="W923" s="26">
        <v>46239</v>
      </c>
      <c r="X923" s="17" t="s">
        <v>6251</v>
      </c>
      <c r="Y923" s="27"/>
      <c r="Z9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4" spans="2:26" hidden="1">
      <c r="C924" s="28" t="s">
        <v>20</v>
      </c>
      <c r="D924" s="5">
        <v>188</v>
      </c>
      <c r="E924" s="5">
        <v>24017</v>
      </c>
      <c r="F924" s="28" t="str">
        <f>IFERROR(VLOOKUP(TAB_OFICINAS[[#This Row],[Cliente]],LISTA_DE_CLIENTES[[Código]:[Nome Fantasia]],2,FALSE),"")</f>
        <v>IHC SAO PAULO HOTELARIA LTDA.</v>
      </c>
      <c r="G924" s="2" t="str">
        <f>IFERROR(VLOOKUP(TAB_OFICINAS[[#This Row],[Cliente]],LISTA_DE_CLIENTES[[Código]:[Nome Fantasia]],3,FALSE),"")</f>
        <v>INTERCONTINENTAL SP</v>
      </c>
      <c r="H924" s="51">
        <v>92101066000</v>
      </c>
      <c r="I924" s="28" t="s">
        <v>21420</v>
      </c>
      <c r="J924" s="91">
        <v>309</v>
      </c>
      <c r="K924" s="88">
        <v>46233</v>
      </c>
      <c r="L924" s="9">
        <v>309</v>
      </c>
      <c r="M924" s="6">
        <v>46248</v>
      </c>
      <c r="N924" s="6">
        <v>46245</v>
      </c>
      <c r="O924" s="23">
        <f>TAB_OFICINAS[[#This Row],[Data Retorno Produção]]-TAB_OFICINAS[[#This Row],[Data Prometida  Entrega]]</f>
        <v>-3</v>
      </c>
      <c r="P924" s="98" t="str">
        <f>IF(TAB_OFICINAS[[#This Row],[Dias Para Entrega]]&lt;=0,"Em dia","Dia de Atrasado")</f>
        <v>Em dia</v>
      </c>
      <c r="Q924" s="24">
        <f>IFERROR(TAB_OFICINAS[[#This Row],[Qtd pçs Enviadas]]-TAB_OFICINAS[[#This Row],[Qtd pçs Retornadas ]],"N/D ")</f>
        <v>0</v>
      </c>
      <c r="R924" s="24"/>
      <c r="S924" s="5">
        <v>3340</v>
      </c>
      <c r="T924" s="5">
        <v>95</v>
      </c>
      <c r="U924" s="11">
        <v>6.5</v>
      </c>
      <c r="V924" s="25">
        <f>IFERROR(TAB_OFICINAS[[#This Row],[Valor Unit]]*TAB_OFICINAS[[#This Row],[Qtd pçs Enviadas]]," ")</f>
        <v>2008.5</v>
      </c>
      <c r="W924" s="26">
        <v>46255</v>
      </c>
      <c r="X924" s="17" t="s">
        <v>6251</v>
      </c>
      <c r="Y924" s="27"/>
      <c r="Z9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5" spans="2:26" ht="28.5" hidden="1">
      <c r="C925" s="28" t="s">
        <v>21</v>
      </c>
      <c r="D925" s="5">
        <v>5674</v>
      </c>
      <c r="E925" s="5">
        <v>24005</v>
      </c>
      <c r="F925" s="28" t="str">
        <f>IFERROR(VLOOKUP(TAB_OFICINAS[[#This Row],[Cliente]],LISTA_DE_CLIENTES[[Código]:[Nome Fantasia]],2,FALSE),"")</f>
        <v>REDE D´OR SAO LUIZ S.A.</v>
      </c>
      <c r="G925" s="2" t="str">
        <f>IFERROR(VLOOKUP(TAB_OFICINAS[[#This Row],[Cliente]],LISTA_DE_CLIENTES[[Código]:[Nome Fantasia]],3,FALSE),"")</f>
        <v>SAO LUIZ - UNIDADE B</v>
      </c>
      <c r="H925" s="51">
        <v>21010111231</v>
      </c>
      <c r="I925" s="28" t="s">
        <v>23986</v>
      </c>
      <c r="J925" s="91">
        <v>1</v>
      </c>
      <c r="K925" s="88">
        <v>46232</v>
      </c>
      <c r="L925" s="9">
        <v>1</v>
      </c>
      <c r="M925" s="6">
        <v>46234</v>
      </c>
      <c r="N925" s="6">
        <f t="shared" ca="1" si="2"/>
        <v>46315</v>
      </c>
      <c r="O925" s="23">
        <f ca="1">TAB_OFICINAS[[#This Row],[Data Retorno Produção]]-TAB_OFICINAS[[#This Row],[Data Prometida  Entrega]]</f>
        <v>81</v>
      </c>
      <c r="P925" s="98" t="str">
        <f ca="1">IF(TAB_OFICINAS[[#This Row],[Dias Para Entrega]]&lt;=0,"Em dia","Dia de Atrasado")</f>
        <v>Dia de Atrasado</v>
      </c>
      <c r="Q925" s="24">
        <f>IFERROR(TAB_OFICINAS[[#This Row],[Qtd pçs Enviadas]]-TAB_OFICINAS[[#This Row],[Qtd pçs Retornadas ]],"N/D ")</f>
        <v>0</v>
      </c>
      <c r="R925" s="24"/>
      <c r="S925" s="5">
        <v>953</v>
      </c>
      <c r="U925" s="11">
        <v>120</v>
      </c>
      <c r="V925" s="25">
        <f>IFERROR(TAB_OFICINAS[[#This Row],[Valor Unit]]*TAB_OFICINAS[[#This Row],[Qtd pçs Enviadas]]," ")</f>
        <v>120</v>
      </c>
      <c r="W925" s="26"/>
      <c r="X925" s="17" t="s">
        <v>6251</v>
      </c>
      <c r="Y925" s="27" t="s">
        <v>23987</v>
      </c>
      <c r="Z9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6" spans="2:26" hidden="1">
      <c r="C926" s="28" t="s">
        <v>15</v>
      </c>
      <c r="E926" s="5">
        <v>502</v>
      </c>
      <c r="F926" s="28" t="s">
        <v>20290</v>
      </c>
      <c r="G926" s="2" t="str">
        <f>IFERROR(VLOOKUP(TAB_OFICINAS[[#This Row],[Cliente]],LISTA_DE_CLIENTES[[Código]:[Nome Fantasia]],3,FALSE),"")</f>
        <v/>
      </c>
      <c r="H926" s="51" t="s">
        <v>23962</v>
      </c>
      <c r="I926" s="28" t="s">
        <v>23990</v>
      </c>
      <c r="J926" s="91">
        <v>1</v>
      </c>
      <c r="K926" s="88">
        <v>46234</v>
      </c>
      <c r="L926" s="9">
        <v>1</v>
      </c>
      <c r="M926" s="6">
        <v>46241</v>
      </c>
      <c r="N926" s="6">
        <v>46241</v>
      </c>
      <c r="O926" s="23">
        <f>TAB_OFICINAS[[#This Row],[Data Retorno Produção]]-TAB_OFICINAS[[#This Row],[Data Prometida  Entrega]]</f>
        <v>0</v>
      </c>
      <c r="P926" s="98" t="str">
        <f>IF(TAB_OFICINAS[[#This Row],[Dias Para Entrega]]&lt;=0,"Em dia","Dia de Atrasado")</f>
        <v>Em dia</v>
      </c>
      <c r="Q926" s="24">
        <f>IFERROR(TAB_OFICINAS[[#This Row],[Qtd pçs Enviadas]]-TAB_OFICINAS[[#This Row],[Qtd pçs Retornadas ]],"N/D ")</f>
        <v>0</v>
      </c>
      <c r="R926" s="24">
        <v>0</v>
      </c>
      <c r="S926" s="5">
        <v>3344</v>
      </c>
      <c r="T926" s="5">
        <v>17484</v>
      </c>
      <c r="U926" s="11">
        <v>40</v>
      </c>
      <c r="V926" s="25">
        <f>IFERROR(TAB_OFICINAS[[#This Row],[Valor Unit]]*TAB_OFICINAS[[#This Row],[Qtd pçs Enviadas]]," ")</f>
        <v>40</v>
      </c>
      <c r="W926" s="26">
        <v>46251</v>
      </c>
      <c r="X926" s="17" t="s">
        <v>6251</v>
      </c>
      <c r="Y926" s="27" t="s">
        <v>23996</v>
      </c>
      <c r="Z9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7" spans="2:26" hidden="1">
      <c r="C927" s="28" t="s">
        <v>15</v>
      </c>
      <c r="E927" s="5">
        <v>502</v>
      </c>
      <c r="F927" s="28" t="s">
        <v>20290</v>
      </c>
      <c r="G927" s="2" t="str">
        <f>IFERROR(VLOOKUP(TAB_OFICINAS[[#This Row],[Cliente]],LISTA_DE_CLIENTES[[Código]:[Nome Fantasia]],3,FALSE),"")</f>
        <v/>
      </c>
      <c r="H927" s="51" t="s">
        <v>23962</v>
      </c>
      <c r="I927" s="28" t="s">
        <v>23991</v>
      </c>
      <c r="J927" s="91">
        <v>1</v>
      </c>
      <c r="K927" s="88">
        <v>46234</v>
      </c>
      <c r="L927" s="9">
        <v>1</v>
      </c>
      <c r="M927" s="6">
        <v>46241</v>
      </c>
      <c r="N927" s="6">
        <v>46241</v>
      </c>
      <c r="O927" s="23">
        <f>TAB_OFICINAS[[#This Row],[Data Retorno Produção]]-TAB_OFICINAS[[#This Row],[Data Prometida  Entrega]]</f>
        <v>0</v>
      </c>
      <c r="P927" s="98" t="str">
        <f>IF(TAB_OFICINAS[[#This Row],[Dias Para Entrega]]&lt;=0,"Em dia","Dia de Atrasado")</f>
        <v>Em dia</v>
      </c>
      <c r="Q927" s="24">
        <f>IFERROR(TAB_OFICINAS[[#This Row],[Qtd pçs Enviadas]]-TAB_OFICINAS[[#This Row],[Qtd pçs Retornadas ]],"N/D ")</f>
        <v>0</v>
      </c>
      <c r="R927" s="24">
        <v>0</v>
      </c>
      <c r="S927" s="5">
        <v>3344</v>
      </c>
      <c r="T927" s="5">
        <v>17484</v>
      </c>
      <c r="U927" s="11">
        <v>40</v>
      </c>
      <c r="V927" s="25">
        <f>IFERROR(TAB_OFICINAS[[#This Row],[Valor Unit]]*TAB_OFICINAS[[#This Row],[Qtd pçs Enviadas]]," ")</f>
        <v>40</v>
      </c>
      <c r="W927" s="26">
        <v>46251</v>
      </c>
      <c r="X927" s="17" t="s">
        <v>6251</v>
      </c>
      <c r="Y927" s="27" t="s">
        <v>23996</v>
      </c>
      <c r="Z9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8" spans="2:26" hidden="1">
      <c r="C928" s="28" t="s">
        <v>15</v>
      </c>
      <c r="E928" s="5">
        <v>502</v>
      </c>
      <c r="F928" s="28" t="s">
        <v>20290</v>
      </c>
      <c r="G928" s="2" t="str">
        <f>IFERROR(VLOOKUP(TAB_OFICINAS[[#This Row],[Cliente]],LISTA_DE_CLIENTES[[Código]:[Nome Fantasia]],3,FALSE),"")</f>
        <v/>
      </c>
      <c r="H928" s="51" t="s">
        <v>23962</v>
      </c>
      <c r="I928" s="28" t="s">
        <v>23992</v>
      </c>
      <c r="J928" s="91">
        <v>1</v>
      </c>
      <c r="K928" s="88">
        <v>46234</v>
      </c>
      <c r="L928" s="9">
        <v>1</v>
      </c>
      <c r="M928" s="6">
        <v>46241</v>
      </c>
      <c r="N928" s="6">
        <v>46241</v>
      </c>
      <c r="O928" s="23">
        <f>TAB_OFICINAS[[#This Row],[Data Retorno Produção]]-TAB_OFICINAS[[#This Row],[Data Prometida  Entrega]]</f>
        <v>0</v>
      </c>
      <c r="P928" s="98" t="str">
        <f>IF(TAB_OFICINAS[[#This Row],[Dias Para Entrega]]&lt;=0,"Em dia","Dia de Atrasado")</f>
        <v>Em dia</v>
      </c>
      <c r="Q928" s="24">
        <f>IFERROR(TAB_OFICINAS[[#This Row],[Qtd pçs Enviadas]]-TAB_OFICINAS[[#This Row],[Qtd pçs Retornadas ]],"N/D ")</f>
        <v>0</v>
      </c>
      <c r="R928" s="24">
        <v>0</v>
      </c>
      <c r="S928" s="5">
        <v>3344</v>
      </c>
      <c r="T928" s="5">
        <v>17484</v>
      </c>
      <c r="U928" s="11">
        <v>22</v>
      </c>
      <c r="V928" s="25">
        <f>IFERROR(TAB_OFICINAS[[#This Row],[Valor Unit]]*TAB_OFICINAS[[#This Row],[Qtd pçs Enviadas]]," ")</f>
        <v>22</v>
      </c>
      <c r="W928" s="26">
        <v>46251</v>
      </c>
      <c r="X928" s="17" t="s">
        <v>6251</v>
      </c>
      <c r="Y928" s="27" t="s">
        <v>23995</v>
      </c>
      <c r="Z9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29" spans="3:26" hidden="1">
      <c r="C929" s="28" t="s">
        <v>15</v>
      </c>
      <c r="E929" s="5">
        <v>502</v>
      </c>
      <c r="F929" s="28" t="s">
        <v>20290</v>
      </c>
      <c r="G929" s="2" t="str">
        <f>IFERROR(VLOOKUP(TAB_OFICINAS[[#This Row],[Cliente]],LISTA_DE_CLIENTES[[Código]:[Nome Fantasia]],3,FALSE),"")</f>
        <v/>
      </c>
      <c r="H929" s="51" t="s">
        <v>23962</v>
      </c>
      <c r="I929" s="28" t="s">
        <v>23993</v>
      </c>
      <c r="J929" s="91">
        <v>1</v>
      </c>
      <c r="K929" s="88">
        <v>46234</v>
      </c>
      <c r="L929" s="9">
        <v>1</v>
      </c>
      <c r="M929" s="6">
        <v>46241</v>
      </c>
      <c r="N929" s="6">
        <v>46241</v>
      </c>
      <c r="O929" s="23">
        <f>TAB_OFICINAS[[#This Row],[Data Retorno Produção]]-TAB_OFICINAS[[#This Row],[Data Prometida  Entrega]]</f>
        <v>0</v>
      </c>
      <c r="P929" s="98" t="str">
        <f>IF(TAB_OFICINAS[[#This Row],[Dias Para Entrega]]&lt;=0,"Em dia","Dia de Atrasado")</f>
        <v>Em dia</v>
      </c>
      <c r="Q929" s="24">
        <f>IFERROR(TAB_OFICINAS[[#This Row],[Qtd pçs Enviadas]]-TAB_OFICINAS[[#This Row],[Qtd pçs Retornadas ]],"N/D ")</f>
        <v>0</v>
      </c>
      <c r="R929" s="24">
        <v>0</v>
      </c>
      <c r="S929" s="5">
        <v>3344</v>
      </c>
      <c r="T929" s="5">
        <v>17484</v>
      </c>
      <c r="U929" s="11">
        <v>17</v>
      </c>
      <c r="V929" s="25">
        <f>IFERROR(TAB_OFICINAS[[#This Row],[Valor Unit]]*TAB_OFICINAS[[#This Row],[Qtd pçs Enviadas]]," ")</f>
        <v>17</v>
      </c>
      <c r="W929" s="26">
        <v>46251</v>
      </c>
      <c r="X929" s="17" t="s">
        <v>6251</v>
      </c>
      <c r="Y929" s="27" t="s">
        <v>23994</v>
      </c>
      <c r="Z9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0" spans="3:26" hidden="1">
      <c r="C930" s="28" t="s">
        <v>15</v>
      </c>
      <c r="D930" s="5">
        <v>5645</v>
      </c>
      <c r="E930" s="5">
        <v>23888</v>
      </c>
      <c r="F930" s="28" t="str">
        <f>IFERROR(VLOOKUP(TAB_OFICINAS[[#This Row],[Cliente]],LISTA_DE_CLIENTES[[Código]:[Nome Fantasia]],2,FALSE),"")</f>
        <v>HCC HOTELS GESTAO HOTELEIRA SA</v>
      </c>
      <c r="G930" s="2" t="str">
        <f>IFERROR(VLOOKUP(TAB_OFICINAS[[#This Row],[Cliente]],LISTA_DE_CLIENTES[[Código]:[Nome Fantasia]],3,FALSE),"")</f>
        <v>CASA COSTA</v>
      </c>
      <c r="H930" s="51">
        <v>3301093860</v>
      </c>
      <c r="I930" s="28" t="str">
        <f>IFERROR(VLOOKUP(TAB_OFICINAS[[#This Row],[Codigo Produto ]],_000___PEDIDOS_DE_CLIENTES[[Data.Column2]:[Descrição Produto]],2,FALSE)," ")</f>
        <v>ROUPÃO FELPA CARAMELO BORDADO ESCRITA CASA COSTA COR BEGE 5305 GG</v>
      </c>
      <c r="J930" s="91">
        <v>183</v>
      </c>
      <c r="K930" s="88">
        <v>46234</v>
      </c>
      <c r="L930" s="9">
        <v>183</v>
      </c>
      <c r="M930" s="6">
        <v>46239</v>
      </c>
      <c r="N930" s="6">
        <v>46240</v>
      </c>
      <c r="O930" s="23">
        <f>TAB_OFICINAS[[#This Row],[Data Retorno Produção]]-TAB_OFICINAS[[#This Row],[Data Prometida  Entrega]]</f>
        <v>1</v>
      </c>
      <c r="P930" s="98" t="str">
        <f>IF(TAB_OFICINAS[[#This Row],[Dias Para Entrega]]&lt;=0,"Em dia","Dia de Atrasado")</f>
        <v>Dia de Atrasado</v>
      </c>
      <c r="Q930" s="24">
        <f>IFERROR(TAB_OFICINAS[[#This Row],[Qtd pçs Enviadas]]-TAB_OFICINAS[[#This Row],[Qtd pçs Retornadas ]],"N/D ")</f>
        <v>0</v>
      </c>
      <c r="R930" s="24"/>
      <c r="S930" s="5">
        <v>3344</v>
      </c>
      <c r="T930" s="5">
        <v>17478</v>
      </c>
      <c r="U930" s="11">
        <v>2.4</v>
      </c>
      <c r="V930" s="25">
        <f>IFERROR(TAB_OFICINAS[[#This Row],[Valor Unit]]*TAB_OFICINAS[[#This Row],[Qtd pçs Enviadas]]," ")</f>
        <v>439.2</v>
      </c>
      <c r="W930" s="26">
        <v>46246</v>
      </c>
      <c r="X930" s="17" t="s">
        <v>6251</v>
      </c>
      <c r="Y930" s="27" t="s">
        <v>23700</v>
      </c>
      <c r="Z9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1" spans="3:26" hidden="1">
      <c r="C931" s="28" t="s">
        <v>15</v>
      </c>
      <c r="D931" s="5">
        <v>5645</v>
      </c>
      <c r="E931" s="5">
        <v>23888</v>
      </c>
      <c r="F931" s="28" t="str">
        <f>IFERROR(VLOOKUP(TAB_OFICINAS[[#This Row],[Cliente]],LISTA_DE_CLIENTES[[Código]:[Nome Fantasia]],2,FALSE),"")</f>
        <v>HCC HOTELS GESTAO HOTELEIRA SA</v>
      </c>
      <c r="G931" s="2" t="str">
        <f>IFERROR(VLOOKUP(TAB_OFICINAS[[#This Row],[Cliente]],LISTA_DE_CLIENTES[[Código]:[Nome Fantasia]],3,FALSE),"")</f>
        <v>CASA COSTA</v>
      </c>
      <c r="H931" s="51">
        <v>3301091220</v>
      </c>
      <c r="I931" s="28" t="str">
        <f>IFERROR(VLOOKUP(TAB_OFICINAS[[#This Row],[Codigo Produto ]],_000___PEDIDOS_DE_CLIENTES[[Data.Column2]:[Descrição Produto]],2,FALSE)," ")</f>
        <v>ROUPÃO FELPA CARAMELO BORDADO ESCRITA CASA COSTA COR BEGE 5305 G</v>
      </c>
      <c r="J931" s="91">
        <v>184</v>
      </c>
      <c r="K931" s="88">
        <v>46234</v>
      </c>
      <c r="L931" s="9">
        <v>184</v>
      </c>
      <c r="M931" s="6">
        <v>46239</v>
      </c>
      <c r="N931" s="6">
        <v>46240</v>
      </c>
      <c r="O931" s="23">
        <f>TAB_OFICINAS[[#This Row],[Data Retorno Produção]]-TAB_OFICINAS[[#This Row],[Data Prometida  Entrega]]</f>
        <v>1</v>
      </c>
      <c r="P931" s="98" t="str">
        <f>IF(TAB_OFICINAS[[#This Row],[Dias Para Entrega]]&lt;=0,"Em dia","Dia de Atrasado")</f>
        <v>Dia de Atrasado</v>
      </c>
      <c r="Q931" s="24">
        <f>IFERROR(TAB_OFICINAS[[#This Row],[Qtd pçs Enviadas]]-TAB_OFICINAS[[#This Row],[Qtd pçs Retornadas ]],"N/D ")</f>
        <v>0</v>
      </c>
      <c r="R931" s="24"/>
      <c r="S931" s="5">
        <v>3344</v>
      </c>
      <c r="T931" s="5">
        <v>17478</v>
      </c>
      <c r="U931" s="11">
        <v>2.4</v>
      </c>
      <c r="V931" s="25">
        <f>IFERROR(TAB_OFICINAS[[#This Row],[Valor Unit]]*TAB_OFICINAS[[#This Row],[Qtd pçs Enviadas]]," ")</f>
        <v>441.59999999999997</v>
      </c>
      <c r="W931" s="26">
        <v>46246</v>
      </c>
      <c r="X931" s="17" t="s">
        <v>6251</v>
      </c>
      <c r="Y931" s="27" t="s">
        <v>23700</v>
      </c>
      <c r="Z9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2" spans="3:26" hidden="1">
      <c r="C932" s="28" t="s">
        <v>21197</v>
      </c>
      <c r="D932" s="5">
        <v>3107</v>
      </c>
      <c r="E932" s="5">
        <v>23956</v>
      </c>
      <c r="F932" s="28" t="str">
        <f>IFERROR(VLOOKUP(TAB_OFICINAS[[#This Row],[Cliente]],LISTA_DE_CLIENTES[[Código]:[Nome Fantasia]],2,FALSE),"")</f>
        <v>HCC HOTELS GESTAO HOTELEIRA LTDA.</v>
      </c>
      <c r="G932" s="2" t="str">
        <f>IFERROR(VLOOKUP(TAB_OFICINAS[[#This Row],[Cliente]],LISTA_DE_CLIENTES[[Código]:[Nome Fantasia]],3,FALSE),"")</f>
        <v>QOYA SP</v>
      </c>
      <c r="H932" s="51">
        <v>92105225860</v>
      </c>
      <c r="I932" s="28" t="str">
        <f>IFERROR(VLOOKUP(TAB_OFICINAS[[#This Row],[Codigo Produto ]],_000___PEDIDOS_DE_CLIENTES[[Data.Column2]:[Descrição Produto]],2,FALSE)," ")</f>
        <v>FRONHA 3 ABAS 5CM 400F 100% ALGODÃO ACAB. DUPLO FESTONÊ COR CASTOR 5631 0,50 X 0,70</v>
      </c>
      <c r="J932" s="91">
        <v>800</v>
      </c>
      <c r="K932" s="88">
        <v>46237</v>
      </c>
      <c r="L932" s="9">
        <v>800</v>
      </c>
      <c r="M932" s="6">
        <v>46248</v>
      </c>
      <c r="N932" s="6">
        <v>46248</v>
      </c>
      <c r="O932" s="23">
        <f>TAB_OFICINAS[[#This Row],[Data Retorno Produção]]-TAB_OFICINAS[[#This Row],[Data Prometida  Entrega]]</f>
        <v>0</v>
      </c>
      <c r="P932" s="98" t="str">
        <f>IF(TAB_OFICINAS[[#This Row],[Dias Para Entrega]]&lt;=0,"Em dia","Dia de Atrasado")</f>
        <v>Em dia</v>
      </c>
      <c r="Q932" s="24">
        <f>IFERROR(TAB_OFICINAS[[#This Row],[Qtd pçs Enviadas]]-TAB_OFICINAS[[#This Row],[Qtd pçs Retornadas ]],"N/D ")</f>
        <v>0</v>
      </c>
      <c r="R932" s="24"/>
      <c r="S932" s="5">
        <v>3347</v>
      </c>
      <c r="U932" s="11">
        <v>4.9000000000000004</v>
      </c>
      <c r="V932" s="25">
        <f>IFERROR(TAB_OFICINAS[[#This Row],[Valor Unit]]*TAB_OFICINAS[[#This Row],[Qtd pçs Enviadas]]," ")</f>
        <v>3920.0000000000005</v>
      </c>
      <c r="W932" s="26">
        <f>TAB_OFICINAS[[#This Row],[Data Retorno Produção]]+10</f>
        <v>46258</v>
      </c>
      <c r="X932" s="17" t="s">
        <v>6251</v>
      </c>
      <c r="Y932" s="27"/>
      <c r="Z9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3" spans="3:26" ht="42.75" hidden="1">
      <c r="C933" s="102" t="s">
        <v>7</v>
      </c>
      <c r="D933" s="102">
        <v>3107</v>
      </c>
      <c r="E933" s="102">
        <v>23956</v>
      </c>
      <c r="F933" s="102" t="str">
        <f>IFERROR(VLOOKUP(TAB_OFICINAS[[#This Row],[Cliente]],LISTA_DE_CLIENTES[[Código]:[Nome Fantasia]],2,FALSE),"")</f>
        <v>HCC HOTELS GESTAO HOTELEIRA LTDA.</v>
      </c>
      <c r="G933" s="102" t="str">
        <f>IFERROR(VLOOKUP(TAB_OFICINAS[[#This Row],[Cliente]],LISTA_DE_CLIENTES[[Código]:[Nome Fantasia]],3,FALSE),"")</f>
        <v>QOYA SP</v>
      </c>
      <c r="H933" s="121">
        <v>92102224401</v>
      </c>
      <c r="I933" s="102" t="str">
        <f>IFERROR(VLOOKUP(TAB_OFICINAS[[#This Row],[Codigo Produto ]],_000___PEDIDOS_DE_CLIENTES[[Data.Column2]:[Descrição Produto]],2,FALSE)," ")</f>
        <v>LENÇOL DE CIMA 400F 100% ALGODÃO DUPLO FESTONÊ CASTOR 5631 2,60 X 2,40</v>
      </c>
      <c r="J933" s="104">
        <v>291</v>
      </c>
      <c r="K933" s="117">
        <v>46237</v>
      </c>
      <c r="L933" s="9">
        <v>291</v>
      </c>
      <c r="M933" s="109">
        <v>46248</v>
      </c>
      <c r="N933" s="109">
        <v>46241</v>
      </c>
      <c r="O933" s="112">
        <f>TAB_OFICINAS[[#This Row],[Data Retorno Produção]]-TAB_OFICINAS[[#This Row],[Data Prometida  Entrega]]</f>
        <v>-7</v>
      </c>
      <c r="P933" s="113" t="str">
        <f>IF(TAB_OFICINAS[[#This Row],[Dias Para Entrega]]&lt;=0,"Em dia","Dia de Atrasado")</f>
        <v>Em dia</v>
      </c>
      <c r="Q933" s="114">
        <f>IFERROR(TAB_OFICINAS[[#This Row],[Qtd pçs Enviadas]]-TAB_OFICINAS[[#This Row],[Qtd pçs Retornadas ]],"N/D ")</f>
        <v>0</v>
      </c>
      <c r="R933" s="114"/>
      <c r="S933" s="102">
        <v>3346</v>
      </c>
      <c r="T933" s="102">
        <v>53</v>
      </c>
      <c r="U933" s="130">
        <v>7.5</v>
      </c>
      <c r="V933" s="131">
        <f>IFERROR(TAB_OFICINAS[[#This Row],[Valor Unit]]*TAB_OFICINAS[[#This Row],[Qtd pçs Enviadas]]," ")</f>
        <v>2182.5</v>
      </c>
      <c r="W933" s="117">
        <v>46251</v>
      </c>
      <c r="X933" s="109" t="s">
        <v>6251</v>
      </c>
      <c r="Y933" s="96" t="s">
        <v>24261</v>
      </c>
      <c r="Z933" s="118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4" spans="3:26" hidden="1">
      <c r="C934" s="28" t="s">
        <v>7</v>
      </c>
      <c r="D934" s="5">
        <v>943</v>
      </c>
      <c r="E934" s="5">
        <v>24045</v>
      </c>
      <c r="F934" s="28" t="str">
        <f>IFERROR(VLOOKUP(TAB_OFICINAS[[#This Row],[Cliente]],LISTA_DE_CLIENTES[[Código]:[Nome Fantasia]],2,FALSE),"")</f>
        <v>REDE DOR SAO LUIZ S.A.</v>
      </c>
      <c r="G934" s="2" t="str">
        <f>IFERROR(VLOOKUP(TAB_OFICINAS[[#This Row],[Cliente]],LISTA_DE_CLIENTES[[Código]:[Nome Fantasia]],3,FALSE),"")</f>
        <v>HOSPITAL COPA STAR</v>
      </c>
      <c r="H934" s="51">
        <v>2101107946</v>
      </c>
      <c r="I934" s="28" t="str">
        <f>IFERROR(VLOOKUP(TAB_OFICINAS[[#This Row],[Codigo Produto ]],_000___PEDIDOS_DE_CLIENTES[[Data.Column2]:[Descrição Produto]],2,FALSE)," ")</f>
        <v>LENÇOL BRANCO - 180F 100% - ALGODÃO COM LOGO BORDADO COR ALABASTRO 07077 - 1,80 X 2,80</v>
      </c>
      <c r="J934" s="91">
        <v>236</v>
      </c>
      <c r="K934" s="88">
        <v>46231</v>
      </c>
      <c r="L934" s="9">
        <v>236</v>
      </c>
      <c r="M934" s="6">
        <v>46247</v>
      </c>
      <c r="N934" s="6">
        <v>46248</v>
      </c>
      <c r="O934" s="23">
        <f>TAB_OFICINAS[[#This Row],[Data Retorno Produção]]-TAB_OFICINAS[[#This Row],[Data Prometida  Entrega]]</f>
        <v>1</v>
      </c>
      <c r="P934" s="98" t="str">
        <f>IF(TAB_OFICINAS[[#This Row],[Dias Para Entrega]]&lt;=0,"Em dia","Dia de Atrasado")</f>
        <v>Dia de Atrasado</v>
      </c>
      <c r="Q934" s="24">
        <v>0</v>
      </c>
      <c r="R934" s="24"/>
      <c r="S934" s="5">
        <v>962</v>
      </c>
      <c r="T934" s="5">
        <v>54</v>
      </c>
      <c r="U934" s="11">
        <v>4.5</v>
      </c>
      <c r="V934" s="25">
        <f>IFERROR(TAB_OFICINAS[[#This Row],[Valor Unit]]*TAB_OFICINAS[[#This Row],[Qtd pçs Enviadas]]," ")</f>
        <v>1062</v>
      </c>
      <c r="W934" s="26">
        <f>TAB_OFICINAS[[#This Row],[Data Retorno Produção]]+10</f>
        <v>46258</v>
      </c>
      <c r="X934" s="17" t="s">
        <v>6251</v>
      </c>
      <c r="Y934" s="126"/>
      <c r="Z93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5" spans="3:26" ht="42.75" hidden="1">
      <c r="C935" s="28" t="s">
        <v>15</v>
      </c>
      <c r="D935" s="5">
        <v>943</v>
      </c>
      <c r="E935" s="5">
        <v>24045</v>
      </c>
      <c r="F935" s="28" t="str">
        <f>IFERROR(VLOOKUP(TAB_OFICINAS[[#This Row],[Cliente]],LISTA_DE_CLIENTES[[Código]:[Nome Fantasia]],2,FALSE),"")</f>
        <v>REDE DOR SAO LUIZ S.A.</v>
      </c>
      <c r="G935" s="2" t="str">
        <f>IFERROR(VLOOKUP(TAB_OFICINAS[[#This Row],[Cliente]],LISTA_DE_CLIENTES[[Código]:[Nome Fantasia]],3,FALSE),"")</f>
        <v>HOSPITAL COPA STAR</v>
      </c>
      <c r="H935" s="51">
        <v>2101107946</v>
      </c>
      <c r="I935" s="28" t="str">
        <f>IFERROR(VLOOKUP(TAB_OFICINAS[[#This Row],[Codigo Produto ]],_000___PEDIDOS_DE_CLIENTES[[Data.Column2]:[Descrição Produto]],2,FALSE)," ")</f>
        <v>LENÇOL BRANCO - 180F 100% - ALGODÃO COM LOGO BORDADO COR ALABASTRO 07077 - 1,80 X 2,80</v>
      </c>
      <c r="J935" s="91">
        <v>240</v>
      </c>
      <c r="K935" s="88">
        <v>46237</v>
      </c>
      <c r="L935" s="9">
        <v>240</v>
      </c>
      <c r="M935" s="6">
        <v>46238</v>
      </c>
      <c r="N935" s="6">
        <v>46238</v>
      </c>
      <c r="O935" s="23">
        <f>TAB_OFICINAS[[#This Row],[Data Retorno Produção]]-TAB_OFICINAS[[#This Row],[Data Prometida  Entrega]]</f>
        <v>0</v>
      </c>
      <c r="P935" s="98" t="str">
        <f>IF(TAB_OFICINAS[[#This Row],[Dias Para Entrega]]&lt;=0,"Em dia","Dia de Atrasado")</f>
        <v>Em dia</v>
      </c>
      <c r="Q935" s="24">
        <f>IFERROR(TAB_OFICINAS[[#This Row],[Qtd pçs Enviadas]]-TAB_OFICINAS[[#This Row],[Qtd pçs Retornadas ]],"N/D ")</f>
        <v>0</v>
      </c>
      <c r="R935" s="24">
        <v>1</v>
      </c>
      <c r="S935" s="5">
        <v>957</v>
      </c>
      <c r="T935" s="5">
        <v>17462</v>
      </c>
      <c r="U935" s="11">
        <v>3.85</v>
      </c>
      <c r="V935" s="25">
        <f>IFERROR(TAB_OFICINAS[[#This Row],[Valor Unit]]*TAB_OFICINAS[[#This Row],[Qtd pçs Enviadas]]," ")</f>
        <v>924</v>
      </c>
      <c r="W935" s="26">
        <v>46245</v>
      </c>
      <c r="X935" s="17" t="s">
        <v>6251</v>
      </c>
      <c r="Y935" s="27" t="s">
        <v>23989</v>
      </c>
      <c r="Z9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6" spans="3:26" ht="42.75" hidden="1">
      <c r="C936" s="28" t="s">
        <v>15</v>
      </c>
      <c r="D936" s="5">
        <v>4637</v>
      </c>
      <c r="E936" s="5">
        <v>24010</v>
      </c>
      <c r="F936" s="28" t="str">
        <f>IFERROR(VLOOKUP(TAB_OFICINAS[[#This Row],[Cliente]],LISTA_DE_CLIENTES[[Código]:[Nome Fantasia]],2,FALSE),"")</f>
        <v>HOSPITAL SAO CARLOS S.A.</v>
      </c>
      <c r="G936" s="2" t="str">
        <f>IFERROR(VLOOKUP(TAB_OFICINAS[[#This Row],[Cliente]],LISTA_DE_CLIENTES[[Código]:[Nome Fantasia]],3,FALSE),"")</f>
        <v>HOSPITAL SAO CARLOS</v>
      </c>
      <c r="H936" s="51">
        <v>2101101237</v>
      </c>
      <c r="I936" s="28" t="str">
        <f>IFERROR(VLOOKUP(TAB_OFICINAS[[#This Row],[Codigo Produto ]],_000___PEDIDOS_DE_CLIENTES[[Data.Column2]:[Descrição Produto]],2,FALSE)," ")</f>
        <v>LENÇOL BAIXO 400F 100%ALG COM LOGO BORDADO COR LAPIS 7115 E CARAMELO 7198  E SEM FESTONÊ - 1,80 X 2,80</v>
      </c>
      <c r="J936" s="91">
        <v>30</v>
      </c>
      <c r="K936" s="88">
        <v>46237</v>
      </c>
      <c r="L936" s="9">
        <v>30</v>
      </c>
      <c r="M936" s="6">
        <v>46241</v>
      </c>
      <c r="N936" s="6">
        <v>46240</v>
      </c>
      <c r="O936" s="23">
        <f>TAB_OFICINAS[[#This Row],[Data Retorno Produção]]-TAB_OFICINAS[[#This Row],[Data Prometida  Entrega]]</f>
        <v>-1</v>
      </c>
      <c r="P936" s="98" t="str">
        <f>IF(TAB_OFICINAS[[#This Row],[Dias Para Entrega]]&lt;=0,"Em dia","Dia de Atrasado")</f>
        <v>Em dia</v>
      </c>
      <c r="Q936" s="24">
        <f>IFERROR(TAB_OFICINAS[[#This Row],[Qtd pçs Enviadas]]-TAB_OFICINAS[[#This Row],[Qtd pçs Retornadas ]],"N/D ")</f>
        <v>0</v>
      </c>
      <c r="R936" s="24">
        <v>1</v>
      </c>
      <c r="S936" s="5">
        <v>957</v>
      </c>
      <c r="T936" s="5">
        <v>17476</v>
      </c>
      <c r="U936" s="11">
        <v>7.2</v>
      </c>
      <c r="V936" s="25">
        <f>IFERROR(TAB_OFICINAS[[#This Row],[Valor Unit]]*TAB_OFICINAS[[#This Row],[Qtd pçs Enviadas]]," ")</f>
        <v>216</v>
      </c>
      <c r="W936" s="26">
        <v>46246</v>
      </c>
      <c r="X936" s="17" t="s">
        <v>6251</v>
      </c>
      <c r="Y936" s="27" t="s">
        <v>23999</v>
      </c>
      <c r="Z9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7" spans="3:26" ht="42.75" hidden="1">
      <c r="C937" s="28" t="s">
        <v>15</v>
      </c>
      <c r="D937" s="5">
        <v>4637</v>
      </c>
      <c r="E937" s="5">
        <v>24010</v>
      </c>
      <c r="F937" s="28" t="str">
        <f>IFERROR(VLOOKUP(TAB_OFICINAS[[#This Row],[Cliente]],LISTA_DE_CLIENTES[[Código]:[Nome Fantasia]],2,FALSE),"")</f>
        <v>HOSPITAL SAO CARLOS S.A.</v>
      </c>
      <c r="G937" s="2" t="str">
        <f>IFERROR(VLOOKUP(TAB_OFICINAS[[#This Row],[Cliente]],LISTA_DE_CLIENTES[[Código]:[Nome Fantasia]],3,FALSE),"")</f>
        <v>HOSPITAL SAO CARLOS</v>
      </c>
      <c r="H937" s="51">
        <v>2103061238</v>
      </c>
      <c r="I937" s="28" t="str">
        <f>IFERROR(VLOOKUP(TAB_OFICINAS[[#This Row],[Codigo Produto ]],_000___PEDIDOS_DE_CLIENTES[[Data.Column2]:[Descrição Produto]],2,FALSE)," ")</f>
        <v>FRONHA 4 ABAS 5CM FESTONE LAPIS 7115 E 400FIOS 100%ALG E LOGO BORDADO LAPIS 7115 E CARAMELO 7198 - 0,50 X 0,70</v>
      </c>
      <c r="J937" s="91">
        <v>30</v>
      </c>
      <c r="K937" s="88">
        <v>46237</v>
      </c>
      <c r="L937" s="9">
        <v>30</v>
      </c>
      <c r="M937" s="6">
        <v>46241</v>
      </c>
      <c r="N937" s="6">
        <v>46240</v>
      </c>
      <c r="O937" s="23">
        <f>TAB_OFICINAS[[#This Row],[Data Retorno Produção]]-TAB_OFICINAS[[#This Row],[Data Prometida  Entrega]]</f>
        <v>-1</v>
      </c>
      <c r="P937" s="98" t="str">
        <f>IF(TAB_OFICINAS[[#This Row],[Dias Para Entrega]]&lt;=0,"Em dia","Dia de Atrasado")</f>
        <v>Em dia</v>
      </c>
      <c r="Q937" s="24">
        <f>IFERROR(TAB_OFICINAS[[#This Row],[Qtd pçs Enviadas]]-TAB_OFICINAS[[#This Row],[Qtd pçs Retornadas ]],"N/D ")</f>
        <v>0</v>
      </c>
      <c r="R937" s="24">
        <v>1</v>
      </c>
      <c r="S937" s="5">
        <v>957</v>
      </c>
      <c r="T937" s="5">
        <v>17476</v>
      </c>
      <c r="U937" s="11">
        <v>4</v>
      </c>
      <c r="V937" s="25">
        <f>IFERROR(TAB_OFICINAS[[#This Row],[Valor Unit]]*TAB_OFICINAS[[#This Row],[Qtd pçs Enviadas]]," ")</f>
        <v>120</v>
      </c>
      <c r="W937" s="26">
        <v>46246</v>
      </c>
      <c r="X937" s="17" t="s">
        <v>6251</v>
      </c>
      <c r="Y937" s="27" t="s">
        <v>24000</v>
      </c>
      <c r="Z9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8" spans="3:26" hidden="1">
      <c r="C938" s="28" t="s">
        <v>15</v>
      </c>
      <c r="D938" s="5">
        <v>943</v>
      </c>
      <c r="E938" s="5">
        <v>24045</v>
      </c>
      <c r="F938" s="28" t="str">
        <f>IFERROR(VLOOKUP(TAB_OFICINAS[[#This Row],[Cliente]],LISTA_DE_CLIENTES[[Código]:[Nome Fantasia]],2,FALSE),"")</f>
        <v>REDE DOR SAO LUIZ S.A.</v>
      </c>
      <c r="G938" s="2" t="str">
        <f>IFERROR(VLOOKUP(TAB_OFICINAS[[#This Row],[Cliente]],LISTA_DE_CLIENTES[[Código]:[Nome Fantasia]],3,FALSE),"")</f>
        <v>HOSPITAL COPA STAR</v>
      </c>
      <c r="H938" s="51">
        <v>2101107946</v>
      </c>
      <c r="I938" s="28" t="str">
        <f>IFERROR(VLOOKUP(TAB_OFICINAS[[#This Row],[Codigo Produto ]],_000___PEDIDOS_DE_CLIENTES[[Data.Column2]:[Descrição Produto]],2,FALSE)," ")</f>
        <v>LENÇOL BRANCO - 180F 100% - ALGODÃO COM LOGO BORDADO COR ALABASTRO 07077 - 1,80 X 2,80</v>
      </c>
      <c r="J938" s="91">
        <v>29</v>
      </c>
      <c r="K938" s="88">
        <v>46238</v>
      </c>
      <c r="L938" s="9">
        <v>29</v>
      </c>
      <c r="M938" s="6">
        <v>46239</v>
      </c>
      <c r="N938" s="6">
        <v>46239</v>
      </c>
      <c r="O938" s="23">
        <f>TAB_OFICINAS[[#This Row],[Data Retorno Produção]]-TAB_OFICINAS[[#This Row],[Data Prometida  Entrega]]</f>
        <v>0</v>
      </c>
      <c r="P938" s="98" t="str">
        <f>IF(TAB_OFICINAS[[#This Row],[Dias Para Entrega]]&lt;=0,"Em dia","Dia de Atrasado")</f>
        <v>Em dia</v>
      </c>
      <c r="Q938" s="24">
        <f>IFERROR(TAB_OFICINAS[[#This Row],[Qtd pçs Enviadas]]-TAB_OFICINAS[[#This Row],[Qtd pçs Retornadas ]],"N/D ")</f>
        <v>0</v>
      </c>
      <c r="R938" s="24"/>
      <c r="S938" s="5">
        <v>958</v>
      </c>
      <c r="T938" s="5">
        <v>17477</v>
      </c>
      <c r="U938" s="11">
        <v>3.85</v>
      </c>
      <c r="V938" s="25">
        <f>IFERROR(TAB_OFICINAS[[#This Row],[Valor Unit]]*TAB_OFICINAS[[#This Row],[Qtd pçs Enviadas]]," ")</f>
        <v>111.65</v>
      </c>
      <c r="W938" s="26">
        <v>46246</v>
      </c>
      <c r="X938" s="17" t="s">
        <v>6251</v>
      </c>
      <c r="Y938" s="27" t="s">
        <v>21341</v>
      </c>
      <c r="Z93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39" spans="3:26" hidden="1">
      <c r="C939" s="28" t="s">
        <v>15</v>
      </c>
      <c r="D939" s="5">
        <v>3107</v>
      </c>
      <c r="E939" s="5">
        <v>23956</v>
      </c>
      <c r="F939" s="28" t="str">
        <f>IFERROR(VLOOKUP(TAB_OFICINAS[[#This Row],[Cliente]],LISTA_DE_CLIENTES[[Código]:[Nome Fantasia]],2,FALSE),"")</f>
        <v>HCC HOTELS GESTAO HOTELEIRA LTDA.</v>
      </c>
      <c r="G939" s="2" t="str">
        <f>IFERROR(VLOOKUP(TAB_OFICINAS[[#This Row],[Cliente]],LISTA_DE_CLIENTES[[Código]:[Nome Fantasia]],3,FALSE),"")</f>
        <v>QOYA SP</v>
      </c>
      <c r="H939" s="51">
        <v>3302018560</v>
      </c>
      <c r="I939" s="28" t="str">
        <f>IFERROR(VLOOKUP(TAB_OFICINAS[[#This Row],[Codigo Produto ]],_000___PEDIDOS_DE_CLIENTES[[Data.Column2]:[Descrição Produto]],2,FALSE)," ")</f>
        <v>TOALHA DE MÃO VELUX CINZA  C/ LOGO BORDADO MAKE UP 0,30 X 0,30</v>
      </c>
      <c r="J939" s="91">
        <v>36</v>
      </c>
      <c r="K939" s="88">
        <v>46238</v>
      </c>
      <c r="L939" s="9">
        <v>36</v>
      </c>
      <c r="M939" s="6">
        <v>46241</v>
      </c>
      <c r="N939" s="6">
        <v>46241</v>
      </c>
      <c r="O939" s="23">
        <f>TAB_OFICINAS[[#This Row],[Data Retorno Produção]]-TAB_OFICINAS[[#This Row],[Data Prometida  Entrega]]</f>
        <v>0</v>
      </c>
      <c r="P939" s="98" t="str">
        <f>IF(TAB_OFICINAS[[#This Row],[Dias Para Entrega]]&lt;=0,"Em dia","Dia de Atrasado")</f>
        <v>Em dia</v>
      </c>
      <c r="Q939" s="24">
        <f>IFERROR(TAB_OFICINAS[[#This Row],[Qtd pçs Enviadas]]-TAB_OFICINAS[[#This Row],[Qtd pçs Retornadas ]],"N/D ")</f>
        <v>0</v>
      </c>
      <c r="R939" s="24">
        <v>0</v>
      </c>
      <c r="S939" s="5">
        <v>958</v>
      </c>
      <c r="T939" s="5">
        <v>17486</v>
      </c>
      <c r="U939" s="11">
        <v>3.6</v>
      </c>
      <c r="V939" s="25">
        <f>IFERROR(TAB_OFICINAS[[#This Row],[Valor Unit]]*TAB_OFICINAS[[#This Row],[Qtd pçs Enviadas]]," ")</f>
        <v>129.6</v>
      </c>
      <c r="W939" s="26">
        <v>46251</v>
      </c>
      <c r="X939" s="17" t="s">
        <v>6251</v>
      </c>
      <c r="Y939" s="27" t="s">
        <v>23997</v>
      </c>
      <c r="Z93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0" spans="3:26" hidden="1">
      <c r="C940" s="28" t="s">
        <v>1</v>
      </c>
      <c r="D940" s="5">
        <v>3107</v>
      </c>
      <c r="E940" s="5">
        <v>23956</v>
      </c>
      <c r="F940" s="28" t="str">
        <f>IFERROR(VLOOKUP(TAB_OFICINAS[[#This Row],[Cliente]],LISTA_DE_CLIENTES[[Código]:[Nome Fantasia]],2,FALSE),"")</f>
        <v>HCC HOTELS GESTAO HOTELEIRA LTDA.</v>
      </c>
      <c r="G940" s="2" t="str">
        <f>IFERROR(VLOOKUP(TAB_OFICINAS[[#This Row],[Cliente]],LISTA_DE_CLIENTES[[Código]:[Nome Fantasia]],3,FALSE),"")</f>
        <v>QOYA SP</v>
      </c>
      <c r="H940" s="51">
        <v>92115033023</v>
      </c>
      <c r="I940" s="28" t="str">
        <f>IFERROR(VLOOKUP(TAB_OFICINAS[[#This Row],[Codigo Produto ]],_000___PEDIDOS_DE_CLIENTES[[Data.Column2]:[Descrição Produto]],2,FALSE)," ")</f>
        <v>CAPA DE DUVET CLASSIC C/ ENVELOPE 400F 100% ALGODÃO 2,60 X 2,40</v>
      </c>
      <c r="J940" s="91">
        <v>100</v>
      </c>
      <c r="K940" s="88">
        <v>46234</v>
      </c>
      <c r="L940" s="9">
        <v>100</v>
      </c>
      <c r="M940" s="6">
        <v>46248</v>
      </c>
      <c r="N940" s="6">
        <v>46241</v>
      </c>
      <c r="O940" s="23">
        <f>TAB_OFICINAS[[#This Row],[Data Retorno Produção]]-TAB_OFICINAS[[#This Row],[Data Prometida  Entrega]]</f>
        <v>-7</v>
      </c>
      <c r="P940" s="98" t="str">
        <f>IF(TAB_OFICINAS[[#This Row],[Dias Para Entrega]]&lt;=0,"Em dia","Dia de Atrasado")</f>
        <v>Em dia</v>
      </c>
      <c r="Q940" s="24">
        <f>IFERROR(TAB_OFICINAS[[#This Row],[Qtd pçs Enviadas]]-TAB_OFICINAS[[#This Row],[Qtd pçs Retornadas ]],"N/D ")</f>
        <v>0</v>
      </c>
      <c r="R940" s="24"/>
      <c r="S940" s="5">
        <v>3343</v>
      </c>
      <c r="T940" s="5">
        <v>60</v>
      </c>
      <c r="U940" s="11">
        <v>16</v>
      </c>
      <c r="V940" s="25">
        <f>IFERROR(TAB_OFICINAS[[#This Row],[Valor Unit]]*TAB_OFICINAS[[#This Row],[Qtd pçs Enviadas]]," ")</f>
        <v>1600</v>
      </c>
      <c r="W940" s="26">
        <f>TAB_OFICINAS[[#This Row],[Data Retorno Produção]]+9</f>
        <v>46250</v>
      </c>
      <c r="X940" s="17" t="s">
        <v>6251</v>
      </c>
      <c r="Y940" s="27"/>
      <c r="Z9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1" spans="3:26" hidden="1">
      <c r="C941" s="28" t="s">
        <v>21197</v>
      </c>
      <c r="D941" s="5">
        <v>3107</v>
      </c>
      <c r="E941" s="5">
        <v>23956</v>
      </c>
      <c r="F941" s="28" t="str">
        <f>IFERROR(VLOOKUP(TAB_OFICINAS[[#This Row],[Cliente]],LISTA_DE_CLIENTES[[Código]:[Nome Fantasia]],2,FALSE),"")</f>
        <v>HCC HOTELS GESTAO HOTELEIRA LTDA.</v>
      </c>
      <c r="G941" s="2" t="str">
        <f>IFERROR(VLOOKUP(TAB_OFICINAS[[#This Row],[Cliente]],LISTA_DE_CLIENTES[[Código]:[Nome Fantasia]],3,FALSE),"")</f>
        <v>QOYA SP</v>
      </c>
      <c r="H941" s="51">
        <v>92105225860</v>
      </c>
      <c r="I941" s="28" t="str">
        <f>IFERROR(VLOOKUP(TAB_OFICINAS[[#This Row],[Codigo Produto ]],_000___PEDIDOS_DE_CLIENTES[[Data.Column2]:[Descrição Produto]],2,FALSE)," ")</f>
        <v>FRONHA 3 ABAS 5CM 400F 100% ALGODÃO ACAB. DUPLO FESTONÊ COR CASTOR 5631 0,50 X 0,70</v>
      </c>
      <c r="J941" s="91">
        <v>200</v>
      </c>
      <c r="K941" s="88">
        <v>46239</v>
      </c>
      <c r="L941" s="9">
        <v>200</v>
      </c>
      <c r="M941" s="6">
        <v>46248</v>
      </c>
      <c r="N941" s="6">
        <v>46248</v>
      </c>
      <c r="O941" s="23">
        <f>TAB_OFICINAS[[#This Row],[Data Retorno Produção]]-TAB_OFICINAS[[#This Row],[Data Prometida  Entrega]]</f>
        <v>0</v>
      </c>
      <c r="P941" s="98" t="str">
        <f>IF(TAB_OFICINAS[[#This Row],[Dias Para Entrega]]&lt;=0,"Em dia","Dia de Atrasado")</f>
        <v>Em dia</v>
      </c>
      <c r="Q941" s="24">
        <f>IFERROR(TAB_OFICINAS[[#This Row],[Qtd pçs Enviadas]]-TAB_OFICINAS[[#This Row],[Qtd pçs Retornadas ]],"N/D ")</f>
        <v>0</v>
      </c>
      <c r="R941" s="24"/>
      <c r="S941" s="5">
        <v>3354</v>
      </c>
      <c r="U941" s="11">
        <v>4.9000000000000004</v>
      </c>
      <c r="V941" s="25">
        <f>IFERROR(TAB_OFICINAS[[#This Row],[Valor Unit]]*TAB_OFICINAS[[#This Row],[Qtd pçs Enviadas]]," ")</f>
        <v>980.00000000000011</v>
      </c>
      <c r="W941" s="26">
        <v>46258</v>
      </c>
      <c r="X941" s="17" t="s">
        <v>6251</v>
      </c>
      <c r="Y941" s="27"/>
      <c r="Z9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2" spans="3:26" hidden="1">
      <c r="C942" s="28" t="s">
        <v>3</v>
      </c>
      <c r="D942" s="5">
        <v>1934</v>
      </c>
      <c r="E942" s="5">
        <v>23905</v>
      </c>
      <c r="F942" s="28" t="str">
        <f>IFERROR(VLOOKUP(TAB_OFICINAS[[#This Row],[Cliente]],LISTA_DE_CLIENTES[[Código]:[Nome Fantasia]],2,FALSE),"")</f>
        <v>TS ITU HOTEL EMPREENDIMENTO IMOBILIARIO S.A</v>
      </c>
      <c r="G942" s="2" t="str">
        <f>IFERROR(VLOOKUP(TAB_OFICINAS[[#This Row],[Cliente]],LISTA_DE_CLIENTES[[Código]:[Nome Fantasia]],3,FALSE),"")</f>
        <v>NOVOTEL ITU</v>
      </c>
      <c r="H942" s="51">
        <v>2101111177</v>
      </c>
      <c r="I942" s="28" t="str">
        <f>IFERROR(VLOOKUP(TAB_OFICINAS[[#This Row],[Codigo Produto ]],_000___PEDIDOS_DE_CLIENTES[[Data.Column2]:[Descrição Produto]],2,FALSE)," ")</f>
        <v>LENÇOL DE BAIXO COM ELÁSTICO PERCAL ESTAMPADO 100% ALG - 0,65 X 1,00 X 0,09</v>
      </c>
      <c r="J942" s="91">
        <v>79</v>
      </c>
      <c r="K942" s="88">
        <v>46233</v>
      </c>
      <c r="L942" s="9">
        <v>79</v>
      </c>
      <c r="M942" s="6">
        <v>46241</v>
      </c>
      <c r="N942" s="6">
        <v>46239</v>
      </c>
      <c r="O942" s="23">
        <f>TAB_OFICINAS[[#This Row],[Data Retorno Produção]]-TAB_OFICINAS[[#This Row],[Data Prometida  Entrega]]</f>
        <v>-2</v>
      </c>
      <c r="P942" s="98" t="str">
        <f>IF(TAB_OFICINAS[[#This Row],[Dias Para Entrega]]&lt;=0,"Em dia","Dia de Atrasado")</f>
        <v>Em dia</v>
      </c>
      <c r="Q942" s="24">
        <v>0</v>
      </c>
      <c r="R942" s="24"/>
      <c r="S942" s="5">
        <v>3341</v>
      </c>
      <c r="T942" s="5">
        <v>121</v>
      </c>
      <c r="U942" s="11">
        <v>5</v>
      </c>
      <c r="V942" s="25">
        <f>IFERROR(TAB_OFICINAS[[#This Row],[Valor Unit]]*TAB_OFICINAS[[#This Row],[Qtd pçs Enviadas]]," ")</f>
        <v>395</v>
      </c>
      <c r="W942" s="26">
        <f>TAB_OFICINAS[[#This Row],[Data Retorno Produção]]+10</f>
        <v>46249</v>
      </c>
      <c r="X942" s="17" t="s">
        <v>6251</v>
      </c>
      <c r="Y942" s="27"/>
      <c r="Z9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3" spans="3:26" hidden="1">
      <c r="C943" s="28" t="s">
        <v>3</v>
      </c>
      <c r="D943" s="5">
        <v>1934</v>
      </c>
      <c r="E943" s="5">
        <v>23905</v>
      </c>
      <c r="F943" s="28" t="str">
        <f>IFERROR(VLOOKUP(TAB_OFICINAS[[#This Row],[Cliente]],LISTA_DE_CLIENTES[[Código]:[Nome Fantasia]],2,FALSE),"")</f>
        <v>TS ITU HOTEL EMPREENDIMENTO IMOBILIARIO S.A</v>
      </c>
      <c r="G943" s="2" t="str">
        <f>IFERROR(VLOOKUP(TAB_OFICINAS[[#This Row],[Cliente]],LISTA_DE_CLIENTES[[Código]:[Nome Fantasia]],3,FALSE),"")</f>
        <v>NOVOTEL ITU</v>
      </c>
      <c r="H943" s="51">
        <v>2102021179</v>
      </c>
      <c r="I943" s="28" t="str">
        <f>IFERROR(VLOOKUP(TAB_OFICINAS[[#This Row],[Codigo Produto ]],_000___PEDIDOS_DE_CLIENTES[[Data.Column2]:[Descrição Produto]],2,FALSE)," ")</f>
        <v>LENÇOL DE CIMA - CLASSIC - CORPO BRANCO 200F 100% - COM VIRA ESTAMPADA TECIDO PERCAL ESTAMPADO 100% ALG - 0,90 X 1,20</v>
      </c>
      <c r="J943" s="91">
        <v>79</v>
      </c>
      <c r="K943" s="88">
        <v>46233</v>
      </c>
      <c r="L943" s="9">
        <v>79</v>
      </c>
      <c r="M943" s="6">
        <v>46241</v>
      </c>
      <c r="N943" s="6">
        <v>46239</v>
      </c>
      <c r="O943" s="23">
        <f>TAB_OFICINAS[[#This Row],[Data Retorno Produção]]-TAB_OFICINAS[[#This Row],[Data Prometida  Entrega]]</f>
        <v>-2</v>
      </c>
      <c r="P943" s="98" t="str">
        <f>IF(TAB_OFICINAS[[#This Row],[Dias Para Entrega]]&lt;=0,"Em dia","Dia de Atrasado")</f>
        <v>Em dia</v>
      </c>
      <c r="Q943" s="24">
        <f>IFERROR(TAB_OFICINAS[[#This Row],[Qtd pçs Enviadas]]-TAB_OFICINAS[[#This Row],[Qtd pçs Retornadas ]],"N/D ")</f>
        <v>0</v>
      </c>
      <c r="R943" s="24"/>
      <c r="S943" s="5">
        <v>3341</v>
      </c>
      <c r="T943" s="5">
        <v>121</v>
      </c>
      <c r="U943" s="11">
        <v>7</v>
      </c>
      <c r="V943" s="25">
        <f>IFERROR(TAB_OFICINAS[[#This Row],[Valor Unit]]*TAB_OFICINAS[[#This Row],[Qtd pçs Enviadas]]," ")</f>
        <v>553</v>
      </c>
      <c r="W943" s="26">
        <v>46249</v>
      </c>
      <c r="X943" s="17" t="s">
        <v>6251</v>
      </c>
      <c r="Y943" s="27"/>
      <c r="Z9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4" spans="3:26" hidden="1">
      <c r="C944" s="28" t="s">
        <v>3</v>
      </c>
      <c r="D944" s="5">
        <v>1934</v>
      </c>
      <c r="E944" s="5">
        <v>23905</v>
      </c>
      <c r="F944" s="28" t="str">
        <f>IFERROR(VLOOKUP(TAB_OFICINAS[[#This Row],[Cliente]],LISTA_DE_CLIENTES[[Código]:[Nome Fantasia]],2,FALSE),"")</f>
        <v>TS ITU HOTEL EMPREENDIMENTO IMOBILIARIO S.A</v>
      </c>
      <c r="G944" s="2" t="str">
        <f>IFERROR(VLOOKUP(TAB_OFICINAS[[#This Row],[Cliente]],LISTA_DE_CLIENTES[[Código]:[Nome Fantasia]],3,FALSE),"")</f>
        <v>NOVOTEL ITU</v>
      </c>
      <c r="H944" s="51">
        <v>2101051176</v>
      </c>
      <c r="I944" s="28" t="str">
        <f>IFERROR(VLOOKUP(TAB_OFICINAS[[#This Row],[Codigo Produto ]],_000___PEDIDOS_DE_CLIENTES[[Data.Column2]:[Descrição Produto]],2,FALSE)," ")</f>
        <v>FRONHA BABY 2 ABAS 5cm CLASSIC PERCAL ESTAMPADO - 100%ALG - 0,30 X 0,40</v>
      </c>
      <c r="J944" s="91">
        <v>79</v>
      </c>
      <c r="K944" s="88">
        <v>46233</v>
      </c>
      <c r="L944" s="9">
        <v>79</v>
      </c>
      <c r="M944" s="6">
        <v>46241</v>
      </c>
      <c r="N944" s="6">
        <v>46239</v>
      </c>
      <c r="O944" s="23">
        <f>TAB_OFICINAS[[#This Row],[Data Retorno Produção]]-TAB_OFICINAS[[#This Row],[Data Prometida  Entrega]]</f>
        <v>-2</v>
      </c>
      <c r="P944" s="98" t="str">
        <f>IF(TAB_OFICINAS[[#This Row],[Dias Para Entrega]]&lt;=0,"Em dia","Dia de Atrasado")</f>
        <v>Em dia</v>
      </c>
      <c r="Q944" s="24">
        <f>IFERROR(TAB_OFICINAS[[#This Row],[Qtd pçs Enviadas]]-TAB_OFICINAS[[#This Row],[Qtd pçs Retornadas ]],"N/D ")</f>
        <v>0</v>
      </c>
      <c r="R944" s="24"/>
      <c r="S944" s="5">
        <v>3341</v>
      </c>
      <c r="T944" s="5">
        <v>121</v>
      </c>
      <c r="U944" s="11">
        <v>3.5</v>
      </c>
      <c r="V944" s="25">
        <f>IFERROR(TAB_OFICINAS[[#This Row],[Valor Unit]]*TAB_OFICINAS[[#This Row],[Qtd pçs Enviadas]]," ")</f>
        <v>276.5</v>
      </c>
      <c r="W944" s="26">
        <v>46249</v>
      </c>
      <c r="X944" s="17" t="s">
        <v>6251</v>
      </c>
      <c r="Y944" s="27"/>
      <c r="Z9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5" spans="3:26" hidden="1">
      <c r="C945" s="28" t="s">
        <v>15</v>
      </c>
      <c r="D945" s="5">
        <v>240</v>
      </c>
      <c r="E945" s="5">
        <v>24021</v>
      </c>
      <c r="F945" s="28" t="str">
        <f>IFERROR(VLOOKUP(TAB_OFICINAS[[#This Row],[Cliente]],LISTA_DE_CLIENTES[[Código]:[Nome Fantasia]],2,FALSE),"")</f>
        <v>MEIRA LINS HOTEIS LTDA</v>
      </c>
      <c r="G945" s="2" t="str">
        <f>IFERROR(VLOOKUP(TAB_OFICINAS[[#This Row],[Cliente]],LISTA_DE_CLIENTES[[Código]:[Nome Fantasia]],3,FALSE),"")</f>
        <v>NANNAI RESORT &amp; SPA</v>
      </c>
      <c r="H945" s="51">
        <v>3302048547</v>
      </c>
      <c r="I945" s="28" t="str">
        <f>IFERROR(VLOOKUP(TAB_OFICINAS[[#This Row],[Codigo Produto ]],_000___PEDIDOS_DE_CLIENTES[[Data.Column2]:[Descrição Produto]],2,FALSE)," ")</f>
        <v>TOALHA PISO DUPLO CARAMELO - 0,45 X 0,90 C/ LOGO</v>
      </c>
      <c r="J945" s="91">
        <v>21</v>
      </c>
      <c r="K945" s="88">
        <v>46239</v>
      </c>
      <c r="L945" s="9">
        <v>21</v>
      </c>
      <c r="M945" s="6">
        <v>46241</v>
      </c>
      <c r="N945" s="6">
        <v>46241</v>
      </c>
      <c r="O945" s="23">
        <f>TAB_OFICINAS[[#This Row],[Data Retorno Produção]]-TAB_OFICINAS[[#This Row],[Data Prometida  Entrega]]</f>
        <v>0</v>
      </c>
      <c r="P945" s="98" t="str">
        <f>IF(TAB_OFICINAS[[#This Row],[Dias Para Entrega]]&lt;=0,"Em dia","Dia de Atrasado")</f>
        <v>Em dia</v>
      </c>
      <c r="Q945" s="24">
        <f>IFERROR(TAB_OFICINAS[[#This Row],[Qtd pçs Enviadas]]-TAB_OFICINAS[[#This Row],[Qtd pçs Retornadas ]],"N/D ")</f>
        <v>0</v>
      </c>
      <c r="R945" s="24">
        <v>0</v>
      </c>
      <c r="S945" s="5">
        <v>3353</v>
      </c>
      <c r="T945" s="5">
        <v>17485</v>
      </c>
      <c r="U945" s="11">
        <v>3.6</v>
      </c>
      <c r="V945" s="25">
        <f>IFERROR(TAB_OFICINAS[[#This Row],[Valor Unit]]*TAB_OFICINAS[[#This Row],[Qtd pçs Enviadas]]," ")</f>
        <v>75.600000000000009</v>
      </c>
      <c r="W945" s="26">
        <v>46251</v>
      </c>
      <c r="X945" s="17" t="s">
        <v>6251</v>
      </c>
      <c r="Y945" s="27" t="s">
        <v>23998</v>
      </c>
      <c r="Z9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6" spans="3:26" hidden="1">
      <c r="C946" s="28" t="s">
        <v>16</v>
      </c>
      <c r="D946" s="5">
        <v>188</v>
      </c>
      <c r="E946" s="5">
        <v>24018</v>
      </c>
      <c r="F946" s="28" t="str">
        <f>IFERROR(VLOOKUP(TAB_OFICINAS[[#This Row],[Cliente]],LISTA_DE_CLIENTES[[Código]:[Nome Fantasia]],2,FALSE),"")</f>
        <v>IHC SAO PAULO HOTELARIA LTDA.</v>
      </c>
      <c r="G946" s="2" t="str">
        <f>IFERROR(VLOOKUP(TAB_OFICINAS[[#This Row],[Cliente]],LISTA_DE_CLIENTES[[Código]:[Nome Fantasia]],3,FALSE),"")</f>
        <v>INTERCONTINENTAL SP</v>
      </c>
      <c r="H946" s="51">
        <v>2101015260</v>
      </c>
      <c r="I946" s="28" t="str">
        <f>IFERROR(VLOOKUP(TAB_OFICINAS[[#This Row],[Codigo Produto ]],_000___PEDIDOS_DE_CLIENTES[[Data.Column2]:[Descrição Produto]],2,FALSE)," ")</f>
        <v>LENÇOL DE BAIXO - 300F 100% ALG - 2,30 X 2,90 - COM LINHA DE IDENTIFICAÇÃO VERMELHA</v>
      </c>
      <c r="J946" s="91">
        <v>150</v>
      </c>
      <c r="K946" s="88">
        <v>46240</v>
      </c>
      <c r="L946" s="9">
        <v>150</v>
      </c>
      <c r="M946" s="6">
        <v>46254</v>
      </c>
      <c r="N946" s="6">
        <v>46251</v>
      </c>
      <c r="O946" s="23">
        <f>TAB_OFICINAS[[#This Row],[Data Retorno Produção]]-TAB_OFICINAS[[#This Row],[Data Prometida  Entrega]]</f>
        <v>-3</v>
      </c>
      <c r="P946" s="98" t="str">
        <f>IF(TAB_OFICINAS[[#This Row],[Dias Para Entrega]]&lt;=0,"Em dia","Dia de Atrasado")</f>
        <v>Em dia</v>
      </c>
      <c r="Q946" s="24">
        <f>IFERROR(TAB_OFICINAS[[#This Row],[Qtd pçs Enviadas]]-TAB_OFICINAS[[#This Row],[Qtd pçs Retornadas ]],"N/D ")</f>
        <v>0</v>
      </c>
      <c r="R946" s="24">
        <v>0</v>
      </c>
      <c r="S946" s="5">
        <v>3357</v>
      </c>
      <c r="T946" s="5">
        <v>59</v>
      </c>
      <c r="U946" s="11">
        <v>7</v>
      </c>
      <c r="V946" s="25">
        <f>IFERROR(TAB_OFICINAS[[#This Row],[Valor Unit]]*TAB_OFICINAS[[#This Row],[Qtd pçs Enviadas]]," ")</f>
        <v>1050</v>
      </c>
      <c r="W946" s="26">
        <v>46261</v>
      </c>
      <c r="X946" s="17" t="s">
        <v>6251</v>
      </c>
      <c r="Y946" s="27"/>
      <c r="Z9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7" spans="3:26" hidden="1">
      <c r="C947" s="28" t="s">
        <v>17</v>
      </c>
      <c r="D947" s="5">
        <v>4652</v>
      </c>
      <c r="E947" s="5">
        <v>23900</v>
      </c>
      <c r="F947" s="28" t="str">
        <f>IFERROR(VLOOKUP(TAB_OFICINAS[[#This Row],[Cliente]],LISTA_DE_CLIENTES[[Código]:[Nome Fantasia]],2,FALSE),"")</f>
        <v>BEACH PARK HOTEIS E TURISMO S/A</v>
      </c>
      <c r="G947" s="2" t="str">
        <f>IFERROR(VLOOKUP(TAB_OFICINAS[[#This Row],[Cliente]],LISTA_DE_CLIENTES[[Código]:[Nome Fantasia]],3,FALSE),"")</f>
        <v>BEACH PARK OHANA EMP</v>
      </c>
      <c r="H947" s="51">
        <v>3301091242</v>
      </c>
      <c r="I947" s="28" t="str">
        <f>IFERROR(VLOOKUP(TAB_OFICINAS[[#This Row],[Codigo Produto ]],_000___PEDIDOS_DE_CLIENTES[[Data.Column2]:[Descrição Produto]],2,FALSE)," ")</f>
        <v>ROUPÃO FELPA VELUX BRANCO - TAM. GG - COM LOGO - MODELO KIMONO</v>
      </c>
      <c r="J947" s="91">
        <v>61</v>
      </c>
      <c r="K947" s="88">
        <v>46237</v>
      </c>
      <c r="L947" s="9">
        <v>61</v>
      </c>
      <c r="M947" s="6">
        <v>46286</v>
      </c>
      <c r="N947" s="6">
        <v>46288</v>
      </c>
      <c r="O947" s="23">
        <f>TAB_OFICINAS[[#This Row],[Data Retorno Produção]]-TAB_OFICINAS[[#This Row],[Data Prometida  Entrega]]</f>
        <v>2</v>
      </c>
      <c r="P947" s="98" t="str">
        <f>IF(TAB_OFICINAS[[#This Row],[Dias Para Entrega]]&lt;=0,"Em dia","Dia de Atrasado")</f>
        <v>Dia de Atrasado</v>
      </c>
      <c r="Q947" s="24">
        <f>IFERROR(TAB_OFICINAS[[#This Row],[Qtd pçs Enviadas]]-TAB_OFICINAS[[#This Row],[Qtd pçs Retornadas ]],"N/D ")</f>
        <v>0</v>
      </c>
      <c r="R947" s="24"/>
      <c r="S947" s="5">
        <v>3351</v>
      </c>
      <c r="T947" s="5">
        <v>65</v>
      </c>
      <c r="U947" s="11">
        <v>14</v>
      </c>
      <c r="V947" s="25">
        <f>IFERROR(TAB_OFICINAS[[#This Row],[Valor Unit]]*TAB_OFICINAS[[#This Row],[Qtd pçs Enviadas]]," ")</f>
        <v>854</v>
      </c>
      <c r="W947" s="26">
        <v>46297</v>
      </c>
      <c r="X947" s="17" t="s">
        <v>6251</v>
      </c>
      <c r="Y947" s="27"/>
      <c r="Z9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8" spans="3:26" hidden="1">
      <c r="C948" s="28" t="s">
        <v>17</v>
      </c>
      <c r="D948" s="5">
        <v>4652</v>
      </c>
      <c r="E948" s="5">
        <v>23900</v>
      </c>
      <c r="F948" s="28" t="str">
        <f>IFERROR(VLOOKUP(TAB_OFICINAS[[#This Row],[Cliente]],LISTA_DE_CLIENTES[[Código]:[Nome Fantasia]],2,FALSE),"")</f>
        <v>BEACH PARK HOTEIS E TURISMO S/A</v>
      </c>
      <c r="G948" s="2" t="str">
        <f>IFERROR(VLOOKUP(TAB_OFICINAS[[#This Row],[Cliente]],LISTA_DE_CLIENTES[[Código]:[Nome Fantasia]],3,FALSE),"")</f>
        <v>BEACH PARK OHANA EMP</v>
      </c>
      <c r="H948" s="51">
        <v>3301091213</v>
      </c>
      <c r="I948" s="28" t="str">
        <f>IFERROR(VLOOKUP(TAB_OFICINAS[[#This Row],[Codigo Produto ]],_000___PEDIDOS_DE_CLIENTES[[Data.Column2]:[Descrição Produto]],2,FALSE)," ")</f>
        <v>ROUPÃO FELPA VELUX BRANCO G COM LOGO -MODELO KIMONO</v>
      </c>
      <c r="J948" s="91">
        <v>121</v>
      </c>
      <c r="K948" s="88">
        <v>46239</v>
      </c>
      <c r="L948" s="9">
        <v>121</v>
      </c>
      <c r="M948" s="6">
        <v>46286</v>
      </c>
      <c r="N948" s="6">
        <v>46288</v>
      </c>
      <c r="O948" s="23">
        <f>TAB_OFICINAS[[#This Row],[Data Retorno Produção]]-TAB_OFICINAS[[#This Row],[Data Prometida  Entrega]]</f>
        <v>2</v>
      </c>
      <c r="P948" s="98" t="str">
        <f>IF(TAB_OFICINAS[[#This Row],[Dias Para Entrega]]&lt;=0,"Em dia","Dia de Atrasado")</f>
        <v>Dia de Atrasado</v>
      </c>
      <c r="Q948" s="24">
        <f>IFERROR(TAB_OFICINAS[[#This Row],[Qtd pçs Enviadas]]-TAB_OFICINAS[[#This Row],[Qtd pçs Retornadas ]],"N/D ")</f>
        <v>0</v>
      </c>
      <c r="R948" s="24"/>
      <c r="S948" s="5">
        <v>3351</v>
      </c>
      <c r="T948" s="5">
        <v>65</v>
      </c>
      <c r="U948" s="11">
        <v>14</v>
      </c>
      <c r="V948" s="25">
        <f>IFERROR(TAB_OFICINAS[[#This Row],[Valor Unit]]*TAB_OFICINAS[[#This Row],[Qtd pçs Enviadas]]," ")</f>
        <v>1694</v>
      </c>
      <c r="W948" s="26">
        <v>46297</v>
      </c>
      <c r="X948" s="17" t="s">
        <v>6251</v>
      </c>
      <c r="Y948" s="27"/>
      <c r="Z9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49" spans="3:26" hidden="1">
      <c r="C949" s="28" t="s">
        <v>17</v>
      </c>
      <c r="D949" s="5">
        <v>4652</v>
      </c>
      <c r="E949" s="5">
        <v>23900</v>
      </c>
      <c r="F949" s="28" t="str">
        <f>IFERROR(VLOOKUP(TAB_OFICINAS[[#This Row],[Cliente]],LISTA_DE_CLIENTES[[Código]:[Nome Fantasia]],2,FALSE),"")</f>
        <v>BEACH PARK HOTEIS E TURISMO S/A</v>
      </c>
      <c r="G949" s="2" t="str">
        <f>IFERROR(VLOOKUP(TAB_OFICINAS[[#This Row],[Cliente]],LISTA_DE_CLIENTES[[Código]:[Nome Fantasia]],3,FALSE),"")</f>
        <v>BEACH PARK OHANA EMP</v>
      </c>
      <c r="H949" s="51">
        <v>3301091211</v>
      </c>
      <c r="I949" s="28" t="str">
        <f>IFERROR(VLOOKUP(TAB_OFICINAS[[#This Row],[Codigo Produto ]],_000___PEDIDOS_DE_CLIENTES[[Data.Column2]:[Descrição Produto]],2,FALSE)," ")</f>
        <v>ROUPÃO FELPA VELUX BRANCO M COM LOGO -MODELO KIMONO</v>
      </c>
      <c r="J949" s="91">
        <v>61</v>
      </c>
      <c r="K949" s="88">
        <v>46239</v>
      </c>
      <c r="L949" s="9">
        <v>61</v>
      </c>
      <c r="M949" s="6">
        <v>46286</v>
      </c>
      <c r="N949" s="6">
        <v>46288</v>
      </c>
      <c r="O949" s="23">
        <f>TAB_OFICINAS[[#This Row],[Data Retorno Produção]]-TAB_OFICINAS[[#This Row],[Data Prometida  Entrega]]</f>
        <v>2</v>
      </c>
      <c r="P949" s="98" t="str">
        <f>IF(TAB_OFICINAS[[#This Row],[Dias Para Entrega]]&lt;=0,"Em dia","Dia de Atrasado")</f>
        <v>Dia de Atrasado</v>
      </c>
      <c r="Q949" s="24">
        <f>IFERROR(TAB_OFICINAS[[#This Row],[Qtd pçs Enviadas]]-TAB_OFICINAS[[#This Row],[Qtd pçs Retornadas ]],"N/D ")</f>
        <v>0</v>
      </c>
      <c r="R949" s="24"/>
      <c r="S949" s="5">
        <v>3351</v>
      </c>
      <c r="T949" s="5">
        <v>65</v>
      </c>
      <c r="U949" s="11">
        <v>14</v>
      </c>
      <c r="V949" s="25">
        <f>IFERROR(TAB_OFICINAS[[#This Row],[Valor Unit]]*TAB_OFICINAS[[#This Row],[Qtd pçs Enviadas]]," ")</f>
        <v>854</v>
      </c>
      <c r="W949" s="26">
        <v>46297</v>
      </c>
      <c r="X949" s="17" t="s">
        <v>6251</v>
      </c>
      <c r="Y949" s="27"/>
      <c r="Z9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0" spans="3:26" hidden="1">
      <c r="C950" s="28" t="s">
        <v>15</v>
      </c>
      <c r="D950" s="5">
        <v>5683</v>
      </c>
      <c r="E950" s="5">
        <v>24075</v>
      </c>
      <c r="F950" s="28" t="str">
        <f>IFERROR(VLOOKUP(TAB_OFICINAS[[#This Row],[Cliente]],LISTA_DE_CLIENTES[[Código]:[Nome Fantasia]],2,FALSE),"")</f>
        <v xml:space="preserve">STEFAN NEUDING
</v>
      </c>
      <c r="G950" s="2" t="str">
        <f>IFERROR(VLOOKUP(TAB_OFICINAS[[#This Row],[Cliente]],LISTA_DE_CLIENTES[[Código]:[Nome Fantasia]],3,FALSE),"")</f>
        <v xml:space="preserve">STEFAN NEUDING
</v>
      </c>
      <c r="H950" s="51" t="s">
        <v>24239</v>
      </c>
      <c r="I950" s="28" t="s">
        <v>24244</v>
      </c>
      <c r="J950" s="91">
        <v>3</v>
      </c>
      <c r="K950" s="88">
        <v>46241</v>
      </c>
      <c r="L950" s="9">
        <v>3</v>
      </c>
      <c r="M950" s="6">
        <v>46246</v>
      </c>
      <c r="N950" s="6">
        <v>46244</v>
      </c>
      <c r="O950" s="23">
        <f>TAB_OFICINAS[[#This Row],[Data Retorno Produção]]-TAB_OFICINAS[[#This Row],[Data Prometida  Entrega]]</f>
        <v>-2</v>
      </c>
      <c r="P950" s="98" t="str">
        <f>IF(TAB_OFICINAS[[#This Row],[Dias Para Entrega]]&lt;=0,"Em dia","Dia de Atrasado")</f>
        <v>Em dia</v>
      </c>
      <c r="Q950" s="24">
        <f>IFERROR(TAB_OFICINAS[[#This Row],[Qtd pçs Enviadas]]-TAB_OFICINAS[[#This Row],[Qtd pçs Retornadas ]],"N/D ")</f>
        <v>0</v>
      </c>
      <c r="R950" s="24">
        <v>0</v>
      </c>
      <c r="S950" s="5">
        <v>960</v>
      </c>
      <c r="T950" s="5">
        <v>17488</v>
      </c>
      <c r="U950" s="11">
        <v>12</v>
      </c>
      <c r="V950" s="25">
        <f>IFERROR(TAB_OFICINAS[[#This Row],[Valor Unit]]*TAB_OFICINAS[[#This Row],[Qtd pçs Enviadas]]," ")</f>
        <v>36</v>
      </c>
      <c r="W950" s="26">
        <v>46251</v>
      </c>
      <c r="X950" s="17" t="s">
        <v>6251</v>
      </c>
      <c r="Y950" s="27" t="s">
        <v>24253</v>
      </c>
      <c r="Z9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1" spans="3:26" hidden="1">
      <c r="C951" s="28" t="s">
        <v>15</v>
      </c>
      <c r="D951" s="5">
        <v>5683</v>
      </c>
      <c r="E951" s="5">
        <v>24075</v>
      </c>
      <c r="F951" s="28" t="str">
        <f>IFERROR(VLOOKUP(TAB_OFICINAS[[#This Row],[Cliente]],LISTA_DE_CLIENTES[[Código]:[Nome Fantasia]],2,FALSE),"")</f>
        <v xml:space="preserve">STEFAN NEUDING
</v>
      </c>
      <c r="G951" s="2" t="str">
        <f>IFERROR(VLOOKUP(TAB_OFICINAS[[#This Row],[Cliente]],LISTA_DE_CLIENTES[[Código]:[Nome Fantasia]],3,FALSE),"")</f>
        <v xml:space="preserve">STEFAN NEUDING
</v>
      </c>
      <c r="H951" s="51" t="s">
        <v>24240</v>
      </c>
      <c r="I951" s="28" t="s">
        <v>24245</v>
      </c>
      <c r="J951" s="91">
        <v>6</v>
      </c>
      <c r="K951" s="88">
        <v>46241</v>
      </c>
      <c r="L951" s="9">
        <v>6</v>
      </c>
      <c r="M951" s="6">
        <v>46246</v>
      </c>
      <c r="N951" s="6">
        <v>46244</v>
      </c>
      <c r="O951" s="23">
        <f>TAB_OFICINAS[[#This Row],[Data Retorno Produção]]-TAB_OFICINAS[[#This Row],[Data Prometida  Entrega]]</f>
        <v>-2</v>
      </c>
      <c r="P951" s="98" t="str">
        <f>IF(TAB_OFICINAS[[#This Row],[Dias Para Entrega]]&lt;=0,"Em dia","Dia de Atrasado")</f>
        <v>Em dia</v>
      </c>
      <c r="Q951" s="24">
        <f>IFERROR(TAB_OFICINAS[[#This Row],[Qtd pçs Enviadas]]-TAB_OFICINAS[[#This Row],[Qtd pçs Retornadas ]],"N/D ")</f>
        <v>0</v>
      </c>
      <c r="R951" s="24">
        <v>0</v>
      </c>
      <c r="S951" s="5">
        <v>960</v>
      </c>
      <c r="T951" s="5">
        <v>17488</v>
      </c>
      <c r="U951" s="11">
        <v>4</v>
      </c>
      <c r="V951" s="25">
        <f>IFERROR(TAB_OFICINAS[[#This Row],[Valor Unit]]*TAB_OFICINAS[[#This Row],[Qtd pçs Enviadas]]," ")</f>
        <v>24</v>
      </c>
      <c r="W951" s="26">
        <v>46251</v>
      </c>
      <c r="X951" s="17" t="s">
        <v>6251</v>
      </c>
      <c r="Y951" s="27" t="s">
        <v>24252</v>
      </c>
      <c r="Z9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2" spans="3:26" hidden="1">
      <c r="C952" s="28" t="s">
        <v>15</v>
      </c>
      <c r="D952" s="5">
        <v>5683</v>
      </c>
      <c r="E952" s="5">
        <v>24075</v>
      </c>
      <c r="F952" s="28" t="str">
        <f>IFERROR(VLOOKUP(TAB_OFICINAS[[#This Row],[Cliente]],LISTA_DE_CLIENTES[[Código]:[Nome Fantasia]],2,FALSE),"")</f>
        <v xml:space="preserve">STEFAN NEUDING
</v>
      </c>
      <c r="G952" s="2" t="str">
        <f>IFERROR(VLOOKUP(TAB_OFICINAS[[#This Row],[Cliente]],LISTA_DE_CLIENTES[[Código]:[Nome Fantasia]],3,FALSE),"")</f>
        <v xml:space="preserve">STEFAN NEUDING
</v>
      </c>
      <c r="H952" s="51" t="s">
        <v>24241</v>
      </c>
      <c r="I952" s="28" t="s">
        <v>24246</v>
      </c>
      <c r="J952" s="91">
        <v>6</v>
      </c>
      <c r="K952" s="88">
        <v>46241</v>
      </c>
      <c r="L952" s="9">
        <v>6</v>
      </c>
      <c r="M952" s="6">
        <v>46246</v>
      </c>
      <c r="N952" s="6">
        <v>46244</v>
      </c>
      <c r="O952" s="23">
        <f>TAB_OFICINAS[[#This Row],[Data Retorno Produção]]-TAB_OFICINAS[[#This Row],[Data Prometida  Entrega]]</f>
        <v>-2</v>
      </c>
      <c r="P952" s="98" t="str">
        <f>IF(TAB_OFICINAS[[#This Row],[Dias Para Entrega]]&lt;=0,"Em dia","Dia de Atrasado")</f>
        <v>Em dia</v>
      </c>
      <c r="Q952" s="24">
        <f>IFERROR(TAB_OFICINAS[[#This Row],[Qtd pçs Enviadas]]-TAB_OFICINAS[[#This Row],[Qtd pçs Retornadas ]],"N/D ")</f>
        <v>0</v>
      </c>
      <c r="R952" s="24">
        <v>0</v>
      </c>
      <c r="S952" s="5">
        <v>960</v>
      </c>
      <c r="T952" s="5">
        <v>17488</v>
      </c>
      <c r="U952" s="11">
        <v>4</v>
      </c>
      <c r="V952" s="25">
        <f>IFERROR(TAB_OFICINAS[[#This Row],[Valor Unit]]*TAB_OFICINAS[[#This Row],[Qtd pçs Enviadas]]," ")</f>
        <v>24</v>
      </c>
      <c r="W952" s="26">
        <v>46251</v>
      </c>
      <c r="X952" s="17" t="s">
        <v>6251</v>
      </c>
      <c r="Y952" s="27" t="s">
        <v>24254</v>
      </c>
      <c r="Z9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3" spans="3:26" hidden="1">
      <c r="C953" s="28" t="s">
        <v>15</v>
      </c>
      <c r="D953" s="5">
        <v>5683</v>
      </c>
      <c r="E953" s="5">
        <v>24075</v>
      </c>
      <c r="F953" s="28" t="str">
        <f>IFERROR(VLOOKUP(TAB_OFICINAS[[#This Row],[Cliente]],LISTA_DE_CLIENTES[[Código]:[Nome Fantasia]],2,FALSE),"")</f>
        <v xml:space="preserve">STEFAN NEUDING
</v>
      </c>
      <c r="G953" s="2" t="str">
        <f>IFERROR(VLOOKUP(TAB_OFICINAS[[#This Row],[Cliente]],LISTA_DE_CLIENTES[[Código]:[Nome Fantasia]],3,FALSE),"")</f>
        <v xml:space="preserve">STEFAN NEUDING
</v>
      </c>
      <c r="H953" s="51" t="s">
        <v>24242</v>
      </c>
      <c r="I953" s="28" t="s">
        <v>24247</v>
      </c>
      <c r="J953" s="91">
        <v>3</v>
      </c>
      <c r="K953" s="88">
        <v>46241</v>
      </c>
      <c r="L953" s="9">
        <v>3</v>
      </c>
      <c r="M953" s="6">
        <v>46246</v>
      </c>
      <c r="N953" s="6">
        <v>46244</v>
      </c>
      <c r="O953" s="23">
        <f>TAB_OFICINAS[[#This Row],[Data Retorno Produção]]-TAB_OFICINAS[[#This Row],[Data Prometida  Entrega]]</f>
        <v>-2</v>
      </c>
      <c r="P953" s="98" t="str">
        <f>IF(TAB_OFICINAS[[#This Row],[Dias Para Entrega]]&lt;=0,"Em dia","Dia de Atrasado")</f>
        <v>Em dia</v>
      </c>
      <c r="Q953" s="24">
        <f>IFERROR(TAB_OFICINAS[[#This Row],[Qtd pçs Enviadas]]-TAB_OFICINAS[[#This Row],[Qtd pçs Retornadas ]],"N/D ")</f>
        <v>0</v>
      </c>
      <c r="R953" s="24">
        <v>0</v>
      </c>
      <c r="S953" s="5">
        <v>960</v>
      </c>
      <c r="T953" s="5">
        <v>17488</v>
      </c>
      <c r="U953" s="11">
        <v>12</v>
      </c>
      <c r="V953" s="25">
        <f>IFERROR(TAB_OFICINAS[[#This Row],[Valor Unit]]*TAB_OFICINAS[[#This Row],[Qtd pçs Enviadas]]," ")</f>
        <v>36</v>
      </c>
      <c r="W953" s="26">
        <v>46251</v>
      </c>
      <c r="X953" s="17" t="s">
        <v>6251</v>
      </c>
      <c r="Y953" s="27" t="s">
        <v>24255</v>
      </c>
      <c r="Z9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4" spans="3:26" hidden="1">
      <c r="C954" s="28" t="s">
        <v>15</v>
      </c>
      <c r="D954" s="5">
        <v>5683</v>
      </c>
      <c r="E954" s="5">
        <v>24075</v>
      </c>
      <c r="F954" s="28" t="str">
        <f>IFERROR(VLOOKUP(TAB_OFICINAS[[#This Row],[Cliente]],LISTA_DE_CLIENTES[[Código]:[Nome Fantasia]],2,FALSE),"")</f>
        <v xml:space="preserve">STEFAN NEUDING
</v>
      </c>
      <c r="G954" s="2" t="str">
        <f>IFERROR(VLOOKUP(TAB_OFICINAS[[#This Row],[Cliente]],LISTA_DE_CLIENTES[[Código]:[Nome Fantasia]],3,FALSE),"")</f>
        <v xml:space="preserve">STEFAN NEUDING
</v>
      </c>
      <c r="H954" s="51" t="s">
        <v>24243</v>
      </c>
      <c r="I954" s="28" t="s">
        <v>24248</v>
      </c>
      <c r="J954" s="91">
        <v>6</v>
      </c>
      <c r="K954" s="88">
        <v>46241</v>
      </c>
      <c r="L954" s="9">
        <v>6</v>
      </c>
      <c r="M954" s="6">
        <v>46246</v>
      </c>
      <c r="N954" s="6">
        <v>46244</v>
      </c>
      <c r="O954" s="23">
        <f>TAB_OFICINAS[[#This Row],[Data Retorno Produção]]-TAB_OFICINAS[[#This Row],[Data Prometida  Entrega]]</f>
        <v>-2</v>
      </c>
      <c r="P954" s="98" t="str">
        <f>IF(TAB_OFICINAS[[#This Row],[Dias Para Entrega]]&lt;=0,"Em dia","Dia de Atrasado")</f>
        <v>Em dia</v>
      </c>
      <c r="Q954" s="24">
        <f>IFERROR(TAB_OFICINAS[[#This Row],[Qtd pçs Enviadas]]-TAB_OFICINAS[[#This Row],[Qtd pçs Retornadas ]],"N/D ")</f>
        <v>0</v>
      </c>
      <c r="R954" s="24">
        <v>0</v>
      </c>
      <c r="S954" s="5">
        <v>960</v>
      </c>
      <c r="T954" s="5">
        <v>17488</v>
      </c>
      <c r="U954" s="11">
        <v>8</v>
      </c>
      <c r="V954" s="25">
        <f>IFERROR(TAB_OFICINAS[[#This Row],[Valor Unit]]*TAB_OFICINAS[[#This Row],[Qtd pçs Enviadas]]," ")</f>
        <v>48</v>
      </c>
      <c r="W954" s="26">
        <v>46251</v>
      </c>
      <c r="X954" s="17" t="s">
        <v>6251</v>
      </c>
      <c r="Y954" s="27" t="s">
        <v>24252</v>
      </c>
      <c r="Z9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5" spans="3:26" hidden="1">
      <c r="C955" s="28" t="s">
        <v>15</v>
      </c>
      <c r="D955" s="5">
        <v>5683</v>
      </c>
      <c r="E955" s="5">
        <v>24075</v>
      </c>
      <c r="F955" s="28" t="str">
        <f>IFERROR(VLOOKUP(TAB_OFICINAS[[#This Row],[Cliente]],LISTA_DE_CLIENTES[[Código]:[Nome Fantasia]],2,FALSE),"")</f>
        <v xml:space="preserve">STEFAN NEUDING
</v>
      </c>
      <c r="G955" s="2" t="str">
        <f>IFERROR(VLOOKUP(TAB_OFICINAS[[#This Row],[Cliente]],LISTA_DE_CLIENTES[[Código]:[Nome Fantasia]],3,FALSE),"")</f>
        <v xml:space="preserve">STEFAN NEUDING
</v>
      </c>
      <c r="H955" s="51" t="s">
        <v>24249</v>
      </c>
      <c r="I955" s="28" t="s">
        <v>24250</v>
      </c>
      <c r="J955" s="91">
        <v>3</v>
      </c>
      <c r="K955" s="88">
        <v>46241</v>
      </c>
      <c r="L955" s="9">
        <v>3</v>
      </c>
      <c r="M955" s="6">
        <v>46246</v>
      </c>
      <c r="N955" s="6">
        <v>46244</v>
      </c>
      <c r="O955" s="23">
        <f>TAB_OFICINAS[[#This Row],[Data Retorno Produção]]-TAB_OFICINAS[[#This Row],[Data Prometida  Entrega]]</f>
        <v>-2</v>
      </c>
      <c r="P955" s="98" t="str">
        <f>IF(TAB_OFICINAS[[#This Row],[Dias Para Entrega]]&lt;=0,"Em dia","Dia de Atrasado")</f>
        <v>Em dia</v>
      </c>
      <c r="Q955" s="24">
        <f>IFERROR(TAB_OFICINAS[[#This Row],[Qtd pçs Enviadas]]-TAB_OFICINAS[[#This Row],[Qtd pçs Retornadas ]],"N/D ")</f>
        <v>0</v>
      </c>
      <c r="R955" s="24">
        <v>0</v>
      </c>
      <c r="S955" s="5">
        <v>960</v>
      </c>
      <c r="T955" s="5">
        <v>17488</v>
      </c>
      <c r="U955" s="11">
        <v>12</v>
      </c>
      <c r="V955" s="25">
        <f>IFERROR(TAB_OFICINAS[[#This Row],[Valor Unit]]*TAB_OFICINAS[[#This Row],[Qtd pçs Enviadas]]," ")</f>
        <v>36</v>
      </c>
      <c r="W955" s="26">
        <v>46251</v>
      </c>
      <c r="X955" s="17" t="s">
        <v>6251</v>
      </c>
      <c r="Y955" s="27" t="s">
        <v>24251</v>
      </c>
      <c r="Z9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6" spans="3:26" hidden="1">
      <c r="C956" s="28" t="s">
        <v>15</v>
      </c>
      <c r="D956" s="5">
        <v>5683</v>
      </c>
      <c r="E956" s="5">
        <v>24075</v>
      </c>
      <c r="F956" s="28" t="str">
        <f>IFERROR(VLOOKUP(TAB_OFICINAS[[#This Row],[Cliente]],LISTA_DE_CLIENTES[[Código]:[Nome Fantasia]],2,FALSE),"")</f>
        <v xml:space="preserve">STEFAN NEUDING
</v>
      </c>
      <c r="G956" s="2" t="str">
        <f>IFERROR(VLOOKUP(TAB_OFICINAS[[#This Row],[Cliente]],LISTA_DE_CLIENTES[[Código]:[Nome Fantasia]],3,FALSE),"")</f>
        <v xml:space="preserve">STEFAN NEUDING
</v>
      </c>
      <c r="H956" s="51" t="s">
        <v>24256</v>
      </c>
      <c r="I956" s="28" t="s">
        <v>24257</v>
      </c>
      <c r="J956" s="91">
        <v>6</v>
      </c>
      <c r="K956" s="88">
        <v>46241</v>
      </c>
      <c r="L956" s="9">
        <v>6</v>
      </c>
      <c r="M956" s="6">
        <v>46246</v>
      </c>
      <c r="N956" s="6">
        <v>46244</v>
      </c>
      <c r="O956" s="23">
        <f>TAB_OFICINAS[[#This Row],[Data Retorno Produção]]-TAB_OFICINAS[[#This Row],[Data Prometida  Entrega]]</f>
        <v>-2</v>
      </c>
      <c r="P956" s="98" t="str">
        <f>IF(TAB_OFICINAS[[#This Row],[Dias Para Entrega]]&lt;=0,"Em dia","Dia de Atrasado")</f>
        <v>Em dia</v>
      </c>
      <c r="Q956" s="24">
        <f>IFERROR(TAB_OFICINAS[[#This Row],[Qtd pçs Enviadas]]-TAB_OFICINAS[[#This Row],[Qtd pçs Retornadas ]],"N/D ")</f>
        <v>0</v>
      </c>
      <c r="R956" s="24">
        <v>0</v>
      </c>
      <c r="S956" s="5">
        <v>960</v>
      </c>
      <c r="T956" s="5">
        <v>17488</v>
      </c>
      <c r="U956" s="11">
        <v>6</v>
      </c>
      <c r="V956" s="25">
        <f>IFERROR(TAB_OFICINAS[[#This Row],[Valor Unit]]*TAB_OFICINAS[[#This Row],[Qtd pçs Enviadas]]," ")</f>
        <v>36</v>
      </c>
      <c r="W956" s="26">
        <v>46251</v>
      </c>
      <c r="X956" s="17" t="s">
        <v>6251</v>
      </c>
      <c r="Y956" s="27" t="s">
        <v>24254</v>
      </c>
      <c r="Z9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7" spans="3:26" hidden="1">
      <c r="C957" s="28" t="s">
        <v>15</v>
      </c>
      <c r="D957" s="5">
        <v>5683</v>
      </c>
      <c r="E957" s="5">
        <v>24075</v>
      </c>
      <c r="F957" s="28" t="str">
        <f>IFERROR(VLOOKUP(TAB_OFICINAS[[#This Row],[Cliente]],LISTA_DE_CLIENTES[[Código]:[Nome Fantasia]],2,FALSE),"")</f>
        <v xml:space="preserve">STEFAN NEUDING
</v>
      </c>
      <c r="G957" s="2" t="str">
        <f>IFERROR(VLOOKUP(TAB_OFICINAS[[#This Row],[Cliente]],LISTA_DE_CLIENTES[[Código]:[Nome Fantasia]],3,FALSE),"")</f>
        <v xml:space="preserve">STEFAN NEUDING
</v>
      </c>
      <c r="H957" s="51" t="s">
        <v>24258</v>
      </c>
      <c r="I957" s="28" t="s">
        <v>24260</v>
      </c>
      <c r="J957" s="91">
        <v>3</v>
      </c>
      <c r="K957" s="88">
        <v>46241</v>
      </c>
      <c r="L957" s="9">
        <v>3</v>
      </c>
      <c r="M957" s="6">
        <v>46246</v>
      </c>
      <c r="N957" s="6">
        <v>46244</v>
      </c>
      <c r="O957" s="23">
        <f>TAB_OFICINAS[[#This Row],[Data Retorno Produção]]-TAB_OFICINAS[[#This Row],[Data Prometida  Entrega]]</f>
        <v>-2</v>
      </c>
      <c r="P957" s="98" t="str">
        <f>IF(TAB_OFICINAS[[#This Row],[Dias Para Entrega]]&lt;=0,"Em dia","Dia de Atrasado")</f>
        <v>Em dia</v>
      </c>
      <c r="Q957" s="24">
        <f>IFERROR(TAB_OFICINAS[[#This Row],[Qtd pçs Enviadas]]-TAB_OFICINAS[[#This Row],[Qtd pçs Retornadas ]],"N/D ")</f>
        <v>0</v>
      </c>
      <c r="R957" s="24">
        <v>0</v>
      </c>
      <c r="S957" s="5">
        <v>960</v>
      </c>
      <c r="T957" s="5">
        <v>17488</v>
      </c>
      <c r="U957" s="11">
        <v>12</v>
      </c>
      <c r="V957" s="25">
        <f>IFERROR(TAB_OFICINAS[[#This Row],[Valor Unit]]*TAB_OFICINAS[[#This Row],[Qtd pçs Enviadas]]," ")</f>
        <v>36</v>
      </c>
      <c r="W957" s="26">
        <v>46251</v>
      </c>
      <c r="X957" s="17" t="s">
        <v>6251</v>
      </c>
      <c r="Y957" s="27" t="s">
        <v>24259</v>
      </c>
      <c r="Z9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58" spans="3:26" hidden="1">
      <c r="C958" s="28" t="s">
        <v>21197</v>
      </c>
      <c r="D958" s="5">
        <v>188</v>
      </c>
      <c r="E958" s="5">
        <v>24018</v>
      </c>
      <c r="F958" s="28" t="str">
        <f>IFERROR(VLOOKUP(TAB_OFICINAS[[#This Row],[Cliente]],LISTA_DE_CLIENTES[[Código]:[Nome Fantasia]],2,FALSE),"")</f>
        <v>IHC SAO PAULO HOTELARIA LTDA.</v>
      </c>
      <c r="G958" s="2" t="str">
        <f>IFERROR(VLOOKUP(TAB_OFICINAS[[#This Row],[Cliente]],LISTA_DE_CLIENTES[[Código]:[Nome Fantasia]],3,FALSE),"")</f>
        <v>INTERCONTINENTAL SP</v>
      </c>
      <c r="H958" s="51">
        <v>2110300739</v>
      </c>
      <c r="I958" s="28" t="str">
        <f>IFERROR(VLOOKUP(TAB_OFICINAS[[#This Row],[Codigo Produto ]],_000___PEDIDOS_DE_CLIENTES[[Data.Column2]:[Descrição Produto]],2,FALSE)," ")</f>
        <v>SUPER FRONHA 4 ABAS 5CM CLASSIC 300F 100%  ALGODÃO 0,50 X 0,90</v>
      </c>
      <c r="J958" s="91">
        <v>620</v>
      </c>
      <c r="K958" s="88">
        <v>46241</v>
      </c>
      <c r="M958" s="6">
        <v>46262</v>
      </c>
      <c r="N958" s="6">
        <f t="shared" ref="N958:N969" ca="1" si="3">TODAY()</f>
        <v>46315</v>
      </c>
      <c r="O958" s="23">
        <f ca="1">TAB_OFICINAS[[#This Row],[Data Retorno Produção]]-TAB_OFICINAS[[#This Row],[Data Prometida  Entrega]]</f>
        <v>53</v>
      </c>
      <c r="P958" s="98" t="str">
        <f ca="1">IF(TAB_OFICINAS[[#This Row],[Dias Para Entrega]]&lt;=0,"Em dia","Dia de Atrasado")</f>
        <v>Dia de Atrasado</v>
      </c>
      <c r="Q958" s="24">
        <f>IFERROR(TAB_OFICINAS[[#This Row],[Qtd pçs Enviadas]]-TAB_OFICINAS[[#This Row],[Qtd pçs Retornadas ]],"N/D ")</f>
        <v>620</v>
      </c>
      <c r="R958" s="24"/>
      <c r="S958" s="5">
        <v>3360</v>
      </c>
      <c r="U958" s="11">
        <v>5.95</v>
      </c>
      <c r="V958" s="25">
        <f>IFERROR(TAB_OFICINAS[[#This Row],[Valor Unit]]*TAB_OFICINAS[[#This Row],[Qtd pçs Enviadas]]," ")</f>
        <v>3689</v>
      </c>
      <c r="W958" s="26"/>
      <c r="X958" s="17" t="s">
        <v>6251</v>
      </c>
      <c r="Y958" s="27"/>
      <c r="Z958" s="90" t="str">
        <f>IF(TAB_OFICINAS[[#This Row],[Qtd pçs Enviadas]]=TAB_OFICINAS[[#This Row],[Qtd pçs Retornadas ]],"Produção Finalizada",TAB_OFICINAS[[#This Row],[Qtd pçs Pendetente ]] &amp; " " &amp; "Pçs Pendente")</f>
        <v>620 Pçs Pendente</v>
      </c>
    </row>
    <row r="959" spans="3:26" hidden="1">
      <c r="C959" s="28" t="s">
        <v>1</v>
      </c>
      <c r="D959" s="5">
        <v>3107</v>
      </c>
      <c r="E959" s="5">
        <v>23956</v>
      </c>
      <c r="F959" s="28" t="str">
        <f>IFERROR(VLOOKUP(TAB_OFICINAS[[#This Row],[Cliente]],LISTA_DE_CLIENTES[[Código]:[Nome Fantasia]],2,FALSE),"")</f>
        <v>HCC HOTELS GESTAO HOTELEIRA LTDA.</v>
      </c>
      <c r="G959" s="2" t="str">
        <f>IFERROR(VLOOKUP(TAB_OFICINAS[[#This Row],[Cliente]],LISTA_DE_CLIENTES[[Código]:[Nome Fantasia]],3,FALSE),"")</f>
        <v>QOYA SP</v>
      </c>
      <c r="H959" s="51">
        <v>92115031230</v>
      </c>
      <c r="I959" s="28" t="str">
        <f>IFERROR(VLOOKUP(TAB_OFICINAS[[#This Row],[Codigo Produto ]],_000___PEDIDOS_DE_CLIENTES[[Data.Column2]:[Descrição Produto]],2,FALSE)," ")</f>
        <v>CAPA DE DUVET CLASSIC C/ ENVELOPE 400F 100% ALGODÃO 2,20 X 2,40</v>
      </c>
      <c r="J959" s="91">
        <v>20</v>
      </c>
      <c r="K959" s="88">
        <v>46240</v>
      </c>
      <c r="L959" s="9">
        <v>20</v>
      </c>
      <c r="M959" s="6">
        <v>46248</v>
      </c>
      <c r="N959" s="6">
        <v>46241</v>
      </c>
      <c r="O959" s="23">
        <f>TAB_OFICINAS[[#This Row],[Data Retorno Produção]]-TAB_OFICINAS[[#This Row],[Data Prometida  Entrega]]</f>
        <v>-7</v>
      </c>
      <c r="P959" s="98" t="str">
        <f>IF(TAB_OFICINAS[[#This Row],[Dias Para Entrega]]&lt;=0,"Em dia","Dia de Atrasado")</f>
        <v>Em dia</v>
      </c>
      <c r="Q959" s="24">
        <f>IFERROR(TAB_OFICINAS[[#This Row],[Qtd pçs Enviadas]]-TAB_OFICINAS[[#This Row],[Qtd pçs Retornadas ]],"N/D ")</f>
        <v>0</v>
      </c>
      <c r="R959" s="24"/>
      <c r="S959" s="5">
        <v>3355</v>
      </c>
      <c r="T959" s="5">
        <v>61</v>
      </c>
      <c r="U959" s="11">
        <v>15</v>
      </c>
      <c r="V959" s="25">
        <f>IFERROR(TAB_OFICINAS[[#This Row],[Valor Unit]]*TAB_OFICINAS[[#This Row],[Qtd pçs Enviadas]]," ")</f>
        <v>300</v>
      </c>
      <c r="W959" s="26">
        <v>46251</v>
      </c>
      <c r="X959" s="17" t="s">
        <v>6251</v>
      </c>
      <c r="Y959" s="27"/>
      <c r="Z9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0" spans="3:26" hidden="1">
      <c r="C960" s="28" t="s">
        <v>1</v>
      </c>
      <c r="D960" s="5">
        <v>3107</v>
      </c>
      <c r="E960" s="5">
        <v>23956</v>
      </c>
      <c r="F960" s="28" t="str">
        <f>IFERROR(VLOOKUP(TAB_OFICINAS[[#This Row],[Cliente]],LISTA_DE_CLIENTES[[Código]:[Nome Fantasia]],2,FALSE),"")</f>
        <v>HCC HOTELS GESTAO HOTELEIRA LTDA.</v>
      </c>
      <c r="G960" s="2" t="str">
        <f>IFERROR(VLOOKUP(TAB_OFICINAS[[#This Row],[Cliente]],LISTA_DE_CLIENTES[[Código]:[Nome Fantasia]],3,FALSE),"")</f>
        <v>QOYA SP</v>
      </c>
      <c r="H960" s="51">
        <v>92101107950</v>
      </c>
      <c r="I960" s="28" t="str">
        <f>IFERROR(VLOOKUP(TAB_OFICINAS[[#This Row],[Codigo Produto ]],_000___PEDIDOS_DE_CLIENTES[[Data.Column2]:[Descrição Produto]],2,FALSE)," ")</f>
        <v>LENÇOL BARRA ESTREITA 4 LADOS 400F 100% ALGODÃO 2,70 X 2,90</v>
      </c>
      <c r="J960" s="91">
        <v>100</v>
      </c>
      <c r="K960" s="88">
        <v>46240</v>
      </c>
      <c r="L960" s="9">
        <v>100</v>
      </c>
      <c r="M960" s="6">
        <v>46248</v>
      </c>
      <c r="N960" s="6">
        <f t="shared" ca="1" si="3"/>
        <v>46315</v>
      </c>
      <c r="O960" s="23">
        <f ca="1">TAB_OFICINAS[[#This Row],[Data Retorno Produção]]-TAB_OFICINAS[[#This Row],[Data Prometida  Entrega]]</f>
        <v>67</v>
      </c>
      <c r="P960" s="98" t="str">
        <f ca="1">IF(TAB_OFICINAS[[#This Row],[Dias Para Entrega]]&lt;=0,"Em dia","Dia de Atrasado")</f>
        <v>Dia de Atrasado</v>
      </c>
      <c r="Q960" s="24">
        <f>IFERROR(TAB_OFICINAS[[#This Row],[Qtd pçs Enviadas]]-TAB_OFICINAS[[#This Row],[Qtd pçs Retornadas ]],"N/D ")</f>
        <v>0</v>
      </c>
      <c r="R960" s="24"/>
      <c r="S960" s="5">
        <v>3355</v>
      </c>
      <c r="T960" s="5">
        <v>61</v>
      </c>
      <c r="U960" s="11">
        <v>6.5</v>
      </c>
      <c r="V960" s="25">
        <f>IFERROR(TAB_OFICINAS[[#This Row],[Valor Unit]]*TAB_OFICINAS[[#This Row],[Qtd pçs Enviadas]]," ")</f>
        <v>650</v>
      </c>
      <c r="W960" s="26">
        <v>46251</v>
      </c>
      <c r="X960" s="17" t="s">
        <v>6251</v>
      </c>
      <c r="Y960" s="27"/>
      <c r="Z9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1" spans="3:26" hidden="1">
      <c r="C961" s="28" t="s">
        <v>1</v>
      </c>
      <c r="D961" s="5">
        <v>4637</v>
      </c>
      <c r="F961" s="28" t="str">
        <f>IFERROR(VLOOKUP(TAB_OFICINAS[[#This Row],[Cliente]],LISTA_DE_CLIENTES[[Código]:[Nome Fantasia]],2,FALSE),"")</f>
        <v>HOSPITAL SAO CARLOS S.A.</v>
      </c>
      <c r="G961" s="2" t="str">
        <f>IFERROR(VLOOKUP(TAB_OFICINAS[[#This Row],[Cliente]],LISTA_DE_CLIENTES[[Código]:[Nome Fantasia]],3,FALSE),"")</f>
        <v>HOSPITAL SAO CARLOS</v>
      </c>
      <c r="H961" s="51">
        <v>2101101237</v>
      </c>
      <c r="I961" s="28" t="str">
        <f>IFERROR(VLOOKUP(TAB_OFICINAS[[#This Row],[Codigo Produto ]],_000___PEDIDOS_DE_CLIENTES[[Data.Column2]:[Descrição Produto]],2,FALSE)," ")</f>
        <v>LENÇOL BAIXO 400F 100%ALG COM LOGO BORDADO COR LAPIS 7115 E CARAMELO 7198  E SEM FESTONÊ - 1,80 X 2,80</v>
      </c>
      <c r="J961" s="91">
        <v>29</v>
      </c>
      <c r="K961" s="88">
        <v>46245</v>
      </c>
      <c r="L961" s="9">
        <v>29</v>
      </c>
      <c r="M961" s="6">
        <v>46248</v>
      </c>
      <c r="N961" s="6">
        <v>46247</v>
      </c>
      <c r="O961" s="23">
        <f>TAB_OFICINAS[[#This Row],[Data Retorno Produção]]-TAB_OFICINAS[[#This Row],[Data Prometida  Entrega]]</f>
        <v>-1</v>
      </c>
      <c r="P961" s="98" t="str">
        <f>IF(TAB_OFICINAS[[#This Row],[Dias Para Entrega]]&lt;=0,"Em dia","Dia de Atrasado")</f>
        <v>Em dia</v>
      </c>
      <c r="Q961" s="24">
        <v>0</v>
      </c>
      <c r="R961" s="24"/>
      <c r="S961" s="5">
        <v>964</v>
      </c>
      <c r="T961" s="5">
        <v>62</v>
      </c>
      <c r="U961" s="11">
        <v>4.5</v>
      </c>
      <c r="V961" s="25">
        <f>IFERROR(TAB_OFICINAS[[#This Row],[Valor Unit]]*TAB_OFICINAS[[#This Row],[Qtd pçs Enviadas]]," ")</f>
        <v>130.5</v>
      </c>
      <c r="W961" s="26">
        <v>46256</v>
      </c>
      <c r="X961" s="17" t="s">
        <v>6251</v>
      </c>
      <c r="Y961" s="27"/>
      <c r="Z9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2" spans="3:26" hidden="1">
      <c r="C962" s="28" t="s">
        <v>7</v>
      </c>
      <c r="D962" s="5">
        <v>5601</v>
      </c>
      <c r="E962" s="5">
        <v>24011</v>
      </c>
      <c r="F962" s="28" t="str">
        <f>IFERROR(VLOOKUP(TAB_OFICINAS[[#This Row],[Cliente]],LISTA_DE_CLIENTES[[Código]:[Nome Fantasia]],2,FALSE),"")</f>
        <v>CANTO DOS VENTOS LTDA</v>
      </c>
      <c r="G962" s="2" t="str">
        <f>IFERROR(VLOOKUP(TAB_OFICINAS[[#This Row],[Cliente]],LISTA_DE_CLIENTES[[Código]:[Nome Fantasia]],3,FALSE),"")</f>
        <v>CANTO DOS VENTOS LTD</v>
      </c>
      <c r="H962" s="51">
        <v>2101061083</v>
      </c>
      <c r="I962" s="28" t="str">
        <f>IFERROR(VLOOKUP(TAB_OFICINAS[[#This Row],[Codigo Produto ]],_000___PEDIDOS_DE_CLIENTES[[Data.Column2]:[Descrição Produto]],2,FALSE)," ")</f>
        <v>CAPA DUVET CLASSIC 250F MISTO MODELO ENVELOPE 2,95 X 2,55</v>
      </c>
      <c r="J962" s="91">
        <v>7</v>
      </c>
      <c r="K962" s="88">
        <v>46244</v>
      </c>
      <c r="L962" s="9">
        <v>7</v>
      </c>
      <c r="M962" s="6">
        <v>46251</v>
      </c>
      <c r="N962" s="6">
        <f t="shared" ca="1" si="3"/>
        <v>46315</v>
      </c>
      <c r="O962" s="23">
        <f ca="1">TAB_OFICINAS[[#This Row],[Data Retorno Produção]]-TAB_OFICINAS[[#This Row],[Data Prometida  Entrega]]</f>
        <v>64</v>
      </c>
      <c r="P962" s="98" t="str">
        <f ca="1">IF(TAB_OFICINAS[[#This Row],[Dias Para Entrega]]&lt;=0,"Em dia","Dia de Atrasado")</f>
        <v>Dia de Atrasado</v>
      </c>
      <c r="Q962" s="24">
        <f>IFERROR(TAB_OFICINAS[[#This Row],[Qtd pçs Enviadas]]-TAB_OFICINAS[[#This Row],[Qtd pçs Retornadas ]],"N/D ")</f>
        <v>0</v>
      </c>
      <c r="R962" s="24"/>
      <c r="S962" s="5">
        <v>962</v>
      </c>
      <c r="T962" s="5">
        <v>54</v>
      </c>
      <c r="U962" s="11">
        <v>16</v>
      </c>
      <c r="V962" s="25">
        <f>IFERROR(TAB_OFICINAS[[#This Row],[Valor Unit]]*TAB_OFICINAS[[#This Row],[Qtd pçs Enviadas]]," ")</f>
        <v>112</v>
      </c>
      <c r="W962" s="26">
        <v>46258</v>
      </c>
      <c r="X962" s="17" t="s">
        <v>6251</v>
      </c>
      <c r="Y962" s="27"/>
      <c r="Z9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3" spans="3:26" hidden="1">
      <c r="C963" s="28" t="s">
        <v>7</v>
      </c>
      <c r="D963" s="5">
        <v>5601</v>
      </c>
      <c r="E963" s="5">
        <v>24011</v>
      </c>
      <c r="F963" s="28" t="str">
        <f>IFERROR(VLOOKUP(TAB_OFICINAS[[#This Row],[Cliente]],LISTA_DE_CLIENTES[[Código]:[Nome Fantasia]],2,FALSE),"")</f>
        <v>CANTO DOS VENTOS LTDA</v>
      </c>
      <c r="G963" s="2" t="str">
        <f>IFERROR(VLOOKUP(TAB_OFICINAS[[#This Row],[Cliente]],LISTA_DE_CLIENTES[[Código]:[Nome Fantasia]],3,FALSE),"")</f>
        <v>CANTO DOS VENTOS LTD</v>
      </c>
      <c r="H963" s="51">
        <v>2101061082</v>
      </c>
      <c r="I963" s="28" t="str">
        <f>IFERROR(VLOOKUP(TAB_OFICINAS[[#This Row],[Codigo Produto ]],_000___PEDIDOS_DE_CLIENTES[[Data.Column2]:[Descrição Produto]],2,FALSE)," ")</f>
        <v>CAPA DUVET CLASSIC 250F MISTO MODELO ENVELOPE 1,90 X 2,40</v>
      </c>
      <c r="J963" s="91">
        <v>12</v>
      </c>
      <c r="K963" s="88">
        <v>46244</v>
      </c>
      <c r="L963" s="9">
        <v>12</v>
      </c>
      <c r="M963" s="6">
        <v>46251</v>
      </c>
      <c r="N963" s="6">
        <f t="shared" ca="1" si="3"/>
        <v>46315</v>
      </c>
      <c r="O963" s="23">
        <f ca="1">TAB_OFICINAS[[#This Row],[Data Retorno Produção]]-TAB_OFICINAS[[#This Row],[Data Prometida  Entrega]]</f>
        <v>64</v>
      </c>
      <c r="P963" s="98" t="str">
        <f ca="1">IF(TAB_OFICINAS[[#This Row],[Dias Para Entrega]]&lt;=0,"Em dia","Dia de Atrasado")</f>
        <v>Dia de Atrasado</v>
      </c>
      <c r="Q963" s="24">
        <f>IFERROR(TAB_OFICINAS[[#This Row],[Qtd pçs Enviadas]]-TAB_OFICINAS[[#This Row],[Qtd pçs Retornadas ]],"N/D ")</f>
        <v>0</v>
      </c>
      <c r="R963" s="24"/>
      <c r="S963" s="5">
        <v>962</v>
      </c>
      <c r="T963" s="5">
        <v>54</v>
      </c>
      <c r="U963" s="11">
        <v>10</v>
      </c>
      <c r="V963" s="25">
        <f>IFERROR(TAB_OFICINAS[[#This Row],[Valor Unit]]*TAB_OFICINAS[[#This Row],[Qtd pçs Enviadas]]," ")</f>
        <v>120</v>
      </c>
      <c r="W963" s="26">
        <v>46258</v>
      </c>
      <c r="X963" s="17" t="s">
        <v>6251</v>
      </c>
      <c r="Y963" s="27"/>
      <c r="Z9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4" spans="3:26" hidden="1">
      <c r="C964" s="28" t="s">
        <v>21197</v>
      </c>
      <c r="D964" s="5">
        <v>1973</v>
      </c>
      <c r="E964" s="5">
        <v>23996</v>
      </c>
      <c r="F964" s="28" t="str">
        <f>IFERROR(VLOOKUP(TAB_OFICINAS[[#This Row],[Cliente]],LISTA_DE_CLIENTES[[Código]:[Nome Fantasia]],2,FALSE),"")</f>
        <v>L.E.B.S.P.E. EMPREENDIMENTOS E PARTICIPACOES LTDA.</v>
      </c>
      <c r="G964" s="2" t="str">
        <f>IFERROR(VLOOKUP(TAB_OFICINAS[[#This Row],[Cliente]],LISTA_DE_CLIENTES[[Código]:[Nome Fantasia]],3,FALSE),"")</f>
        <v>GRAND MERCURE ITAIM</v>
      </c>
      <c r="H964" s="51">
        <v>2115023678</v>
      </c>
      <c r="I964" s="28" t="str">
        <f>IFERROR(VLOOKUP(TAB_OFICINAS[[#This Row],[Codigo Produto ]],_000___PEDIDOS_DE_CLIENTES[[Data.Column2]:[Descrição Produto]],2,FALSE)," ")</f>
        <v>DUVET ( CAPA ) - 230F MISTO - CLASSIC COM ENVELOPE - 2,65 X 2,45 - COSTURA VERDE PARA IDENTIFICAÇÃO</v>
      </c>
      <c r="J964" s="91">
        <v>150</v>
      </c>
      <c r="K964" s="88">
        <v>46225</v>
      </c>
      <c r="L964" s="9">
        <v>150</v>
      </c>
      <c r="M964" s="6">
        <v>46248</v>
      </c>
      <c r="N964" s="6">
        <v>46241</v>
      </c>
      <c r="O964" s="23">
        <f>TAB_OFICINAS[[#This Row],[Data Retorno Produção]]-TAB_OFICINAS[[#This Row],[Data Prometida  Entrega]]</f>
        <v>-7</v>
      </c>
      <c r="P964" s="98" t="str">
        <f>IF(TAB_OFICINAS[[#This Row],[Dias Para Entrega]]&lt;=0,"Em dia","Dia de Atrasado")</f>
        <v>Em dia</v>
      </c>
      <c r="Q964" s="24">
        <f>IFERROR(TAB_OFICINAS[[#This Row],[Qtd pçs Enviadas]]-TAB_OFICINAS[[#This Row],[Qtd pçs Retornadas ]],"N/D ")</f>
        <v>0</v>
      </c>
      <c r="R964" s="24"/>
      <c r="S964" s="5">
        <v>942</v>
      </c>
      <c r="T964" s="5" t="s">
        <v>24263</v>
      </c>
      <c r="U964" s="11">
        <v>15</v>
      </c>
      <c r="V964" s="25">
        <f>IFERROR(TAB_OFICINAS[[#This Row],[Valor Unit]]*TAB_OFICINAS[[#This Row],[Qtd pçs Enviadas]]," ")</f>
        <v>2250</v>
      </c>
      <c r="W964" s="26">
        <v>46251</v>
      </c>
      <c r="X964" s="17" t="s">
        <v>6251</v>
      </c>
      <c r="Y964" s="27"/>
      <c r="Z96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5" spans="3:26" hidden="1">
      <c r="C965" s="28" t="s">
        <v>21197</v>
      </c>
      <c r="D965" s="5">
        <v>943</v>
      </c>
      <c r="E965" s="5">
        <v>23090</v>
      </c>
      <c r="F965" s="28" t="str">
        <f>IFERROR(VLOOKUP(TAB_OFICINAS[[#This Row],[Cliente]],LISTA_DE_CLIENTES[[Código]:[Nome Fantasia]],2,FALSE),"")</f>
        <v>REDE DOR SAO LUIZ S.A.</v>
      </c>
      <c r="G965" s="2" t="str">
        <f>IFERROR(VLOOKUP(TAB_OFICINAS[[#This Row],[Cliente]],LISTA_DE_CLIENTES[[Código]:[Nome Fantasia]],3,FALSE),"")</f>
        <v>HOSPITAL COPA STAR</v>
      </c>
      <c r="H965" s="51">
        <v>2103062494</v>
      </c>
      <c r="I965" s="28" t="str">
        <f>IFERROR(VLOOKUP(TAB_OFICINAS[[#This Row],[Codigo Produto ]],_000___PEDIDOS_DE_CLIENTES[[Data.Column2]:[Descrição Produto]],2,FALSE)," ")</f>
        <v>S. FRONHA 4 ABAS 5cm - 400F 100% ALG COM FESTONÊ E LOGO BORDADO COR ALABASTRO 07077 - 0,50 X 0,90</v>
      </c>
      <c r="J965" s="91">
        <v>499</v>
      </c>
      <c r="K965" s="88">
        <v>46225</v>
      </c>
      <c r="L965" s="9">
        <v>499</v>
      </c>
      <c r="M965" s="6">
        <v>46237</v>
      </c>
      <c r="N965" s="6">
        <v>46233</v>
      </c>
      <c r="O965" s="23">
        <f>TAB_OFICINAS[[#This Row],[Data Retorno Produção]]-TAB_OFICINAS[[#This Row],[Data Prometida  Entrega]]</f>
        <v>-4</v>
      </c>
      <c r="P965" s="98" t="str">
        <f>IF(TAB_OFICINAS[[#This Row],[Dias Para Entrega]]&lt;=0,"Em dia","Dia de Atrasado")</f>
        <v>Em dia</v>
      </c>
      <c r="Q965" s="24">
        <f>IFERROR(TAB_OFICINAS[[#This Row],[Qtd pçs Enviadas]]-TAB_OFICINAS[[#This Row],[Qtd pçs Retornadas ]],"N/D ")</f>
        <v>0</v>
      </c>
      <c r="R965" s="24"/>
      <c r="S965" s="5">
        <v>942</v>
      </c>
      <c r="T965" s="5" t="s">
        <v>24263</v>
      </c>
      <c r="U965" s="11">
        <v>5.95</v>
      </c>
      <c r="V965" s="25">
        <f>IFERROR(TAB_OFICINAS[[#This Row],[Valor Unit]]*TAB_OFICINAS[[#This Row],[Qtd pçs Enviadas]]," ")</f>
        <v>2969.05</v>
      </c>
      <c r="W965" s="26">
        <v>46251</v>
      </c>
      <c r="X965" s="17" t="s">
        <v>6251</v>
      </c>
      <c r="Y965" s="27"/>
      <c r="Z9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6" spans="3:26" hidden="1">
      <c r="C966" s="28" t="s">
        <v>15</v>
      </c>
      <c r="E966" s="5">
        <v>507</v>
      </c>
      <c r="F966" s="28" t="str">
        <f>IFERROR(VLOOKUP(TAB_OFICINAS[[#This Row],[Cliente]],LISTA_DE_CLIENTES[[Código]:[Nome Fantasia]],2,FALSE),"")</f>
        <v/>
      </c>
      <c r="G966" s="2" t="str">
        <f>IFERROR(VLOOKUP(TAB_OFICINAS[[#This Row],[Cliente]],LISTA_DE_CLIENTES[[Código]:[Nome Fantasia]],3,FALSE),"")</f>
        <v/>
      </c>
      <c r="H966" s="51">
        <v>3161092334</v>
      </c>
      <c r="I966" s="28" t="str">
        <f>IFERROR(VLOOKUP(TAB_OFICINAS[[#This Row],[Codigo Produto ]],_000___PEDIDOS_DE_CLIENTES[[Data.Column2]:[Descrição Produto]],2,FALSE)," ")</f>
        <v>TOALHA DE BANHO KIDS COM CAPUZ FELPA BRANCA ACAB/ AJOUR - STAR CINZA</v>
      </c>
      <c r="J966" s="91">
        <v>3</v>
      </c>
      <c r="K966" s="88">
        <v>46231</v>
      </c>
      <c r="L966" s="9">
        <v>3</v>
      </c>
      <c r="M966" s="6">
        <v>46241</v>
      </c>
      <c r="N966" s="6">
        <v>46241</v>
      </c>
      <c r="O966" s="23">
        <f>TAB_OFICINAS[[#This Row],[Data Retorno Produção]]-TAB_OFICINAS[[#This Row],[Data Prometida  Entrega]]</f>
        <v>0</v>
      </c>
      <c r="P966" s="98" t="str">
        <f>IF(TAB_OFICINAS[[#This Row],[Dias Para Entrega]]&lt;=0,"Em dia","Dia de Atrasado")</f>
        <v>Em dia</v>
      </c>
      <c r="Q966" s="24">
        <f>IFERROR(TAB_OFICINAS[[#This Row],[Qtd pçs Enviadas]]-TAB_OFICINAS[[#This Row],[Qtd pçs Retornadas ]],"N/D ")</f>
        <v>0</v>
      </c>
      <c r="R966" s="24">
        <v>0</v>
      </c>
      <c r="S966" s="5">
        <v>951</v>
      </c>
      <c r="T966" s="5">
        <v>17487</v>
      </c>
      <c r="U966" s="11">
        <v>12</v>
      </c>
      <c r="V966" s="25">
        <f>IFERROR(TAB_OFICINAS[[#This Row],[Valor Unit]]*TAB_OFICINAS[[#This Row],[Qtd pçs Enviadas]]," ")</f>
        <v>36</v>
      </c>
      <c r="W966" s="26">
        <v>46251</v>
      </c>
      <c r="X966" s="17" t="s">
        <v>6251</v>
      </c>
      <c r="Y966" s="27" t="s">
        <v>23412</v>
      </c>
      <c r="Z9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67" spans="3:26" hidden="1">
      <c r="C967" s="28" t="s">
        <v>19</v>
      </c>
      <c r="D967" s="5">
        <v>1942</v>
      </c>
      <c r="E967" s="5">
        <v>23100</v>
      </c>
      <c r="F967" s="28" t="str">
        <f>IFERROR(VLOOKUP(TAB_OFICINAS[[#This Row],[Cliente]],LISTA_DE_CLIENTES[[Código]:[Nome Fantasia]],2,FALSE),"")</f>
        <v>ONCO STAR SP ONCOLOGIA LTDA (REDE D´OR)</v>
      </c>
      <c r="G967" s="2" t="str">
        <f>IFERROR(VLOOKUP(TAB_OFICINAS[[#This Row],[Cliente]],LISTA_DE_CLIENTES[[Código]:[Nome Fantasia]],3,FALSE),"")</f>
        <v>R DOR VILA NOVA STAR</v>
      </c>
      <c r="H967" s="51">
        <v>3301084128</v>
      </c>
      <c r="I967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967" s="91">
        <v>50</v>
      </c>
      <c r="K967" s="88">
        <v>46245</v>
      </c>
      <c r="M967" s="6">
        <v>46265</v>
      </c>
      <c r="N967" s="6">
        <f t="shared" ca="1" si="3"/>
        <v>46315</v>
      </c>
      <c r="O967" s="23">
        <f ca="1">TAB_OFICINAS[[#This Row],[Data Retorno Produção]]-TAB_OFICINAS[[#This Row],[Data Prometida  Entrega]]</f>
        <v>50</v>
      </c>
      <c r="P967" s="98" t="str">
        <f ca="1">IF(TAB_OFICINAS[[#This Row],[Dias Para Entrega]]&lt;=0,"Em dia","Dia de Atrasado")</f>
        <v>Dia de Atrasado</v>
      </c>
      <c r="Q967" s="24">
        <f>IFERROR(TAB_OFICINAS[[#This Row],[Qtd pçs Enviadas]]-TAB_OFICINAS[[#This Row],[Qtd pçs Retornadas ]],"N/D ")</f>
        <v>50</v>
      </c>
      <c r="R967" s="24"/>
      <c r="S967" s="5">
        <v>965</v>
      </c>
      <c r="U967" s="11">
        <v>14</v>
      </c>
      <c r="V967" s="25">
        <f>IFERROR(TAB_OFICINAS[[#This Row],[Valor Unit]]*TAB_OFICINAS[[#This Row],[Qtd pçs Enviadas]]," ")</f>
        <v>700</v>
      </c>
      <c r="W967" s="26"/>
      <c r="X967" s="17" t="s">
        <v>6251</v>
      </c>
      <c r="Y967" s="27"/>
      <c r="Z967" s="90" t="str">
        <f>IF(TAB_OFICINAS[[#This Row],[Qtd pçs Enviadas]]=TAB_OFICINAS[[#This Row],[Qtd pçs Retornadas ]],"Produção Finalizada",TAB_OFICINAS[[#This Row],[Qtd pçs Pendetente ]] &amp; " " &amp; "Pçs Pendente")</f>
        <v>50 Pçs Pendente</v>
      </c>
    </row>
    <row r="968" spans="3:26" hidden="1">
      <c r="C968" s="28" t="s">
        <v>19</v>
      </c>
      <c r="D968" s="5">
        <v>1942</v>
      </c>
      <c r="E968" s="5">
        <v>23100</v>
      </c>
      <c r="F968" s="28" t="str">
        <f>IFERROR(VLOOKUP(TAB_OFICINAS[[#This Row],[Cliente]],LISTA_DE_CLIENTES[[Código]:[Nome Fantasia]],2,FALSE),"")</f>
        <v>ONCO STAR SP ONCOLOGIA LTDA (REDE D´OR)</v>
      </c>
      <c r="G968" s="2" t="str">
        <f>IFERROR(VLOOKUP(TAB_OFICINAS[[#This Row],[Cliente]],LISTA_DE_CLIENTES[[Código]:[Nome Fantasia]],3,FALSE),"")</f>
        <v>R DOR VILA NOVA STAR</v>
      </c>
      <c r="H968" s="51">
        <v>3301084127</v>
      </c>
      <c r="I968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68" s="91">
        <v>50</v>
      </c>
      <c r="K968" s="88">
        <v>46245</v>
      </c>
      <c r="M968" s="6">
        <v>46265</v>
      </c>
      <c r="N968" s="6">
        <f t="shared" ca="1" si="3"/>
        <v>46315</v>
      </c>
      <c r="O968" s="23">
        <f ca="1">TAB_OFICINAS[[#This Row],[Data Retorno Produção]]-TAB_OFICINAS[[#This Row],[Data Prometida  Entrega]]</f>
        <v>50</v>
      </c>
      <c r="P968" s="98" t="str">
        <f ca="1">IF(TAB_OFICINAS[[#This Row],[Dias Para Entrega]]&lt;=0,"Em dia","Dia de Atrasado")</f>
        <v>Dia de Atrasado</v>
      </c>
      <c r="Q968" s="24">
        <f>IFERROR(TAB_OFICINAS[[#This Row],[Qtd pçs Enviadas]]-TAB_OFICINAS[[#This Row],[Qtd pçs Retornadas ]],"N/D ")</f>
        <v>50</v>
      </c>
      <c r="R968" s="24"/>
      <c r="S968" s="5">
        <v>965</v>
      </c>
      <c r="U968" s="11">
        <v>14</v>
      </c>
      <c r="V968" s="25">
        <f>IFERROR(TAB_OFICINAS[[#This Row],[Valor Unit]]*TAB_OFICINAS[[#This Row],[Qtd pçs Enviadas]]," ")</f>
        <v>700</v>
      </c>
      <c r="W968" s="26"/>
      <c r="X968" s="17" t="s">
        <v>6251</v>
      </c>
      <c r="Y968" s="27"/>
      <c r="Z968" s="90" t="str">
        <f>IF(TAB_OFICINAS[[#This Row],[Qtd pçs Enviadas]]=TAB_OFICINAS[[#This Row],[Qtd pçs Retornadas ]],"Produção Finalizada",TAB_OFICINAS[[#This Row],[Qtd pçs Pendetente ]] &amp; " " &amp; "Pçs Pendente")</f>
        <v>50 Pçs Pendente</v>
      </c>
    </row>
    <row r="969" spans="3:26" hidden="1">
      <c r="C969" s="28" t="s">
        <v>19</v>
      </c>
      <c r="D969" s="5">
        <v>1942</v>
      </c>
      <c r="E969" s="5">
        <v>23100</v>
      </c>
      <c r="F969" s="28" t="str">
        <f>IFERROR(VLOOKUP(TAB_OFICINAS[[#This Row],[Cliente]],LISTA_DE_CLIENTES[[Código]:[Nome Fantasia]],2,FALSE),"")</f>
        <v>ONCO STAR SP ONCOLOGIA LTDA (REDE D´OR)</v>
      </c>
      <c r="G969" s="2" t="str">
        <f>IFERROR(VLOOKUP(TAB_OFICINAS[[#This Row],[Cliente]],LISTA_DE_CLIENTES[[Código]:[Nome Fantasia]],3,FALSE),"")</f>
        <v>R DOR VILA NOVA STAR</v>
      </c>
      <c r="H969" s="51">
        <v>3301084164</v>
      </c>
      <c r="I969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969" s="91">
        <v>50</v>
      </c>
      <c r="K969" s="88">
        <v>46245</v>
      </c>
      <c r="M969" s="6">
        <v>46265</v>
      </c>
      <c r="N969" s="6">
        <f t="shared" ca="1" si="3"/>
        <v>46315</v>
      </c>
      <c r="O969" s="23">
        <f ca="1">TAB_OFICINAS[[#This Row],[Data Retorno Produção]]-TAB_OFICINAS[[#This Row],[Data Prometida  Entrega]]</f>
        <v>50</v>
      </c>
      <c r="P969" s="98" t="str">
        <f ca="1">IF(TAB_OFICINAS[[#This Row],[Dias Para Entrega]]&lt;=0,"Em dia","Dia de Atrasado")</f>
        <v>Dia de Atrasado</v>
      </c>
      <c r="Q969" s="24">
        <f>IFERROR(TAB_OFICINAS[[#This Row],[Qtd pçs Enviadas]]-TAB_OFICINAS[[#This Row],[Qtd pçs Retornadas ]],"N/D ")</f>
        <v>50</v>
      </c>
      <c r="R969" s="24"/>
      <c r="S969" s="5">
        <v>965</v>
      </c>
      <c r="U969" s="11">
        <v>14</v>
      </c>
      <c r="V969" s="25">
        <f>IFERROR(TAB_OFICINAS[[#This Row],[Valor Unit]]*TAB_OFICINAS[[#This Row],[Qtd pçs Enviadas]]," ")</f>
        <v>700</v>
      </c>
      <c r="W969" s="26"/>
      <c r="X969" s="17" t="s">
        <v>6251</v>
      </c>
      <c r="Y969" s="27"/>
      <c r="Z969" s="90" t="str">
        <f>IF(TAB_OFICINAS[[#This Row],[Qtd pçs Enviadas]]=TAB_OFICINAS[[#This Row],[Qtd pçs Retornadas ]],"Produção Finalizada",TAB_OFICINAS[[#This Row],[Qtd pçs Pendetente ]] &amp; " " &amp; "Pçs Pendente")</f>
        <v>50 Pçs Pendente</v>
      </c>
    </row>
    <row r="970" spans="3:26" hidden="1">
      <c r="C970" s="28" t="s">
        <v>15</v>
      </c>
      <c r="D970" s="5">
        <v>1942</v>
      </c>
      <c r="E970" s="5">
        <v>23100</v>
      </c>
      <c r="F970" s="28" t="str">
        <f>IFERROR(VLOOKUP(TAB_OFICINAS[[#This Row],[Cliente]],LISTA_DE_CLIENTES[[Código]:[Nome Fantasia]],2,FALSE),"")</f>
        <v>ONCO STAR SP ONCOLOGIA LTDA (REDE D´OR)</v>
      </c>
      <c r="G970" s="2" t="str">
        <f>IFERROR(VLOOKUP(TAB_OFICINAS[[#This Row],[Cliente]],LISTA_DE_CLIENTES[[Código]:[Nome Fantasia]],3,FALSE),"")</f>
        <v>R DOR VILA NOVA STAR</v>
      </c>
      <c r="H970" s="51">
        <v>3301084128</v>
      </c>
      <c r="I970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970" s="91">
        <v>50</v>
      </c>
      <c r="K970" s="88">
        <v>46245</v>
      </c>
      <c r="L970" s="9">
        <v>50</v>
      </c>
      <c r="M970" s="6">
        <v>46246</v>
      </c>
      <c r="N970" s="6">
        <v>46246</v>
      </c>
      <c r="O970" s="23">
        <f>TAB_OFICINAS[[#This Row],[Data Retorno Produção]]-TAB_OFICINAS[[#This Row],[Data Prometida  Entrega]]</f>
        <v>0</v>
      </c>
      <c r="P970" s="98" t="str">
        <f>IF(TAB_OFICINAS[[#This Row],[Dias Para Entrega]]&lt;=0,"Em dia","Dia de Atrasado")</f>
        <v>Em dia</v>
      </c>
      <c r="Q970" s="24">
        <f>IFERROR(TAB_OFICINAS[[#This Row],[Qtd pçs Enviadas]]-TAB_OFICINAS[[#This Row],[Qtd pçs Retornadas ]],"N/D ")</f>
        <v>0</v>
      </c>
      <c r="R970" s="24"/>
      <c r="S970" s="5">
        <v>966</v>
      </c>
      <c r="T970" s="5">
        <v>17491</v>
      </c>
      <c r="U970" s="11">
        <v>3.85</v>
      </c>
      <c r="V970" s="25">
        <f>IFERROR(TAB_OFICINAS[[#This Row],[Valor Unit]]*TAB_OFICINAS[[#This Row],[Qtd pçs Enviadas]]," ")</f>
        <v>192.5</v>
      </c>
      <c r="W970" s="26">
        <v>46254</v>
      </c>
      <c r="X970" s="17" t="s">
        <v>6251</v>
      </c>
      <c r="Y970" s="27" t="s">
        <v>21341</v>
      </c>
      <c r="Z9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1" spans="3:26" hidden="1">
      <c r="C971" s="28" t="s">
        <v>15</v>
      </c>
      <c r="D971" s="5">
        <v>1942</v>
      </c>
      <c r="E971" s="5">
        <v>23100</v>
      </c>
      <c r="F971" s="28" t="str">
        <f>IFERROR(VLOOKUP(TAB_OFICINAS[[#This Row],[Cliente]],LISTA_DE_CLIENTES[[Código]:[Nome Fantasia]],2,FALSE),"")</f>
        <v>ONCO STAR SP ONCOLOGIA LTDA (REDE D´OR)</v>
      </c>
      <c r="G971" s="2" t="str">
        <f>IFERROR(VLOOKUP(TAB_OFICINAS[[#This Row],[Cliente]],LISTA_DE_CLIENTES[[Código]:[Nome Fantasia]],3,FALSE),"")</f>
        <v>R DOR VILA NOVA STAR</v>
      </c>
      <c r="H971" s="51">
        <v>3301084127</v>
      </c>
      <c r="I971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71" s="91">
        <v>50</v>
      </c>
      <c r="K971" s="88">
        <v>46245</v>
      </c>
      <c r="L971" s="9">
        <v>50</v>
      </c>
      <c r="M971" s="6">
        <v>46246</v>
      </c>
      <c r="N971" s="6">
        <v>46246</v>
      </c>
      <c r="O971" s="23">
        <f>TAB_OFICINAS[[#This Row],[Data Retorno Produção]]-TAB_OFICINAS[[#This Row],[Data Prometida  Entrega]]</f>
        <v>0</v>
      </c>
      <c r="P971" s="98" t="str">
        <f>IF(TAB_OFICINAS[[#This Row],[Dias Para Entrega]]&lt;=0,"Em dia","Dia de Atrasado")</f>
        <v>Em dia</v>
      </c>
      <c r="Q971" s="24">
        <f>IFERROR(TAB_OFICINAS[[#This Row],[Qtd pçs Enviadas]]-TAB_OFICINAS[[#This Row],[Qtd pçs Retornadas ]],"N/D ")</f>
        <v>0</v>
      </c>
      <c r="R971" s="24"/>
      <c r="S971" s="5">
        <v>966</v>
      </c>
      <c r="T971" s="5">
        <v>17491</v>
      </c>
      <c r="U971" s="11">
        <v>3.85</v>
      </c>
      <c r="V971" s="25">
        <f>IFERROR(TAB_OFICINAS[[#This Row],[Valor Unit]]*TAB_OFICINAS[[#This Row],[Qtd pçs Enviadas]]," ")</f>
        <v>192.5</v>
      </c>
      <c r="W971" s="26">
        <v>46254</v>
      </c>
      <c r="X971" s="17" t="s">
        <v>6251</v>
      </c>
      <c r="Y971" s="27" t="s">
        <v>21341</v>
      </c>
      <c r="Z9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2" spans="3:26" hidden="1">
      <c r="C972" s="28" t="s">
        <v>15</v>
      </c>
      <c r="D972" s="5">
        <v>1942</v>
      </c>
      <c r="E972" s="5">
        <v>23100</v>
      </c>
      <c r="F972" s="28" t="str">
        <f>IFERROR(VLOOKUP(TAB_OFICINAS[[#This Row],[Cliente]],LISTA_DE_CLIENTES[[Código]:[Nome Fantasia]],2,FALSE),"")</f>
        <v>ONCO STAR SP ONCOLOGIA LTDA (REDE D´OR)</v>
      </c>
      <c r="G972" s="2" t="str">
        <f>IFERROR(VLOOKUP(TAB_OFICINAS[[#This Row],[Cliente]],LISTA_DE_CLIENTES[[Código]:[Nome Fantasia]],3,FALSE),"")</f>
        <v>R DOR VILA NOVA STAR</v>
      </c>
      <c r="H972" s="51">
        <v>3301084164</v>
      </c>
      <c r="I972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972" s="91">
        <v>50</v>
      </c>
      <c r="K972" s="88">
        <v>46245</v>
      </c>
      <c r="L972" s="9">
        <v>50</v>
      </c>
      <c r="M972" s="6">
        <v>46246</v>
      </c>
      <c r="N972" s="6">
        <v>46246</v>
      </c>
      <c r="O972" s="23">
        <f>TAB_OFICINAS[[#This Row],[Data Retorno Produção]]-TAB_OFICINAS[[#This Row],[Data Prometida  Entrega]]</f>
        <v>0</v>
      </c>
      <c r="P972" s="98" t="str">
        <f>IF(TAB_OFICINAS[[#This Row],[Dias Para Entrega]]&lt;=0,"Em dia","Dia de Atrasado")</f>
        <v>Em dia</v>
      </c>
      <c r="Q972" s="24">
        <f>IFERROR(TAB_OFICINAS[[#This Row],[Qtd pçs Enviadas]]-TAB_OFICINAS[[#This Row],[Qtd pçs Retornadas ]],"N/D ")</f>
        <v>0</v>
      </c>
      <c r="R972" s="24"/>
      <c r="S972" s="5">
        <v>966</v>
      </c>
      <c r="T972" s="5">
        <v>17491</v>
      </c>
      <c r="U972" s="11">
        <v>3.85</v>
      </c>
      <c r="V972" s="25">
        <f>IFERROR(TAB_OFICINAS[[#This Row],[Valor Unit]]*TAB_OFICINAS[[#This Row],[Qtd pçs Enviadas]]," ")</f>
        <v>192.5</v>
      </c>
      <c r="W972" s="26">
        <v>46254</v>
      </c>
      <c r="X972" s="17" t="s">
        <v>6251</v>
      </c>
      <c r="Y972" s="27" t="s">
        <v>21341</v>
      </c>
      <c r="Z9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3" spans="3:26" hidden="1">
      <c r="C973" s="28" t="s">
        <v>15</v>
      </c>
      <c r="D973" s="5">
        <v>5391</v>
      </c>
      <c r="E973" s="5">
        <v>23881</v>
      </c>
      <c r="F973" s="28" t="str">
        <f>IFERROR(VLOOKUP(TAB_OFICINAS[[#This Row],[Cliente]],LISTA_DE_CLIENTES[[Código]:[Nome Fantasia]],2,FALSE),"")</f>
        <v>PACIFICO OPERACOES HOSPITALARES S.A</v>
      </c>
      <c r="G973" s="2" t="str">
        <f>IFERROR(VLOOKUP(TAB_OFICINAS[[#This Row],[Cliente]],LISTA_DE_CLIENTES[[Código]:[Nome Fantasia]],3,FALSE),"")</f>
        <v>MATERNIDADE SAO LUIZ</v>
      </c>
      <c r="H973" s="51">
        <v>3301084129</v>
      </c>
      <c r="I973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73" s="91">
        <v>11</v>
      </c>
      <c r="K973" s="88">
        <v>46245</v>
      </c>
      <c r="L973" s="9">
        <v>11</v>
      </c>
      <c r="M973" s="6">
        <v>46247</v>
      </c>
      <c r="N973" s="6">
        <v>46247</v>
      </c>
      <c r="O973" s="23">
        <f>TAB_OFICINAS[[#This Row],[Data Retorno Produção]]-TAB_OFICINAS[[#This Row],[Data Prometida  Entrega]]</f>
        <v>0</v>
      </c>
      <c r="P973" s="98" t="str">
        <f>IF(TAB_OFICINAS[[#This Row],[Dias Para Entrega]]&lt;=0,"Em dia","Dia de Atrasado")</f>
        <v>Em dia</v>
      </c>
      <c r="Q973" s="24">
        <f>IFERROR(TAB_OFICINAS[[#This Row],[Qtd pçs Enviadas]]-TAB_OFICINAS[[#This Row],[Qtd pçs Retornadas ]],"N/D ")</f>
        <v>0</v>
      </c>
      <c r="R973" s="24"/>
      <c r="S973" s="5">
        <v>966</v>
      </c>
      <c r="T973" s="5">
        <v>17491</v>
      </c>
      <c r="U973" s="11">
        <v>3.85</v>
      </c>
      <c r="V973" s="25">
        <f>IFERROR(TAB_OFICINAS[[#This Row],[Valor Unit]]*TAB_OFICINAS[[#This Row],[Qtd pçs Enviadas]]," ")</f>
        <v>42.35</v>
      </c>
      <c r="W973" s="26">
        <v>46254</v>
      </c>
      <c r="X973" s="17" t="s">
        <v>6251</v>
      </c>
      <c r="Y973" s="27" t="s">
        <v>21341</v>
      </c>
      <c r="Z9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4" spans="3:26" hidden="1">
      <c r="C974" s="28" t="s">
        <v>15</v>
      </c>
      <c r="D974" s="5">
        <v>5391</v>
      </c>
      <c r="E974" s="5">
        <v>23881</v>
      </c>
      <c r="F974" s="28" t="str">
        <f>IFERROR(VLOOKUP(TAB_OFICINAS[[#This Row],[Cliente]],LISTA_DE_CLIENTES[[Código]:[Nome Fantasia]],2,FALSE),"")</f>
        <v>PACIFICO OPERACOES HOSPITALARES S.A</v>
      </c>
      <c r="G974" s="2" t="str">
        <f>IFERROR(VLOOKUP(TAB_OFICINAS[[#This Row],[Cliente]],LISTA_DE_CLIENTES[[Código]:[Nome Fantasia]],3,FALSE),"")</f>
        <v>MATERNIDADE SAO LUIZ</v>
      </c>
      <c r="H974" s="51">
        <v>3301084128</v>
      </c>
      <c r="I974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974" s="91">
        <v>31</v>
      </c>
      <c r="K974" s="88">
        <v>46245</v>
      </c>
      <c r="L974" s="9">
        <v>31</v>
      </c>
      <c r="M974" s="6">
        <v>46247</v>
      </c>
      <c r="N974" s="6">
        <v>46247</v>
      </c>
      <c r="O974" s="23">
        <f>TAB_OFICINAS[[#This Row],[Data Retorno Produção]]-TAB_OFICINAS[[#This Row],[Data Prometida  Entrega]]</f>
        <v>0</v>
      </c>
      <c r="P974" s="98" t="str">
        <f>IF(TAB_OFICINAS[[#This Row],[Dias Para Entrega]]&lt;=0,"Em dia","Dia de Atrasado")</f>
        <v>Em dia</v>
      </c>
      <c r="Q974" s="24">
        <f>IFERROR(TAB_OFICINAS[[#This Row],[Qtd pçs Enviadas]]-TAB_OFICINAS[[#This Row],[Qtd pçs Retornadas ]],"N/D ")</f>
        <v>0</v>
      </c>
      <c r="R974" s="24"/>
      <c r="S974" s="5">
        <v>966</v>
      </c>
      <c r="T974" s="5">
        <v>17491</v>
      </c>
      <c r="U974" s="11">
        <v>3.85</v>
      </c>
      <c r="V974" s="25">
        <f>IFERROR(TAB_OFICINAS[[#This Row],[Valor Unit]]*TAB_OFICINAS[[#This Row],[Qtd pçs Enviadas]]," ")</f>
        <v>119.35000000000001</v>
      </c>
      <c r="W974" s="26">
        <v>46254</v>
      </c>
      <c r="X974" s="17" t="s">
        <v>6251</v>
      </c>
      <c r="Y974" s="27" t="s">
        <v>21341</v>
      </c>
      <c r="Z9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5" spans="3:26" hidden="1">
      <c r="C975" s="28" t="s">
        <v>15</v>
      </c>
      <c r="D975" s="5">
        <v>5391</v>
      </c>
      <c r="E975" s="5">
        <v>23881</v>
      </c>
      <c r="F975" s="28" t="str">
        <f>IFERROR(VLOOKUP(TAB_OFICINAS[[#This Row],[Cliente]],LISTA_DE_CLIENTES[[Código]:[Nome Fantasia]],2,FALSE),"")</f>
        <v>PACIFICO OPERACOES HOSPITALARES S.A</v>
      </c>
      <c r="G975" s="2" t="str">
        <f>IFERROR(VLOOKUP(TAB_OFICINAS[[#This Row],[Cliente]],LISTA_DE_CLIENTES[[Código]:[Nome Fantasia]],3,FALSE),"")</f>
        <v>MATERNIDADE SAO LUIZ</v>
      </c>
      <c r="H975" s="51">
        <v>3301084127</v>
      </c>
      <c r="I975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75" s="91">
        <v>31</v>
      </c>
      <c r="K975" s="88">
        <v>46245</v>
      </c>
      <c r="L975" s="9">
        <v>31</v>
      </c>
      <c r="M975" s="6">
        <v>46247</v>
      </c>
      <c r="N975" s="6">
        <v>46247</v>
      </c>
      <c r="O975" s="23">
        <f>TAB_OFICINAS[[#This Row],[Data Retorno Produção]]-TAB_OFICINAS[[#This Row],[Data Prometida  Entrega]]</f>
        <v>0</v>
      </c>
      <c r="P975" s="98" t="str">
        <f>IF(TAB_OFICINAS[[#This Row],[Dias Para Entrega]]&lt;=0,"Em dia","Dia de Atrasado")</f>
        <v>Em dia</v>
      </c>
      <c r="Q975" s="24">
        <f>IFERROR(TAB_OFICINAS[[#This Row],[Qtd pçs Enviadas]]-TAB_OFICINAS[[#This Row],[Qtd pçs Retornadas ]],"N/D ")</f>
        <v>0</v>
      </c>
      <c r="R975" s="24"/>
      <c r="S975" s="5">
        <v>966</v>
      </c>
      <c r="T975" s="5">
        <v>17491</v>
      </c>
      <c r="U975" s="11">
        <v>3.85</v>
      </c>
      <c r="V975" s="25">
        <f>IFERROR(TAB_OFICINAS[[#This Row],[Valor Unit]]*TAB_OFICINAS[[#This Row],[Qtd pçs Enviadas]]," ")</f>
        <v>119.35000000000001</v>
      </c>
      <c r="W975" s="26">
        <v>46254</v>
      </c>
      <c r="X975" s="17" t="s">
        <v>6251</v>
      </c>
      <c r="Y975" s="27" t="s">
        <v>21341</v>
      </c>
      <c r="Z9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6" spans="3:26" hidden="1">
      <c r="C976" s="28" t="s">
        <v>15</v>
      </c>
      <c r="D976" s="5">
        <v>5391</v>
      </c>
      <c r="E976" s="5">
        <v>23881</v>
      </c>
      <c r="F976" s="28" t="str">
        <f>IFERROR(VLOOKUP(TAB_OFICINAS[[#This Row],[Cliente]],LISTA_DE_CLIENTES[[Código]:[Nome Fantasia]],2,FALSE),"")</f>
        <v>PACIFICO OPERACOES HOSPITALARES S.A</v>
      </c>
      <c r="G976" s="2" t="str">
        <f>IFERROR(VLOOKUP(TAB_OFICINAS[[#This Row],[Cliente]],LISTA_DE_CLIENTES[[Código]:[Nome Fantasia]],3,FALSE),"")</f>
        <v>MATERNIDADE SAO LUIZ</v>
      </c>
      <c r="H976" s="51">
        <v>3301084164</v>
      </c>
      <c r="I976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976" s="91">
        <v>31</v>
      </c>
      <c r="K976" s="88">
        <v>46245</v>
      </c>
      <c r="L976" s="9">
        <v>31</v>
      </c>
      <c r="M976" s="6">
        <v>46247</v>
      </c>
      <c r="N976" s="6">
        <v>46247</v>
      </c>
      <c r="O976" s="23">
        <f>TAB_OFICINAS[[#This Row],[Data Retorno Produção]]-TAB_OFICINAS[[#This Row],[Data Prometida  Entrega]]</f>
        <v>0</v>
      </c>
      <c r="P976" s="98" t="str">
        <f>IF(TAB_OFICINAS[[#This Row],[Dias Para Entrega]]&lt;=0,"Em dia","Dia de Atrasado")</f>
        <v>Em dia</v>
      </c>
      <c r="Q976" s="24">
        <f>IFERROR(TAB_OFICINAS[[#This Row],[Qtd pçs Enviadas]]-TAB_OFICINAS[[#This Row],[Qtd pçs Retornadas ]],"N/D ")</f>
        <v>0</v>
      </c>
      <c r="R976" s="24"/>
      <c r="S976" s="5">
        <v>966</v>
      </c>
      <c r="T976" s="5">
        <v>17491</v>
      </c>
      <c r="U976" s="11">
        <v>3.85</v>
      </c>
      <c r="V976" s="25">
        <f>IFERROR(TAB_OFICINAS[[#This Row],[Valor Unit]]*TAB_OFICINAS[[#This Row],[Qtd pçs Enviadas]]," ")</f>
        <v>119.35000000000001</v>
      </c>
      <c r="W976" s="26">
        <v>46254</v>
      </c>
      <c r="X976" s="17" t="s">
        <v>6251</v>
      </c>
      <c r="Y976" s="27" t="s">
        <v>21341</v>
      </c>
      <c r="Z9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7" spans="3:26" hidden="1">
      <c r="C977" s="28" t="s">
        <v>15</v>
      </c>
      <c r="D977" s="5">
        <v>2383</v>
      </c>
      <c r="E977" s="5">
        <v>24119</v>
      </c>
      <c r="F977" s="28" t="str">
        <f>IFERROR(VLOOKUP(TAB_OFICINAS[[#This Row],[Cliente]],LISTA_DE_CLIENTES[[Código]:[Nome Fantasia]],2,FALSE),"")</f>
        <v>LEM ASSESSORIA E SERVICOS ADMINISTRATIVOS LTDA</v>
      </c>
      <c r="G977" s="2" t="str">
        <f>IFERROR(VLOOKUP(TAB_OFICINAS[[#This Row],[Cliente]],LISTA_DE_CLIENTES[[Código]:[Nome Fantasia]],3,FALSE),"")</f>
        <v>MILENA MARIA DE SORD</v>
      </c>
      <c r="H977" s="51" t="s">
        <v>24265</v>
      </c>
      <c r="I977" s="28" t="s">
        <v>24267</v>
      </c>
      <c r="J977" s="91">
        <v>1</v>
      </c>
      <c r="K977" s="88">
        <v>46246</v>
      </c>
      <c r="L977" s="9">
        <v>1</v>
      </c>
      <c r="M977" s="6">
        <v>46248</v>
      </c>
      <c r="N977" s="6">
        <v>46248</v>
      </c>
      <c r="O977" s="23">
        <f>TAB_OFICINAS[[#This Row],[Data Retorno Produção]]-TAB_OFICINAS[[#This Row],[Data Prometida  Entrega]]</f>
        <v>0</v>
      </c>
      <c r="P977" s="98" t="str">
        <f>IF(TAB_OFICINAS[[#This Row],[Dias Para Entrega]]&lt;=0,"Em dia","Dia de Atrasado")</f>
        <v>Em dia</v>
      </c>
      <c r="Q977" s="24">
        <f>IFERROR(TAB_OFICINAS[[#This Row],[Qtd pçs Enviadas]]-TAB_OFICINAS[[#This Row],[Qtd pçs Retornadas ]],"N/D ")</f>
        <v>0</v>
      </c>
      <c r="R977" s="24"/>
      <c r="S977" s="5">
        <v>969</v>
      </c>
      <c r="T977" s="5">
        <v>17493</v>
      </c>
      <c r="U977" s="11">
        <v>12</v>
      </c>
      <c r="V977" s="25">
        <f>IFERROR(TAB_OFICINAS[[#This Row],[Valor Unit]]*TAB_OFICINAS[[#This Row],[Qtd pçs Enviadas]]," ")</f>
        <v>12</v>
      </c>
      <c r="W977" s="26">
        <v>46255</v>
      </c>
      <c r="X977" s="17" t="s">
        <v>6251</v>
      </c>
      <c r="Y977" s="27" t="s">
        <v>24272</v>
      </c>
      <c r="Z9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8" spans="3:26" hidden="1">
      <c r="C978" s="28" t="s">
        <v>15</v>
      </c>
      <c r="D978" s="5">
        <v>2383</v>
      </c>
      <c r="E978" s="5">
        <v>24119</v>
      </c>
      <c r="F978" s="28" t="str">
        <f>IFERROR(VLOOKUP(TAB_OFICINAS[[#This Row],[Cliente]],LISTA_DE_CLIENTES[[Código]:[Nome Fantasia]],2,FALSE),"")</f>
        <v>LEM ASSESSORIA E SERVICOS ADMINISTRATIVOS LTDA</v>
      </c>
      <c r="G978" s="2" t="str">
        <f>IFERROR(VLOOKUP(TAB_OFICINAS[[#This Row],[Cliente]],LISTA_DE_CLIENTES[[Código]:[Nome Fantasia]],3,FALSE),"")</f>
        <v>MILENA MARIA DE SORD</v>
      </c>
      <c r="H978" s="51" t="s">
        <v>24265</v>
      </c>
      <c r="I978" s="28" t="s">
        <v>24268</v>
      </c>
      <c r="J978" s="91">
        <v>1</v>
      </c>
      <c r="K978" s="88">
        <v>46246</v>
      </c>
      <c r="L978" s="9">
        <v>1</v>
      </c>
      <c r="M978" s="6">
        <v>46248</v>
      </c>
      <c r="N978" s="6">
        <v>46248</v>
      </c>
      <c r="O978" s="23">
        <f>TAB_OFICINAS[[#This Row],[Data Retorno Produção]]-TAB_OFICINAS[[#This Row],[Data Prometida  Entrega]]</f>
        <v>0</v>
      </c>
      <c r="P978" s="98" t="str">
        <f>IF(TAB_OFICINAS[[#This Row],[Dias Para Entrega]]&lt;=0,"Em dia","Dia de Atrasado")</f>
        <v>Em dia</v>
      </c>
      <c r="Q978" s="24">
        <f>IFERROR(TAB_OFICINAS[[#This Row],[Qtd pçs Enviadas]]-TAB_OFICINAS[[#This Row],[Qtd pçs Retornadas ]],"N/D ")</f>
        <v>0</v>
      </c>
      <c r="R978" s="24"/>
      <c r="S978" s="5">
        <v>969</v>
      </c>
      <c r="T978" s="5">
        <v>17493</v>
      </c>
      <c r="U978" s="11">
        <v>12</v>
      </c>
      <c r="V978" s="25">
        <f>IFERROR(TAB_OFICINAS[[#This Row],[Valor Unit]]*TAB_OFICINAS[[#This Row],[Qtd pçs Enviadas]]," ")</f>
        <v>12</v>
      </c>
      <c r="W978" s="26">
        <v>46255</v>
      </c>
      <c r="X978" s="17" t="s">
        <v>6251</v>
      </c>
      <c r="Y978" s="27" t="s">
        <v>24271</v>
      </c>
      <c r="Z9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79" spans="3:26" hidden="1">
      <c r="C979" s="28" t="s">
        <v>15</v>
      </c>
      <c r="D979" s="5">
        <v>2383</v>
      </c>
      <c r="E979" s="5">
        <v>24119</v>
      </c>
      <c r="F979" s="28" t="str">
        <f>IFERROR(VLOOKUP(TAB_OFICINAS[[#This Row],[Cliente]],LISTA_DE_CLIENTES[[Código]:[Nome Fantasia]],2,FALSE),"")</f>
        <v>LEM ASSESSORIA E SERVICOS ADMINISTRATIVOS LTDA</v>
      </c>
      <c r="G979" s="2" t="str">
        <f>IFERROR(VLOOKUP(TAB_OFICINAS[[#This Row],[Cliente]],LISTA_DE_CLIENTES[[Código]:[Nome Fantasia]],3,FALSE),"")</f>
        <v>MILENA MARIA DE SORD</v>
      </c>
      <c r="H979" s="51" t="s">
        <v>24266</v>
      </c>
      <c r="I979" s="28" t="s">
        <v>24269</v>
      </c>
      <c r="J979" s="91">
        <v>1</v>
      </c>
      <c r="K979" s="88">
        <v>46246</v>
      </c>
      <c r="L979" s="9">
        <v>1</v>
      </c>
      <c r="M979" s="6">
        <v>46248</v>
      </c>
      <c r="N979" s="6">
        <v>46248</v>
      </c>
      <c r="O979" s="23">
        <f>TAB_OFICINAS[[#This Row],[Data Retorno Produção]]-TAB_OFICINAS[[#This Row],[Data Prometida  Entrega]]</f>
        <v>0</v>
      </c>
      <c r="P979" s="98" t="str">
        <f>IF(TAB_OFICINAS[[#This Row],[Dias Para Entrega]]&lt;=0,"Em dia","Dia de Atrasado")</f>
        <v>Em dia</v>
      </c>
      <c r="Q979" s="24">
        <f>IFERROR(TAB_OFICINAS[[#This Row],[Qtd pçs Enviadas]]-TAB_OFICINAS[[#This Row],[Qtd pçs Retornadas ]],"N/D ")</f>
        <v>0</v>
      </c>
      <c r="R979" s="24"/>
      <c r="S979" s="5">
        <v>969</v>
      </c>
      <c r="T979" s="5">
        <v>17493</v>
      </c>
      <c r="U979" s="11">
        <v>12</v>
      </c>
      <c r="V979" s="25">
        <f>IFERROR(TAB_OFICINAS[[#This Row],[Valor Unit]]*TAB_OFICINAS[[#This Row],[Qtd pçs Enviadas]]," ")</f>
        <v>12</v>
      </c>
      <c r="W979" s="26">
        <v>46255</v>
      </c>
      <c r="X979" s="17" t="s">
        <v>6251</v>
      </c>
      <c r="Y979" s="27" t="s">
        <v>24272</v>
      </c>
      <c r="Z9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0" spans="3:26" hidden="1">
      <c r="C980" s="28" t="s">
        <v>15</v>
      </c>
      <c r="D980" s="5">
        <v>2383</v>
      </c>
      <c r="E980" s="5">
        <v>24119</v>
      </c>
      <c r="F980" s="28" t="str">
        <f>IFERROR(VLOOKUP(TAB_OFICINAS[[#This Row],[Cliente]],LISTA_DE_CLIENTES[[Código]:[Nome Fantasia]],2,FALSE),"")</f>
        <v>LEM ASSESSORIA E SERVICOS ADMINISTRATIVOS LTDA</v>
      </c>
      <c r="G980" s="2" t="str">
        <f>IFERROR(VLOOKUP(TAB_OFICINAS[[#This Row],[Cliente]],LISTA_DE_CLIENTES[[Código]:[Nome Fantasia]],3,FALSE),"")</f>
        <v>MILENA MARIA DE SORD</v>
      </c>
      <c r="H980" s="51" t="s">
        <v>24266</v>
      </c>
      <c r="I980" s="28" t="s">
        <v>24270</v>
      </c>
      <c r="J980" s="91">
        <v>1</v>
      </c>
      <c r="K980" s="88">
        <v>46246</v>
      </c>
      <c r="L980" s="9">
        <v>1</v>
      </c>
      <c r="M980" s="6">
        <v>46248</v>
      </c>
      <c r="N980" s="6">
        <v>46248</v>
      </c>
      <c r="O980" s="23">
        <f>TAB_OFICINAS[[#This Row],[Data Retorno Produção]]-TAB_OFICINAS[[#This Row],[Data Prometida  Entrega]]</f>
        <v>0</v>
      </c>
      <c r="P980" s="98" t="str">
        <f>IF(TAB_OFICINAS[[#This Row],[Dias Para Entrega]]&lt;=0,"Em dia","Dia de Atrasado")</f>
        <v>Em dia</v>
      </c>
      <c r="Q980" s="24">
        <f>IFERROR(TAB_OFICINAS[[#This Row],[Qtd pçs Enviadas]]-TAB_OFICINAS[[#This Row],[Qtd pçs Retornadas ]],"N/D ")</f>
        <v>0</v>
      </c>
      <c r="R980" s="24"/>
      <c r="S980" s="5">
        <v>969</v>
      </c>
      <c r="T980" s="5">
        <v>17493</v>
      </c>
      <c r="U980" s="11">
        <v>12</v>
      </c>
      <c r="V980" s="25">
        <f>IFERROR(TAB_OFICINAS[[#This Row],[Valor Unit]]*TAB_OFICINAS[[#This Row],[Qtd pçs Enviadas]]," ")</f>
        <v>12</v>
      </c>
      <c r="W980" s="26">
        <v>46255</v>
      </c>
      <c r="X980" s="17" t="s">
        <v>6251</v>
      </c>
      <c r="Y980" s="27" t="s">
        <v>24271</v>
      </c>
      <c r="Z9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1" spans="3:26" hidden="1">
      <c r="C981" s="28" t="s">
        <v>15</v>
      </c>
      <c r="D981" s="5">
        <v>508</v>
      </c>
      <c r="E981" s="5">
        <v>24136</v>
      </c>
      <c r="F981" s="28" t="str">
        <f>IFERROR(VLOOKUP(TAB_OFICINAS[[#This Row],[Cliente]],LISTA_DE_CLIENTES[[Código]:[Nome Fantasia]],2,FALSE),"")</f>
        <v>PEDRO HENRIQUE CORDEIRO PIRES</v>
      </c>
      <c r="G981" s="2" t="str">
        <f>IFERROR(VLOOKUP(TAB_OFICINAS[[#This Row],[Cliente]],LISTA_DE_CLIENTES[[Código]:[Nome Fantasia]],3,FALSE),"")</f>
        <v>PEDRO HENRIQUE CORDE</v>
      </c>
      <c r="H981" s="51" t="s">
        <v>23962</v>
      </c>
      <c r="I981" s="28" t="s">
        <v>24273</v>
      </c>
      <c r="J981" s="91">
        <v>1</v>
      </c>
      <c r="K981" s="88">
        <v>46246</v>
      </c>
      <c r="L981" s="9">
        <v>1</v>
      </c>
      <c r="M981" s="6">
        <v>46248</v>
      </c>
      <c r="N981" s="6">
        <v>46248</v>
      </c>
      <c r="O981" s="23">
        <f>TAB_OFICINAS[[#This Row],[Data Retorno Produção]]-TAB_OFICINAS[[#This Row],[Data Prometida  Entrega]]</f>
        <v>0</v>
      </c>
      <c r="P981" s="98" t="str">
        <f>IF(TAB_OFICINAS[[#This Row],[Dias Para Entrega]]&lt;=0,"Em dia","Dia de Atrasado")</f>
        <v>Em dia</v>
      </c>
      <c r="Q981" s="24">
        <f>IFERROR(TAB_OFICINAS[[#This Row],[Qtd pçs Enviadas]]-TAB_OFICINAS[[#This Row],[Qtd pçs Retornadas ]],"N/D ")</f>
        <v>0</v>
      </c>
      <c r="R981" s="24"/>
      <c r="S981" s="5">
        <v>969</v>
      </c>
      <c r="T981" s="5">
        <v>17493</v>
      </c>
      <c r="U981" s="11">
        <v>17</v>
      </c>
      <c r="V981" s="25">
        <f>IFERROR(TAB_OFICINAS[[#This Row],[Valor Unit]]*TAB_OFICINAS[[#This Row],[Qtd pçs Enviadas]]," ")</f>
        <v>17</v>
      </c>
      <c r="W981" s="26">
        <v>46255</v>
      </c>
      <c r="X981" s="17" t="s">
        <v>6251</v>
      </c>
      <c r="Y981" s="27" t="s">
        <v>24274</v>
      </c>
      <c r="Z9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2" spans="3:26" ht="28.5" hidden="1">
      <c r="C982" s="28" t="s">
        <v>15</v>
      </c>
      <c r="D982" s="5">
        <v>2533</v>
      </c>
      <c r="E982" s="5">
        <v>24178</v>
      </c>
      <c r="F982" s="28" t="str">
        <f>IFERROR(VLOOKUP(TAB_OFICINAS[[#This Row],[Cliente]],LISTA_DE_CLIENTES[[Código]:[Nome Fantasia]],2,FALSE),"")</f>
        <v>WESTWING COMERCIO VAREJISTA S.A.</v>
      </c>
      <c r="G982" s="2" t="str">
        <f>IFERROR(VLOOKUP(TAB_OFICINAS[[#This Row],[Cliente]],LISTA_DE_CLIENTES[[Código]:[Nome Fantasia]],3,FALSE),"")</f>
        <v>WESTWING - CORRETO</v>
      </c>
      <c r="H982" s="51">
        <v>2201021368</v>
      </c>
      <c r="I982" s="28" t="s">
        <v>24278</v>
      </c>
      <c r="J982" s="91">
        <v>1</v>
      </c>
      <c r="K982" s="88">
        <v>46247</v>
      </c>
      <c r="L982" s="9">
        <v>1</v>
      </c>
      <c r="M982" s="6">
        <v>46248</v>
      </c>
      <c r="N982" s="6">
        <v>46248</v>
      </c>
      <c r="O982" s="23">
        <f>TAB_OFICINAS[[#This Row],[Data Retorno Produção]]-TAB_OFICINAS[[#This Row],[Data Prometida  Entrega]]</f>
        <v>0</v>
      </c>
      <c r="P982" s="98" t="str">
        <f>IF(TAB_OFICINAS[[#This Row],[Dias Para Entrega]]&lt;=0,"Em dia","Dia de Atrasado")</f>
        <v>Em dia</v>
      </c>
      <c r="Q982" s="24">
        <f>IFERROR(TAB_OFICINAS[[#This Row],[Qtd pçs Enviadas]]-TAB_OFICINAS[[#This Row],[Qtd pçs Retornadas ]],"N/D ")</f>
        <v>0</v>
      </c>
      <c r="R982" s="24"/>
      <c r="S982" s="5">
        <v>971</v>
      </c>
      <c r="T982" s="5">
        <v>17513</v>
      </c>
      <c r="U982" s="11">
        <v>12</v>
      </c>
      <c r="V982" s="25">
        <f>IFERROR(TAB_OFICINAS[[#This Row],[Valor Unit]]*TAB_OFICINAS[[#This Row],[Qtd pçs Enviadas]]," ")</f>
        <v>12</v>
      </c>
      <c r="W982" s="26">
        <v>46259</v>
      </c>
      <c r="X982" s="17" t="s">
        <v>6251</v>
      </c>
      <c r="Y982" s="27" t="s">
        <v>24281</v>
      </c>
      <c r="Z9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3" spans="3:26" ht="28.5" hidden="1">
      <c r="C983" s="28" t="s">
        <v>15</v>
      </c>
      <c r="D983" s="5">
        <v>2533</v>
      </c>
      <c r="E983" s="5">
        <v>24178</v>
      </c>
      <c r="F983" s="28" t="str">
        <f>IFERROR(VLOOKUP(TAB_OFICINAS[[#This Row],[Cliente]],LISTA_DE_CLIENTES[[Código]:[Nome Fantasia]],2,FALSE),"")</f>
        <v>WESTWING COMERCIO VAREJISTA S.A.</v>
      </c>
      <c r="G983" s="2" t="str">
        <f>IFERROR(VLOOKUP(TAB_OFICINAS[[#This Row],[Cliente]],LISTA_DE_CLIENTES[[Código]:[Nome Fantasia]],3,FALSE),"")</f>
        <v>WESTWING - CORRETO</v>
      </c>
      <c r="H983" s="51">
        <v>2201021367</v>
      </c>
      <c r="I983" s="28" t="s">
        <v>24277</v>
      </c>
      <c r="J983" s="91">
        <v>1</v>
      </c>
      <c r="K983" s="88">
        <v>46247</v>
      </c>
      <c r="L983" s="9">
        <v>1</v>
      </c>
      <c r="M983" s="6">
        <v>46248</v>
      </c>
      <c r="N983" s="6">
        <v>46248</v>
      </c>
      <c r="O983" s="23">
        <f>TAB_OFICINAS[[#This Row],[Data Retorno Produção]]-TAB_OFICINAS[[#This Row],[Data Prometida  Entrega]]</f>
        <v>0</v>
      </c>
      <c r="P983" s="98" t="str">
        <f>IF(TAB_OFICINAS[[#This Row],[Dias Para Entrega]]&lt;=0,"Em dia","Dia de Atrasado")</f>
        <v>Em dia</v>
      </c>
      <c r="Q983" s="24">
        <f>IFERROR(TAB_OFICINAS[[#This Row],[Qtd pçs Enviadas]]-TAB_OFICINAS[[#This Row],[Qtd pçs Retornadas ]],"N/D ")</f>
        <v>0</v>
      </c>
      <c r="R983" s="24"/>
      <c r="S983" s="5">
        <v>971</v>
      </c>
      <c r="T983" s="5">
        <v>17492</v>
      </c>
      <c r="U983" s="11">
        <v>12</v>
      </c>
      <c r="V983" s="25">
        <f>IFERROR(TAB_OFICINAS[[#This Row],[Valor Unit]]*TAB_OFICINAS[[#This Row],[Qtd pçs Enviadas]]," ")</f>
        <v>12</v>
      </c>
      <c r="W983" s="26">
        <v>46255</v>
      </c>
      <c r="X983" s="17" t="s">
        <v>6251</v>
      </c>
      <c r="Y983" s="27" t="s">
        <v>24281</v>
      </c>
      <c r="Z9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4" spans="3:26" hidden="1">
      <c r="C984" s="28" t="s">
        <v>15</v>
      </c>
      <c r="D984" s="5">
        <v>2533</v>
      </c>
      <c r="E984" s="5">
        <v>24178</v>
      </c>
      <c r="F984" s="28" t="str">
        <f>IFERROR(VLOOKUP(TAB_OFICINAS[[#This Row],[Cliente]],LISTA_DE_CLIENTES[[Código]:[Nome Fantasia]],2,FALSE),"")</f>
        <v>WESTWING COMERCIO VAREJISTA S.A.</v>
      </c>
      <c r="G984" s="2" t="str">
        <f>IFERROR(VLOOKUP(TAB_OFICINAS[[#This Row],[Cliente]],LISTA_DE_CLIENTES[[Código]:[Nome Fantasia]],3,FALSE),"")</f>
        <v>WESTWING - CORRETO</v>
      </c>
      <c r="H984" s="51">
        <v>2201021366</v>
      </c>
      <c r="I984" s="28" t="s">
        <v>24276</v>
      </c>
      <c r="J984" s="91">
        <v>1</v>
      </c>
      <c r="K984" s="88">
        <v>46247</v>
      </c>
      <c r="L984" s="9">
        <v>1</v>
      </c>
      <c r="M984" s="6">
        <v>46248</v>
      </c>
      <c r="N984" s="6">
        <v>46248</v>
      </c>
      <c r="O984" s="23">
        <f>TAB_OFICINAS[[#This Row],[Data Retorno Produção]]-TAB_OFICINAS[[#This Row],[Data Prometida  Entrega]]</f>
        <v>0</v>
      </c>
      <c r="P984" s="98" t="str">
        <f>IF(TAB_OFICINAS[[#This Row],[Dias Para Entrega]]&lt;=0,"Em dia","Dia de Atrasado")</f>
        <v>Em dia</v>
      </c>
      <c r="Q984" s="24">
        <f>IFERROR(TAB_OFICINAS[[#This Row],[Qtd pçs Enviadas]]-TAB_OFICINAS[[#This Row],[Qtd pçs Retornadas ]],"N/D ")</f>
        <v>0</v>
      </c>
      <c r="R984" s="24"/>
      <c r="S984" s="5">
        <v>971</v>
      </c>
      <c r="T984" s="5">
        <v>17492</v>
      </c>
      <c r="U984" s="11">
        <v>12</v>
      </c>
      <c r="V984" s="25">
        <f>IFERROR(TAB_OFICINAS[[#This Row],[Valor Unit]]*TAB_OFICINAS[[#This Row],[Qtd pçs Enviadas]]," ")</f>
        <v>12</v>
      </c>
      <c r="W984" s="26">
        <v>46255</v>
      </c>
      <c r="X984" s="17" t="s">
        <v>6251</v>
      </c>
      <c r="Y984" s="27" t="s">
        <v>24282</v>
      </c>
      <c r="Z9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5" spans="3:26" hidden="1">
      <c r="C985" s="28" t="s">
        <v>15</v>
      </c>
      <c r="D985" s="5">
        <v>2533</v>
      </c>
      <c r="E985" s="5">
        <v>24178</v>
      </c>
      <c r="F985" s="28" t="str">
        <f>IFERROR(VLOOKUP(TAB_OFICINAS[[#This Row],[Cliente]],LISTA_DE_CLIENTES[[Código]:[Nome Fantasia]],2,FALSE),"")</f>
        <v>WESTWING COMERCIO VAREJISTA S.A.</v>
      </c>
      <c r="G985" s="2" t="str">
        <f>IFERROR(VLOOKUP(TAB_OFICINAS[[#This Row],[Cliente]],LISTA_DE_CLIENTES[[Código]:[Nome Fantasia]],3,FALSE),"")</f>
        <v>WESTWING - CORRETO</v>
      </c>
      <c r="H985" s="51">
        <v>2201021365</v>
      </c>
      <c r="I985" s="28" t="s">
        <v>24279</v>
      </c>
      <c r="J985" s="91">
        <v>1</v>
      </c>
      <c r="K985" s="88">
        <v>46247</v>
      </c>
      <c r="L985" s="9">
        <v>1</v>
      </c>
      <c r="M985" s="6">
        <v>46248</v>
      </c>
      <c r="N985" s="6">
        <v>46248</v>
      </c>
      <c r="O985" s="23">
        <f>TAB_OFICINAS[[#This Row],[Data Retorno Produção]]-TAB_OFICINAS[[#This Row],[Data Prometida  Entrega]]</f>
        <v>0</v>
      </c>
      <c r="P985" s="98" t="str">
        <f>IF(TAB_OFICINAS[[#This Row],[Dias Para Entrega]]&lt;=0,"Em dia","Dia de Atrasado")</f>
        <v>Em dia</v>
      </c>
      <c r="Q985" s="24">
        <f>IFERROR(TAB_OFICINAS[[#This Row],[Qtd pçs Enviadas]]-TAB_OFICINAS[[#This Row],[Qtd pçs Retornadas ]],"N/D ")</f>
        <v>0</v>
      </c>
      <c r="R985" s="24"/>
      <c r="S985" s="5">
        <v>971</v>
      </c>
      <c r="T985" s="5">
        <v>17492</v>
      </c>
      <c r="U985" s="11">
        <v>12</v>
      </c>
      <c r="V985" s="25">
        <f>IFERROR(TAB_OFICINAS[[#This Row],[Valor Unit]]*TAB_OFICINAS[[#This Row],[Qtd pçs Enviadas]]," ")</f>
        <v>12</v>
      </c>
      <c r="W985" s="26">
        <v>46255</v>
      </c>
      <c r="X985" s="17" t="s">
        <v>6251</v>
      </c>
      <c r="Y985" s="27" t="s">
        <v>24283</v>
      </c>
      <c r="Z9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6" spans="3:26" hidden="1">
      <c r="C986" s="28" t="s">
        <v>15</v>
      </c>
      <c r="D986" s="5">
        <v>2533</v>
      </c>
      <c r="E986" s="5">
        <v>24178</v>
      </c>
      <c r="F986" s="28" t="str">
        <f>IFERROR(VLOOKUP(TAB_OFICINAS[[#This Row],[Cliente]],LISTA_DE_CLIENTES[[Código]:[Nome Fantasia]],2,FALSE),"")</f>
        <v>WESTWING COMERCIO VAREJISTA S.A.</v>
      </c>
      <c r="G986" s="2" t="str">
        <f>IFERROR(VLOOKUP(TAB_OFICINAS[[#This Row],[Cliente]],LISTA_DE_CLIENTES[[Código]:[Nome Fantasia]],3,FALSE),"")</f>
        <v>WESTWING - CORRETO</v>
      </c>
      <c r="H986" s="51">
        <v>2201021364</v>
      </c>
      <c r="I986" s="28" t="s">
        <v>24280</v>
      </c>
      <c r="J986" s="91">
        <v>1</v>
      </c>
      <c r="K986" s="88">
        <v>46247</v>
      </c>
      <c r="L986" s="9">
        <v>1</v>
      </c>
      <c r="M986" s="6">
        <v>46248</v>
      </c>
      <c r="N986" s="6">
        <v>46248</v>
      </c>
      <c r="O986" s="23">
        <f>TAB_OFICINAS[[#This Row],[Data Retorno Produção]]-TAB_OFICINAS[[#This Row],[Data Prometida  Entrega]]</f>
        <v>0</v>
      </c>
      <c r="P986" s="98" t="str">
        <f>IF(TAB_OFICINAS[[#This Row],[Dias Para Entrega]]&lt;=0,"Em dia","Dia de Atrasado")</f>
        <v>Em dia</v>
      </c>
      <c r="Q986" s="24">
        <f>IFERROR(TAB_OFICINAS[[#This Row],[Qtd pçs Enviadas]]-TAB_OFICINAS[[#This Row],[Qtd pçs Retornadas ]],"N/D ")</f>
        <v>0</v>
      </c>
      <c r="R986" s="24"/>
      <c r="S986" s="5">
        <v>971</v>
      </c>
      <c r="T986" s="5">
        <v>17492</v>
      </c>
      <c r="U986" s="11">
        <v>12</v>
      </c>
      <c r="V986" s="25">
        <f>IFERROR(TAB_OFICINAS[[#This Row],[Valor Unit]]*TAB_OFICINAS[[#This Row],[Qtd pçs Enviadas]]," ")</f>
        <v>12</v>
      </c>
      <c r="W986" s="26">
        <v>46255</v>
      </c>
      <c r="X986" s="17" t="s">
        <v>6251</v>
      </c>
      <c r="Y986" s="27" t="s">
        <v>24284</v>
      </c>
      <c r="Z9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7" spans="3:26" hidden="1">
      <c r="C987" s="28" t="s">
        <v>17</v>
      </c>
      <c r="D987" s="5">
        <v>5391</v>
      </c>
      <c r="E987" s="5">
        <v>23881</v>
      </c>
      <c r="F987" s="28" t="str">
        <f>IFERROR(VLOOKUP(TAB_OFICINAS[[#This Row],[Cliente]],LISTA_DE_CLIENTES[[Código]:[Nome Fantasia]],2,FALSE),"")</f>
        <v>PACIFICO OPERACOES HOSPITALARES S.A</v>
      </c>
      <c r="G987" s="2" t="str">
        <f>IFERROR(VLOOKUP(TAB_OFICINAS[[#This Row],[Cliente]],LISTA_DE_CLIENTES[[Código]:[Nome Fantasia]],3,FALSE),"")</f>
        <v>MATERNIDADE SAO LUIZ</v>
      </c>
      <c r="H987" s="51">
        <v>3301084129</v>
      </c>
      <c r="I987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87" s="91">
        <v>11</v>
      </c>
      <c r="K987" s="88">
        <v>46247</v>
      </c>
      <c r="L987" s="9">
        <v>11</v>
      </c>
      <c r="M987" s="6">
        <v>46260</v>
      </c>
      <c r="N987" s="6">
        <v>46258</v>
      </c>
      <c r="O987" s="23">
        <f>TAB_OFICINAS[[#This Row],[Data Retorno Produção]]-TAB_OFICINAS[[#This Row],[Data Prometida  Entrega]]</f>
        <v>-2</v>
      </c>
      <c r="P987" s="98" t="str">
        <f>IF(TAB_OFICINAS[[#This Row],[Dias Para Entrega]]&lt;=0,"Em dia","Dia de Atrasado")</f>
        <v>Em dia</v>
      </c>
      <c r="Q987" s="24">
        <f>IFERROR(TAB_OFICINAS[[#This Row],[Qtd pçs Enviadas]]-TAB_OFICINAS[[#This Row],[Qtd pçs Retornadas ]],"N/D ")</f>
        <v>0</v>
      </c>
      <c r="R987" s="24"/>
      <c r="S987" s="5">
        <v>970</v>
      </c>
      <c r="T987" s="5">
        <v>63</v>
      </c>
      <c r="U987" s="11">
        <v>14</v>
      </c>
      <c r="V987" s="25">
        <f>IFERROR(TAB_OFICINAS[[#This Row],[Valor Unit]]*TAB_OFICINAS[[#This Row],[Qtd pçs Enviadas]]," ")</f>
        <v>154</v>
      </c>
      <c r="W987" s="26">
        <v>46275</v>
      </c>
      <c r="X987" s="17" t="s">
        <v>6251</v>
      </c>
      <c r="Y987" s="27"/>
      <c r="Z9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8" spans="3:26" hidden="1">
      <c r="C988" s="28" t="s">
        <v>17</v>
      </c>
      <c r="D988" s="5">
        <v>5391</v>
      </c>
      <c r="E988" s="5">
        <v>23881</v>
      </c>
      <c r="F988" s="28" t="str">
        <f>IFERROR(VLOOKUP(TAB_OFICINAS[[#This Row],[Cliente]],LISTA_DE_CLIENTES[[Código]:[Nome Fantasia]],2,FALSE),"")</f>
        <v>PACIFICO OPERACOES HOSPITALARES S.A</v>
      </c>
      <c r="G988" s="2" t="str">
        <f>IFERROR(VLOOKUP(TAB_OFICINAS[[#This Row],[Cliente]],LISTA_DE_CLIENTES[[Código]:[Nome Fantasia]],3,FALSE),"")</f>
        <v>MATERNIDADE SAO LUIZ</v>
      </c>
      <c r="H988" s="51">
        <v>3301084128</v>
      </c>
      <c r="I988" s="28" t="str">
        <f>IFERROR(VLOOKUP(TAB_OFICINAS[[#This Row],[Codigo Produto ]],_000___PEDIDOS_DE_CLIENTES[[Data.Column2]:[Descrição Produto]],2,FALSE)," ")</f>
        <v>ROUPÃO PIQUET MOSAICO S/ VIVO E C/ LOGO TAM. EXGG  -  ( MODELAGEM EXCLUSIVA REDE DOR )</v>
      </c>
      <c r="J988" s="91">
        <v>31</v>
      </c>
      <c r="K988" s="88">
        <v>46247</v>
      </c>
      <c r="L988" s="9">
        <v>31</v>
      </c>
      <c r="M988" s="6">
        <v>46260</v>
      </c>
      <c r="N988" s="6">
        <v>46258</v>
      </c>
      <c r="O988" s="23">
        <f>TAB_OFICINAS[[#This Row],[Data Retorno Produção]]-TAB_OFICINAS[[#This Row],[Data Prometida  Entrega]]</f>
        <v>-2</v>
      </c>
      <c r="P988" s="98" t="str">
        <f>IF(TAB_OFICINAS[[#This Row],[Dias Para Entrega]]&lt;=0,"Em dia","Dia de Atrasado")</f>
        <v>Em dia</v>
      </c>
      <c r="Q988" s="24">
        <f>IFERROR(TAB_OFICINAS[[#This Row],[Qtd pçs Enviadas]]-TAB_OFICINAS[[#This Row],[Qtd pçs Retornadas ]],"N/D ")</f>
        <v>0</v>
      </c>
      <c r="R988" s="24"/>
      <c r="S988" s="5">
        <v>970</v>
      </c>
      <c r="T988" s="5">
        <v>63</v>
      </c>
      <c r="U988" s="11">
        <v>14</v>
      </c>
      <c r="V988" s="25">
        <f>IFERROR(TAB_OFICINAS[[#This Row],[Valor Unit]]*TAB_OFICINAS[[#This Row],[Qtd pçs Enviadas]]," ")</f>
        <v>434</v>
      </c>
      <c r="W988" s="26">
        <v>46275</v>
      </c>
      <c r="X988" s="17" t="s">
        <v>6251</v>
      </c>
      <c r="Y988" s="27"/>
      <c r="Z9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89" spans="3:26" hidden="1">
      <c r="C989" s="28" t="s">
        <v>17</v>
      </c>
      <c r="D989" s="5">
        <v>5391</v>
      </c>
      <c r="E989" s="5">
        <v>23881</v>
      </c>
      <c r="F989" s="28" t="str">
        <f>IFERROR(VLOOKUP(TAB_OFICINAS[[#This Row],[Cliente]],LISTA_DE_CLIENTES[[Código]:[Nome Fantasia]],2,FALSE),"")</f>
        <v>PACIFICO OPERACOES HOSPITALARES S.A</v>
      </c>
      <c r="G989" s="2" t="str">
        <f>IFERROR(VLOOKUP(TAB_OFICINAS[[#This Row],[Cliente]],LISTA_DE_CLIENTES[[Código]:[Nome Fantasia]],3,FALSE),"")</f>
        <v>MATERNIDADE SAO LUIZ</v>
      </c>
      <c r="H989" s="51">
        <v>3301084127</v>
      </c>
      <c r="I989" s="28" t="str">
        <f>IFERROR(VLOOKUP(TAB_OFICINAS[[#This Row],[Codigo Produto ]],_000___PEDIDOS_DE_CLIENTES[[Data.Column2]:[Descrição Produto]],2,FALSE)," ")</f>
        <v>ROUPÃO PIQUET MOSAICO S/ VIVO E C/ LOGO TAM. EXG  -  ( MODELAGEM EXCLUSIVA REDE DOR )</v>
      </c>
      <c r="J989" s="91">
        <v>31</v>
      </c>
      <c r="K989" s="88">
        <v>46247</v>
      </c>
      <c r="L989" s="9">
        <v>31</v>
      </c>
      <c r="M989" s="6">
        <v>46260</v>
      </c>
      <c r="N989" s="6">
        <v>46258</v>
      </c>
      <c r="O989" s="23">
        <f>TAB_OFICINAS[[#This Row],[Data Retorno Produção]]-TAB_OFICINAS[[#This Row],[Data Prometida  Entrega]]</f>
        <v>-2</v>
      </c>
      <c r="P989" s="98" t="str">
        <f>IF(TAB_OFICINAS[[#This Row],[Dias Para Entrega]]&lt;=0,"Em dia","Dia de Atrasado")</f>
        <v>Em dia</v>
      </c>
      <c r="Q989" s="24">
        <f>IFERROR(TAB_OFICINAS[[#This Row],[Qtd pçs Enviadas]]-TAB_OFICINAS[[#This Row],[Qtd pçs Retornadas ]],"N/D ")</f>
        <v>0</v>
      </c>
      <c r="R989" s="24"/>
      <c r="S989" s="5">
        <v>970</v>
      </c>
      <c r="T989" s="5">
        <v>63</v>
      </c>
      <c r="U989" s="11">
        <v>14</v>
      </c>
      <c r="V989" s="25">
        <f>IFERROR(TAB_OFICINAS[[#This Row],[Valor Unit]]*TAB_OFICINAS[[#This Row],[Qtd pçs Enviadas]]," ")</f>
        <v>434</v>
      </c>
      <c r="W989" s="26">
        <v>46275</v>
      </c>
      <c r="X989" s="17" t="s">
        <v>6251</v>
      </c>
      <c r="Y989" s="27"/>
      <c r="Z9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0" spans="3:26" hidden="1">
      <c r="C990" s="28" t="s">
        <v>17</v>
      </c>
      <c r="D990" s="5">
        <v>5391</v>
      </c>
      <c r="E990" s="5">
        <v>23881</v>
      </c>
      <c r="F990" s="28" t="str">
        <f>IFERROR(VLOOKUP(TAB_OFICINAS[[#This Row],[Cliente]],LISTA_DE_CLIENTES[[Código]:[Nome Fantasia]],2,FALSE),"")</f>
        <v>PACIFICO OPERACOES HOSPITALARES S.A</v>
      </c>
      <c r="G990" s="2" t="str">
        <f>IFERROR(VLOOKUP(TAB_OFICINAS[[#This Row],[Cliente]],LISTA_DE_CLIENTES[[Código]:[Nome Fantasia]],3,FALSE),"")</f>
        <v>MATERNIDADE SAO LUIZ</v>
      </c>
      <c r="H990" s="51">
        <v>3301084164</v>
      </c>
      <c r="I990" s="28" t="str">
        <f>IFERROR(VLOOKUP(TAB_OFICINAS[[#This Row],[Codigo Produto ]],_000___PEDIDOS_DE_CLIENTES[[Data.Column2]:[Descrição Produto]],2,FALSE)," ")</f>
        <v>ROUPÃO PIQUET MOSAICO S/ VIVO E C/ LOGO TAM. M  -  ( MODELAGEM EXCLUSIVA REDE DOR )</v>
      </c>
      <c r="J990" s="91">
        <v>31</v>
      </c>
      <c r="K990" s="88">
        <v>46247</v>
      </c>
      <c r="L990" s="9">
        <v>31</v>
      </c>
      <c r="M990" s="6">
        <v>46260</v>
      </c>
      <c r="N990" s="6">
        <v>46258</v>
      </c>
      <c r="O990" s="23">
        <f>TAB_OFICINAS[[#This Row],[Data Retorno Produção]]-TAB_OFICINAS[[#This Row],[Data Prometida  Entrega]]</f>
        <v>-2</v>
      </c>
      <c r="P990" s="98" t="str">
        <f>IF(TAB_OFICINAS[[#This Row],[Dias Para Entrega]]&lt;=0,"Em dia","Dia de Atrasado")</f>
        <v>Em dia</v>
      </c>
      <c r="Q990" s="24">
        <f>IFERROR(TAB_OFICINAS[[#This Row],[Qtd pçs Enviadas]]-TAB_OFICINAS[[#This Row],[Qtd pçs Retornadas ]],"N/D ")</f>
        <v>0</v>
      </c>
      <c r="R990" s="24"/>
      <c r="S990" s="5">
        <v>970</v>
      </c>
      <c r="T990" s="5">
        <v>63</v>
      </c>
      <c r="U990" s="11">
        <v>14</v>
      </c>
      <c r="V990" s="25">
        <f>IFERROR(TAB_OFICINAS[[#This Row],[Valor Unit]]*TAB_OFICINAS[[#This Row],[Qtd pçs Enviadas]]," ")</f>
        <v>434</v>
      </c>
      <c r="W990" s="26">
        <v>46275</v>
      </c>
      <c r="X990" s="17" t="s">
        <v>6251</v>
      </c>
      <c r="Y990" s="27"/>
      <c r="Z99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1" spans="3:26" ht="28.5" hidden="1">
      <c r="C991" s="28" t="s">
        <v>16</v>
      </c>
      <c r="D991" s="5">
        <v>240</v>
      </c>
      <c r="E991" s="5">
        <v>24021</v>
      </c>
      <c r="F991" s="28" t="str">
        <f>IFERROR(VLOOKUP(TAB_OFICINAS[[#This Row],[Cliente]],LISTA_DE_CLIENTES[[Código]:[Nome Fantasia]],2,FALSE),"")</f>
        <v>MEIRA LINS HOTEIS LTDA</v>
      </c>
      <c r="G991" s="2" t="str">
        <f>IFERROR(VLOOKUP(TAB_OFICINAS[[#This Row],[Cliente]],LISTA_DE_CLIENTES[[Código]:[Nome Fantasia]],3,FALSE),"")</f>
        <v>NANNAI RESORT &amp; SPA</v>
      </c>
      <c r="H991" s="51">
        <v>3302048547</v>
      </c>
      <c r="I991" s="28" t="str">
        <f>IFERROR(VLOOKUP(TAB_OFICINAS[[#This Row],[Codigo Produto ]],_000___PEDIDOS_DE_CLIENTES[[Data.Column2]:[Descrição Produto]],2,FALSE)," ")</f>
        <v>TOALHA PISO DUPLO CARAMELO - 0,45 X 0,90 C/ LOGO</v>
      </c>
      <c r="J991" s="91">
        <v>21</v>
      </c>
      <c r="K991" s="88">
        <v>46247</v>
      </c>
      <c r="L991" s="9">
        <v>21</v>
      </c>
      <c r="M991" s="6">
        <v>46251</v>
      </c>
      <c r="N991" s="6">
        <v>46251</v>
      </c>
      <c r="O991" s="23">
        <f>TAB_OFICINAS[[#This Row],[Data Retorno Produção]]-TAB_OFICINAS[[#This Row],[Data Prometida  Entrega]]</f>
        <v>0</v>
      </c>
      <c r="P991" s="98" t="str">
        <f>IF(TAB_OFICINAS[[#This Row],[Dias Para Entrega]]&lt;=0,"Em dia","Dia de Atrasado")</f>
        <v>Em dia</v>
      </c>
      <c r="Q991" s="24">
        <f>IFERROR(TAB_OFICINAS[[#This Row],[Qtd pçs Enviadas]]-TAB_OFICINAS[[#This Row],[Qtd pçs Retornadas ]],"N/D ")</f>
        <v>0</v>
      </c>
      <c r="R991" s="24">
        <v>2</v>
      </c>
      <c r="S991" s="5">
        <v>3365</v>
      </c>
      <c r="T991" s="5">
        <v>60</v>
      </c>
      <c r="U991" s="11">
        <v>7.5</v>
      </c>
      <c r="V991" s="25">
        <f>IFERROR(TAB_OFICINAS[[#This Row],[Valor Unit]]*TAB_OFICINAS[[#This Row],[Qtd pçs Enviadas]]," ")</f>
        <v>157.5</v>
      </c>
      <c r="W991" s="26">
        <v>46261</v>
      </c>
      <c r="X991" s="17" t="s">
        <v>6251</v>
      </c>
      <c r="Y991" s="27" t="s">
        <v>24405</v>
      </c>
      <c r="Z9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2" spans="3:26" hidden="1">
      <c r="C992" s="28" t="s">
        <v>3</v>
      </c>
      <c r="D992" s="5">
        <v>3107</v>
      </c>
      <c r="E992" s="5">
        <v>23956</v>
      </c>
      <c r="F992" s="28" t="str">
        <f>IFERROR(VLOOKUP(TAB_OFICINAS[[#This Row],[Cliente]],LISTA_DE_CLIENTES[[Código]:[Nome Fantasia]],2,FALSE),"")</f>
        <v>HCC HOTELS GESTAO HOTELEIRA LTDA.</v>
      </c>
      <c r="G992" s="2" t="str">
        <f>IFERROR(VLOOKUP(TAB_OFICINAS[[#This Row],[Cliente]],LISTA_DE_CLIENTES[[Código]:[Nome Fantasia]],3,FALSE),"")</f>
        <v>QOYA SP</v>
      </c>
      <c r="H992" s="132">
        <v>92105232467</v>
      </c>
      <c r="I992" s="28" t="s">
        <v>23949</v>
      </c>
      <c r="J992" s="91">
        <v>300</v>
      </c>
      <c r="K992" s="88">
        <v>46237</v>
      </c>
      <c r="L992" s="9">
        <v>300</v>
      </c>
      <c r="M992" s="6">
        <v>46248</v>
      </c>
      <c r="N992" s="6">
        <v>46247</v>
      </c>
      <c r="O992" s="23">
        <f>TAB_OFICINAS[[#This Row],[Data Retorno Produção]]-TAB_OFICINAS[[#This Row],[Data Prometida  Entrega]]</f>
        <v>-1</v>
      </c>
      <c r="P992" s="98" t="str">
        <f>IF(TAB_OFICINAS[[#This Row],[Dias Para Entrega]]&lt;=0,"Em dia","Dia de Atrasado")</f>
        <v>Em dia</v>
      </c>
      <c r="Q992" s="24">
        <v>0</v>
      </c>
      <c r="R992" s="24"/>
      <c r="S992" s="5">
        <v>3345</v>
      </c>
      <c r="T992" s="5">
        <v>122</v>
      </c>
      <c r="U992" s="11">
        <v>5.3</v>
      </c>
      <c r="V992" s="25">
        <f>IFERROR(TAB_OFICINAS[[#This Row],[Valor Unit]]*TAB_OFICINAS[[#This Row],[Qtd pçs Enviadas]]," ")</f>
        <v>1590</v>
      </c>
      <c r="W992" s="26">
        <v>46256</v>
      </c>
      <c r="X992" s="17" t="s">
        <v>6251</v>
      </c>
      <c r="Y992" s="27"/>
      <c r="Z9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3" spans="3:26" hidden="1">
      <c r="C993" s="28" t="s">
        <v>3</v>
      </c>
      <c r="D993" s="5">
        <v>5601</v>
      </c>
      <c r="E993" s="5">
        <v>24021</v>
      </c>
      <c r="F993" s="28" t="str">
        <f>IFERROR(VLOOKUP(TAB_OFICINAS[[#This Row],[Cliente]],LISTA_DE_CLIENTES[[Código]:[Nome Fantasia]],2,FALSE),"")</f>
        <v>CANTO DOS VENTOS LTDA</v>
      </c>
      <c r="G993" s="2" t="str">
        <f>IFERROR(VLOOKUP(TAB_OFICINAS[[#This Row],[Cliente]],LISTA_DE_CLIENTES[[Código]:[Nome Fantasia]],3,FALSE),"")</f>
        <v>CANTO DOS VENTOS LTD</v>
      </c>
      <c r="H993" s="51">
        <v>2101111079</v>
      </c>
      <c r="I993" s="28" t="str">
        <f>IFERROR(VLOOKUP(TAB_OFICINAS[[#This Row],[Codigo Produto ]],_000___PEDIDOS_DE_CLIENTES[[Data.Column2]:[Descrição Produto]],2,FALSE)," ")</f>
        <v>LENÇOL BAIXO BARRA ESTREITA 4 LADOS 250F MISTO 2,95 X 3,00</v>
      </c>
      <c r="J993" s="91">
        <v>7</v>
      </c>
      <c r="K993" s="88">
        <v>46244</v>
      </c>
      <c r="L993" s="9">
        <v>7</v>
      </c>
      <c r="M993" s="6">
        <v>46251</v>
      </c>
      <c r="N993" s="6">
        <v>46247</v>
      </c>
      <c r="O993" s="23">
        <f>TAB_OFICINAS[[#This Row],[Data Retorno Produção]]-TAB_OFICINAS[[#This Row],[Data Prometida  Entrega]]</f>
        <v>-4</v>
      </c>
      <c r="P993" s="98" t="str">
        <f>IF(TAB_OFICINAS[[#This Row],[Dias Para Entrega]]&lt;=0,"Em dia","Dia de Atrasado")</f>
        <v>Em dia</v>
      </c>
      <c r="Q993" s="24">
        <f>IFERROR(TAB_OFICINAS[[#This Row],[Qtd pçs Enviadas]]-TAB_OFICINAS[[#This Row],[Qtd pçs Retornadas ]],"N/D ")</f>
        <v>0</v>
      </c>
      <c r="R993" s="24"/>
      <c r="S993" s="5">
        <v>961</v>
      </c>
      <c r="T993" s="5">
        <v>123</v>
      </c>
      <c r="U993" s="11">
        <v>10</v>
      </c>
      <c r="V993" s="25">
        <f>IFERROR(TAB_OFICINAS[[#This Row],[Valor Unit]]*TAB_OFICINAS[[#This Row],[Qtd pçs Enviadas]]," ")</f>
        <v>70</v>
      </c>
      <c r="W993" s="26">
        <v>46256</v>
      </c>
      <c r="X993" s="17" t="s">
        <v>6251</v>
      </c>
      <c r="Y993" s="27"/>
      <c r="Z9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4" spans="3:26" hidden="1">
      <c r="C994" s="28" t="s">
        <v>3</v>
      </c>
      <c r="D994" s="5">
        <v>5601</v>
      </c>
      <c r="E994" s="5">
        <v>24021</v>
      </c>
      <c r="F994" s="28" t="str">
        <f>IFERROR(VLOOKUP(TAB_OFICINAS[[#This Row],[Cliente]],LISTA_DE_CLIENTES[[Código]:[Nome Fantasia]],2,FALSE),"")</f>
        <v>CANTO DOS VENTOS LTDA</v>
      </c>
      <c r="G994" s="2" t="str">
        <f>IFERROR(VLOOKUP(TAB_OFICINAS[[#This Row],[Cliente]],LISTA_DE_CLIENTES[[Código]:[Nome Fantasia]],3,FALSE),"")</f>
        <v>CANTO DOS VENTOS LTD</v>
      </c>
      <c r="H994" s="51">
        <v>2101111078</v>
      </c>
      <c r="I994" s="28" t="str">
        <f>IFERROR(VLOOKUP(TAB_OFICINAS[[#This Row],[Codigo Produto ]],_000___PEDIDOS_DE_CLIENTES[[Data.Column2]:[Descrição Produto]],2,FALSE)," ")</f>
        <v>LENÇOL BAIXO BARRA ESTREITA 4 LADOS 250F MISTO 1,90 X 2,90</v>
      </c>
      <c r="J994" s="91">
        <v>14</v>
      </c>
      <c r="K994" s="88">
        <v>46244</v>
      </c>
      <c r="L994" s="9">
        <v>14</v>
      </c>
      <c r="M994" s="6">
        <v>46251</v>
      </c>
      <c r="N994" s="6">
        <v>46237</v>
      </c>
      <c r="O994" s="23">
        <f>TAB_OFICINAS[[#This Row],[Data Retorno Produção]]-TAB_OFICINAS[[#This Row],[Data Prometida  Entrega]]</f>
        <v>-14</v>
      </c>
      <c r="P994" s="98" t="str">
        <f>IF(TAB_OFICINAS[[#This Row],[Dias Para Entrega]]&lt;=0,"Em dia","Dia de Atrasado")</f>
        <v>Em dia</v>
      </c>
      <c r="Q994" s="24">
        <f>IFERROR(TAB_OFICINAS[[#This Row],[Qtd pçs Enviadas]]-TAB_OFICINAS[[#This Row],[Qtd pçs Retornadas ]],"N/D ")</f>
        <v>0</v>
      </c>
      <c r="R994" s="24"/>
      <c r="S994" s="5">
        <v>961</v>
      </c>
      <c r="T994" s="5">
        <v>123</v>
      </c>
      <c r="U994" s="11">
        <v>6</v>
      </c>
      <c r="V994" s="25">
        <f>IFERROR(TAB_OFICINAS[[#This Row],[Valor Unit]]*TAB_OFICINAS[[#This Row],[Qtd pçs Enviadas]]," ")</f>
        <v>84</v>
      </c>
      <c r="W994" s="26">
        <v>46256</v>
      </c>
      <c r="X994" s="17" t="s">
        <v>6251</v>
      </c>
      <c r="Y994" s="27"/>
      <c r="Z9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5" spans="3:26" hidden="1">
      <c r="C995" s="28" t="s">
        <v>3</v>
      </c>
      <c r="D995" s="5">
        <v>5601</v>
      </c>
      <c r="E995" s="5">
        <v>24021</v>
      </c>
      <c r="F995" s="28" t="str">
        <f>IFERROR(VLOOKUP(TAB_OFICINAS[[#This Row],[Cliente]],LISTA_DE_CLIENTES[[Código]:[Nome Fantasia]],2,FALSE),"")</f>
        <v>CANTO DOS VENTOS LTDA</v>
      </c>
      <c r="G995" s="2" t="str">
        <f>IFERROR(VLOOKUP(TAB_OFICINAS[[#This Row],[Cliente]],LISTA_DE_CLIENTES[[Código]:[Nome Fantasia]],3,FALSE),"")</f>
        <v>CANTO DOS VENTOS LTD</v>
      </c>
      <c r="H995" s="51">
        <v>3103071081</v>
      </c>
      <c r="I995" s="28" t="str">
        <f>IFERROR(VLOOKUP(TAB_OFICINAS[[#This Row],[Codigo Produto ]],_000___PEDIDOS_DE_CLIENTES[[Data.Column2]:[Descrição Produto]],2,FALSE)," ")</f>
        <v>LENÇOL DE CIMA 250F MISTO CLASSIC 2,95 X 2,55</v>
      </c>
      <c r="J995" s="91">
        <v>7</v>
      </c>
      <c r="K995" s="88">
        <v>46244</v>
      </c>
      <c r="L995" s="9">
        <v>7</v>
      </c>
      <c r="M995" s="6">
        <v>46251</v>
      </c>
      <c r="N995" s="6">
        <v>46247</v>
      </c>
      <c r="O995" s="23">
        <f>TAB_OFICINAS[[#This Row],[Data Retorno Produção]]-TAB_OFICINAS[[#This Row],[Data Prometida  Entrega]]</f>
        <v>-4</v>
      </c>
      <c r="P995" s="98" t="str">
        <f>IF(TAB_OFICINAS[[#This Row],[Dias Para Entrega]]&lt;=0,"Em dia","Dia de Atrasado")</f>
        <v>Em dia</v>
      </c>
      <c r="Q995" s="24">
        <f>IFERROR(TAB_OFICINAS[[#This Row],[Qtd pçs Enviadas]]-TAB_OFICINAS[[#This Row],[Qtd pçs Retornadas ]],"N/D ")</f>
        <v>0</v>
      </c>
      <c r="R995" s="24"/>
      <c r="S995" s="5">
        <v>961</v>
      </c>
      <c r="T995" s="5">
        <v>123</v>
      </c>
      <c r="U995" s="11">
        <v>10</v>
      </c>
      <c r="V995" s="25">
        <f>IFERROR(TAB_OFICINAS[[#This Row],[Valor Unit]]*TAB_OFICINAS[[#This Row],[Qtd pçs Enviadas]]," ")</f>
        <v>70</v>
      </c>
      <c r="W995" s="26">
        <v>46256</v>
      </c>
      <c r="X995" s="17" t="s">
        <v>6251</v>
      </c>
      <c r="Y995" s="27"/>
      <c r="Z99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6" spans="3:26" hidden="1">
      <c r="C996" s="28" t="s">
        <v>3</v>
      </c>
      <c r="D996" s="5">
        <v>5601</v>
      </c>
      <c r="E996" s="5">
        <v>24021</v>
      </c>
      <c r="F996" s="28" t="str">
        <f>IFERROR(VLOOKUP(TAB_OFICINAS[[#This Row],[Cliente]],LISTA_DE_CLIENTES[[Código]:[Nome Fantasia]],2,FALSE),"")</f>
        <v>CANTO DOS VENTOS LTDA</v>
      </c>
      <c r="G996" s="2" t="str">
        <f>IFERROR(VLOOKUP(TAB_OFICINAS[[#This Row],[Cliente]],LISTA_DE_CLIENTES[[Código]:[Nome Fantasia]],3,FALSE),"")</f>
        <v>CANTO DOS VENTOS LTD</v>
      </c>
      <c r="H996" s="51">
        <v>3103071080</v>
      </c>
      <c r="I996" s="28" t="str">
        <f>IFERROR(VLOOKUP(TAB_OFICINAS[[#This Row],[Codigo Produto ]],_000___PEDIDOS_DE_CLIENTES[[Data.Column2]:[Descrição Produto]],2,FALSE)," ")</f>
        <v>LENÇOL DE CIMA 250F MISTO CLASSIC 1,90 X 2,40</v>
      </c>
      <c r="J996" s="91">
        <v>14</v>
      </c>
      <c r="K996" s="88">
        <v>46244</v>
      </c>
      <c r="L996" s="9">
        <v>14</v>
      </c>
      <c r="M996" s="6">
        <v>46251</v>
      </c>
      <c r="N996" s="6">
        <v>46247</v>
      </c>
      <c r="O996" s="23">
        <f>TAB_OFICINAS[[#This Row],[Data Retorno Produção]]-TAB_OFICINAS[[#This Row],[Data Prometida  Entrega]]</f>
        <v>-4</v>
      </c>
      <c r="P996" s="98" t="str">
        <f>IF(TAB_OFICINAS[[#This Row],[Dias Para Entrega]]&lt;=0,"Em dia","Dia de Atrasado")</f>
        <v>Em dia</v>
      </c>
      <c r="Q996" s="24">
        <f>IFERROR(TAB_OFICINAS[[#This Row],[Qtd pçs Enviadas]]-TAB_OFICINAS[[#This Row],[Qtd pçs Retornadas ]],"N/D ")</f>
        <v>0</v>
      </c>
      <c r="R996" s="24"/>
      <c r="S996" s="5">
        <v>961</v>
      </c>
      <c r="T996" s="5">
        <v>123</v>
      </c>
      <c r="U996" s="11">
        <v>5</v>
      </c>
      <c r="V996" s="25">
        <f>IFERROR(TAB_OFICINAS[[#This Row],[Valor Unit]]*TAB_OFICINAS[[#This Row],[Qtd pçs Enviadas]]," ")</f>
        <v>70</v>
      </c>
      <c r="W996" s="26">
        <v>46256</v>
      </c>
      <c r="X996" s="17" t="s">
        <v>6251</v>
      </c>
      <c r="Y996" s="27"/>
      <c r="Z99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7" spans="3:26" hidden="1">
      <c r="C997" s="28" t="s">
        <v>3</v>
      </c>
      <c r="D997" s="5">
        <v>5601</v>
      </c>
      <c r="E997" s="5">
        <v>24021</v>
      </c>
      <c r="F997" s="28" t="str">
        <f>IFERROR(VLOOKUP(TAB_OFICINAS[[#This Row],[Cliente]],LISTA_DE_CLIENTES[[Código]:[Nome Fantasia]],2,FALSE),"")</f>
        <v>CANTO DOS VENTOS LTDA</v>
      </c>
      <c r="G997" s="2" t="str">
        <f>IFERROR(VLOOKUP(TAB_OFICINAS[[#This Row],[Cliente]],LISTA_DE_CLIENTES[[Código]:[Nome Fantasia]],3,FALSE),"")</f>
        <v>CANTO DOS VENTOS LTD</v>
      </c>
      <c r="H997" s="51">
        <v>2105161085</v>
      </c>
      <c r="I997" s="28" t="str">
        <f>IFERROR(VLOOKUP(TAB_OFICINAS[[#This Row],[Codigo Produto ]],_000___PEDIDOS_DE_CLIENTES[[Data.Column2]:[Descrição Produto]],2,FALSE)," ")</f>
        <v>SUPER FRONHA MODELO ENVELOPE 250F MISTO CLASSIC 50 X 90</v>
      </c>
      <c r="J997" s="91">
        <v>26</v>
      </c>
      <c r="K997" s="88">
        <v>46244</v>
      </c>
      <c r="L997" s="9">
        <v>26</v>
      </c>
      <c r="M997" s="6">
        <v>46251</v>
      </c>
      <c r="N997" s="6">
        <v>46247</v>
      </c>
      <c r="O997" s="23">
        <f>TAB_OFICINAS[[#This Row],[Data Retorno Produção]]-TAB_OFICINAS[[#This Row],[Data Prometida  Entrega]]</f>
        <v>-4</v>
      </c>
      <c r="P997" s="98" t="str">
        <f>IF(TAB_OFICINAS[[#This Row],[Dias Para Entrega]]&lt;=0,"Em dia","Dia de Atrasado")</f>
        <v>Em dia</v>
      </c>
      <c r="Q997" s="24">
        <f>IFERROR(TAB_OFICINAS[[#This Row],[Qtd pçs Enviadas]]-TAB_OFICINAS[[#This Row],[Qtd pçs Retornadas ]],"N/D ")</f>
        <v>0</v>
      </c>
      <c r="R997" s="24"/>
      <c r="S997" s="5">
        <v>961</v>
      </c>
      <c r="T997" s="5">
        <v>123</v>
      </c>
      <c r="U997" s="11">
        <v>4.1500000000000004</v>
      </c>
      <c r="V997" s="25">
        <f>IFERROR(TAB_OFICINAS[[#This Row],[Valor Unit]]*TAB_OFICINAS[[#This Row],[Qtd pçs Enviadas]]," ")</f>
        <v>107.9</v>
      </c>
      <c r="W997" s="26">
        <v>46256</v>
      </c>
      <c r="X997" s="17" t="s">
        <v>6251</v>
      </c>
      <c r="Y997" s="27"/>
      <c r="Z99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8" spans="3:26" hidden="1">
      <c r="C998" s="28" t="s">
        <v>3</v>
      </c>
      <c r="D998" s="5">
        <v>5601</v>
      </c>
      <c r="E998" s="5">
        <v>24021</v>
      </c>
      <c r="F998" s="28" t="str">
        <f>IFERROR(VLOOKUP(TAB_OFICINAS[[#This Row],[Cliente]],LISTA_DE_CLIENTES[[Código]:[Nome Fantasia]],2,FALSE),"")</f>
        <v>CANTO DOS VENTOS LTDA</v>
      </c>
      <c r="G998" s="2" t="str">
        <f>IFERROR(VLOOKUP(TAB_OFICINAS[[#This Row],[Cliente]],LISTA_DE_CLIENTES[[Código]:[Nome Fantasia]],3,FALSE),"")</f>
        <v>CANTO DOS VENTOS LTD</v>
      </c>
      <c r="H998" s="51">
        <v>2105161084</v>
      </c>
      <c r="I998" s="28" t="str">
        <f>IFERROR(VLOOKUP(TAB_OFICINAS[[#This Row],[Codigo Produto ]],_000___PEDIDOS_DE_CLIENTES[[Data.Column2]:[Descrição Produto]],2,FALSE)," ")</f>
        <v>FRONHA 3 ABAS 5CM 250F MISTO CLASSIC 50 X 70</v>
      </c>
      <c r="J998" s="91">
        <v>70</v>
      </c>
      <c r="K998" s="88">
        <v>46244</v>
      </c>
      <c r="L998" s="9">
        <v>70</v>
      </c>
      <c r="M998" s="6">
        <v>46251</v>
      </c>
      <c r="N998" s="6">
        <v>46247</v>
      </c>
      <c r="O998" s="23">
        <f>TAB_OFICINAS[[#This Row],[Data Retorno Produção]]-TAB_OFICINAS[[#This Row],[Data Prometida  Entrega]]</f>
        <v>-4</v>
      </c>
      <c r="P998" s="98" t="str">
        <f>IF(TAB_OFICINAS[[#This Row],[Dias Para Entrega]]&lt;=0,"Em dia","Dia de Atrasado")</f>
        <v>Em dia</v>
      </c>
      <c r="Q998" s="24">
        <f>IFERROR(TAB_OFICINAS[[#This Row],[Qtd pçs Enviadas]]-TAB_OFICINAS[[#This Row],[Qtd pçs Retornadas ]],"N/D ")</f>
        <v>0</v>
      </c>
      <c r="R998" s="24"/>
      <c r="S998" s="5">
        <v>961</v>
      </c>
      <c r="T998" s="5">
        <v>123</v>
      </c>
      <c r="U998" s="11">
        <v>4.9000000000000004</v>
      </c>
      <c r="V998" s="25">
        <f>IFERROR(TAB_OFICINAS[[#This Row],[Valor Unit]]*TAB_OFICINAS[[#This Row],[Qtd pçs Enviadas]]," ")</f>
        <v>343</v>
      </c>
      <c r="W998" s="26">
        <v>46256</v>
      </c>
      <c r="X998" s="17" t="s">
        <v>6251</v>
      </c>
      <c r="Y998" s="27"/>
      <c r="Z99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999" spans="3:26" hidden="1">
      <c r="C999" s="28" t="s">
        <v>3</v>
      </c>
      <c r="D999" s="5">
        <v>4637</v>
      </c>
      <c r="E999" s="5">
        <v>24010</v>
      </c>
      <c r="F999" s="28" t="str">
        <f>IFERROR(VLOOKUP(TAB_OFICINAS[[#This Row],[Cliente]],LISTA_DE_CLIENTES[[Código]:[Nome Fantasia]],2,FALSE),"")</f>
        <v>HOSPITAL SAO CARLOS S.A.</v>
      </c>
      <c r="G999" s="2" t="str">
        <f>IFERROR(VLOOKUP(TAB_OFICINAS[[#This Row],[Cliente]],LISTA_DE_CLIENTES[[Código]:[Nome Fantasia]],3,FALSE),"")</f>
        <v>HOSPITAL SAO CARLOS</v>
      </c>
      <c r="H999" s="51">
        <v>2103061238</v>
      </c>
      <c r="I999" s="28" t="str">
        <f>IFERROR(VLOOKUP(TAB_OFICINAS[[#This Row],[Codigo Produto ]],_000___PEDIDOS_DE_CLIENTES[[Data.Column2]:[Descrição Produto]],2,FALSE)," ")</f>
        <v>FRONHA 4 ABAS 5CM FESTONE LAPIS 7115 E 400FIOS 100%ALG E LOGO BORDADO LAPIS 7115 E CARAMELO 7198 - 0,50 X 0,70</v>
      </c>
      <c r="J999" s="91">
        <v>29</v>
      </c>
      <c r="K999" s="88">
        <v>46245</v>
      </c>
      <c r="L999" s="9">
        <v>29</v>
      </c>
      <c r="M999" s="6">
        <v>46255</v>
      </c>
      <c r="N999" s="6">
        <f t="shared" ref="N999:N1058" ca="1" si="4">TODAY()</f>
        <v>46315</v>
      </c>
      <c r="O999" s="23">
        <f ca="1">TAB_OFICINAS[[#This Row],[Data Retorno Produção]]-TAB_OFICINAS[[#This Row],[Data Prometida  Entrega]]</f>
        <v>60</v>
      </c>
      <c r="P999" s="98" t="str">
        <f ca="1">IF(TAB_OFICINAS[[#This Row],[Dias Para Entrega]]&lt;=0,"Em dia","Dia de Atrasado")</f>
        <v>Dia de Atrasado</v>
      </c>
      <c r="Q999" s="24">
        <v>0</v>
      </c>
      <c r="R999" s="24"/>
      <c r="S999" s="5">
        <v>967</v>
      </c>
      <c r="T999" s="5">
        <v>124</v>
      </c>
      <c r="U999" s="11">
        <v>5.15</v>
      </c>
      <c r="V999" s="25">
        <f>IFERROR(TAB_OFICINAS[[#This Row],[Valor Unit]]*TAB_OFICINAS[[#This Row],[Qtd pçs Enviadas]]," ")</f>
        <v>149.35000000000002</v>
      </c>
      <c r="W999" s="26">
        <v>46256</v>
      </c>
      <c r="X999" s="17" t="s">
        <v>6251</v>
      </c>
      <c r="Y999" s="27"/>
      <c r="Z99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0" spans="3:26" hidden="1">
      <c r="C1000" s="28" t="s">
        <v>3</v>
      </c>
      <c r="D1000" s="5">
        <v>36</v>
      </c>
      <c r="E1000" s="5">
        <v>24120</v>
      </c>
      <c r="F1000" s="28" t="str">
        <f>IFERROR(VLOOKUP(TAB_OFICINAS[[#This Row],[Cliente]],LISTA_DE_CLIENTES[[Código]:[Nome Fantasia]],2,FALSE),"")</f>
        <v>ATLANTICO SUL EMPREENDIMENTOS LTDA</v>
      </c>
      <c r="G1000" s="2" t="str">
        <f>IFERROR(VLOOKUP(TAB_OFICINAS[[#This Row],[Cliente]],LISTA_DE_CLIENTES[[Código]:[Nome Fantasia]],3,FALSE),"")</f>
        <v>POUSADA MORENA</v>
      </c>
      <c r="H1000" s="51">
        <v>3302111488</v>
      </c>
      <c r="I1000" s="28" t="str">
        <f>IFERROR(VLOOKUP(TAB_OFICINAS[[#This Row],[Codigo Produto ]],_000___PEDIDOS_DE_CLIENTES[[Data.Column2]:[Descrição Produto]],2,FALSE)," ")</f>
        <v>TOALHA BANHO FELPA CARAMELO 0,80 X 1,60</v>
      </c>
      <c r="J1000" s="91">
        <v>8</v>
      </c>
      <c r="K1000" s="88">
        <v>46247</v>
      </c>
      <c r="L1000" s="9">
        <v>8</v>
      </c>
      <c r="M1000" s="6">
        <v>46254</v>
      </c>
      <c r="N1000" s="6">
        <v>46252</v>
      </c>
      <c r="O1000" s="23">
        <f>TAB_OFICINAS[[#This Row],[Data Retorno Produção]]-TAB_OFICINAS[[#This Row],[Data Prometida  Entrega]]</f>
        <v>-2</v>
      </c>
      <c r="P1000" s="98" t="str">
        <f>IF(TAB_OFICINAS[[#This Row],[Dias Para Entrega]]&lt;=0,"Em dia","Dia de Atrasado")</f>
        <v>Em dia</v>
      </c>
      <c r="Q1000" s="24">
        <f>IFERROR(TAB_OFICINAS[[#This Row],[Qtd pçs Enviadas]]-TAB_OFICINAS[[#This Row],[Qtd pçs Retornadas ]],"N/D ")</f>
        <v>0</v>
      </c>
      <c r="R1000" s="24"/>
      <c r="S1000" s="5">
        <v>3368</v>
      </c>
      <c r="T1000" s="5">
        <v>125</v>
      </c>
      <c r="U1000" s="11">
        <v>5</v>
      </c>
      <c r="V1000" s="25">
        <f>IFERROR(TAB_OFICINAS[[#This Row],[Valor Unit]]*TAB_OFICINAS[[#This Row],[Qtd pçs Enviadas]]," ")</f>
        <v>40</v>
      </c>
      <c r="W1000" s="26">
        <f>TAB_OFICINAS[[#This Row],[Data Retorno Produção]]+10</f>
        <v>46262</v>
      </c>
      <c r="X1000" s="17" t="s">
        <v>6251</v>
      </c>
      <c r="Y1000" s="27"/>
      <c r="Z10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1" spans="3:26" hidden="1">
      <c r="C1001" s="28" t="s">
        <v>3</v>
      </c>
      <c r="D1001" s="5">
        <v>36</v>
      </c>
      <c r="E1001" s="5">
        <v>24120</v>
      </c>
      <c r="F1001" s="28" t="str">
        <f>IFERROR(VLOOKUP(TAB_OFICINAS[[#This Row],[Cliente]],LISTA_DE_CLIENTES[[Código]:[Nome Fantasia]],2,FALSE),"")</f>
        <v>ATLANTICO SUL EMPREENDIMENTOS LTDA</v>
      </c>
      <c r="G1001" s="2" t="str">
        <f>IFERROR(VLOOKUP(TAB_OFICINAS[[#This Row],[Cliente]],LISTA_DE_CLIENTES[[Código]:[Nome Fantasia]],3,FALSE),"")</f>
        <v>POUSADA MORENA</v>
      </c>
      <c r="H1001" s="51">
        <v>3302128462</v>
      </c>
      <c r="I1001" s="28" t="str">
        <f>IFERROR(VLOOKUP(TAB_OFICINAS[[#This Row],[Codigo Produto ]],_000___PEDIDOS_DE_CLIENTES[[Data.Column2]:[Descrição Produto]],2,FALSE)," ")</f>
        <v>TOALHA SOHO ROSTO - FELPA CARAMELO - 0,48 X 0,90</v>
      </c>
      <c r="J1001" s="91">
        <v>10</v>
      </c>
      <c r="K1001" s="88">
        <v>46247</v>
      </c>
      <c r="L1001" s="9">
        <v>10</v>
      </c>
      <c r="M1001" s="6">
        <v>46254</v>
      </c>
      <c r="N1001" s="6">
        <v>46252</v>
      </c>
      <c r="O1001" s="23">
        <f>TAB_OFICINAS[[#This Row],[Data Retorno Produção]]-TAB_OFICINAS[[#This Row],[Data Prometida  Entrega]]</f>
        <v>-2</v>
      </c>
      <c r="P1001" s="98" t="str">
        <f>IF(TAB_OFICINAS[[#This Row],[Dias Para Entrega]]&lt;=0,"Em dia","Dia de Atrasado")</f>
        <v>Em dia</v>
      </c>
      <c r="Q1001" s="24">
        <f>IFERROR(TAB_OFICINAS[[#This Row],[Qtd pçs Enviadas]]-TAB_OFICINAS[[#This Row],[Qtd pçs Retornadas ]],"N/D ")</f>
        <v>0</v>
      </c>
      <c r="R1001" s="24"/>
      <c r="S1001" s="5">
        <v>3368</v>
      </c>
      <c r="T1001" s="5">
        <v>125</v>
      </c>
      <c r="U1001" s="11">
        <v>4.5</v>
      </c>
      <c r="V1001" s="25">
        <f>IFERROR(TAB_OFICINAS[[#This Row],[Valor Unit]]*TAB_OFICINAS[[#This Row],[Qtd pçs Enviadas]]," ")</f>
        <v>45</v>
      </c>
      <c r="W1001" s="26">
        <v>46262</v>
      </c>
      <c r="X1001" s="17" t="s">
        <v>6251</v>
      </c>
      <c r="Y1001" s="27"/>
      <c r="Z10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2" spans="3:26" hidden="1">
      <c r="C1002" s="28" t="s">
        <v>3</v>
      </c>
      <c r="D1002" s="5">
        <v>36</v>
      </c>
      <c r="E1002" s="5">
        <v>24120</v>
      </c>
      <c r="F1002" s="28" t="str">
        <f>IFERROR(VLOOKUP(TAB_OFICINAS[[#This Row],[Cliente]],LISTA_DE_CLIENTES[[Código]:[Nome Fantasia]],2,FALSE),"")</f>
        <v>ATLANTICO SUL EMPREENDIMENTOS LTDA</v>
      </c>
      <c r="G1002" s="2" t="str">
        <f>IFERROR(VLOOKUP(TAB_OFICINAS[[#This Row],[Cliente]],LISTA_DE_CLIENTES[[Código]:[Nome Fantasia]],3,FALSE),"")</f>
        <v>POUSADA MORENA</v>
      </c>
      <c r="H1002" s="51">
        <v>3404116158</v>
      </c>
      <c r="I1002" s="28" t="str">
        <f>IFERROR(VLOOKUP(TAB_OFICINAS[[#This Row],[Codigo Produto ]],_000___PEDIDOS_DE_CLIENTES[[Data.Column2]:[Descrição Produto]],2,FALSE)," ")</f>
        <v>CAPA ROLINHO FELPA CARAMELO - 0,40 X 0,16</v>
      </c>
      <c r="J1002" s="91">
        <v>6</v>
      </c>
      <c r="K1002" s="88">
        <v>46247</v>
      </c>
      <c r="L1002" s="9">
        <v>6</v>
      </c>
      <c r="M1002" s="6">
        <v>46254</v>
      </c>
      <c r="N1002" s="6">
        <v>46252</v>
      </c>
      <c r="O1002" s="23">
        <f>TAB_OFICINAS[[#This Row],[Data Retorno Produção]]-TAB_OFICINAS[[#This Row],[Data Prometida  Entrega]]</f>
        <v>-2</v>
      </c>
      <c r="P1002" s="98" t="str">
        <f>IF(TAB_OFICINAS[[#This Row],[Dias Para Entrega]]&lt;=0,"Em dia","Dia de Atrasado")</f>
        <v>Em dia</v>
      </c>
      <c r="Q1002" s="24">
        <f>IFERROR(TAB_OFICINAS[[#This Row],[Qtd pçs Enviadas]]-TAB_OFICINAS[[#This Row],[Qtd pçs Retornadas ]],"N/D ")</f>
        <v>0</v>
      </c>
      <c r="R1002" s="24"/>
      <c r="S1002" s="5">
        <v>3368</v>
      </c>
      <c r="T1002" s="5">
        <v>125</v>
      </c>
      <c r="U1002" s="11">
        <v>6.15</v>
      </c>
      <c r="V1002" s="25">
        <f>IFERROR(TAB_OFICINAS[[#This Row],[Valor Unit]]*TAB_OFICINAS[[#This Row],[Qtd pçs Enviadas]]," ")</f>
        <v>36.900000000000006</v>
      </c>
      <c r="W1002" s="26">
        <v>46262</v>
      </c>
      <c r="X1002" s="17" t="s">
        <v>6251</v>
      </c>
      <c r="Y1002" s="27"/>
      <c r="Z100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3" spans="3:26" hidden="1">
      <c r="C1003" s="28" t="s">
        <v>3</v>
      </c>
      <c r="D1003" s="5">
        <v>36</v>
      </c>
      <c r="E1003" s="5">
        <v>24120</v>
      </c>
      <c r="F1003" s="28" t="str">
        <f>IFERROR(VLOOKUP(TAB_OFICINAS[[#This Row],[Cliente]],LISTA_DE_CLIENTES[[Código]:[Nome Fantasia]],2,FALSE),"")</f>
        <v>ATLANTICO SUL EMPREENDIMENTOS LTDA</v>
      </c>
      <c r="G1003" s="2" t="str">
        <f>IFERROR(VLOOKUP(TAB_OFICINAS[[#This Row],[Cliente]],LISTA_DE_CLIENTES[[Código]:[Nome Fantasia]],3,FALSE),"")</f>
        <v>POUSADA MORENA</v>
      </c>
      <c r="H1003" s="51">
        <v>3302142009</v>
      </c>
      <c r="I1003" s="28" t="str">
        <f>IFERROR(VLOOKUP(TAB_OFICINAS[[#This Row],[Codigo Produto ]],_000___PEDIDOS_DE_CLIENTES[[Data.Column2]:[Descrição Produto]],2,FALSE)," ")</f>
        <v>TOALHA SOHO MÃO FELPA CARAMELO 0,30 X 0,30</v>
      </c>
      <c r="J1003" s="91">
        <v>7</v>
      </c>
      <c r="K1003" s="88">
        <v>46247</v>
      </c>
      <c r="L1003" s="9">
        <v>7</v>
      </c>
      <c r="M1003" s="6">
        <v>46254</v>
      </c>
      <c r="N1003" s="6">
        <v>46252</v>
      </c>
      <c r="O1003" s="23">
        <f>TAB_OFICINAS[[#This Row],[Data Retorno Produção]]-TAB_OFICINAS[[#This Row],[Data Prometida  Entrega]]</f>
        <v>-2</v>
      </c>
      <c r="P1003" s="98" t="str">
        <f>IF(TAB_OFICINAS[[#This Row],[Dias Para Entrega]]&lt;=0,"Em dia","Dia de Atrasado")</f>
        <v>Em dia</v>
      </c>
      <c r="Q1003" s="24">
        <f>IFERROR(TAB_OFICINAS[[#This Row],[Qtd pçs Enviadas]]-TAB_OFICINAS[[#This Row],[Qtd pçs Retornadas ]],"N/D ")</f>
        <v>0</v>
      </c>
      <c r="R1003" s="24"/>
      <c r="S1003" s="5">
        <v>3368</v>
      </c>
      <c r="T1003" s="5">
        <v>125</v>
      </c>
      <c r="U1003" s="11">
        <v>3</v>
      </c>
      <c r="V1003" s="25">
        <f>IFERROR(TAB_OFICINAS[[#This Row],[Valor Unit]]*TAB_OFICINAS[[#This Row],[Qtd pçs Enviadas]]," ")</f>
        <v>21</v>
      </c>
      <c r="W1003" s="26">
        <v>46262</v>
      </c>
      <c r="X1003" s="17" t="s">
        <v>6251</v>
      </c>
      <c r="Y1003" s="27"/>
      <c r="Z10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4" spans="3:26" hidden="1">
      <c r="C1004" s="28" t="s">
        <v>1</v>
      </c>
      <c r="D1004" s="5">
        <v>3660</v>
      </c>
      <c r="E1004" s="5">
        <v>23695</v>
      </c>
      <c r="F1004" s="28" t="str">
        <f>IFERROR(VLOOKUP(TAB_OFICINAS[[#This Row],[Cliente]],LISTA_DE_CLIENTES[[Código]:[Nome Fantasia]],2,FALSE),"")</f>
        <v>HOSPITAL ESPERANCA SA</v>
      </c>
      <c r="G1004" s="2" t="str">
        <f>IFERROR(VLOOKUP(TAB_OFICINAS[[#This Row],[Cliente]],LISTA_DE_CLIENTES[[Código]:[Nome Fantasia]],3,FALSE),"")</f>
        <v>HOSPITAL ALIANÇA</v>
      </c>
      <c r="H1004" s="51">
        <v>2101067951</v>
      </c>
      <c r="I1004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1004" s="91">
        <v>1000</v>
      </c>
      <c r="K1004" s="88">
        <v>46246</v>
      </c>
      <c r="L1004" s="9">
        <v>1000</v>
      </c>
      <c r="M1004" s="6">
        <v>46258</v>
      </c>
      <c r="N1004" s="6">
        <v>46262</v>
      </c>
      <c r="O1004" s="23">
        <f>TAB_OFICINAS[[#This Row],[Data Retorno Produção]]-TAB_OFICINAS[[#This Row],[Data Prometida  Entrega]]</f>
        <v>4</v>
      </c>
      <c r="P1004" s="98" t="str">
        <f>IF(TAB_OFICINAS[[#This Row],[Dias Para Entrega]]&lt;=0,"Em dia","Dia de Atrasado")</f>
        <v>Dia de Atrasado</v>
      </c>
      <c r="Q1004" s="24">
        <f>IFERROR(TAB_OFICINAS[[#This Row],[Qtd pçs Enviadas]]-TAB_OFICINAS[[#This Row],[Qtd pçs Retornadas ]],"N/D ")</f>
        <v>0</v>
      </c>
      <c r="R1004" s="24"/>
      <c r="S1004" s="5">
        <v>968</v>
      </c>
      <c r="T1004" s="5">
        <v>63</v>
      </c>
      <c r="U1004" s="11">
        <v>7</v>
      </c>
      <c r="V1004" s="25">
        <f>IFERROR(TAB_OFICINAS[[#This Row],[Valor Unit]]*TAB_OFICINAS[[#This Row],[Qtd pçs Enviadas]]," ")</f>
        <v>7000</v>
      </c>
      <c r="W1004" s="26">
        <f>TAB_OFICINAS[[#This Row],[Data Retorno Produção]]+10</f>
        <v>46272</v>
      </c>
      <c r="X1004" s="17" t="s">
        <v>6251</v>
      </c>
      <c r="Y1004" s="27"/>
      <c r="Z100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5" spans="3:26" hidden="1">
      <c r="C1005" s="28" t="s">
        <v>7</v>
      </c>
      <c r="D1005" s="5">
        <v>3660</v>
      </c>
      <c r="E1005" s="5">
        <v>23695</v>
      </c>
      <c r="F1005" s="28" t="str">
        <f>IFERROR(VLOOKUP(TAB_OFICINAS[[#This Row],[Cliente]],LISTA_DE_CLIENTES[[Código]:[Nome Fantasia]],2,FALSE),"")</f>
        <v>HOSPITAL ESPERANCA SA</v>
      </c>
      <c r="G1005" s="2" t="str">
        <f>IFERROR(VLOOKUP(TAB_OFICINAS[[#This Row],[Cliente]],LISTA_DE_CLIENTES[[Código]:[Nome Fantasia]],3,FALSE),"")</f>
        <v>HOSPITAL ALIANÇA</v>
      </c>
      <c r="H1005" s="51">
        <v>2101067951</v>
      </c>
      <c r="I1005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1005" s="91">
        <v>496</v>
      </c>
      <c r="K1005" s="88">
        <v>46248</v>
      </c>
      <c r="L1005" s="9">
        <v>496</v>
      </c>
      <c r="M1005" s="6">
        <v>46258</v>
      </c>
      <c r="N1005" s="6">
        <v>46255</v>
      </c>
      <c r="O1005" s="23">
        <f>TAB_OFICINAS[[#This Row],[Data Retorno Produção]]-TAB_OFICINAS[[#This Row],[Data Prometida  Entrega]]</f>
        <v>-3</v>
      </c>
      <c r="P1005" s="98" t="str">
        <f>IF(TAB_OFICINAS[[#This Row],[Dias Para Entrega]]&lt;=0,"Em dia","Dia de Atrasado")</f>
        <v>Em dia</v>
      </c>
      <c r="Q1005" s="24">
        <f>IFERROR(TAB_OFICINAS[[#This Row],[Qtd pçs Enviadas]]-TAB_OFICINAS[[#This Row],[Qtd pçs Retornadas ]],"N/D ")</f>
        <v>0</v>
      </c>
      <c r="R1005" s="24"/>
      <c r="S1005" s="5">
        <v>973</v>
      </c>
      <c r="T1005" s="5">
        <v>55</v>
      </c>
      <c r="U1005" s="11">
        <v>7.5</v>
      </c>
      <c r="V1005" s="25">
        <f>IFERROR(TAB_OFICINAS[[#This Row],[Valor Unit]]*TAB_OFICINAS[[#This Row],[Qtd pçs Enviadas]]," ")</f>
        <v>3720</v>
      </c>
      <c r="W1005" s="26">
        <f>TAB_OFICINAS[[#This Row],[Data Retorno Produção]]+10</f>
        <v>46265</v>
      </c>
      <c r="X1005" s="17" t="s">
        <v>6251</v>
      </c>
      <c r="Y1005" s="27"/>
      <c r="Z100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6" spans="3:26" ht="71.25" hidden="1">
      <c r="C1006" s="28" t="s">
        <v>15</v>
      </c>
      <c r="D1006" s="5">
        <v>943</v>
      </c>
      <c r="E1006" s="5">
        <v>24045</v>
      </c>
      <c r="F1006" s="28" t="str">
        <f>IFERROR(VLOOKUP(TAB_OFICINAS[[#This Row],[Cliente]],LISTA_DE_CLIENTES[[Código]:[Nome Fantasia]],2,FALSE),"")</f>
        <v>REDE DOR SAO LUIZ S.A.</v>
      </c>
      <c r="G1006" s="2" t="str">
        <f>IFERROR(VLOOKUP(TAB_OFICINAS[[#This Row],[Cliente]],LISTA_DE_CLIENTES[[Código]:[Nome Fantasia]],3,FALSE),"")</f>
        <v>HOSPITAL COPA STAR</v>
      </c>
      <c r="H1006" s="51">
        <v>2101107946</v>
      </c>
      <c r="I1006" s="28" t="str">
        <f>IFERROR(VLOOKUP(TAB_OFICINAS[[#This Row],[Codigo Produto ]],_000___PEDIDOS_DE_CLIENTES[[Data.Column2]:[Descrição Produto]],2,FALSE)," ")</f>
        <v>LENÇOL BRANCO - 180F 100% - ALGODÃO COM LOGO BORDADO COR ALABASTRO 07077 - 1,80 X 2,80</v>
      </c>
      <c r="J1006" s="91">
        <v>236</v>
      </c>
      <c r="K1006" s="88">
        <v>46248</v>
      </c>
      <c r="L1006" s="9">
        <v>236</v>
      </c>
      <c r="M1006" s="6">
        <v>46252</v>
      </c>
      <c r="N1006" s="6">
        <v>46252</v>
      </c>
      <c r="O1006" s="23">
        <f>TAB_OFICINAS[[#This Row],[Data Retorno Produção]]-TAB_OFICINAS[[#This Row],[Data Prometida  Entrega]]</f>
        <v>0</v>
      </c>
      <c r="P1006" s="98" t="str">
        <f>IF(TAB_OFICINAS[[#This Row],[Dias Para Entrega]]&lt;=0,"Em dia","Dia de Atrasado")</f>
        <v>Em dia</v>
      </c>
      <c r="Q1006" s="24">
        <f>IFERROR(TAB_OFICINAS[[#This Row],[Qtd pçs Enviadas]]-TAB_OFICINAS[[#This Row],[Qtd pçs Retornadas ]],"N/D ")</f>
        <v>0</v>
      </c>
      <c r="R1006" s="24">
        <v>1</v>
      </c>
      <c r="S1006" s="5">
        <v>972</v>
      </c>
      <c r="T1006" s="5">
        <v>17513</v>
      </c>
      <c r="U1006" s="11">
        <v>3.85</v>
      </c>
      <c r="V1006" s="25">
        <f>IFERROR(TAB_OFICINAS[[#This Row],[Valor Unit]]*TAB_OFICINAS[[#This Row],[Qtd pçs Enviadas]]," ")</f>
        <v>908.6</v>
      </c>
      <c r="W1006" s="26">
        <v>46259</v>
      </c>
      <c r="X1006" s="17" t="s">
        <v>6251</v>
      </c>
      <c r="Y1006" s="27" t="s">
        <v>24406</v>
      </c>
      <c r="Z10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7" spans="3:26" ht="28.5" hidden="1">
      <c r="C1007" s="28" t="s">
        <v>15</v>
      </c>
      <c r="D1007" s="5">
        <v>5680</v>
      </c>
      <c r="E1007" s="5" t="s">
        <v>24395</v>
      </c>
      <c r="F1007" s="28" t="str">
        <f>IFERROR(VLOOKUP(TAB_OFICINAS[[#This Row],[Cliente]],LISTA_DE_CLIENTES[[Código]:[Nome Fantasia]],2,FALSE),"")</f>
        <v>EDIFICIO CHATEAU CARMELO</v>
      </c>
      <c r="G1007" s="2" t="str">
        <f>IFERROR(VLOOKUP(TAB_OFICINAS[[#This Row],[Cliente]],LISTA_DE_CLIENTES[[Código]:[Nome Fantasia]],3,FALSE),"")</f>
        <v>EDIFICIO CHATEAU CAR</v>
      </c>
      <c r="H1007" s="51">
        <v>3301091213</v>
      </c>
      <c r="I1007" s="28" t="str">
        <f>IFERROR(VLOOKUP(TAB_OFICINAS[[#This Row],[Codigo Produto ]],_000___PEDIDOS_DE_CLIENTES[[Data.Column2]:[Descrição Produto]],2,FALSE)," ")</f>
        <v>ROUPÃO FELPA VELUX BRANCO G COM LOGO -MODELO KIMONO</v>
      </c>
      <c r="J1007" s="91">
        <v>10</v>
      </c>
      <c r="K1007" s="88">
        <v>46251</v>
      </c>
      <c r="L1007" s="9">
        <v>10</v>
      </c>
      <c r="M1007" s="6">
        <v>46254</v>
      </c>
      <c r="N1007" s="6">
        <v>46252</v>
      </c>
      <c r="O1007" s="23">
        <f>TAB_OFICINAS[[#This Row],[Data Retorno Produção]]-TAB_OFICINAS[[#This Row],[Data Prometida  Entrega]]</f>
        <v>-2</v>
      </c>
      <c r="P1007" s="98" t="str">
        <f>IF(TAB_OFICINAS[[#This Row],[Dias Para Entrega]]&lt;=0,"Em dia","Dia de Atrasado")</f>
        <v>Em dia</v>
      </c>
      <c r="Q1007" s="24">
        <f>IFERROR(TAB_OFICINAS[[#This Row],[Qtd pçs Enviadas]]-TAB_OFICINAS[[#This Row],[Qtd pçs Retornadas ]],"N/D ")</f>
        <v>0</v>
      </c>
      <c r="R1007" s="24">
        <v>0</v>
      </c>
      <c r="S1007" s="5">
        <v>976</v>
      </c>
      <c r="T1007" s="5">
        <v>17513</v>
      </c>
      <c r="U1007" s="11">
        <v>6</v>
      </c>
      <c r="V1007" s="25">
        <f>IFERROR(TAB_OFICINAS[[#This Row],[Valor Unit]]*TAB_OFICINAS[[#This Row],[Qtd pçs Enviadas]]," ")</f>
        <v>60</v>
      </c>
      <c r="W1007" s="26">
        <v>46259</v>
      </c>
      <c r="X1007" s="17" t="s">
        <v>6251</v>
      </c>
      <c r="Y1007" s="27" t="s">
        <v>24407</v>
      </c>
      <c r="Z10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8" spans="3:26" hidden="1">
      <c r="C1008" s="28" t="s">
        <v>16</v>
      </c>
      <c r="D1008" s="5">
        <v>5601</v>
      </c>
      <c r="E1008" s="5">
        <v>24011</v>
      </c>
      <c r="F1008" s="28" t="str">
        <f>IFERROR(VLOOKUP(TAB_OFICINAS[[#This Row],[Cliente]],LISTA_DE_CLIENTES[[Código]:[Nome Fantasia]],2,FALSE),"")</f>
        <v>CANTO DOS VENTOS LTDA</v>
      </c>
      <c r="G1008" s="2" t="str">
        <f>IFERROR(VLOOKUP(TAB_OFICINAS[[#This Row],[Cliente]],LISTA_DE_CLIENTES[[Código]:[Nome Fantasia]],3,FALSE),"")</f>
        <v>CANTO DOS VENTOS LTD</v>
      </c>
      <c r="H1008" s="51">
        <v>3301081094</v>
      </c>
      <c r="I1008" s="28" t="str">
        <f>IFERROR(VLOOKUP(TAB_OFICINAS[[#This Row],[Codigo Produto ]],_000___PEDIDOS_DE_CLIENTES[[Data.Column2]:[Descrição Produto]],2,FALSE)," ")</f>
        <v>ROUPÃO PIQUET MOSAICO TAM. XG</v>
      </c>
      <c r="J1008" s="91">
        <v>4</v>
      </c>
      <c r="K1008" s="88">
        <v>46251</v>
      </c>
      <c r="L1008" s="9">
        <v>4</v>
      </c>
      <c r="M1008" s="6">
        <v>46262</v>
      </c>
      <c r="N1008" s="6">
        <v>46262</v>
      </c>
      <c r="O1008" s="23">
        <f>TAB_OFICINAS[[#This Row],[Data Retorno Produção]]-TAB_OFICINAS[[#This Row],[Data Prometida  Entrega]]</f>
        <v>0</v>
      </c>
      <c r="P1008" s="98" t="str">
        <f>IF(TAB_OFICINAS[[#This Row],[Dias Para Entrega]]&lt;=0,"Em dia","Dia de Atrasado")</f>
        <v>Em dia</v>
      </c>
      <c r="Q1008" s="24">
        <f>IFERROR(TAB_OFICINAS[[#This Row],[Qtd pçs Enviadas]]-TAB_OFICINAS[[#This Row],[Qtd pçs Retornadas ]],"N/D ")</f>
        <v>0</v>
      </c>
      <c r="R1008" s="24"/>
      <c r="S1008" s="5">
        <v>977</v>
      </c>
      <c r="T1008" s="5">
        <v>62</v>
      </c>
      <c r="U1008" s="11">
        <v>16</v>
      </c>
      <c r="V1008" s="25">
        <f>IFERROR(TAB_OFICINAS[[#This Row],[Valor Unit]]*TAB_OFICINAS[[#This Row],[Qtd pçs Enviadas]]," ")</f>
        <v>64</v>
      </c>
      <c r="W1008" s="26">
        <v>46268</v>
      </c>
      <c r="X1008" s="17" t="s">
        <v>6251</v>
      </c>
      <c r="Y1008" s="27"/>
      <c r="Z10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09" spans="3:26" hidden="1">
      <c r="C1009" s="28" t="s">
        <v>16</v>
      </c>
      <c r="D1009" s="5">
        <v>5601</v>
      </c>
      <c r="E1009" s="5">
        <v>24011</v>
      </c>
      <c r="F1009" s="28" t="str">
        <f>IFERROR(VLOOKUP(TAB_OFICINAS[[#This Row],[Cliente]],LISTA_DE_CLIENTES[[Código]:[Nome Fantasia]],2,FALSE),"")</f>
        <v>CANTO DOS VENTOS LTDA</v>
      </c>
      <c r="G1009" s="2" t="str">
        <f>IFERROR(VLOOKUP(TAB_OFICINAS[[#This Row],[Cliente]],LISTA_DE_CLIENTES[[Código]:[Nome Fantasia]],3,FALSE),"")</f>
        <v>CANTO DOS VENTOS LTD</v>
      </c>
      <c r="H1009" s="51">
        <v>3301081093</v>
      </c>
      <c r="I1009" s="28" t="str">
        <f>IFERROR(VLOOKUP(TAB_OFICINAS[[#This Row],[Codigo Produto ]],_000___PEDIDOS_DE_CLIENTES[[Data.Column2]:[Descrição Produto]],2,FALSE)," ")</f>
        <v>ROUPÃO PIQUET MOSAICO TAM. GG</v>
      </c>
      <c r="J1009" s="91">
        <v>5</v>
      </c>
      <c r="K1009" s="88">
        <v>46251</v>
      </c>
      <c r="L1009" s="9">
        <v>5</v>
      </c>
      <c r="M1009" s="6">
        <v>46262</v>
      </c>
      <c r="N1009" s="6">
        <v>46262</v>
      </c>
      <c r="O1009" s="23">
        <f>TAB_OFICINAS[[#This Row],[Data Retorno Produção]]-TAB_OFICINAS[[#This Row],[Data Prometida  Entrega]]</f>
        <v>0</v>
      </c>
      <c r="P1009" s="98" t="str">
        <f>IF(TAB_OFICINAS[[#This Row],[Dias Para Entrega]]&lt;=0,"Em dia","Dia de Atrasado")</f>
        <v>Em dia</v>
      </c>
      <c r="Q1009" s="24">
        <f>IFERROR(TAB_OFICINAS[[#This Row],[Qtd pçs Enviadas]]-TAB_OFICINAS[[#This Row],[Qtd pçs Retornadas ]],"N/D ")</f>
        <v>0</v>
      </c>
      <c r="R1009" s="24"/>
      <c r="S1009" s="5">
        <v>977</v>
      </c>
      <c r="T1009" s="5">
        <v>62</v>
      </c>
      <c r="U1009" s="11">
        <v>16</v>
      </c>
      <c r="V1009" s="25">
        <f>IFERROR(TAB_OFICINAS[[#This Row],[Valor Unit]]*TAB_OFICINAS[[#This Row],[Qtd pçs Enviadas]]," ")</f>
        <v>80</v>
      </c>
      <c r="W1009" s="26">
        <v>46268</v>
      </c>
      <c r="X1009" s="17" t="s">
        <v>6251</v>
      </c>
      <c r="Y1009" s="27"/>
      <c r="Z10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0" spans="3:26" hidden="1">
      <c r="C1010" s="28" t="s">
        <v>16</v>
      </c>
      <c r="D1010" s="5">
        <v>5601</v>
      </c>
      <c r="E1010" s="5">
        <v>24011</v>
      </c>
      <c r="F1010" s="28" t="str">
        <f>IFERROR(VLOOKUP(TAB_OFICINAS[[#This Row],[Cliente]],LISTA_DE_CLIENTES[[Código]:[Nome Fantasia]],2,FALSE),"")</f>
        <v>CANTO DOS VENTOS LTDA</v>
      </c>
      <c r="G1010" s="2" t="str">
        <f>IFERROR(VLOOKUP(TAB_OFICINAS[[#This Row],[Cliente]],LISTA_DE_CLIENTES[[Código]:[Nome Fantasia]],3,FALSE),"")</f>
        <v>CANTO DOS VENTOS LTD</v>
      </c>
      <c r="H1010" s="51">
        <v>3301084132</v>
      </c>
      <c r="I1010" s="28" t="str">
        <f>IFERROR(VLOOKUP(TAB_OFICINAS[[#This Row],[Codigo Produto ]],_000___PEDIDOS_DE_CLIENTES[[Data.Column2]:[Descrição Produto]],2,FALSE)," ")</f>
        <v>ROUPÃO PIQUET MOSAICO TAM. G</v>
      </c>
      <c r="J1010" s="91">
        <v>7</v>
      </c>
      <c r="K1010" s="88">
        <v>46251</v>
      </c>
      <c r="L1010" s="9">
        <v>7</v>
      </c>
      <c r="M1010" s="6">
        <v>46262</v>
      </c>
      <c r="N1010" s="6">
        <v>46262</v>
      </c>
      <c r="O1010" s="23">
        <f>TAB_OFICINAS[[#This Row],[Data Retorno Produção]]-TAB_OFICINAS[[#This Row],[Data Prometida  Entrega]]</f>
        <v>0</v>
      </c>
      <c r="P1010" s="98" t="str">
        <f>IF(TAB_OFICINAS[[#This Row],[Dias Para Entrega]]&lt;=0,"Em dia","Dia de Atrasado")</f>
        <v>Em dia</v>
      </c>
      <c r="Q1010" s="24">
        <f>IFERROR(TAB_OFICINAS[[#This Row],[Qtd pçs Enviadas]]-TAB_OFICINAS[[#This Row],[Qtd pçs Retornadas ]],"N/D ")</f>
        <v>0</v>
      </c>
      <c r="R1010" s="24"/>
      <c r="S1010" s="5">
        <v>977</v>
      </c>
      <c r="T1010" s="5">
        <v>62</v>
      </c>
      <c r="U1010" s="11">
        <v>16</v>
      </c>
      <c r="V1010" s="25">
        <f>IFERROR(TAB_OFICINAS[[#This Row],[Valor Unit]]*TAB_OFICINAS[[#This Row],[Qtd pçs Enviadas]]," ")</f>
        <v>112</v>
      </c>
      <c r="W1010" s="26">
        <v>46268</v>
      </c>
      <c r="X1010" s="17" t="s">
        <v>6251</v>
      </c>
      <c r="Y1010" s="27"/>
      <c r="Z10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1" spans="3:26" hidden="1">
      <c r="C1011" s="28" t="s">
        <v>16</v>
      </c>
      <c r="D1011" s="5">
        <v>5601</v>
      </c>
      <c r="E1011" s="5">
        <v>24011</v>
      </c>
      <c r="F1011" s="28" t="str">
        <f>IFERROR(VLOOKUP(TAB_OFICINAS[[#This Row],[Cliente]],LISTA_DE_CLIENTES[[Código]:[Nome Fantasia]],2,FALSE),"")</f>
        <v>CANTO DOS VENTOS LTDA</v>
      </c>
      <c r="G1011" s="2" t="str">
        <f>IFERROR(VLOOKUP(TAB_OFICINAS[[#This Row],[Cliente]],LISTA_DE_CLIENTES[[Código]:[Nome Fantasia]],3,FALSE),"")</f>
        <v>CANTO DOS VENTOS LTD</v>
      </c>
      <c r="H1011" s="51">
        <v>3301083988</v>
      </c>
      <c r="I1011" s="28" t="str">
        <f>IFERROR(VLOOKUP(TAB_OFICINAS[[#This Row],[Codigo Produto ]],_000___PEDIDOS_DE_CLIENTES[[Data.Column2]:[Descrição Produto]],2,FALSE)," ")</f>
        <v>ROUPÃO PIQUET MOSAICO TAM. M</v>
      </c>
      <c r="J1011" s="91">
        <v>7</v>
      </c>
      <c r="K1011" s="88">
        <v>46251</v>
      </c>
      <c r="L1011" s="9">
        <v>7</v>
      </c>
      <c r="M1011" s="6">
        <v>46262</v>
      </c>
      <c r="N1011" s="6">
        <v>46262</v>
      </c>
      <c r="O1011" s="23">
        <f>TAB_OFICINAS[[#This Row],[Data Retorno Produção]]-TAB_OFICINAS[[#This Row],[Data Prometida  Entrega]]</f>
        <v>0</v>
      </c>
      <c r="P1011" s="98" t="str">
        <f>IF(TAB_OFICINAS[[#This Row],[Dias Para Entrega]]&lt;=0,"Em dia","Dia de Atrasado")</f>
        <v>Em dia</v>
      </c>
      <c r="Q1011" s="24">
        <f>IFERROR(TAB_OFICINAS[[#This Row],[Qtd pçs Enviadas]]-TAB_OFICINAS[[#This Row],[Qtd pçs Retornadas ]],"N/D ")</f>
        <v>0</v>
      </c>
      <c r="R1011" s="24"/>
      <c r="S1011" s="5">
        <v>977</v>
      </c>
      <c r="T1011" s="5">
        <v>62</v>
      </c>
      <c r="U1011" s="11">
        <v>16</v>
      </c>
      <c r="V1011" s="25">
        <f>IFERROR(TAB_OFICINAS[[#This Row],[Valor Unit]]*TAB_OFICINAS[[#This Row],[Qtd pçs Enviadas]]," ")</f>
        <v>112</v>
      </c>
      <c r="W1011" s="26">
        <v>46268</v>
      </c>
      <c r="X1011" s="17" t="s">
        <v>6251</v>
      </c>
      <c r="Y1011" s="27"/>
      <c r="Z10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2" spans="3:26" hidden="1">
      <c r="C1012" s="28" t="s">
        <v>16</v>
      </c>
      <c r="D1012" s="5">
        <v>5601</v>
      </c>
      <c r="E1012" s="5">
        <v>24011</v>
      </c>
      <c r="F1012" s="28" t="str">
        <f>IFERROR(VLOOKUP(TAB_OFICINAS[[#This Row],[Cliente]],LISTA_DE_CLIENTES[[Código]:[Nome Fantasia]],2,FALSE),"")</f>
        <v>CANTO DOS VENTOS LTDA</v>
      </c>
      <c r="G1012" s="2" t="str">
        <f>IFERROR(VLOOKUP(TAB_OFICINAS[[#This Row],[Cliente]],LISTA_DE_CLIENTES[[Código]:[Nome Fantasia]],3,FALSE),"")</f>
        <v>CANTO DOS VENTOS LTD</v>
      </c>
      <c r="H1012" s="51">
        <v>3301083953</v>
      </c>
      <c r="I1012" s="28" t="str">
        <f>IFERROR(VLOOKUP(TAB_OFICINAS[[#This Row],[Codigo Produto ]],_000___PEDIDOS_DE_CLIENTES[[Data.Column2]:[Descrição Produto]],2,FALSE)," ")</f>
        <v>ROUPÃO PIQUET MOSAICO TAM. P</v>
      </c>
      <c r="J1012" s="91">
        <v>7</v>
      </c>
      <c r="K1012" s="88">
        <v>46251</v>
      </c>
      <c r="L1012" s="9">
        <v>7</v>
      </c>
      <c r="M1012" s="6">
        <v>46262</v>
      </c>
      <c r="N1012" s="6">
        <v>46262</v>
      </c>
      <c r="O1012" s="23">
        <f>TAB_OFICINAS[[#This Row],[Data Retorno Produção]]-TAB_OFICINAS[[#This Row],[Data Prometida  Entrega]]</f>
        <v>0</v>
      </c>
      <c r="P1012" s="98" t="str">
        <f>IF(TAB_OFICINAS[[#This Row],[Dias Para Entrega]]&lt;=0,"Em dia","Dia de Atrasado")</f>
        <v>Em dia</v>
      </c>
      <c r="Q1012" s="24">
        <f>IFERROR(TAB_OFICINAS[[#This Row],[Qtd pçs Enviadas]]-TAB_OFICINAS[[#This Row],[Qtd pçs Retornadas ]],"N/D ")</f>
        <v>0</v>
      </c>
      <c r="R1012" s="24"/>
      <c r="S1012" s="5">
        <v>977</v>
      </c>
      <c r="T1012" s="5">
        <v>62</v>
      </c>
      <c r="U1012" s="11">
        <v>16</v>
      </c>
      <c r="V1012" s="25">
        <f>IFERROR(TAB_OFICINAS[[#This Row],[Valor Unit]]*TAB_OFICINAS[[#This Row],[Qtd pçs Enviadas]]," ")</f>
        <v>112</v>
      </c>
      <c r="W1012" s="26">
        <v>46268</v>
      </c>
      <c r="X1012" s="17" t="s">
        <v>6251</v>
      </c>
      <c r="Y1012" s="27"/>
      <c r="Z101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3" spans="3:26" hidden="1">
      <c r="C1013" s="28" t="s">
        <v>15</v>
      </c>
      <c r="D1013" s="5">
        <v>5686</v>
      </c>
      <c r="E1013" s="5">
        <v>24162</v>
      </c>
      <c r="F1013" s="28" t="str">
        <f>IFERROR(VLOOKUP(TAB_OFICINAS[[#This Row],[Cliente]],LISTA_DE_CLIENTES[[Código]:[Nome Fantasia]],2,FALSE),"")</f>
        <v>JESSICA VITORIA SCHOER PORTES</v>
      </c>
      <c r="G1013" s="2" t="str">
        <f>IFERROR(VLOOKUP(TAB_OFICINAS[[#This Row],[Cliente]],LISTA_DE_CLIENTES[[Código]:[Nome Fantasia]],3,FALSE),"")</f>
        <v>JESSICA VITORIA SCHO</v>
      </c>
      <c r="H1013" s="51">
        <v>3161091315</v>
      </c>
      <c r="I1013" s="28" t="s">
        <v>24396</v>
      </c>
      <c r="J1013" s="91">
        <v>2</v>
      </c>
      <c r="K1013" s="88">
        <v>46252</v>
      </c>
      <c r="L1013" s="9">
        <v>2</v>
      </c>
      <c r="M1013" s="6">
        <v>46260</v>
      </c>
      <c r="N1013" s="6">
        <v>46255</v>
      </c>
      <c r="O1013" s="23">
        <f>TAB_OFICINAS[[#This Row],[Data Retorno Produção]]-TAB_OFICINAS[[#This Row],[Data Prometida  Entrega]]</f>
        <v>-5</v>
      </c>
      <c r="P1013" s="98" t="str">
        <f>IF(TAB_OFICINAS[[#This Row],[Dias Para Entrega]]&lt;=0,"Em dia","Dia de Atrasado")</f>
        <v>Em dia</v>
      </c>
      <c r="Q1013" s="24">
        <f>IFERROR(TAB_OFICINAS[[#This Row],[Qtd pçs Enviadas]]-TAB_OFICINAS[[#This Row],[Qtd pçs Retornadas ]],"N/D ")</f>
        <v>0</v>
      </c>
      <c r="R1013" s="24"/>
      <c r="S1013" s="5">
        <v>3371</v>
      </c>
      <c r="T1013" s="5">
        <v>17552</v>
      </c>
      <c r="U1013" s="11">
        <v>12</v>
      </c>
      <c r="V1013" s="25">
        <f>IFERROR(TAB_OFICINAS[[#This Row],[Valor Unit]]*TAB_OFICINAS[[#This Row],[Qtd pçs Enviadas]]," ")</f>
        <v>24</v>
      </c>
      <c r="W1013" s="26">
        <v>46265</v>
      </c>
      <c r="X1013" s="17" t="s">
        <v>6251</v>
      </c>
      <c r="Y1013" s="27" t="s">
        <v>24398</v>
      </c>
      <c r="Z10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4" spans="3:26" hidden="1">
      <c r="C1014" s="28" t="s">
        <v>15</v>
      </c>
      <c r="D1014" s="5">
        <v>5686</v>
      </c>
      <c r="E1014" s="5">
        <v>24162</v>
      </c>
      <c r="F1014" s="28" t="str">
        <f>IFERROR(VLOOKUP(TAB_OFICINAS[[#This Row],[Cliente]],LISTA_DE_CLIENTES[[Código]:[Nome Fantasia]],2,FALSE),"")</f>
        <v>JESSICA VITORIA SCHOER PORTES</v>
      </c>
      <c r="G1014" s="2" t="str">
        <f>IFERROR(VLOOKUP(TAB_OFICINAS[[#This Row],[Cliente]],LISTA_DE_CLIENTES[[Código]:[Nome Fantasia]],3,FALSE),"")</f>
        <v>JESSICA VITORIA SCHO</v>
      </c>
      <c r="H1014" s="51">
        <v>3161091314</v>
      </c>
      <c r="I1014" s="28" t="str">
        <f>IFERROR(VLOOKUP(TAB_OFICINAS[[#This Row],[Codigo Produto ]],_000___PEDIDOS_DE_CLIENTES[[Data.Column2]:[Descrição Produto]],2,FALSE)," ")</f>
        <v>FRALDÃO - CORDONÊ BRANCO - C/ MONOGRAMA</v>
      </c>
      <c r="J1014" s="91">
        <v>4</v>
      </c>
      <c r="K1014" s="88">
        <v>46252</v>
      </c>
      <c r="L1014" s="9">
        <v>4</v>
      </c>
      <c r="M1014" s="6">
        <v>46260</v>
      </c>
      <c r="N1014" s="6">
        <v>46255</v>
      </c>
      <c r="O1014" s="23">
        <f>TAB_OFICINAS[[#This Row],[Data Retorno Produção]]-TAB_OFICINAS[[#This Row],[Data Prometida  Entrega]]</f>
        <v>-5</v>
      </c>
      <c r="P1014" s="98" t="str">
        <f>IF(TAB_OFICINAS[[#This Row],[Dias Para Entrega]]&lt;=0,"Em dia","Dia de Atrasado")</f>
        <v>Em dia</v>
      </c>
      <c r="Q1014" s="24">
        <f>IFERROR(TAB_OFICINAS[[#This Row],[Qtd pçs Enviadas]]-TAB_OFICINAS[[#This Row],[Qtd pçs Retornadas ]],"N/D ")</f>
        <v>0</v>
      </c>
      <c r="R1014" s="24"/>
      <c r="S1014" s="5">
        <v>3371</v>
      </c>
      <c r="T1014" s="5">
        <v>17552</v>
      </c>
      <c r="U1014" s="11">
        <v>4</v>
      </c>
      <c r="V1014" s="25">
        <f>IFERROR(TAB_OFICINAS[[#This Row],[Valor Unit]]*TAB_OFICINAS[[#This Row],[Qtd pçs Enviadas]]," ")</f>
        <v>16</v>
      </c>
      <c r="W1014" s="26">
        <v>46265</v>
      </c>
      <c r="X1014" s="17" t="s">
        <v>6251</v>
      </c>
      <c r="Y1014" s="27" t="s">
        <v>24398</v>
      </c>
      <c r="Z10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5" spans="3:26" hidden="1">
      <c r="C1015" s="28" t="s">
        <v>15</v>
      </c>
      <c r="D1015" s="5">
        <v>5686</v>
      </c>
      <c r="E1015" s="5">
        <v>24162</v>
      </c>
      <c r="F1015" s="28" t="str">
        <f>IFERROR(VLOOKUP(TAB_OFICINAS[[#This Row],[Cliente]],LISTA_DE_CLIENTES[[Código]:[Nome Fantasia]],2,FALSE),"")</f>
        <v>JESSICA VITORIA SCHOER PORTES</v>
      </c>
      <c r="G1015" s="2" t="str">
        <f>IFERROR(VLOOKUP(TAB_OFICINAS[[#This Row],[Cliente]],LISTA_DE_CLIENTES[[Código]:[Nome Fantasia]],3,FALSE),"")</f>
        <v>JESSICA VITORIA SCHO</v>
      </c>
      <c r="H1015" s="51" t="s">
        <v>23962</v>
      </c>
      <c r="I1015" s="28" t="s">
        <v>24397</v>
      </c>
      <c r="J1015" s="91">
        <v>4</v>
      </c>
      <c r="K1015" s="88">
        <v>46252</v>
      </c>
      <c r="L1015" s="9">
        <v>4</v>
      </c>
      <c r="M1015" s="6">
        <v>46260</v>
      </c>
      <c r="N1015" s="6">
        <v>46255</v>
      </c>
      <c r="O1015" s="23">
        <f>TAB_OFICINAS[[#This Row],[Data Retorno Produção]]-TAB_OFICINAS[[#This Row],[Data Prometida  Entrega]]</f>
        <v>-5</v>
      </c>
      <c r="P1015" s="98" t="str">
        <f>IF(TAB_OFICINAS[[#This Row],[Dias Para Entrega]]&lt;=0,"Em dia","Dia de Atrasado")</f>
        <v>Em dia</v>
      </c>
      <c r="Q1015" s="24">
        <f>IFERROR(TAB_OFICINAS[[#This Row],[Qtd pçs Enviadas]]-TAB_OFICINAS[[#This Row],[Qtd pçs Retornadas ]],"N/D ")</f>
        <v>0</v>
      </c>
      <c r="R1015" s="24"/>
      <c r="S1015" s="5">
        <v>3371</v>
      </c>
      <c r="T1015" s="5">
        <v>17552</v>
      </c>
      <c r="U1015" s="11">
        <v>4</v>
      </c>
      <c r="V1015" s="25">
        <f>IFERROR(TAB_OFICINAS[[#This Row],[Valor Unit]]*TAB_OFICINAS[[#This Row],[Qtd pçs Enviadas]]," ")</f>
        <v>16</v>
      </c>
      <c r="W1015" s="26">
        <v>46265</v>
      </c>
      <c r="X1015" s="17" t="s">
        <v>6251</v>
      </c>
      <c r="Y1015" s="27" t="s">
        <v>24399</v>
      </c>
      <c r="Z10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6" spans="3:26" hidden="1">
      <c r="C1016" s="28" t="s">
        <v>15</v>
      </c>
      <c r="D1016" s="5">
        <v>5687</v>
      </c>
      <c r="E1016" s="5">
        <v>24161</v>
      </c>
      <c r="F1016" s="28" t="str">
        <f>IFERROR(VLOOKUP(TAB_OFICINAS[[#This Row],[Cliente]],LISTA_DE_CLIENTES[[Código]:[Nome Fantasia]],2,FALSE),"")</f>
        <v>GABRIELA TREVENZOLLI FORTES</v>
      </c>
      <c r="G1016" s="2" t="str">
        <f>IFERROR(VLOOKUP(TAB_OFICINAS[[#This Row],[Cliente]],LISTA_DE_CLIENTES[[Código]:[Nome Fantasia]],3,FALSE),"")</f>
        <v>GABRIELA TREVENZOLLI</v>
      </c>
      <c r="H1016" s="51" t="s">
        <v>23962</v>
      </c>
      <c r="I1016" s="28" t="s">
        <v>24402</v>
      </c>
      <c r="J1016" s="91">
        <v>2</v>
      </c>
      <c r="K1016" s="88">
        <v>46252</v>
      </c>
      <c r="L1016" s="9">
        <v>2</v>
      </c>
      <c r="M1016" s="6">
        <v>46260</v>
      </c>
      <c r="N1016" s="6">
        <v>46255</v>
      </c>
      <c r="O1016" s="23">
        <f>TAB_OFICINAS[[#This Row],[Data Retorno Produção]]-TAB_OFICINAS[[#This Row],[Data Prometida  Entrega]]</f>
        <v>-5</v>
      </c>
      <c r="P1016" s="98" t="str">
        <f>IF(TAB_OFICINAS[[#This Row],[Dias Para Entrega]]&lt;=0,"Em dia","Dia de Atrasado")</f>
        <v>Em dia</v>
      </c>
      <c r="Q1016" s="24">
        <f>IFERROR(TAB_OFICINAS[[#This Row],[Qtd pçs Enviadas]]-TAB_OFICINAS[[#This Row],[Qtd pçs Retornadas ]],"N/D ")</f>
        <v>0</v>
      </c>
      <c r="R1016" s="24"/>
      <c r="S1016" s="5">
        <v>3371</v>
      </c>
      <c r="T1016" s="5">
        <v>17552</v>
      </c>
      <c r="U1016" s="11">
        <v>12</v>
      </c>
      <c r="V1016" s="25">
        <f>IFERROR(TAB_OFICINAS[[#This Row],[Valor Unit]]*TAB_OFICINAS[[#This Row],[Qtd pçs Enviadas]]," ")</f>
        <v>24</v>
      </c>
      <c r="W1016" s="26">
        <v>46265</v>
      </c>
      <c r="X1016" s="17" t="s">
        <v>6251</v>
      </c>
      <c r="Y1016" s="27" t="s">
        <v>24400</v>
      </c>
      <c r="Z10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7" spans="3:26" hidden="1">
      <c r="C1017" s="28" t="s">
        <v>15</v>
      </c>
      <c r="D1017" s="5">
        <v>5687</v>
      </c>
      <c r="E1017" s="5">
        <v>24161</v>
      </c>
      <c r="F1017" s="28" t="str">
        <f>IFERROR(VLOOKUP(TAB_OFICINAS[[#This Row],[Cliente]],LISTA_DE_CLIENTES[[Código]:[Nome Fantasia]],2,FALSE),"")</f>
        <v>GABRIELA TREVENZOLLI FORTES</v>
      </c>
      <c r="G1017" s="2" t="str">
        <f>IFERROR(VLOOKUP(TAB_OFICINAS[[#This Row],[Cliente]],LISTA_DE_CLIENTES[[Código]:[Nome Fantasia]],3,FALSE),"")</f>
        <v>GABRIELA TREVENZOLLI</v>
      </c>
      <c r="H1017" s="51" t="s">
        <v>23962</v>
      </c>
      <c r="I1017" s="28" t="s">
        <v>24401</v>
      </c>
      <c r="J1017" s="91">
        <v>2</v>
      </c>
      <c r="K1017" s="88">
        <v>46252</v>
      </c>
      <c r="L1017" s="9">
        <v>2</v>
      </c>
      <c r="M1017" s="6">
        <v>46260</v>
      </c>
      <c r="N1017" s="6">
        <v>46255</v>
      </c>
      <c r="O1017" s="23">
        <f>TAB_OFICINAS[[#This Row],[Data Retorno Produção]]-TAB_OFICINAS[[#This Row],[Data Prometida  Entrega]]</f>
        <v>-5</v>
      </c>
      <c r="P1017" s="98" t="str">
        <f>IF(TAB_OFICINAS[[#This Row],[Dias Para Entrega]]&lt;=0,"Em dia","Dia de Atrasado")</f>
        <v>Em dia</v>
      </c>
      <c r="Q1017" s="24">
        <f>IFERROR(TAB_OFICINAS[[#This Row],[Qtd pçs Enviadas]]-TAB_OFICINAS[[#This Row],[Qtd pçs Retornadas ]],"N/D ")</f>
        <v>0</v>
      </c>
      <c r="R1017" s="24"/>
      <c r="S1017" s="5">
        <v>3371</v>
      </c>
      <c r="T1017" s="5">
        <v>17552</v>
      </c>
      <c r="U1017" s="11">
        <v>12</v>
      </c>
      <c r="V1017" s="25">
        <f>IFERROR(TAB_OFICINAS[[#This Row],[Valor Unit]]*TAB_OFICINAS[[#This Row],[Qtd pçs Enviadas]]," ")</f>
        <v>24</v>
      </c>
      <c r="W1017" s="26">
        <v>46265</v>
      </c>
      <c r="X1017" s="17" t="s">
        <v>6251</v>
      </c>
      <c r="Y1017" s="27" t="s">
        <v>24400</v>
      </c>
      <c r="Z10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8" spans="3:26" hidden="1">
      <c r="C1018" s="28" t="s">
        <v>15</v>
      </c>
      <c r="D1018" s="5">
        <v>5687</v>
      </c>
      <c r="E1018" s="5">
        <v>24161</v>
      </c>
      <c r="F1018" s="28" t="str">
        <f>IFERROR(VLOOKUP(TAB_OFICINAS[[#This Row],[Cliente]],LISTA_DE_CLIENTES[[Código]:[Nome Fantasia]],2,FALSE),"")</f>
        <v>GABRIELA TREVENZOLLI FORTES</v>
      </c>
      <c r="G1018" s="2" t="str">
        <f>IFERROR(VLOOKUP(TAB_OFICINAS[[#This Row],[Cliente]],LISTA_DE_CLIENTES[[Código]:[Nome Fantasia]],3,FALSE),"")</f>
        <v>GABRIELA TREVENZOLLI</v>
      </c>
      <c r="H1018" s="51">
        <v>3105015332</v>
      </c>
      <c r="I1018" s="28" t="str">
        <f>IFERROR(VLOOKUP(TAB_OFICINAS[[#This Row],[Codigo Produto ]],_000___PEDIDOS_DE_CLIENTES[[Data.Column2]:[Descrição Produto]],2,FALSE)," ")</f>
        <v>TOALHA DE BANHO BRANCA C/ CAPUZ BABY - CORDONÊ VERDE C/ MONOGRAMA NA COR DO CORDONÊ ( VERDE ) - 0,70 X 0,90</v>
      </c>
      <c r="J1018" s="91">
        <v>1</v>
      </c>
      <c r="K1018" s="88">
        <v>46252</v>
      </c>
      <c r="L1018" s="9">
        <v>1</v>
      </c>
      <c r="M1018" s="6">
        <v>46260</v>
      </c>
      <c r="N1018" s="6">
        <v>46255</v>
      </c>
      <c r="O1018" s="23">
        <f>TAB_OFICINAS[[#This Row],[Data Retorno Produção]]-TAB_OFICINAS[[#This Row],[Data Prometida  Entrega]]</f>
        <v>-5</v>
      </c>
      <c r="P1018" s="98" t="str">
        <f>IF(TAB_OFICINAS[[#This Row],[Dias Para Entrega]]&lt;=0,"Em dia","Dia de Atrasado")</f>
        <v>Em dia</v>
      </c>
      <c r="Q1018" s="24">
        <f>IFERROR(TAB_OFICINAS[[#This Row],[Qtd pçs Enviadas]]-TAB_OFICINAS[[#This Row],[Qtd pçs Retornadas ]],"N/D ")</f>
        <v>0</v>
      </c>
      <c r="R1018" s="24"/>
      <c r="S1018" s="5">
        <v>3371</v>
      </c>
      <c r="T1018" s="5">
        <v>17552</v>
      </c>
      <c r="U1018" s="11">
        <v>12</v>
      </c>
      <c r="V1018" s="25">
        <f>IFERROR(TAB_OFICINAS[[#This Row],[Valor Unit]]*TAB_OFICINAS[[#This Row],[Qtd pçs Enviadas]]," ")</f>
        <v>12</v>
      </c>
      <c r="W1018" s="26">
        <v>46265</v>
      </c>
      <c r="X1018" s="17" t="s">
        <v>6251</v>
      </c>
      <c r="Y1018" s="27" t="s">
        <v>24400</v>
      </c>
      <c r="Z10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19" spans="3:26" hidden="1">
      <c r="C1019" s="28" t="s">
        <v>15</v>
      </c>
      <c r="D1019" s="5">
        <v>5687</v>
      </c>
      <c r="E1019" s="5">
        <v>24161</v>
      </c>
      <c r="F1019" s="28" t="str">
        <f>IFERROR(VLOOKUP(TAB_OFICINAS[[#This Row],[Cliente]],LISTA_DE_CLIENTES[[Código]:[Nome Fantasia]],2,FALSE),"")</f>
        <v>GABRIELA TREVENZOLLI FORTES</v>
      </c>
      <c r="G1019" s="2" t="str">
        <f>IFERROR(VLOOKUP(TAB_OFICINAS[[#This Row],[Cliente]],LISTA_DE_CLIENTES[[Código]:[Nome Fantasia]],3,FALSE),"")</f>
        <v>GABRIELA TREVENZOLLI</v>
      </c>
      <c r="H1019" s="51">
        <v>3105015333</v>
      </c>
      <c r="I1019" s="28" t="str">
        <f>IFERROR(VLOOKUP(TAB_OFICINAS[[#This Row],[Codigo Produto ]],_000___PEDIDOS_DE_CLIENTES[[Data.Column2]:[Descrição Produto]],2,FALSE)," ")</f>
        <v>TOALHA DE BANHO BRANCA C/ CAPUZ BABY - CORDONÊ BRANCO C/ MONOGRAMA L.M NA COR DO CORDONÊ ( BCO ) - 0,70 X 0,90</v>
      </c>
      <c r="J1019" s="91">
        <v>1</v>
      </c>
      <c r="K1019" s="88">
        <v>46252</v>
      </c>
      <c r="L1019" s="9">
        <v>1</v>
      </c>
      <c r="M1019" s="6">
        <v>46260</v>
      </c>
      <c r="N1019" s="6">
        <v>46255</v>
      </c>
      <c r="O1019" s="23">
        <f>TAB_OFICINAS[[#This Row],[Data Retorno Produção]]-TAB_OFICINAS[[#This Row],[Data Prometida  Entrega]]</f>
        <v>-5</v>
      </c>
      <c r="P1019" s="98" t="str">
        <f>IF(TAB_OFICINAS[[#This Row],[Dias Para Entrega]]&lt;=0,"Em dia","Dia de Atrasado")</f>
        <v>Em dia</v>
      </c>
      <c r="Q1019" s="24">
        <f>IFERROR(TAB_OFICINAS[[#This Row],[Qtd pçs Enviadas]]-TAB_OFICINAS[[#This Row],[Qtd pçs Retornadas ]],"N/D ")</f>
        <v>0</v>
      </c>
      <c r="R1019" s="24"/>
      <c r="S1019" s="5">
        <v>3371</v>
      </c>
      <c r="T1019" s="5">
        <v>17552</v>
      </c>
      <c r="U1019" s="11">
        <v>12</v>
      </c>
      <c r="V1019" s="25">
        <f>IFERROR(TAB_OFICINAS[[#This Row],[Valor Unit]]*TAB_OFICINAS[[#This Row],[Qtd pçs Enviadas]]," ")</f>
        <v>12</v>
      </c>
      <c r="W1019" s="26">
        <v>46265</v>
      </c>
      <c r="X1019" s="17" t="s">
        <v>6251</v>
      </c>
      <c r="Y1019" s="27" t="s">
        <v>24400</v>
      </c>
      <c r="Z10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0" spans="3:26" hidden="1">
      <c r="C1020" s="28" t="s">
        <v>15</v>
      </c>
      <c r="D1020" s="5">
        <v>5687</v>
      </c>
      <c r="E1020" s="5">
        <v>24161</v>
      </c>
      <c r="F1020" s="28" t="str">
        <f>IFERROR(VLOOKUP(TAB_OFICINAS[[#This Row],[Cliente]],LISTA_DE_CLIENTES[[Código]:[Nome Fantasia]],2,FALSE),"")</f>
        <v>GABRIELA TREVENZOLLI FORTES</v>
      </c>
      <c r="G1020" s="2" t="str">
        <f>IFERROR(VLOOKUP(TAB_OFICINAS[[#This Row],[Cliente]],LISTA_DE_CLIENTES[[Código]:[Nome Fantasia]],3,FALSE),"")</f>
        <v>GABRIELA TREVENZOLLI</v>
      </c>
      <c r="H1020" s="51" t="s">
        <v>23962</v>
      </c>
      <c r="I1020" s="28" t="s">
        <v>24403</v>
      </c>
      <c r="J1020" s="91">
        <v>2</v>
      </c>
      <c r="K1020" s="88">
        <v>46252</v>
      </c>
      <c r="L1020" s="9">
        <v>2</v>
      </c>
      <c r="M1020" s="6">
        <v>46260</v>
      </c>
      <c r="N1020" s="6">
        <v>46255</v>
      </c>
      <c r="O1020" s="23">
        <f>TAB_OFICINAS[[#This Row],[Data Retorno Produção]]-TAB_OFICINAS[[#This Row],[Data Prometida  Entrega]]</f>
        <v>-5</v>
      </c>
      <c r="P1020" s="98" t="str">
        <f>IF(TAB_OFICINAS[[#This Row],[Dias Para Entrega]]&lt;=0,"Em dia","Dia de Atrasado")</f>
        <v>Em dia</v>
      </c>
      <c r="Q1020" s="24">
        <f>IFERROR(TAB_OFICINAS[[#This Row],[Qtd pçs Enviadas]]-TAB_OFICINAS[[#This Row],[Qtd pçs Retornadas ]],"N/D ")</f>
        <v>0</v>
      </c>
      <c r="R1020" s="24"/>
      <c r="S1020" s="5">
        <v>3371</v>
      </c>
      <c r="T1020" s="5">
        <v>17552</v>
      </c>
      <c r="U1020" s="11">
        <v>12</v>
      </c>
      <c r="V1020" s="25">
        <f>IFERROR(TAB_OFICINAS[[#This Row],[Valor Unit]]*TAB_OFICINAS[[#This Row],[Qtd pçs Enviadas]]," ")</f>
        <v>24</v>
      </c>
      <c r="W1020" s="26">
        <v>46265</v>
      </c>
      <c r="X1020" s="17" t="s">
        <v>6251</v>
      </c>
      <c r="Y1020" s="27" t="s">
        <v>24400</v>
      </c>
      <c r="Z10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1" spans="3:26" hidden="1">
      <c r="C1021" s="28" t="s">
        <v>15</v>
      </c>
      <c r="D1021" s="5">
        <v>5687</v>
      </c>
      <c r="E1021" s="5">
        <v>24161</v>
      </c>
      <c r="F1021" s="28" t="str">
        <f>IFERROR(VLOOKUP(TAB_OFICINAS[[#This Row],[Cliente]],LISTA_DE_CLIENTES[[Código]:[Nome Fantasia]],2,FALSE),"")</f>
        <v>GABRIELA TREVENZOLLI FORTES</v>
      </c>
      <c r="G1021" s="2" t="str">
        <f>IFERROR(VLOOKUP(TAB_OFICINAS[[#This Row],[Cliente]],LISTA_DE_CLIENTES[[Código]:[Nome Fantasia]],3,FALSE),"")</f>
        <v>GABRIELA TREVENZOLLI</v>
      </c>
      <c r="H1021" s="51" t="s">
        <v>23962</v>
      </c>
      <c r="I1021" s="28" t="s">
        <v>24404</v>
      </c>
      <c r="J1021" s="91">
        <v>2</v>
      </c>
      <c r="K1021" s="88">
        <v>46252</v>
      </c>
      <c r="L1021" s="9">
        <v>2</v>
      </c>
      <c r="M1021" s="6">
        <v>46260</v>
      </c>
      <c r="N1021" s="6">
        <v>46255</v>
      </c>
      <c r="O1021" s="23">
        <f>TAB_OFICINAS[[#This Row],[Data Retorno Produção]]-TAB_OFICINAS[[#This Row],[Data Prometida  Entrega]]</f>
        <v>-5</v>
      </c>
      <c r="P1021" s="98" t="str">
        <f>IF(TAB_OFICINAS[[#This Row],[Dias Para Entrega]]&lt;=0,"Em dia","Dia de Atrasado")</f>
        <v>Em dia</v>
      </c>
      <c r="Q1021" s="24">
        <f>IFERROR(TAB_OFICINAS[[#This Row],[Qtd pçs Enviadas]]-TAB_OFICINAS[[#This Row],[Qtd pçs Retornadas ]],"N/D ")</f>
        <v>0</v>
      </c>
      <c r="R1021" s="24"/>
      <c r="S1021" s="5">
        <v>3371</v>
      </c>
      <c r="T1021" s="5">
        <v>17552</v>
      </c>
      <c r="U1021" s="11">
        <v>12</v>
      </c>
      <c r="V1021" s="25">
        <f>IFERROR(TAB_OFICINAS[[#This Row],[Valor Unit]]*TAB_OFICINAS[[#This Row],[Qtd pçs Enviadas]]," ")</f>
        <v>24</v>
      </c>
      <c r="W1021" s="26">
        <v>46265</v>
      </c>
      <c r="X1021" s="17" t="s">
        <v>6251</v>
      </c>
      <c r="Y1021" s="27" t="s">
        <v>24400</v>
      </c>
      <c r="Z10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2" spans="3:26" hidden="1">
      <c r="C1022" s="28" t="s">
        <v>15</v>
      </c>
      <c r="D1022" s="5">
        <v>526</v>
      </c>
      <c r="E1022" s="5">
        <v>24194</v>
      </c>
      <c r="F1022" s="28" t="str">
        <f>IFERROR(VLOOKUP(TAB_OFICINAS[[#This Row],[Cliente]],LISTA_DE_CLIENTES[[Código]:[Nome Fantasia]],2,FALSE),"")</f>
        <v>ATMOSFERA GESTAO E HIGIENIZACAO DE TEXTEIS S.A.</v>
      </c>
      <c r="G1022" s="2" t="str">
        <f>IFERROR(VLOOKUP(TAB_OFICINAS[[#This Row],[Cliente]],LISTA_DE_CLIENTES[[Código]:[Nome Fantasia]],3,FALSE),"")</f>
        <v>ATMOSFERA ST BARBARA</v>
      </c>
      <c r="H1022" s="51">
        <v>92104156036</v>
      </c>
      <c r="I1022" s="28" t="str">
        <f>IFERROR(VLOOKUP(TAB_OFICINAS[[#This Row],[Codigo Produto ]],_000___PEDIDOS_DE_CLIENTES[[Data.Column2]:[Descrição Produto]],2,FALSE)," ")</f>
        <v>FRONHA 2 ABAS 5cm - 230F MISTO C/ FESTONÊ T - 0,50 X 0,70</v>
      </c>
      <c r="J1022" s="91">
        <v>105</v>
      </c>
      <c r="K1022" s="88">
        <v>46252</v>
      </c>
      <c r="L1022" s="9">
        <v>105</v>
      </c>
      <c r="M1022" s="6">
        <v>46260</v>
      </c>
      <c r="N1022" s="6">
        <v>46259</v>
      </c>
      <c r="O1022" s="23">
        <f>TAB_OFICINAS[[#This Row],[Data Retorno Produção]]-TAB_OFICINAS[[#This Row],[Data Prometida  Entrega]]</f>
        <v>-1</v>
      </c>
      <c r="P1022" s="98" t="str">
        <f>IF(TAB_OFICINAS[[#This Row],[Dias Para Entrega]]&lt;=0,"Em dia","Dia de Atrasado")</f>
        <v>Em dia</v>
      </c>
      <c r="Q1022" s="24">
        <f>IFERROR(TAB_OFICINAS[[#This Row],[Qtd pçs Enviadas]]-TAB_OFICINAS[[#This Row],[Qtd pçs Retornadas ]],"N/D ")</f>
        <v>0</v>
      </c>
      <c r="R1022" s="24"/>
      <c r="S1022" s="5">
        <v>3373</v>
      </c>
      <c r="T1022" s="5">
        <v>17551</v>
      </c>
      <c r="U1022" s="11">
        <v>15</v>
      </c>
      <c r="V1022" s="25">
        <f>IFERROR(TAB_OFICINAS[[#This Row],[Valor Unit]]*TAB_OFICINAS[[#This Row],[Qtd pçs Enviadas]]," ")</f>
        <v>1575</v>
      </c>
      <c r="W1022" s="26">
        <v>46265</v>
      </c>
      <c r="X1022" s="17" t="s">
        <v>6251</v>
      </c>
      <c r="Y1022" s="27"/>
      <c r="Z10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3" spans="3:26" hidden="1">
      <c r="C1023" s="28" t="s">
        <v>20</v>
      </c>
      <c r="D1023" s="5">
        <v>1942</v>
      </c>
      <c r="E1023" s="5">
        <v>24067</v>
      </c>
      <c r="F1023" s="28" t="str">
        <f>IFERROR(VLOOKUP(TAB_OFICINAS[[#This Row],[Cliente]],LISTA_DE_CLIENTES[[Código]:[Nome Fantasia]],2,FALSE),"")</f>
        <v>ONCO STAR SP ONCOLOGIA LTDA (REDE D´OR)</v>
      </c>
      <c r="G1023" s="2" t="str">
        <f>IFERROR(VLOOKUP(TAB_OFICINAS[[#This Row],[Cliente]],LISTA_DE_CLIENTES[[Código]:[Nome Fantasia]],3,FALSE),"")</f>
        <v>R DOR VILA NOVA STAR</v>
      </c>
      <c r="H1023" s="51">
        <v>210112487</v>
      </c>
      <c r="I1023" s="28" t="str">
        <f>IFERROR(VLOOKUP(TAB_OFICINAS[[#This Row],[Codigo Produto ]],_000___PEDIDOS_DE_CLIENTES[[Data.Column2]:[Descrição Produto]],2,FALSE)," ")</f>
        <v>LENÇOL BRANCO P/ MACA - 400F 100% ALG - C0M LOGO BORDADO COR ALABASTRO 07077 - 1,70 X 2,50</v>
      </c>
      <c r="J1023" s="91">
        <v>251</v>
      </c>
      <c r="K1023" s="88">
        <v>46252</v>
      </c>
      <c r="L1023" s="9">
        <v>251</v>
      </c>
      <c r="M1023" s="6">
        <v>46261</v>
      </c>
      <c r="N1023" s="6">
        <v>46260</v>
      </c>
      <c r="O1023" s="23">
        <f>TAB_OFICINAS[[#This Row],[Data Retorno Produção]]-TAB_OFICINAS[[#This Row],[Data Prometida  Entrega]]</f>
        <v>-1</v>
      </c>
      <c r="P1023" s="98" t="str">
        <f>IF(TAB_OFICINAS[[#This Row],[Dias Para Entrega]]&lt;=0,"Em dia","Dia de Atrasado")</f>
        <v>Em dia</v>
      </c>
      <c r="Q1023" s="24">
        <f>IFERROR(TAB_OFICINAS[[#This Row],[Qtd pçs Enviadas]]-TAB_OFICINAS[[#This Row],[Qtd pçs Retornadas ]],"N/D ")</f>
        <v>0</v>
      </c>
      <c r="R1023" s="24"/>
      <c r="S1023" s="5">
        <v>978</v>
      </c>
      <c r="T1023" s="5">
        <v>96</v>
      </c>
      <c r="U1023" s="11">
        <v>4.5</v>
      </c>
      <c r="V1023" s="25">
        <f>IFERROR(TAB_OFICINAS[[#This Row],[Valor Unit]]*TAB_OFICINAS[[#This Row],[Qtd pçs Enviadas]]," ")</f>
        <v>1129.5</v>
      </c>
      <c r="W1023" s="26">
        <v>46269</v>
      </c>
      <c r="X1023" s="17" t="s">
        <v>6251</v>
      </c>
      <c r="Y1023" s="27"/>
      <c r="Z10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4" spans="3:26" hidden="1">
      <c r="C1024" s="28" t="s">
        <v>15</v>
      </c>
      <c r="D1024" s="5">
        <v>3660</v>
      </c>
      <c r="E1024" s="5">
        <v>23695</v>
      </c>
      <c r="F1024" s="28" t="str">
        <f>IFERROR(VLOOKUP(TAB_OFICINAS[[#This Row],[Cliente]],LISTA_DE_CLIENTES[[Código]:[Nome Fantasia]],2,FALSE),"")</f>
        <v>HOSPITAL ESPERANCA SA</v>
      </c>
      <c r="G1024" s="2" t="str">
        <f>IFERROR(VLOOKUP(TAB_OFICINAS[[#This Row],[Cliente]],LISTA_DE_CLIENTES[[Código]:[Nome Fantasia]],3,FALSE),"")</f>
        <v>HOSPITAL ALIANÇA</v>
      </c>
      <c r="H1024" s="51">
        <v>2101067951</v>
      </c>
      <c r="I1024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1024" s="91">
        <v>181</v>
      </c>
      <c r="K1024" s="88">
        <v>46253</v>
      </c>
      <c r="L1024" s="9">
        <v>181</v>
      </c>
      <c r="M1024" s="6">
        <v>46260</v>
      </c>
      <c r="N1024" s="6">
        <v>46260</v>
      </c>
      <c r="O1024" s="23">
        <f>TAB_OFICINAS[[#This Row],[Data Retorno Produção]]-TAB_OFICINAS[[#This Row],[Data Prometida  Entrega]]</f>
        <v>0</v>
      </c>
      <c r="P1024" s="98" t="str">
        <f>IF(TAB_OFICINAS[[#This Row],[Dias Para Entrega]]&lt;=0,"Em dia","Dia de Atrasado")</f>
        <v>Em dia</v>
      </c>
      <c r="Q1024" s="24">
        <f>IFERROR(TAB_OFICINAS[[#This Row],[Qtd pçs Enviadas]]-TAB_OFICINAS[[#This Row],[Qtd pçs Retornadas ]],"N/D ")</f>
        <v>0</v>
      </c>
      <c r="R1024" s="24"/>
      <c r="S1024" s="5">
        <v>979</v>
      </c>
      <c r="T1024" s="5">
        <v>17560</v>
      </c>
      <c r="U1024" s="11">
        <v>3.85</v>
      </c>
      <c r="V1024" s="25">
        <f>IFERROR(TAB_OFICINAS[[#This Row],[Valor Unit]]*TAB_OFICINAS[[#This Row],[Qtd pçs Enviadas]]," ")</f>
        <v>696.85</v>
      </c>
      <c r="W1024" s="26">
        <v>46267</v>
      </c>
      <c r="X1024" s="17" t="s">
        <v>6251</v>
      </c>
      <c r="Y1024" s="27" t="s">
        <v>21341</v>
      </c>
      <c r="Z10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5" spans="3:26" hidden="1">
      <c r="C1025" s="28" t="s">
        <v>15</v>
      </c>
      <c r="D1025" s="5">
        <v>5584</v>
      </c>
      <c r="E1025" s="5">
        <v>24204</v>
      </c>
      <c r="F1025" s="28" t="str">
        <f>IFERROR(VLOOKUP(TAB_OFICINAS[[#This Row],[Cliente]],LISTA_DE_CLIENTES[[Código]:[Nome Fantasia]],2,FALSE),"")</f>
        <v>EMPRESA HOTELEIRA MABU LTDA</v>
      </c>
      <c r="G1025" s="2" t="str">
        <f>IFERROR(VLOOKUP(TAB_OFICINAS[[#This Row],[Cliente]],LISTA_DE_CLIENTES[[Código]:[Nome Fantasia]],3,FALSE),"")</f>
        <v>MABU THERMAS GRAND</v>
      </c>
      <c r="H1025" s="51">
        <v>3301071384</v>
      </c>
      <c r="I1025" s="28" t="str">
        <f>IFERROR(VLOOKUP(TAB_OFICINAS[[#This Row],[Codigo Produto ]],_000___PEDIDOS_DE_CLIENTES[[Data.Column2]:[Descrição Produto]],2,FALSE)," ")</f>
        <v>ROUPÃO KIMONO FELPA VELUX BRANCA C/ VIVO AZUL MARINHO E LOGO BORDADO AZUL MARINHO 7127 - TAM .M</v>
      </c>
      <c r="J1025" s="91">
        <v>24</v>
      </c>
      <c r="K1025" s="88">
        <v>46253</v>
      </c>
      <c r="L1025" s="9">
        <v>24</v>
      </c>
      <c r="M1025" s="6">
        <v>46265</v>
      </c>
      <c r="N1025" s="6">
        <v>46259</v>
      </c>
      <c r="O1025" s="23">
        <f>TAB_OFICINAS[[#This Row],[Data Retorno Produção]]-TAB_OFICINAS[[#This Row],[Data Prometida  Entrega]]</f>
        <v>-6</v>
      </c>
      <c r="P1025" s="98" t="str">
        <f>IF(TAB_OFICINAS[[#This Row],[Dias Para Entrega]]&lt;=0,"Em dia","Dia de Atrasado")</f>
        <v>Em dia</v>
      </c>
      <c r="Q1025" s="24">
        <f>IFERROR(TAB_OFICINAS[[#This Row],[Qtd pçs Enviadas]]-TAB_OFICINAS[[#This Row],[Qtd pçs Retornadas ]],"N/D ")</f>
        <v>0</v>
      </c>
      <c r="R1025" s="24"/>
      <c r="S1025" s="5">
        <v>3376</v>
      </c>
      <c r="T1025" s="5">
        <v>17553</v>
      </c>
      <c r="U1025" s="11">
        <v>5.4</v>
      </c>
      <c r="V1025" s="25">
        <f>IFERROR(TAB_OFICINAS[[#This Row],[Valor Unit]]*TAB_OFICINAS[[#This Row],[Qtd pçs Enviadas]]," ")</f>
        <v>129.60000000000002</v>
      </c>
      <c r="W1025" s="26">
        <v>46265</v>
      </c>
      <c r="X1025" s="17" t="s">
        <v>6251</v>
      </c>
      <c r="Y1025" s="27" t="s">
        <v>23137</v>
      </c>
      <c r="Z10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6" spans="3:26" hidden="1">
      <c r="C1026" s="28" t="s">
        <v>15</v>
      </c>
      <c r="D1026" s="5">
        <v>5679</v>
      </c>
      <c r="E1026" s="5">
        <v>24047</v>
      </c>
      <c r="F1026" s="28" t="str">
        <f>IFERROR(VLOOKUP(TAB_OFICINAS[[#This Row],[Cliente]],LISTA_DE_CLIENTES[[Código]:[Nome Fantasia]],2,FALSE),"")</f>
        <v>MMCA COMERCIO E CONFECCAO DE ROUPAS E DECORACOES L</v>
      </c>
      <c r="G1026" s="2" t="str">
        <f>IFERROR(VLOOKUP(TAB_OFICINAS[[#This Row],[Cliente]],LISTA_DE_CLIENTES[[Código]:[Nome Fantasia]],3,FALSE),"")</f>
        <v>MMCA COMERCIO E CONF</v>
      </c>
      <c r="H1026" s="51">
        <v>2111051250</v>
      </c>
      <c r="I1026" s="28" t="s">
        <v>24065</v>
      </c>
      <c r="J1026" s="91">
        <v>16</v>
      </c>
      <c r="K1026" s="88">
        <v>46253</v>
      </c>
      <c r="L1026" s="9">
        <v>16</v>
      </c>
      <c r="M1026" s="6">
        <v>46262</v>
      </c>
      <c r="N1026" s="6">
        <v>46259</v>
      </c>
      <c r="O1026" s="23">
        <f>TAB_OFICINAS[[#This Row],[Data Retorno Produção]]-TAB_OFICINAS[[#This Row],[Data Prometida  Entrega]]</f>
        <v>-3</v>
      </c>
      <c r="P1026" s="98" t="str">
        <f>IF(TAB_OFICINAS[[#This Row],[Dias Para Entrega]]&lt;=0,"Em dia","Dia de Atrasado")</f>
        <v>Em dia</v>
      </c>
      <c r="Q1026" s="24">
        <f>IFERROR(TAB_OFICINAS[[#This Row],[Qtd pçs Enviadas]]-TAB_OFICINAS[[#This Row],[Qtd pçs Retornadas ]],"N/D ")</f>
        <v>0</v>
      </c>
      <c r="R1026" s="24"/>
      <c r="S1026" s="5">
        <v>3376</v>
      </c>
      <c r="T1026" s="5">
        <v>17553</v>
      </c>
      <c r="U1026" s="11">
        <v>4</v>
      </c>
      <c r="V1026" s="25">
        <f>IFERROR(TAB_OFICINAS[[#This Row],[Valor Unit]]*TAB_OFICINAS[[#This Row],[Qtd pçs Enviadas]]," ")</f>
        <v>64</v>
      </c>
      <c r="W1026" s="26">
        <v>46265</v>
      </c>
      <c r="X1026" s="17" t="s">
        <v>6251</v>
      </c>
      <c r="Y1026" s="27" t="s">
        <v>24408</v>
      </c>
      <c r="Z10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7" spans="3:26" hidden="1">
      <c r="C1027" s="28" t="s">
        <v>15</v>
      </c>
      <c r="D1027" s="5">
        <v>5679</v>
      </c>
      <c r="E1027" s="5">
        <v>24047</v>
      </c>
      <c r="F1027" s="28" t="str">
        <f>IFERROR(VLOOKUP(TAB_OFICINAS[[#This Row],[Cliente]],LISTA_DE_CLIENTES[[Código]:[Nome Fantasia]],2,FALSE),"")</f>
        <v>MMCA COMERCIO E CONFECCAO DE ROUPAS E DECORACOES L</v>
      </c>
      <c r="G1027" s="2" t="str">
        <f>IFERROR(VLOOKUP(TAB_OFICINAS[[#This Row],[Cliente]],LISTA_DE_CLIENTES[[Código]:[Nome Fantasia]],3,FALSE),"")</f>
        <v>MMCA COMERCIO E CONF</v>
      </c>
      <c r="H1027" s="51">
        <v>3301091242</v>
      </c>
      <c r="I1027" s="28" t="str">
        <f>IFERROR(VLOOKUP(TAB_OFICINAS[[#This Row],[Codigo Produto ]],_000___PEDIDOS_DE_CLIENTES[[Data.Column2]:[Descrição Produto]],2,FALSE)," ")</f>
        <v>ROUPÃO FELPA VELUX BRANCO - TAM. GG - COM LOGO - MODELO KIMONO</v>
      </c>
      <c r="J1027" s="91">
        <v>6</v>
      </c>
      <c r="K1027" s="88">
        <v>46253</v>
      </c>
      <c r="L1027" s="9">
        <v>6</v>
      </c>
      <c r="M1027" s="6">
        <v>46262</v>
      </c>
      <c r="N1027" s="6">
        <v>46259</v>
      </c>
      <c r="O1027" s="23">
        <f>TAB_OFICINAS[[#This Row],[Data Retorno Produção]]-TAB_OFICINAS[[#This Row],[Data Prometida  Entrega]]</f>
        <v>-3</v>
      </c>
      <c r="P1027" s="98" t="str">
        <f>IF(TAB_OFICINAS[[#This Row],[Dias Para Entrega]]&lt;=0,"Em dia","Dia de Atrasado")</f>
        <v>Em dia</v>
      </c>
      <c r="Q1027" s="24">
        <f>IFERROR(TAB_OFICINAS[[#This Row],[Qtd pçs Enviadas]]-TAB_OFICINAS[[#This Row],[Qtd pçs Retornadas ]],"N/D ")</f>
        <v>0</v>
      </c>
      <c r="R1027" s="24"/>
      <c r="S1027" s="5">
        <v>3376</v>
      </c>
      <c r="T1027" s="5">
        <v>17553</v>
      </c>
      <c r="U1027" s="11">
        <v>3.6</v>
      </c>
      <c r="V1027" s="25">
        <f>IFERROR(TAB_OFICINAS[[#This Row],[Valor Unit]]*TAB_OFICINAS[[#This Row],[Qtd pçs Enviadas]]," ")</f>
        <v>21.6</v>
      </c>
      <c r="W1027" s="26">
        <v>46265</v>
      </c>
      <c r="X1027" s="17" t="s">
        <v>6251</v>
      </c>
      <c r="Y1027" s="27" t="s">
        <v>24409</v>
      </c>
      <c r="Z10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8" spans="3:26" hidden="1">
      <c r="C1028" s="28" t="s">
        <v>15</v>
      </c>
      <c r="D1028" s="5">
        <v>5679</v>
      </c>
      <c r="E1028" s="5">
        <v>24047</v>
      </c>
      <c r="F1028" s="28" t="str">
        <f>IFERROR(VLOOKUP(TAB_OFICINAS[[#This Row],[Cliente]],LISTA_DE_CLIENTES[[Código]:[Nome Fantasia]],2,FALSE),"")</f>
        <v>MMCA COMERCIO E CONFECCAO DE ROUPAS E DECORACOES L</v>
      </c>
      <c r="G1028" s="2" t="str">
        <f>IFERROR(VLOOKUP(TAB_OFICINAS[[#This Row],[Cliente]],LISTA_DE_CLIENTES[[Código]:[Nome Fantasia]],3,FALSE),"")</f>
        <v>MMCA COMERCIO E CONF</v>
      </c>
      <c r="H1028" s="51">
        <v>3301091213</v>
      </c>
      <c r="I1028" s="28" t="str">
        <f>IFERROR(VLOOKUP(TAB_OFICINAS[[#This Row],[Codigo Produto ]],_000___PEDIDOS_DE_CLIENTES[[Data.Column2]:[Descrição Produto]],2,FALSE)," ")</f>
        <v>ROUPÃO FELPA VELUX BRANCO G COM LOGO -MODELO KIMONO</v>
      </c>
      <c r="J1028" s="91">
        <v>6</v>
      </c>
      <c r="K1028" s="88">
        <v>46253</v>
      </c>
      <c r="L1028" s="9">
        <v>6</v>
      </c>
      <c r="M1028" s="6">
        <v>46262</v>
      </c>
      <c r="N1028" s="6">
        <v>46259</v>
      </c>
      <c r="O1028" s="23">
        <f>TAB_OFICINAS[[#This Row],[Data Retorno Produção]]-TAB_OFICINAS[[#This Row],[Data Prometida  Entrega]]</f>
        <v>-3</v>
      </c>
      <c r="P1028" s="98" t="str">
        <f>IF(TAB_OFICINAS[[#This Row],[Dias Para Entrega]]&lt;=0,"Em dia","Dia de Atrasado")</f>
        <v>Em dia</v>
      </c>
      <c r="Q1028" s="24">
        <f>IFERROR(TAB_OFICINAS[[#This Row],[Qtd pçs Enviadas]]-TAB_OFICINAS[[#This Row],[Qtd pçs Retornadas ]],"N/D ")</f>
        <v>0</v>
      </c>
      <c r="R1028" s="24"/>
      <c r="S1028" s="5">
        <v>3376</v>
      </c>
      <c r="T1028" s="5">
        <v>17553</v>
      </c>
      <c r="U1028" s="11">
        <v>3.6</v>
      </c>
      <c r="V1028" s="25">
        <f>IFERROR(TAB_OFICINAS[[#This Row],[Valor Unit]]*TAB_OFICINAS[[#This Row],[Qtd pçs Enviadas]]," ")</f>
        <v>21.6</v>
      </c>
      <c r="W1028" s="26">
        <v>46265</v>
      </c>
      <c r="X1028" s="17" t="s">
        <v>6251</v>
      </c>
      <c r="Y1028" s="27" t="s">
        <v>24409</v>
      </c>
      <c r="Z10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29" spans="3:26" hidden="1">
      <c r="C1029" s="28" t="s">
        <v>15</v>
      </c>
      <c r="D1029" s="5">
        <v>5679</v>
      </c>
      <c r="E1029" s="5">
        <v>24047</v>
      </c>
      <c r="F1029" s="28" t="str">
        <f>IFERROR(VLOOKUP(TAB_OFICINAS[[#This Row],[Cliente]],LISTA_DE_CLIENTES[[Código]:[Nome Fantasia]],2,FALSE),"")</f>
        <v>MMCA COMERCIO E CONFECCAO DE ROUPAS E DECORACOES L</v>
      </c>
      <c r="G1029" s="2" t="str">
        <f>IFERROR(VLOOKUP(TAB_OFICINAS[[#This Row],[Cliente]],LISTA_DE_CLIENTES[[Código]:[Nome Fantasia]],3,FALSE),"")</f>
        <v>MMCA COMERCIO E CONF</v>
      </c>
      <c r="H1029" s="51">
        <v>3301091211</v>
      </c>
      <c r="I1029" s="28" t="str">
        <f>IFERROR(VLOOKUP(TAB_OFICINAS[[#This Row],[Codigo Produto ]],_000___PEDIDOS_DE_CLIENTES[[Data.Column2]:[Descrição Produto]],2,FALSE)," ")</f>
        <v>ROUPÃO FELPA VELUX BRANCO M COM LOGO -MODELO KIMONO</v>
      </c>
      <c r="J1029" s="91">
        <v>6</v>
      </c>
      <c r="K1029" s="88">
        <v>46253</v>
      </c>
      <c r="L1029" s="9">
        <v>6</v>
      </c>
      <c r="M1029" s="6">
        <v>46262</v>
      </c>
      <c r="N1029" s="6">
        <v>46259</v>
      </c>
      <c r="O1029" s="23">
        <f>TAB_OFICINAS[[#This Row],[Data Retorno Produção]]-TAB_OFICINAS[[#This Row],[Data Prometida  Entrega]]</f>
        <v>-3</v>
      </c>
      <c r="P1029" s="98" t="str">
        <f>IF(TAB_OFICINAS[[#This Row],[Dias Para Entrega]]&lt;=0,"Em dia","Dia de Atrasado")</f>
        <v>Em dia</v>
      </c>
      <c r="Q1029" s="24">
        <f>IFERROR(TAB_OFICINAS[[#This Row],[Qtd pçs Enviadas]]-TAB_OFICINAS[[#This Row],[Qtd pçs Retornadas ]],"N/D ")</f>
        <v>0</v>
      </c>
      <c r="R1029" s="24"/>
      <c r="S1029" s="5">
        <v>3376</v>
      </c>
      <c r="T1029" s="5">
        <v>17553</v>
      </c>
      <c r="U1029" s="11">
        <v>3.6</v>
      </c>
      <c r="V1029" s="25">
        <f>IFERROR(TAB_OFICINAS[[#This Row],[Valor Unit]]*TAB_OFICINAS[[#This Row],[Qtd pçs Enviadas]]," ")</f>
        <v>21.6</v>
      </c>
      <c r="W1029" s="26">
        <v>46265</v>
      </c>
      <c r="X1029" s="17" t="s">
        <v>6251</v>
      </c>
      <c r="Y1029" s="27" t="s">
        <v>24409</v>
      </c>
      <c r="Z10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0" spans="3:26" ht="28.5" hidden="1">
      <c r="C1030" s="28" t="s">
        <v>15</v>
      </c>
      <c r="D1030" s="5">
        <v>2770</v>
      </c>
      <c r="E1030" s="5">
        <v>24105</v>
      </c>
      <c r="F1030" s="28" t="str">
        <f>IFERROR(VLOOKUP(TAB_OFICINAS[[#This Row],[Cliente]],LISTA_DE_CLIENTES[[Código]:[Nome Fantasia]],2,FALSE),"")</f>
        <v>SNC DO BRASIL COMERCIO DE EQUIPAMENTOS EIRELI</v>
      </c>
      <c r="G1030" s="2" t="str">
        <f>IFERROR(VLOOKUP(TAB_OFICINAS[[#This Row],[Cliente]],LISTA_DE_CLIENTES[[Código]:[Nome Fantasia]],3,FALSE),"")</f>
        <v>TOTAL BABY STORE</v>
      </c>
      <c r="H1030" s="51" t="s">
        <v>23962</v>
      </c>
      <c r="I1030" s="28" t="s">
        <v>24410</v>
      </c>
      <c r="J1030" s="91">
        <v>4</v>
      </c>
      <c r="K1030" s="88">
        <v>46253</v>
      </c>
      <c r="L1030" s="9">
        <v>4</v>
      </c>
      <c r="M1030" s="6">
        <v>46260</v>
      </c>
      <c r="N1030" s="6">
        <v>46262</v>
      </c>
      <c r="O1030" s="23">
        <f>TAB_OFICINAS[[#This Row],[Data Retorno Produção]]-TAB_OFICINAS[[#This Row],[Data Prometida  Entrega]]</f>
        <v>2</v>
      </c>
      <c r="P1030" s="98" t="str">
        <f>IF(TAB_OFICINAS[[#This Row],[Dias Para Entrega]]&lt;=0,"Em dia","Dia de Atrasado")</f>
        <v>Dia de Atrasado</v>
      </c>
      <c r="Q1030" s="24">
        <f>IFERROR(TAB_OFICINAS[[#This Row],[Qtd pçs Enviadas]]-TAB_OFICINAS[[#This Row],[Qtd pçs Retornadas ]],"N/D ")</f>
        <v>0</v>
      </c>
      <c r="R1030" s="24"/>
      <c r="S1030" s="5">
        <v>3376</v>
      </c>
      <c r="T1030" s="5">
        <v>17575</v>
      </c>
      <c r="U1030" s="11">
        <v>10</v>
      </c>
      <c r="V1030" s="25">
        <f>IFERROR(TAB_OFICINAS[[#This Row],[Valor Unit]]*TAB_OFICINAS[[#This Row],[Qtd pçs Enviadas]]," ")</f>
        <v>40</v>
      </c>
      <c r="W1030" s="26">
        <v>46272</v>
      </c>
      <c r="X1030" s="17" t="s">
        <v>6251</v>
      </c>
      <c r="Y1030" s="27" t="s">
        <v>24413</v>
      </c>
      <c r="Z10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1" spans="3:26" hidden="1">
      <c r="C1031" s="28" t="s">
        <v>15</v>
      </c>
      <c r="D1031" s="5">
        <v>2770</v>
      </c>
      <c r="E1031" s="5">
        <v>24105</v>
      </c>
      <c r="F1031" s="28" t="str">
        <f>IFERROR(VLOOKUP(TAB_OFICINAS[[#This Row],[Cliente]],LISTA_DE_CLIENTES[[Código]:[Nome Fantasia]],2,FALSE),"")</f>
        <v>SNC DO BRASIL COMERCIO DE EQUIPAMENTOS EIRELI</v>
      </c>
      <c r="G1031" s="2" t="str">
        <f>IFERROR(VLOOKUP(TAB_OFICINAS[[#This Row],[Cliente]],LISTA_DE_CLIENTES[[Código]:[Nome Fantasia]],3,FALSE),"")</f>
        <v>TOTAL BABY STORE</v>
      </c>
      <c r="H1031" s="51" t="s">
        <v>23962</v>
      </c>
      <c r="I1031" s="28" t="s">
        <v>24411</v>
      </c>
      <c r="J1031" s="91">
        <v>4</v>
      </c>
      <c r="K1031" s="88">
        <v>46253</v>
      </c>
      <c r="L1031" s="9">
        <v>4</v>
      </c>
      <c r="M1031" s="6">
        <v>46260</v>
      </c>
      <c r="N1031" s="6">
        <v>46262</v>
      </c>
      <c r="O1031" s="23">
        <f>TAB_OFICINAS[[#This Row],[Data Retorno Produção]]-TAB_OFICINAS[[#This Row],[Data Prometida  Entrega]]</f>
        <v>2</v>
      </c>
      <c r="P1031" s="98" t="str">
        <f>IF(TAB_OFICINAS[[#This Row],[Dias Para Entrega]]&lt;=0,"Em dia","Dia de Atrasado")</f>
        <v>Dia de Atrasado</v>
      </c>
      <c r="Q1031" s="24">
        <f>IFERROR(TAB_OFICINAS[[#This Row],[Qtd pçs Enviadas]]-TAB_OFICINAS[[#This Row],[Qtd pçs Retornadas ]],"N/D ")</f>
        <v>0</v>
      </c>
      <c r="R1031" s="24"/>
      <c r="S1031" s="5">
        <v>3376</v>
      </c>
      <c r="T1031" s="5">
        <v>17575</v>
      </c>
      <c r="U1031" s="11">
        <v>10</v>
      </c>
      <c r="V1031" s="25">
        <f>IFERROR(TAB_OFICINAS[[#This Row],[Valor Unit]]*TAB_OFICINAS[[#This Row],[Qtd pçs Enviadas]]," ")</f>
        <v>40</v>
      </c>
      <c r="W1031" s="26">
        <v>46272</v>
      </c>
      <c r="X1031" s="17" t="s">
        <v>6251</v>
      </c>
      <c r="Y1031" s="27" t="s">
        <v>24414</v>
      </c>
      <c r="Z10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2" spans="3:26" hidden="1">
      <c r="C1032" s="28" t="s">
        <v>15</v>
      </c>
      <c r="D1032" s="5">
        <v>2770</v>
      </c>
      <c r="E1032" s="5">
        <v>24105</v>
      </c>
      <c r="F1032" s="28" t="str">
        <f>IFERROR(VLOOKUP(TAB_OFICINAS[[#This Row],[Cliente]],LISTA_DE_CLIENTES[[Código]:[Nome Fantasia]],2,FALSE),"")</f>
        <v>SNC DO BRASIL COMERCIO DE EQUIPAMENTOS EIRELI</v>
      </c>
      <c r="G1032" s="2" t="str">
        <f>IFERROR(VLOOKUP(TAB_OFICINAS[[#This Row],[Cliente]],LISTA_DE_CLIENTES[[Código]:[Nome Fantasia]],3,FALSE),"")</f>
        <v>TOTAL BABY STORE</v>
      </c>
      <c r="H1032" s="51">
        <v>3161091336</v>
      </c>
      <c r="I1032" s="28" t="str">
        <f>IFERROR(VLOOKUP(TAB_OFICINAS[[#This Row],[Codigo Produto ]],_000___PEDIDOS_DE_CLIENTES[[Data.Column2]:[Descrição Produto]],2,FALSE)," ")</f>
        <v>TOALHA DE BANHO COM CAPUZ KIDS - FELPA VELUX BRANCA C/ BORDADO CORAÇÃO - 0,90 X 1,00</v>
      </c>
      <c r="J1032" s="91">
        <v>4</v>
      </c>
      <c r="K1032" s="88">
        <v>46253</v>
      </c>
      <c r="L1032" s="9">
        <v>4</v>
      </c>
      <c r="M1032" s="6">
        <v>46260</v>
      </c>
      <c r="N1032" s="6">
        <v>46262</v>
      </c>
      <c r="O1032" s="23">
        <f>TAB_OFICINAS[[#This Row],[Data Retorno Produção]]-TAB_OFICINAS[[#This Row],[Data Prometida  Entrega]]</f>
        <v>2</v>
      </c>
      <c r="P1032" s="98" t="str">
        <f>IF(TAB_OFICINAS[[#This Row],[Dias Para Entrega]]&lt;=0,"Em dia","Dia de Atrasado")</f>
        <v>Dia de Atrasado</v>
      </c>
      <c r="Q1032" s="24">
        <f>IFERROR(TAB_OFICINAS[[#This Row],[Qtd pçs Enviadas]]-TAB_OFICINAS[[#This Row],[Qtd pçs Retornadas ]],"N/D ")</f>
        <v>0</v>
      </c>
      <c r="R1032" s="24"/>
      <c r="S1032" s="5">
        <v>3376</v>
      </c>
      <c r="T1032" s="5">
        <v>17575</v>
      </c>
      <c r="U1032" s="11">
        <v>10</v>
      </c>
      <c r="V1032" s="25">
        <f>IFERROR(TAB_OFICINAS[[#This Row],[Valor Unit]]*TAB_OFICINAS[[#This Row],[Qtd pçs Enviadas]]," ")</f>
        <v>40</v>
      </c>
      <c r="W1032" s="26">
        <v>46272</v>
      </c>
      <c r="X1032" s="17" t="s">
        <v>6251</v>
      </c>
      <c r="Y1032" s="27" t="s">
        <v>24412</v>
      </c>
      <c r="Z10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3" spans="3:26" ht="28.5" hidden="1">
      <c r="C1033" s="28" t="s">
        <v>15</v>
      </c>
      <c r="D1033" s="5">
        <v>2770</v>
      </c>
      <c r="E1033" s="5">
        <v>24105</v>
      </c>
      <c r="F1033" s="28" t="str">
        <f>IFERROR(VLOOKUP(TAB_OFICINAS[[#This Row],[Cliente]],LISTA_DE_CLIENTES[[Código]:[Nome Fantasia]],2,FALSE),"")</f>
        <v>SNC DO BRASIL COMERCIO DE EQUIPAMENTOS EIRELI</v>
      </c>
      <c r="G1033" s="2" t="str">
        <f>IFERROR(VLOOKUP(TAB_OFICINAS[[#This Row],[Cliente]],LISTA_DE_CLIENTES[[Código]:[Nome Fantasia]],3,FALSE),"")</f>
        <v>TOTAL BABY STORE</v>
      </c>
      <c r="H1033" s="51" t="s">
        <v>23962</v>
      </c>
      <c r="I1033" s="28" t="s">
        <v>24415</v>
      </c>
      <c r="J1033" s="91">
        <v>4</v>
      </c>
      <c r="K1033" s="88">
        <v>46253</v>
      </c>
      <c r="L1033" s="9">
        <v>4</v>
      </c>
      <c r="M1033" s="6">
        <v>46260</v>
      </c>
      <c r="N1033" s="6">
        <v>46266</v>
      </c>
      <c r="O1033" s="23">
        <f>TAB_OFICINAS[[#This Row],[Data Retorno Produção]]-TAB_OFICINAS[[#This Row],[Data Prometida  Entrega]]</f>
        <v>6</v>
      </c>
      <c r="P1033" s="98" t="str">
        <f>IF(TAB_OFICINAS[[#This Row],[Dias Para Entrega]]&lt;=0,"Em dia","Dia de Atrasado")</f>
        <v>Dia de Atrasado</v>
      </c>
      <c r="Q1033" s="24">
        <f>IFERROR(TAB_OFICINAS[[#This Row],[Qtd pçs Enviadas]]-TAB_OFICINAS[[#This Row],[Qtd pçs Retornadas ]],"N/D ")</f>
        <v>0</v>
      </c>
      <c r="R1033" s="24"/>
      <c r="S1033" s="5">
        <v>3376</v>
      </c>
      <c r="T1033" s="5">
        <v>17575</v>
      </c>
      <c r="U1033" s="11">
        <v>10</v>
      </c>
      <c r="V1033" s="25">
        <f>IFERROR(TAB_OFICINAS[[#This Row],[Valor Unit]]*TAB_OFICINAS[[#This Row],[Qtd pçs Enviadas]]," ")</f>
        <v>40</v>
      </c>
      <c r="W1033" s="26">
        <v>46272</v>
      </c>
      <c r="X1033" s="17" t="s">
        <v>6251</v>
      </c>
      <c r="Y1033" s="27" t="s">
        <v>24418</v>
      </c>
      <c r="Z103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4" spans="3:26" ht="28.5" hidden="1">
      <c r="C1034" s="28" t="s">
        <v>15</v>
      </c>
      <c r="D1034" s="5">
        <v>2770</v>
      </c>
      <c r="E1034" s="5">
        <v>24105</v>
      </c>
      <c r="F1034" s="28" t="str">
        <f>IFERROR(VLOOKUP(TAB_OFICINAS[[#This Row],[Cliente]],LISTA_DE_CLIENTES[[Código]:[Nome Fantasia]],2,FALSE),"")</f>
        <v>SNC DO BRASIL COMERCIO DE EQUIPAMENTOS EIRELI</v>
      </c>
      <c r="G1034" s="2" t="str">
        <f>IFERROR(VLOOKUP(TAB_OFICINAS[[#This Row],[Cliente]],LISTA_DE_CLIENTES[[Código]:[Nome Fantasia]],3,FALSE),"")</f>
        <v>TOTAL BABY STORE</v>
      </c>
      <c r="H1034" s="51" t="s">
        <v>23962</v>
      </c>
      <c r="I1034" s="28" t="s">
        <v>24416</v>
      </c>
      <c r="J1034" s="91">
        <v>4</v>
      </c>
      <c r="K1034" s="88">
        <v>46253</v>
      </c>
      <c r="L1034" s="9">
        <v>4</v>
      </c>
      <c r="M1034" s="6">
        <v>46260</v>
      </c>
      <c r="N1034" s="6">
        <v>46266</v>
      </c>
      <c r="O1034" s="23">
        <f>TAB_OFICINAS[[#This Row],[Data Retorno Produção]]-TAB_OFICINAS[[#This Row],[Data Prometida  Entrega]]</f>
        <v>6</v>
      </c>
      <c r="P1034" s="98" t="str">
        <f>IF(TAB_OFICINAS[[#This Row],[Dias Para Entrega]]&lt;=0,"Em dia","Dia de Atrasado")</f>
        <v>Dia de Atrasado</v>
      </c>
      <c r="Q1034" s="24">
        <f>IFERROR(TAB_OFICINAS[[#This Row],[Qtd pçs Enviadas]]-TAB_OFICINAS[[#This Row],[Qtd pçs Retornadas ]],"N/D ")</f>
        <v>0</v>
      </c>
      <c r="R1034" s="24"/>
      <c r="S1034" s="5">
        <v>3376</v>
      </c>
      <c r="T1034" s="5">
        <v>17575</v>
      </c>
      <c r="U1034" s="11">
        <v>10</v>
      </c>
      <c r="V1034" s="25">
        <f>IFERROR(TAB_OFICINAS[[#This Row],[Valor Unit]]*TAB_OFICINAS[[#This Row],[Qtd pçs Enviadas]]," ")</f>
        <v>40</v>
      </c>
      <c r="W1034" s="26">
        <v>46272</v>
      </c>
      <c r="X1034" s="17" t="s">
        <v>6251</v>
      </c>
      <c r="Y1034" s="27" t="s">
        <v>24418</v>
      </c>
      <c r="Z103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5" spans="3:26" hidden="1">
      <c r="C1035" s="28" t="s">
        <v>15</v>
      </c>
      <c r="D1035" s="5">
        <v>2770</v>
      </c>
      <c r="E1035" s="5">
        <v>24105</v>
      </c>
      <c r="F1035" s="28" t="str">
        <f>IFERROR(VLOOKUP(TAB_OFICINAS[[#This Row],[Cliente]],LISTA_DE_CLIENTES[[Código]:[Nome Fantasia]],2,FALSE),"")</f>
        <v>SNC DO BRASIL COMERCIO DE EQUIPAMENTOS EIRELI</v>
      </c>
      <c r="G1035" s="2" t="str">
        <f>IFERROR(VLOOKUP(TAB_OFICINAS[[#This Row],[Cliente]],LISTA_DE_CLIENTES[[Código]:[Nome Fantasia]],3,FALSE),"")</f>
        <v>TOTAL BABY STORE</v>
      </c>
      <c r="H1035" s="51" t="s">
        <v>23962</v>
      </c>
      <c r="I1035" s="28" t="s">
        <v>24417</v>
      </c>
      <c r="J1035" s="91">
        <v>8</v>
      </c>
      <c r="K1035" s="88">
        <v>46253</v>
      </c>
      <c r="L1035" s="9">
        <v>8</v>
      </c>
      <c r="M1035" s="6">
        <v>46260</v>
      </c>
      <c r="N1035" s="6">
        <v>46262</v>
      </c>
      <c r="O1035" s="23">
        <f>TAB_OFICINAS[[#This Row],[Data Retorno Produção]]-TAB_OFICINAS[[#This Row],[Data Prometida  Entrega]]</f>
        <v>2</v>
      </c>
      <c r="P1035" s="98" t="str">
        <f>IF(TAB_OFICINAS[[#This Row],[Dias Para Entrega]]&lt;=0,"Em dia","Dia de Atrasado")</f>
        <v>Dia de Atrasado</v>
      </c>
      <c r="Q1035" s="24">
        <f>IFERROR(TAB_OFICINAS[[#This Row],[Qtd pçs Enviadas]]-TAB_OFICINAS[[#This Row],[Qtd pçs Retornadas ]],"N/D ")</f>
        <v>0</v>
      </c>
      <c r="R1035" s="24"/>
      <c r="S1035" s="5">
        <v>3376</v>
      </c>
      <c r="T1035" s="5">
        <v>17575</v>
      </c>
      <c r="U1035" s="11">
        <v>10</v>
      </c>
      <c r="V1035" s="25">
        <f>IFERROR(TAB_OFICINAS[[#This Row],[Valor Unit]]*TAB_OFICINAS[[#This Row],[Qtd pçs Enviadas]]," ")</f>
        <v>80</v>
      </c>
      <c r="W1035" s="26">
        <v>46272</v>
      </c>
      <c r="X1035" s="17" t="s">
        <v>6251</v>
      </c>
      <c r="Y1035" s="27" t="s">
        <v>24412</v>
      </c>
      <c r="Z10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6" spans="3:26" hidden="1">
      <c r="C1036" s="28" t="s">
        <v>15</v>
      </c>
      <c r="D1036" s="5">
        <v>1942</v>
      </c>
      <c r="E1036" s="5">
        <v>24067</v>
      </c>
      <c r="F1036" s="28" t="str">
        <f>IFERROR(VLOOKUP(TAB_OFICINAS[[#This Row],[Cliente]],LISTA_DE_CLIENTES[[Código]:[Nome Fantasia]],2,FALSE),"")</f>
        <v>ONCO STAR SP ONCOLOGIA LTDA (REDE D´OR)</v>
      </c>
      <c r="G1036" s="2" t="str">
        <f>IFERROR(VLOOKUP(TAB_OFICINAS[[#This Row],[Cliente]],LISTA_DE_CLIENTES[[Código]:[Nome Fantasia]],3,FALSE),"")</f>
        <v>R DOR VILA NOVA STAR</v>
      </c>
      <c r="H1036" s="51">
        <v>2103062485</v>
      </c>
      <c r="I1036" s="28" t="str">
        <f>IFERROR(VLOOKUP(TAB_OFICINAS[[#This Row],[Codigo Produto ]],_000___PEDIDOS_DE_CLIENTES[[Data.Column2]:[Descrição Produto]],2,FALSE)," ")</f>
        <v>FRONHA 4 ABAS 5cm - COM ACABAMENTO FESTONÊ E LOGO BORDADO COR ALABASTRO 07077 - 0,50 X 0,70</v>
      </c>
      <c r="J1036" s="91">
        <v>1004</v>
      </c>
      <c r="K1036" s="88">
        <v>46254</v>
      </c>
      <c r="L1036" s="9">
        <v>1004</v>
      </c>
      <c r="M1036" s="6">
        <v>46260</v>
      </c>
      <c r="N1036" s="6">
        <v>46261</v>
      </c>
      <c r="O1036" s="23">
        <f>TAB_OFICINAS[[#This Row],[Data Retorno Produção]]-TAB_OFICINAS[[#This Row],[Data Prometida  Entrega]]</f>
        <v>1</v>
      </c>
      <c r="P1036" s="98" t="str">
        <f>IF(TAB_OFICINAS[[#This Row],[Dias Para Entrega]]&lt;=0,"Em dia","Dia de Atrasado")</f>
        <v>Dia de Atrasado</v>
      </c>
      <c r="Q1036" s="24">
        <f>IFERROR(TAB_OFICINAS[[#This Row],[Qtd pçs Enviadas]]-TAB_OFICINAS[[#This Row],[Qtd pçs Retornadas ]],"N/D ")</f>
        <v>0</v>
      </c>
      <c r="R1036" s="24"/>
      <c r="S1036" s="5">
        <v>985</v>
      </c>
      <c r="T1036" s="5">
        <v>17561</v>
      </c>
      <c r="U1036" s="11">
        <v>3.85</v>
      </c>
      <c r="V1036" s="25">
        <f>IFERROR(TAB_OFICINAS[[#This Row],[Valor Unit]]*TAB_OFICINAS[[#This Row],[Qtd pçs Enviadas]]," ")</f>
        <v>3865.4</v>
      </c>
      <c r="W1036" s="26">
        <v>46267</v>
      </c>
      <c r="X1036" s="17" t="s">
        <v>6251</v>
      </c>
      <c r="Y1036" s="27" t="s">
        <v>21378</v>
      </c>
      <c r="Z10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7" spans="3:26" hidden="1">
      <c r="C1037" s="28" t="s">
        <v>15</v>
      </c>
      <c r="D1037" s="5">
        <v>3660</v>
      </c>
      <c r="E1037" s="5">
        <v>23695</v>
      </c>
      <c r="F1037" s="28" t="str">
        <f>IFERROR(VLOOKUP(TAB_OFICINAS[[#This Row],[Cliente]],LISTA_DE_CLIENTES[[Código]:[Nome Fantasia]],2,FALSE),"")</f>
        <v>HOSPITAL ESPERANCA SA</v>
      </c>
      <c r="G1037" s="2" t="str">
        <f>IFERROR(VLOOKUP(TAB_OFICINAS[[#This Row],[Cliente]],LISTA_DE_CLIENTES[[Código]:[Nome Fantasia]],3,FALSE),"")</f>
        <v>HOSPITAL ALIANÇA</v>
      </c>
      <c r="H1037" s="51">
        <v>2101067951</v>
      </c>
      <c r="I1037" s="28" t="str">
        <f>IFERROR(VLOOKUP(TAB_OFICINAS[[#This Row],[Codigo Produto ]],_000___PEDIDOS_DE_CLIENTES[[Data.Column2]:[Descrição Produto]],2,FALSE)," ")</f>
        <v>LENÇOL MACA - 180F 100% ALG C/ LOGO BORDADO COR ALABASTRO 07077 - 2,50 X 2,80</v>
      </c>
      <c r="J1037" s="91">
        <v>390</v>
      </c>
      <c r="K1037" s="88">
        <v>46254</v>
      </c>
      <c r="L1037" s="9">
        <v>390</v>
      </c>
      <c r="M1037" s="6">
        <v>46262</v>
      </c>
      <c r="N1037" s="6">
        <v>46262</v>
      </c>
      <c r="O1037" s="23">
        <f>TAB_OFICINAS[[#This Row],[Data Retorno Produção]]-TAB_OFICINAS[[#This Row],[Data Prometida  Entrega]]</f>
        <v>0</v>
      </c>
      <c r="P1037" s="98" t="str">
        <f>IF(TAB_OFICINAS[[#This Row],[Dias Para Entrega]]&lt;=0,"Em dia","Dia de Atrasado")</f>
        <v>Em dia</v>
      </c>
      <c r="Q1037" s="24">
        <f>IFERROR(TAB_OFICINAS[[#This Row],[Qtd pçs Enviadas]]-TAB_OFICINAS[[#This Row],[Qtd pçs Retornadas ]],"N/D ")</f>
        <v>0</v>
      </c>
      <c r="R1037" s="24"/>
      <c r="S1037" s="5">
        <v>985</v>
      </c>
      <c r="T1037" s="5">
        <v>17554</v>
      </c>
      <c r="U1037" s="11">
        <v>3.85</v>
      </c>
      <c r="V1037" s="25">
        <f>IFERROR(TAB_OFICINAS[[#This Row],[Valor Unit]]*TAB_OFICINAS[[#This Row],[Qtd pçs Enviadas]]," ")</f>
        <v>1501.5</v>
      </c>
      <c r="W1037" s="26">
        <v>46266</v>
      </c>
      <c r="X1037" s="17" t="s">
        <v>6251</v>
      </c>
      <c r="Y1037" s="27" t="s">
        <v>21341</v>
      </c>
      <c r="Z10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38" spans="3:26" hidden="1">
      <c r="C1038" s="28" t="s">
        <v>21197</v>
      </c>
      <c r="D1038" s="5">
        <v>5676</v>
      </c>
      <c r="E1038" s="5">
        <v>24047</v>
      </c>
      <c r="F1038" s="28" t="str">
        <f>IFERROR(VLOOKUP(TAB_OFICINAS[[#This Row],[Cliente]],LISTA_DE_CLIENTES[[Código]:[Nome Fantasia]],2,FALSE),"")</f>
        <v>COMERCIO DO ACRILICO &amp; UTILIDADES LTDA</v>
      </c>
      <c r="G1038" s="2" t="str">
        <f>IFERROR(VLOOKUP(TAB_OFICINAS[[#This Row],[Cliente]],LISTA_DE_CLIENTES[[Código]:[Nome Fantasia]],3,FALSE),"")</f>
        <v>COMERCIO DO ACRILICO</v>
      </c>
      <c r="H1038" s="51">
        <v>92115108584</v>
      </c>
      <c r="I1038" s="28" t="str">
        <f>IFERROR(VLOOKUP(TAB_OFICINAS[[#This Row],[Codigo Produto ]],_000___PEDIDOS_DE_CLIENTES[[Data.Column2]:[Descrição Produto]],2,FALSE)," ")</f>
        <v>CAPA ( DUVET ) CLASSIC MOD. MÃOZINHA C/ ENVELOPE - 400F 100% ALGODÃO - 2,90 X 2,45</v>
      </c>
      <c r="J1038" s="91">
        <v>7</v>
      </c>
      <c r="K1038" s="88">
        <v>46252</v>
      </c>
      <c r="M1038" s="6">
        <v>46273</v>
      </c>
      <c r="N1038" s="6">
        <f t="shared" ca="1" si="4"/>
        <v>46315</v>
      </c>
      <c r="O1038" s="23">
        <f ca="1">TAB_OFICINAS[[#This Row],[Data Retorno Produção]]-TAB_OFICINAS[[#This Row],[Data Prometida  Entrega]]</f>
        <v>42</v>
      </c>
      <c r="P1038" s="98" t="str">
        <f ca="1">IF(TAB_OFICINAS[[#This Row],[Dias Para Entrega]]&lt;=0,"Em dia","Dia de Atrasado")</f>
        <v>Dia de Atrasado</v>
      </c>
      <c r="Q1038" s="24">
        <f>IFERROR(TAB_OFICINAS[[#This Row],[Qtd pçs Enviadas]]-TAB_OFICINAS[[#This Row],[Qtd pçs Retornadas ]],"N/D ")</f>
        <v>7</v>
      </c>
      <c r="R1038" s="24"/>
      <c r="S1038" s="5">
        <v>3375</v>
      </c>
      <c r="U1038" s="11">
        <v>16</v>
      </c>
      <c r="V1038" s="25">
        <f>IFERROR(TAB_OFICINAS[[#This Row],[Valor Unit]]*TAB_OFICINAS[[#This Row],[Qtd pçs Enviadas]]," ")</f>
        <v>112</v>
      </c>
      <c r="W1038" s="26"/>
      <c r="X1038" s="17" t="s">
        <v>6251</v>
      </c>
      <c r="Y1038" s="27"/>
      <c r="Z1038" s="90" t="str">
        <f>IF(TAB_OFICINAS[[#This Row],[Qtd pçs Enviadas]]=TAB_OFICINAS[[#This Row],[Qtd pçs Retornadas ]],"Produção Finalizada",TAB_OFICINAS[[#This Row],[Qtd pçs Pendetente ]] &amp; " " &amp; "Pçs Pendente")</f>
        <v>7 Pçs Pendente</v>
      </c>
    </row>
    <row r="1039" spans="3:26" hidden="1">
      <c r="C1039" s="28" t="s">
        <v>21197</v>
      </c>
      <c r="D1039" s="5">
        <v>5676</v>
      </c>
      <c r="E1039" s="5">
        <v>24047</v>
      </c>
      <c r="F1039" s="28" t="str">
        <f>IFERROR(VLOOKUP(TAB_OFICINAS[[#This Row],[Cliente]],LISTA_DE_CLIENTES[[Código]:[Nome Fantasia]],2,FALSE),"")</f>
        <v>COMERCIO DO ACRILICO &amp; UTILIDADES LTDA</v>
      </c>
      <c r="G1039" s="2" t="str">
        <f>IFERROR(VLOOKUP(TAB_OFICINAS[[#This Row],[Cliente]],LISTA_DE_CLIENTES[[Código]:[Nome Fantasia]],3,FALSE),"")</f>
        <v>COMERCIO DO ACRILICO</v>
      </c>
      <c r="H1039" s="51">
        <v>92115105214</v>
      </c>
      <c r="I1039" s="28" t="str">
        <f>IFERROR(VLOOKUP(TAB_OFICINAS[[#This Row],[Codigo Produto ]],_000___PEDIDOS_DE_CLIENTES[[Data.Column2]:[Descrição Produto]],2,FALSE)," ")</f>
        <v>CAPA DE DUVET (EDRED) 400F 100% ALGODÃO ACAB. CLASSIC 2,50 X 2,45</v>
      </c>
      <c r="J1039" s="91">
        <v>20</v>
      </c>
      <c r="K1039" s="88">
        <v>46252</v>
      </c>
      <c r="M1039" s="6">
        <v>46273</v>
      </c>
      <c r="N1039" s="6">
        <f t="shared" ca="1" si="4"/>
        <v>46315</v>
      </c>
      <c r="O1039" s="23">
        <f ca="1">TAB_OFICINAS[[#This Row],[Data Retorno Produção]]-TAB_OFICINAS[[#This Row],[Data Prometida  Entrega]]</f>
        <v>42</v>
      </c>
      <c r="P1039" s="98" t="str">
        <f ca="1">IF(TAB_OFICINAS[[#This Row],[Dias Para Entrega]]&lt;=0,"Em dia","Dia de Atrasado")</f>
        <v>Dia de Atrasado</v>
      </c>
      <c r="Q1039" s="24">
        <f>IFERROR(TAB_OFICINAS[[#This Row],[Qtd pçs Enviadas]]-TAB_OFICINAS[[#This Row],[Qtd pçs Retornadas ]],"N/D ")</f>
        <v>20</v>
      </c>
      <c r="R1039" s="24"/>
      <c r="S1039" s="5">
        <v>3375</v>
      </c>
      <c r="U1039" s="11">
        <v>15</v>
      </c>
      <c r="V1039" s="25">
        <f>IFERROR(TAB_OFICINAS[[#This Row],[Valor Unit]]*TAB_OFICINAS[[#This Row],[Qtd pçs Enviadas]]," ")</f>
        <v>300</v>
      </c>
      <c r="W1039" s="26"/>
      <c r="X1039" s="17" t="s">
        <v>6251</v>
      </c>
      <c r="Y1039" s="27"/>
      <c r="Z1039" s="90" t="str">
        <f>IF(TAB_OFICINAS[[#This Row],[Qtd pçs Enviadas]]=TAB_OFICINAS[[#This Row],[Qtd pçs Retornadas ]],"Produção Finalizada",TAB_OFICINAS[[#This Row],[Qtd pçs Pendetente ]] &amp; " " &amp; "Pçs Pendente")</f>
        <v>20 Pçs Pendente</v>
      </c>
    </row>
    <row r="1040" spans="3:26" hidden="1">
      <c r="C1040" s="28" t="s">
        <v>21197</v>
      </c>
      <c r="D1040" s="5">
        <v>5676</v>
      </c>
      <c r="E1040" s="5">
        <v>24047</v>
      </c>
      <c r="F1040" s="28" t="str">
        <f>IFERROR(VLOOKUP(TAB_OFICINAS[[#This Row],[Cliente]],LISTA_DE_CLIENTES[[Código]:[Nome Fantasia]],2,FALSE),"")</f>
        <v>COMERCIO DO ACRILICO &amp; UTILIDADES LTDA</v>
      </c>
      <c r="G1040" s="2" t="str">
        <f>IFERROR(VLOOKUP(TAB_OFICINAS[[#This Row],[Cliente]],LISTA_DE_CLIENTES[[Código]:[Nome Fantasia]],3,FALSE),"")</f>
        <v>COMERCIO DO ACRILICO</v>
      </c>
      <c r="H1040" s="51">
        <v>92115105215</v>
      </c>
      <c r="I1040" s="28" t="str">
        <f>IFERROR(VLOOKUP(TAB_OFICINAS[[#This Row],[Codigo Produto ]],_000___PEDIDOS_DE_CLIENTES[[Data.Column2]:[Descrição Produto]],2,FALSE)," ")</f>
        <v>CAPA (DUVET) CLASSIC MOD. MÃOZINHA C/ ENVELOPE 400F 100% ALGODÃO 2,30 X 2,45</v>
      </c>
      <c r="J1040" s="91">
        <v>6</v>
      </c>
      <c r="K1040" s="88">
        <v>46252</v>
      </c>
      <c r="M1040" s="6">
        <v>46273</v>
      </c>
      <c r="N1040" s="6">
        <f t="shared" ca="1" si="4"/>
        <v>46315</v>
      </c>
      <c r="O1040" s="23">
        <f ca="1">TAB_OFICINAS[[#This Row],[Data Retorno Produção]]-TAB_OFICINAS[[#This Row],[Data Prometida  Entrega]]</f>
        <v>42</v>
      </c>
      <c r="P1040" s="98" t="str">
        <f ca="1">IF(TAB_OFICINAS[[#This Row],[Dias Para Entrega]]&lt;=0,"Em dia","Dia de Atrasado")</f>
        <v>Dia de Atrasado</v>
      </c>
      <c r="Q1040" s="24">
        <f>IFERROR(TAB_OFICINAS[[#This Row],[Qtd pçs Enviadas]]-TAB_OFICINAS[[#This Row],[Qtd pçs Retornadas ]],"N/D ")</f>
        <v>6</v>
      </c>
      <c r="R1040" s="24"/>
      <c r="S1040" s="5">
        <v>3375</v>
      </c>
      <c r="U1040" s="11">
        <v>15</v>
      </c>
      <c r="V1040" s="25">
        <f>IFERROR(TAB_OFICINAS[[#This Row],[Valor Unit]]*TAB_OFICINAS[[#This Row],[Qtd pçs Enviadas]]," ")</f>
        <v>90</v>
      </c>
      <c r="W1040" s="26"/>
      <c r="X1040" s="17" t="s">
        <v>6251</v>
      </c>
      <c r="Y1040" s="27"/>
      <c r="Z1040" s="90" t="str">
        <f>IF(TAB_OFICINAS[[#This Row],[Qtd pçs Enviadas]]=TAB_OFICINAS[[#This Row],[Qtd pçs Retornadas ]],"Produção Finalizada",TAB_OFICINAS[[#This Row],[Qtd pçs Pendetente ]] &amp; " " &amp; "Pçs Pendente")</f>
        <v>6 Pçs Pendente</v>
      </c>
    </row>
    <row r="1041" spans="3:26" hidden="1">
      <c r="C1041" s="28" t="s">
        <v>21197</v>
      </c>
      <c r="D1041" s="5">
        <v>5676</v>
      </c>
      <c r="E1041" s="5">
        <v>24047</v>
      </c>
      <c r="F1041" s="28" t="str">
        <f>IFERROR(VLOOKUP(TAB_OFICINAS[[#This Row],[Cliente]],LISTA_DE_CLIENTES[[Código]:[Nome Fantasia]],2,FALSE),"")</f>
        <v>COMERCIO DO ACRILICO &amp; UTILIDADES LTDA</v>
      </c>
      <c r="G1041" s="2" t="str">
        <f>IFERROR(VLOOKUP(TAB_OFICINAS[[#This Row],[Cliente]],LISTA_DE_CLIENTES[[Código]:[Nome Fantasia]],3,FALSE),"")</f>
        <v>COMERCIO DO ACRILICO</v>
      </c>
      <c r="H1041" s="51">
        <v>90103012167</v>
      </c>
      <c r="I1041" s="28" t="str">
        <f>IFERROR(VLOOKUP(TAB_OFICINAS[[#This Row],[Codigo Produto ]],_000___PEDIDOS_DE_CLIENTES[[Data.Column2]:[Descrição Produto]],2,FALSE)," ")</f>
        <v>CAPA (DUVET) CLASSIC MOD. MÃOZINHA C/ ENVELOPE 400F 100% ALGODÃO 1,80 X 2,40</v>
      </c>
      <c r="J1041" s="91">
        <v>16</v>
      </c>
      <c r="K1041" s="88">
        <v>46252</v>
      </c>
      <c r="M1041" s="6">
        <v>46273</v>
      </c>
      <c r="N1041" s="6">
        <f t="shared" ca="1" si="4"/>
        <v>46315</v>
      </c>
      <c r="O1041" s="23">
        <f ca="1">TAB_OFICINAS[[#This Row],[Data Retorno Produção]]-TAB_OFICINAS[[#This Row],[Data Prometida  Entrega]]</f>
        <v>42</v>
      </c>
      <c r="P1041" s="98" t="str">
        <f ca="1">IF(TAB_OFICINAS[[#This Row],[Dias Para Entrega]]&lt;=0,"Em dia","Dia de Atrasado")</f>
        <v>Dia de Atrasado</v>
      </c>
      <c r="Q1041" s="24">
        <f>IFERROR(TAB_OFICINAS[[#This Row],[Qtd pçs Enviadas]]-TAB_OFICINAS[[#This Row],[Qtd pçs Retornadas ]],"N/D ")</f>
        <v>16</v>
      </c>
      <c r="R1041" s="24"/>
      <c r="S1041" s="5">
        <v>3375</v>
      </c>
      <c r="U1041" s="11">
        <v>10.5</v>
      </c>
      <c r="V1041" s="25">
        <f>IFERROR(TAB_OFICINAS[[#This Row],[Valor Unit]]*TAB_OFICINAS[[#This Row],[Qtd pçs Enviadas]]," ")</f>
        <v>168</v>
      </c>
      <c r="W1041" s="26"/>
      <c r="X1041" s="17" t="s">
        <v>6251</v>
      </c>
      <c r="Y1041" s="27"/>
      <c r="Z1041" s="90" t="str">
        <f>IF(TAB_OFICINAS[[#This Row],[Qtd pçs Enviadas]]=TAB_OFICINAS[[#This Row],[Qtd pçs Retornadas ]],"Produção Finalizada",TAB_OFICINAS[[#This Row],[Qtd pçs Pendetente ]] &amp; " " &amp; "Pçs Pendente")</f>
        <v>16 Pçs Pendente</v>
      </c>
    </row>
    <row r="1042" spans="3:26" hidden="1">
      <c r="C1042" s="28" t="s">
        <v>21197</v>
      </c>
      <c r="D1042" s="5">
        <v>1942</v>
      </c>
      <c r="E1042" s="5">
        <v>24067</v>
      </c>
      <c r="F1042" s="28" t="str">
        <f>IFERROR(VLOOKUP(TAB_OFICINAS[[#This Row],[Cliente]],LISTA_DE_CLIENTES[[Código]:[Nome Fantasia]],2,FALSE),"")</f>
        <v>ONCO STAR SP ONCOLOGIA LTDA (REDE D´OR)</v>
      </c>
      <c r="G1042" s="2" t="str">
        <f>IFERROR(VLOOKUP(TAB_OFICINAS[[#This Row],[Cliente]],LISTA_DE_CLIENTES[[Código]:[Nome Fantasia]],3,FALSE),"")</f>
        <v>R DOR VILA NOVA STAR</v>
      </c>
      <c r="H1042" s="51">
        <v>210112487</v>
      </c>
      <c r="I1042" s="28" t="str">
        <f>IFERROR(VLOOKUP(TAB_OFICINAS[[#This Row],[Codigo Produto ]],_000___PEDIDOS_DE_CLIENTES[[Data.Column2]:[Descrição Produto]],2,FALSE)," ")</f>
        <v>LENÇOL BRANCO P/ MACA - 400F 100% ALG - C0M LOGO BORDADO COR ALABASTRO 07077 - 1,70 X 2,50</v>
      </c>
      <c r="J1042" s="91">
        <v>251</v>
      </c>
      <c r="K1042" s="88">
        <v>46252</v>
      </c>
      <c r="M1042" s="6">
        <v>46261</v>
      </c>
      <c r="N1042" s="6">
        <f t="shared" ca="1" si="4"/>
        <v>46315</v>
      </c>
      <c r="O1042" s="23">
        <f ca="1">TAB_OFICINAS[[#This Row],[Data Retorno Produção]]-TAB_OFICINAS[[#This Row],[Data Prometida  Entrega]]</f>
        <v>54</v>
      </c>
      <c r="P1042" s="98" t="str">
        <f ca="1">IF(TAB_OFICINAS[[#This Row],[Dias Para Entrega]]&lt;=0,"Em dia","Dia de Atrasado")</f>
        <v>Dia de Atrasado</v>
      </c>
      <c r="Q1042" s="24">
        <f>IFERROR(TAB_OFICINAS[[#This Row],[Qtd pçs Enviadas]]-TAB_OFICINAS[[#This Row],[Qtd pçs Retornadas ]],"N/D ")</f>
        <v>251</v>
      </c>
      <c r="R1042" s="24"/>
      <c r="S1042" s="5">
        <v>3375</v>
      </c>
      <c r="U1042" s="11">
        <v>4.5</v>
      </c>
      <c r="V1042" s="25">
        <f>IFERROR(TAB_OFICINAS[[#This Row],[Valor Unit]]*TAB_OFICINAS[[#This Row],[Qtd pçs Enviadas]]," ")</f>
        <v>1129.5</v>
      </c>
      <c r="W1042" s="26"/>
      <c r="X1042" s="17" t="s">
        <v>6251</v>
      </c>
      <c r="Y1042" s="27"/>
      <c r="Z1042" s="90" t="str">
        <f>IF(TAB_OFICINAS[[#This Row],[Qtd pçs Enviadas]]=TAB_OFICINAS[[#This Row],[Qtd pçs Retornadas ]],"Produção Finalizada",TAB_OFICINAS[[#This Row],[Qtd pçs Pendetente ]] &amp; " " &amp; "Pçs Pendente")</f>
        <v>251 Pçs Pendente</v>
      </c>
    </row>
    <row r="1043" spans="3:26" hidden="1">
      <c r="C1043" s="28" t="s">
        <v>7</v>
      </c>
      <c r="F1043" s="28" t="s">
        <v>23619</v>
      </c>
      <c r="G1043" s="2" t="s">
        <v>24419</v>
      </c>
      <c r="H1043" s="51" t="s">
        <v>24420</v>
      </c>
      <c r="I1043" s="28" t="s">
        <v>24421</v>
      </c>
      <c r="J1043" s="91">
        <v>1</v>
      </c>
      <c r="K1043" s="88">
        <v>46248</v>
      </c>
      <c r="L1043" s="9">
        <v>1</v>
      </c>
      <c r="M1043" s="6">
        <v>46249</v>
      </c>
      <c r="N1043" s="6">
        <v>46249</v>
      </c>
      <c r="O1043" s="23">
        <f>TAB_OFICINAS[[#This Row],[Data Retorno Produção]]-TAB_OFICINAS[[#This Row],[Data Prometida  Entrega]]</f>
        <v>0</v>
      </c>
      <c r="P1043" s="98" t="str">
        <f>IF(TAB_OFICINAS[[#This Row],[Dias Para Entrega]]&lt;=0,"Em dia","Dia de Atrasado")</f>
        <v>Em dia</v>
      </c>
      <c r="Q1043" s="24">
        <f>IFERROR(TAB_OFICINAS[[#This Row],[Qtd pçs Enviadas]]-TAB_OFICINAS[[#This Row],[Qtd pçs Retornadas ]],"N/D ")</f>
        <v>0</v>
      </c>
      <c r="R1043" s="24"/>
      <c r="S1043" s="5">
        <v>973</v>
      </c>
      <c r="T1043" s="5">
        <v>55</v>
      </c>
      <c r="U1043" s="11">
        <v>6</v>
      </c>
      <c r="V1043" s="25">
        <f>IFERROR(TAB_OFICINAS[[#This Row],[Valor Unit]]*TAB_OFICINAS[[#This Row],[Qtd pçs Enviadas]]," ")</f>
        <v>6</v>
      </c>
      <c r="W1043" s="26">
        <v>46265</v>
      </c>
      <c r="X1043" s="17" t="s">
        <v>6251</v>
      </c>
      <c r="Y1043" s="27"/>
      <c r="Z10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44" spans="3:26" hidden="1">
      <c r="C1044" s="28" t="s">
        <v>7</v>
      </c>
      <c r="D1044" s="5">
        <v>5671</v>
      </c>
      <c r="E1044" s="5">
        <v>24176</v>
      </c>
      <c r="F1044" s="28" t="str">
        <f>IFERROR(VLOOKUP(TAB_OFICINAS[[#This Row],[Cliente]],LISTA_DE_CLIENTES[[Código]:[Nome Fantasia]],2,FALSE),"")</f>
        <v>GABRIELY ORIANI THOMASELLA</v>
      </c>
      <c r="G1044" s="2" t="s">
        <v>24422</v>
      </c>
      <c r="H1044" s="51" t="s">
        <v>24420</v>
      </c>
      <c r="I1044" s="28" t="s">
        <v>24424</v>
      </c>
      <c r="J1044" s="91">
        <v>2</v>
      </c>
      <c r="K1044" s="88">
        <v>46248</v>
      </c>
      <c r="L1044" s="9">
        <v>2</v>
      </c>
      <c r="M1044" s="6">
        <v>46249</v>
      </c>
      <c r="N1044" s="6">
        <v>46249</v>
      </c>
      <c r="O1044" s="23">
        <f>TAB_OFICINAS[[#This Row],[Data Retorno Produção]]-TAB_OFICINAS[[#This Row],[Data Prometida  Entrega]]</f>
        <v>0</v>
      </c>
      <c r="P1044" s="98" t="str">
        <f>IF(TAB_OFICINAS[[#This Row],[Dias Para Entrega]]&lt;=0,"Em dia","Dia de Atrasado")</f>
        <v>Em dia</v>
      </c>
      <c r="Q1044" s="24">
        <f>IFERROR(TAB_OFICINAS[[#This Row],[Qtd pçs Enviadas]]-TAB_OFICINAS[[#This Row],[Qtd pçs Retornadas ]],"N/D ")</f>
        <v>0</v>
      </c>
      <c r="R1044" s="24"/>
      <c r="S1044" s="5">
        <v>973</v>
      </c>
      <c r="T1044" s="5">
        <v>55</v>
      </c>
      <c r="U1044" s="11">
        <v>6</v>
      </c>
      <c r="V1044" s="25">
        <f>IFERROR(TAB_OFICINAS[[#This Row],[Valor Unit]]*TAB_OFICINAS[[#This Row],[Qtd pçs Enviadas]]," ")</f>
        <v>12</v>
      </c>
      <c r="W1044" s="26" t="s">
        <v>24426</v>
      </c>
      <c r="X1044" s="17" t="s">
        <v>6251</v>
      </c>
      <c r="Y1044" s="27"/>
      <c r="Z10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45" spans="3:26" hidden="1">
      <c r="C1045" s="28" t="s">
        <v>7</v>
      </c>
      <c r="D1045" s="5">
        <v>5671</v>
      </c>
      <c r="E1045" s="5">
        <v>24176</v>
      </c>
      <c r="F1045" s="28" t="str">
        <f>IFERROR(VLOOKUP(TAB_OFICINAS[[#This Row],[Cliente]],LISTA_DE_CLIENTES[[Código]:[Nome Fantasia]],2,FALSE),"")</f>
        <v>GABRIELY ORIANI THOMASELLA</v>
      </c>
      <c r="G1045" s="2" t="str">
        <f>IFERROR(VLOOKUP(TAB_OFICINAS[[#This Row],[Cliente]],LISTA_DE_CLIENTES[[Código]:[Nome Fantasia]],3,FALSE),"")</f>
        <v>GABRIELY ORIANI THOM</v>
      </c>
      <c r="H1045" s="51" t="s">
        <v>24420</v>
      </c>
      <c r="I1045" s="28" t="s">
        <v>24425</v>
      </c>
      <c r="J1045" s="91">
        <v>1</v>
      </c>
      <c r="K1045" s="88">
        <v>46248</v>
      </c>
      <c r="L1045" s="9">
        <v>1</v>
      </c>
      <c r="M1045" s="6">
        <v>46248</v>
      </c>
      <c r="N1045" s="6">
        <v>46248</v>
      </c>
      <c r="O1045" s="23">
        <f>TAB_OFICINAS[[#This Row],[Data Retorno Produção]]-TAB_OFICINAS[[#This Row],[Data Prometida  Entrega]]</f>
        <v>0</v>
      </c>
      <c r="P1045" s="98" t="str">
        <f>IF(TAB_OFICINAS[[#This Row],[Dias Para Entrega]]&lt;=0,"Em dia","Dia de Atrasado")</f>
        <v>Em dia</v>
      </c>
      <c r="Q1045" s="24">
        <f>IFERROR(TAB_OFICINAS[[#This Row],[Qtd pçs Enviadas]]-TAB_OFICINAS[[#This Row],[Qtd pçs Retornadas ]],"N/D ")</f>
        <v>0</v>
      </c>
      <c r="R1045" s="24"/>
      <c r="S1045" s="5">
        <v>973</v>
      </c>
      <c r="T1045" s="5">
        <v>55</v>
      </c>
      <c r="U1045" s="11">
        <v>12</v>
      </c>
      <c r="V1045" s="25">
        <f>IFERROR(TAB_OFICINAS[[#This Row],[Valor Unit]]*TAB_OFICINAS[[#This Row],[Qtd pçs Enviadas]]," ")</f>
        <v>12</v>
      </c>
      <c r="W1045" s="26">
        <v>46265</v>
      </c>
      <c r="X1045" s="17" t="s">
        <v>6251</v>
      </c>
      <c r="Y1045" s="27"/>
      <c r="Z10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046" spans="3:26" hidden="1">
      <c r="C1046" s="28" t="s">
        <v>3</v>
      </c>
      <c r="D1046" s="5">
        <v>5679</v>
      </c>
      <c r="E1046" s="5">
        <v>24047</v>
      </c>
      <c r="F1046" s="28" t="str">
        <f>IFERROR(VLOOKUP(TAB_OFICINAS[[#This Row],[Cliente]],LISTA_DE_CLIENTES[[Código]:[Nome Fantasia]],2,FALSE),"")</f>
        <v>MMCA COMERCIO E CONFECCAO DE ROUPAS E DECORACOES L</v>
      </c>
      <c r="G1046" s="2" t="str">
        <f>IFERROR(VLOOKUP(TAB_OFICINAS[[#This Row],[Cliente]],LISTA_DE_CLIENTES[[Código]:[Nome Fantasia]],3,FALSE),"")</f>
        <v>MMCA COMERCIO E CONF</v>
      </c>
      <c r="H1046" s="51">
        <v>92101109688</v>
      </c>
      <c r="I1046" s="28" t="str">
        <f>IFERROR(VLOOKUP(TAB_OFICINAS[[#This Row],[Codigo Produto ]],_000___PEDIDOS_DE_CLIENTES[[Data.Column2]:[Descrição Produto]],2,FALSE)," ")</f>
        <v>LENÇOL BARRA ESTREITA 4 LADOS - 400F 100% ALGODÃO - 2,90 X 2,90</v>
      </c>
      <c r="J1046" s="91">
        <v>3</v>
      </c>
      <c r="K1046" s="88">
        <v>46251</v>
      </c>
      <c r="M1046" s="6">
        <v>46262</v>
      </c>
      <c r="N1046" s="6">
        <v>46255</v>
      </c>
      <c r="O1046" s="23">
        <f>TAB_OFICINAS[[#This Row],[Data Retorno Produção]]-TAB_OFICINAS[[#This Row],[Data Prometida  Entrega]]</f>
        <v>-7</v>
      </c>
      <c r="P1046" s="98" t="str">
        <f>IF(TAB_OFICINAS[[#This Row],[Dias Para Entrega]]&lt;=0,"Em dia","Dia de Atrasado")</f>
        <v>Em dia</v>
      </c>
      <c r="Q1046" s="24">
        <v>0</v>
      </c>
      <c r="R1046" s="24"/>
      <c r="S1046" s="5">
        <v>372</v>
      </c>
      <c r="T1046" s="5">
        <v>126</v>
      </c>
      <c r="U1046" s="11">
        <v>8</v>
      </c>
      <c r="V1046" s="25">
        <f>IFERROR(TAB_OFICINAS[[#This Row],[Valor Unit]]*TAB_OFICINAS[[#This Row],[Qtd pçs Enviadas]]," ")</f>
        <v>24</v>
      </c>
      <c r="W1046" s="26"/>
      <c r="X1046" s="17" t="s">
        <v>6251</v>
      </c>
      <c r="Y1046" s="27"/>
      <c r="Z1046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47" spans="3:26" hidden="1">
      <c r="C1047" s="28" t="s">
        <v>3</v>
      </c>
      <c r="D1047" s="5">
        <v>5679</v>
      </c>
      <c r="E1047" s="5">
        <v>24047</v>
      </c>
      <c r="F1047" s="28" t="str">
        <f>IFERROR(VLOOKUP(TAB_OFICINAS[[#This Row],[Cliente]],LISTA_DE_CLIENTES[[Código]:[Nome Fantasia]],2,FALSE),"")</f>
        <v>MMCA COMERCIO E CONFECCAO DE ROUPAS E DECORACOES L</v>
      </c>
      <c r="G1047" s="2" t="str">
        <f>IFERROR(VLOOKUP(TAB_OFICINAS[[#This Row],[Cliente]],LISTA_DE_CLIENTES[[Código]:[Nome Fantasia]],3,FALSE),"")</f>
        <v>MMCA COMERCIO E CONF</v>
      </c>
      <c r="H1047" s="51">
        <v>92101105008</v>
      </c>
      <c r="I1047" s="28" t="str">
        <f>IFERROR(VLOOKUP(TAB_OFICINAS[[#This Row],[Codigo Produto ]],_000___PEDIDOS_DE_CLIENTES[[Data.Column2]:[Descrição Produto]],2,FALSE)," ")</f>
        <v>LENÇOL BARRA ESTREITA 4 LADOS - 400F 100% ALGODÃO - 2,50 X 2,90</v>
      </c>
      <c r="J1047" s="91">
        <v>9</v>
      </c>
      <c r="K1047" s="88">
        <v>46251</v>
      </c>
      <c r="M1047" s="6">
        <v>46262</v>
      </c>
      <c r="N1047" s="6">
        <v>46255</v>
      </c>
      <c r="O1047" s="23">
        <f>TAB_OFICINAS[[#This Row],[Data Retorno Produção]]-TAB_OFICINAS[[#This Row],[Data Prometida  Entrega]]</f>
        <v>-7</v>
      </c>
      <c r="P1047" s="98" t="str">
        <f>IF(TAB_OFICINAS[[#This Row],[Dias Para Entrega]]&lt;=0,"Em dia","Dia de Atrasado")</f>
        <v>Em dia</v>
      </c>
      <c r="Q1047" s="24">
        <v>0</v>
      </c>
      <c r="R1047" s="24"/>
      <c r="S1047" s="5">
        <v>3372</v>
      </c>
      <c r="T1047" s="5">
        <v>126</v>
      </c>
      <c r="U1047" s="11">
        <v>6</v>
      </c>
      <c r="V1047" s="25">
        <f>IFERROR(TAB_OFICINAS[[#This Row],[Valor Unit]]*TAB_OFICINAS[[#This Row],[Qtd pçs Enviadas]]," ")</f>
        <v>54</v>
      </c>
      <c r="W1047" s="26"/>
      <c r="X1047" s="17" t="s">
        <v>6251</v>
      </c>
      <c r="Y1047" s="27"/>
      <c r="Z1047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48" spans="3:26" hidden="1">
      <c r="C1048" s="28" t="s">
        <v>3</v>
      </c>
      <c r="D1048" s="5">
        <v>5679</v>
      </c>
      <c r="E1048" s="5">
        <v>24047</v>
      </c>
      <c r="F1048" s="28" t="str">
        <f>IFERROR(VLOOKUP(TAB_OFICINAS[[#This Row],[Cliente]],LISTA_DE_CLIENTES[[Código]:[Nome Fantasia]],2,FALSE),"")</f>
        <v>MMCA COMERCIO E CONFECCAO DE ROUPAS E DECORACOES L</v>
      </c>
      <c r="G1048" s="2" t="str">
        <f>IFERROR(VLOOKUP(TAB_OFICINAS[[#This Row],[Cliente]],LISTA_DE_CLIENTES[[Código]:[Nome Fantasia]],3,FALSE),"")</f>
        <v>MMCA COMERCIO E CONF</v>
      </c>
      <c r="H1048" s="51">
        <v>92101062691</v>
      </c>
      <c r="I1048" s="28" t="str">
        <f>IFERROR(VLOOKUP(TAB_OFICINAS[[#This Row],[Codigo Produto ]],_000___PEDIDOS_DE_CLIENTES[[Data.Column2]:[Descrição Produto]],2,FALSE)," ")</f>
        <v>LENÇOL BARRA ESTREITA 4 LADOS 400F 100% ALGODÃO 2,30 X 2,90</v>
      </c>
      <c r="J1048" s="91">
        <v>2</v>
      </c>
      <c r="K1048" s="88">
        <v>46251</v>
      </c>
      <c r="M1048" s="6">
        <v>46262</v>
      </c>
      <c r="N1048" s="6">
        <v>46255</v>
      </c>
      <c r="O1048" s="23">
        <f>TAB_OFICINAS[[#This Row],[Data Retorno Produção]]-TAB_OFICINAS[[#This Row],[Data Prometida  Entrega]]</f>
        <v>-7</v>
      </c>
      <c r="P1048" s="98" t="str">
        <f>IF(TAB_OFICINAS[[#This Row],[Dias Para Entrega]]&lt;=0,"Em dia","Dia de Atrasado")</f>
        <v>Em dia</v>
      </c>
      <c r="Q1048" s="24">
        <v>0</v>
      </c>
      <c r="R1048" s="24"/>
      <c r="S1048" s="5">
        <v>3372</v>
      </c>
      <c r="T1048" s="5">
        <v>126</v>
      </c>
      <c r="U1048" s="11">
        <v>5.5</v>
      </c>
      <c r="V1048" s="25">
        <f>IFERROR(TAB_OFICINAS[[#This Row],[Valor Unit]]*TAB_OFICINAS[[#This Row],[Qtd pçs Enviadas]]," ")</f>
        <v>11</v>
      </c>
      <c r="W1048" s="26"/>
      <c r="X1048" s="17" t="s">
        <v>6251</v>
      </c>
      <c r="Y1048" s="27"/>
      <c r="Z1048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49" spans="3:26" hidden="1">
      <c r="C1049" s="28" t="s">
        <v>3</v>
      </c>
      <c r="D1049" s="5">
        <v>5679</v>
      </c>
      <c r="E1049" s="5">
        <v>24047</v>
      </c>
      <c r="F1049" s="28" t="str">
        <f>IFERROR(VLOOKUP(TAB_OFICINAS[[#This Row],[Cliente]],LISTA_DE_CLIENTES[[Código]:[Nome Fantasia]],2,FALSE),"")</f>
        <v>MMCA COMERCIO E CONFECCAO DE ROUPAS E DECORACOES L</v>
      </c>
      <c r="G1049" s="2" t="str">
        <f>IFERROR(VLOOKUP(TAB_OFICINAS[[#This Row],[Cliente]],LISTA_DE_CLIENTES[[Código]:[Nome Fantasia]],3,FALSE),"")</f>
        <v>MMCA COMERCIO E CONF</v>
      </c>
      <c r="H1049" s="51">
        <v>93105012478</v>
      </c>
      <c r="I1049" s="28" t="str">
        <f>IFERROR(VLOOKUP(TAB_OFICINAS[[#This Row],[Codigo Produto ]],_000___PEDIDOS_DE_CLIENTES[[Data.Column2]:[Descrição Produto]],2,FALSE)," ")</f>
        <v>LENÇOL BARRA ESTREITA 4 LADOS 400F 100% ALGODÃO 1,80 X 2,80</v>
      </c>
      <c r="J1049" s="91">
        <v>9</v>
      </c>
      <c r="K1049" s="88">
        <v>46251</v>
      </c>
      <c r="M1049" s="6">
        <v>46262</v>
      </c>
      <c r="N1049" s="6">
        <v>46255</v>
      </c>
      <c r="O1049" s="23">
        <f>TAB_OFICINAS[[#This Row],[Data Retorno Produção]]-TAB_OFICINAS[[#This Row],[Data Prometida  Entrega]]</f>
        <v>-7</v>
      </c>
      <c r="P1049" s="98" t="str">
        <f>IF(TAB_OFICINAS[[#This Row],[Dias Para Entrega]]&lt;=0,"Em dia","Dia de Atrasado")</f>
        <v>Em dia</v>
      </c>
      <c r="Q1049" s="24">
        <v>0</v>
      </c>
      <c r="R1049" s="24"/>
      <c r="S1049" s="5">
        <v>3372</v>
      </c>
      <c r="T1049" s="5">
        <v>126</v>
      </c>
      <c r="U1049" s="11">
        <v>4.5</v>
      </c>
      <c r="V1049" s="25">
        <f>IFERROR(TAB_OFICINAS[[#This Row],[Valor Unit]]*TAB_OFICINAS[[#This Row],[Qtd pçs Enviadas]]," ")</f>
        <v>40.5</v>
      </c>
      <c r="W1049" s="26"/>
      <c r="X1049" s="17" t="s">
        <v>6251</v>
      </c>
      <c r="Y1049" s="27"/>
      <c r="Z1049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0" spans="3:26" hidden="1">
      <c r="C1050" s="28" t="s">
        <v>3</v>
      </c>
      <c r="D1050" s="5">
        <v>5679</v>
      </c>
      <c r="E1050" s="5">
        <v>24047</v>
      </c>
      <c r="F1050" s="28" t="str">
        <f>IFERROR(VLOOKUP(TAB_OFICINAS[[#This Row],[Cliente]],LISTA_DE_CLIENTES[[Código]:[Nome Fantasia]],2,FALSE),"")</f>
        <v>MMCA COMERCIO E CONFECCAO DE ROUPAS E DECORACOES L</v>
      </c>
      <c r="G1050" s="2" t="str">
        <f>IFERROR(VLOOKUP(TAB_OFICINAS[[#This Row],[Cliente]],LISTA_DE_CLIENTES[[Código]:[Nome Fantasia]],3,FALSE),"")</f>
        <v>MMCA COMERCIO E CONF</v>
      </c>
      <c r="H1050" s="51">
        <v>92102388538</v>
      </c>
      <c r="I1050" s="28" t="str">
        <f>IFERROR(VLOOKUP(TAB_OFICINAS[[#This Row],[Codigo Produto ]],_000___PEDIDOS_DE_CLIENTES[[Data.Column2]:[Descrição Produto]],2,FALSE)," ")</f>
        <v>LENÇOL CIMA - 400F 100% ALGODÃO - ACAB. FESTONÊ COR BRANCO - 2,90 X 2,45</v>
      </c>
      <c r="J1050" s="91">
        <v>3</v>
      </c>
      <c r="K1050" s="88">
        <v>46251</v>
      </c>
      <c r="M1050" s="6">
        <v>46262</v>
      </c>
      <c r="N1050" s="6">
        <v>46255</v>
      </c>
      <c r="O1050" s="23">
        <f>TAB_OFICINAS[[#This Row],[Data Retorno Produção]]-TAB_OFICINAS[[#This Row],[Data Prometida  Entrega]]</f>
        <v>-7</v>
      </c>
      <c r="P1050" s="98" t="str">
        <f>IF(TAB_OFICINAS[[#This Row],[Dias Para Entrega]]&lt;=0,"Em dia","Dia de Atrasado")</f>
        <v>Em dia</v>
      </c>
      <c r="Q1050" s="24">
        <v>0</v>
      </c>
      <c r="R1050" s="24"/>
      <c r="S1050" s="5">
        <v>3372</v>
      </c>
      <c r="T1050" s="5">
        <v>126</v>
      </c>
      <c r="U1050" s="11">
        <v>8.5</v>
      </c>
      <c r="V1050" s="25">
        <f>IFERROR(TAB_OFICINAS[[#This Row],[Valor Unit]]*TAB_OFICINAS[[#This Row],[Qtd pçs Enviadas]]," ")</f>
        <v>25.5</v>
      </c>
      <c r="W1050" s="26"/>
      <c r="X1050" s="17" t="s">
        <v>6251</v>
      </c>
      <c r="Y1050" s="27"/>
      <c r="Z1050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1" spans="3:26" hidden="1">
      <c r="C1051" s="28" t="s">
        <v>3</v>
      </c>
      <c r="D1051" s="5">
        <v>5679</v>
      </c>
      <c r="E1051" s="5">
        <v>24047</v>
      </c>
      <c r="F1051" s="28" t="str">
        <f>IFERROR(VLOOKUP(TAB_OFICINAS[[#This Row],[Cliente]],LISTA_DE_CLIENTES[[Código]:[Nome Fantasia]],2,FALSE),"")</f>
        <v>MMCA COMERCIO E CONFECCAO DE ROUPAS E DECORACOES L</v>
      </c>
      <c r="G1051" s="2" t="str">
        <f>IFERROR(VLOOKUP(TAB_OFICINAS[[#This Row],[Cliente]],LISTA_DE_CLIENTES[[Código]:[Nome Fantasia]],3,FALSE),"")</f>
        <v>MMCA COMERCIO E CONF</v>
      </c>
      <c r="H1051" s="51">
        <v>92102222749</v>
      </c>
      <c r="I1051" s="28" t="str">
        <f>IFERROR(VLOOKUP(TAB_OFICINAS[[#This Row],[Codigo Produto ]],_000___PEDIDOS_DE_CLIENTES[[Data.Column2]:[Descrição Produto]],2,FALSE)," ")</f>
        <v>LENÇOL CIMA 400F 100% ALGODÃO FESTONÊ COR BRANCO 2,50 X 2,45</v>
      </c>
      <c r="J1051" s="91">
        <v>9</v>
      </c>
      <c r="K1051" s="88">
        <v>46251</v>
      </c>
      <c r="M1051" s="6">
        <v>46262</v>
      </c>
      <c r="N1051" s="6">
        <v>46255</v>
      </c>
      <c r="O1051" s="23">
        <f>TAB_OFICINAS[[#This Row],[Data Retorno Produção]]-TAB_OFICINAS[[#This Row],[Data Prometida  Entrega]]</f>
        <v>-7</v>
      </c>
      <c r="P1051" s="98" t="str">
        <f>IF(TAB_OFICINAS[[#This Row],[Dias Para Entrega]]&lt;=0,"Em dia","Dia de Atrasado")</f>
        <v>Em dia</v>
      </c>
      <c r="Q1051" s="24">
        <v>0</v>
      </c>
      <c r="R1051" s="24"/>
      <c r="S1051" s="5">
        <v>3372</v>
      </c>
      <c r="T1051" s="5">
        <v>126</v>
      </c>
      <c r="U1051" s="11">
        <v>6.5</v>
      </c>
      <c r="V1051" s="25">
        <f>IFERROR(TAB_OFICINAS[[#This Row],[Valor Unit]]*TAB_OFICINAS[[#This Row],[Qtd pçs Enviadas]]," ")</f>
        <v>58.5</v>
      </c>
      <c r="W1051" s="26"/>
      <c r="X1051" s="17" t="s">
        <v>6251</v>
      </c>
      <c r="Y1051" s="27"/>
      <c r="Z1051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2" spans="3:26" hidden="1">
      <c r="C1052" s="28" t="s">
        <v>3</v>
      </c>
      <c r="D1052" s="5">
        <v>5679</v>
      </c>
      <c r="E1052" s="5">
        <v>24047</v>
      </c>
      <c r="F1052" s="28" t="str">
        <f>IFERROR(VLOOKUP(TAB_OFICINAS[[#This Row],[Cliente]],LISTA_DE_CLIENTES[[Código]:[Nome Fantasia]],2,FALSE),"")</f>
        <v>MMCA COMERCIO E CONFECCAO DE ROUPAS E DECORACOES L</v>
      </c>
      <c r="G1052" s="2" t="str">
        <f>IFERROR(VLOOKUP(TAB_OFICINAS[[#This Row],[Cliente]],LISTA_DE_CLIENTES[[Código]:[Nome Fantasia]],3,FALSE),"")</f>
        <v>MMCA COMERCIO E CONF</v>
      </c>
      <c r="H1052" s="51">
        <v>92102221241</v>
      </c>
      <c r="I1052" s="28" t="str">
        <f>IFERROR(VLOOKUP(TAB_OFICINAS[[#This Row],[Codigo Produto ]],_000___PEDIDOS_DE_CLIENTES[[Data.Column2]:[Descrição Produto]],2,FALSE)," ")</f>
        <v>LENÇOL CIMA 400F 100% ALGODÃO FESTONÊ COR BRANCO 2,30 X 2,45</v>
      </c>
      <c r="J1052" s="91">
        <v>2</v>
      </c>
      <c r="K1052" s="88">
        <v>46251</v>
      </c>
      <c r="M1052" s="6">
        <v>46262</v>
      </c>
      <c r="N1052" s="6">
        <v>46255</v>
      </c>
      <c r="O1052" s="23">
        <f>TAB_OFICINAS[[#This Row],[Data Retorno Produção]]-TAB_OFICINAS[[#This Row],[Data Prometida  Entrega]]</f>
        <v>-7</v>
      </c>
      <c r="P1052" s="98" t="str">
        <f>IF(TAB_OFICINAS[[#This Row],[Dias Para Entrega]]&lt;=0,"Em dia","Dia de Atrasado")</f>
        <v>Em dia</v>
      </c>
      <c r="Q1052" s="24">
        <v>0</v>
      </c>
      <c r="R1052" s="24"/>
      <c r="S1052" s="5">
        <v>3372</v>
      </c>
      <c r="T1052" s="5">
        <v>126</v>
      </c>
      <c r="U1052" s="11">
        <v>6</v>
      </c>
      <c r="V1052" s="25">
        <f>IFERROR(TAB_OFICINAS[[#This Row],[Valor Unit]]*TAB_OFICINAS[[#This Row],[Qtd pçs Enviadas]]," ")</f>
        <v>12</v>
      </c>
      <c r="W1052" s="26"/>
      <c r="X1052" s="17" t="s">
        <v>6251</v>
      </c>
      <c r="Y1052" s="27"/>
      <c r="Z1052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3" spans="3:26" hidden="1">
      <c r="C1053" s="28" t="s">
        <v>3</v>
      </c>
      <c r="D1053" s="5">
        <v>5679</v>
      </c>
      <c r="E1053" s="5">
        <v>24047</v>
      </c>
      <c r="F1053" s="28" t="str">
        <f>IFERROR(VLOOKUP(TAB_OFICINAS[[#This Row],[Cliente]],LISTA_DE_CLIENTES[[Código]:[Nome Fantasia]],2,FALSE),"")</f>
        <v>MMCA COMERCIO E CONFECCAO DE ROUPAS E DECORACOES L</v>
      </c>
      <c r="G1053" s="2" t="str">
        <f>IFERROR(VLOOKUP(TAB_OFICINAS[[#This Row],[Cliente]],LISTA_DE_CLIENTES[[Código]:[Nome Fantasia]],3,FALSE),"")</f>
        <v>MMCA COMERCIO E CONF</v>
      </c>
      <c r="H1053" s="51">
        <v>92102223273</v>
      </c>
      <c r="I1053" s="28" t="str">
        <f>IFERROR(VLOOKUP(TAB_OFICINAS[[#This Row],[Codigo Produto ]],_000___PEDIDOS_DE_CLIENTES[[Data.Column2]:[Descrição Produto]],2,FALSE)," ")</f>
        <v>LENÇOL CIMA 400F 100% ALGODÃO FESTONÊ COR BRANCO 1,80 X 2,40</v>
      </c>
      <c r="J1053" s="91">
        <v>9</v>
      </c>
      <c r="K1053" s="88">
        <v>46251</v>
      </c>
      <c r="M1053" s="6">
        <v>46262</v>
      </c>
      <c r="N1053" s="6">
        <v>46255</v>
      </c>
      <c r="O1053" s="23">
        <f>TAB_OFICINAS[[#This Row],[Data Retorno Produção]]-TAB_OFICINAS[[#This Row],[Data Prometida  Entrega]]</f>
        <v>-7</v>
      </c>
      <c r="P1053" s="98" t="str">
        <f>IF(TAB_OFICINAS[[#This Row],[Dias Para Entrega]]&lt;=0,"Em dia","Dia de Atrasado")</f>
        <v>Em dia</v>
      </c>
      <c r="Q1053" s="24">
        <v>0</v>
      </c>
      <c r="R1053" s="24"/>
      <c r="S1053" s="5">
        <v>3372</v>
      </c>
      <c r="T1053" s="5">
        <v>126</v>
      </c>
      <c r="U1053" s="11">
        <v>5</v>
      </c>
      <c r="V1053" s="25">
        <f>IFERROR(TAB_OFICINAS[[#This Row],[Valor Unit]]*TAB_OFICINAS[[#This Row],[Qtd pçs Enviadas]]," ")</f>
        <v>45</v>
      </c>
      <c r="W1053" s="26"/>
      <c r="X1053" s="17" t="s">
        <v>6251</v>
      </c>
      <c r="Y1053" s="27"/>
      <c r="Z1053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4" spans="3:26" hidden="1">
      <c r="C1054" s="28" t="s">
        <v>3</v>
      </c>
      <c r="D1054" s="5">
        <v>5679</v>
      </c>
      <c r="E1054" s="5">
        <v>24047</v>
      </c>
      <c r="F1054" s="28" t="str">
        <f>IFERROR(VLOOKUP(TAB_OFICINAS[[#This Row],[Cliente]],LISTA_DE_CLIENTES[[Código]:[Nome Fantasia]],2,FALSE),"")</f>
        <v>MMCA COMERCIO E CONFECCAO DE ROUPAS E DECORACOES L</v>
      </c>
      <c r="G1054" s="2" t="str">
        <f>IFERROR(VLOOKUP(TAB_OFICINAS[[#This Row],[Cliente]],LISTA_DE_CLIENTES[[Código]:[Nome Fantasia]],3,FALSE),"")</f>
        <v>MMCA COMERCIO E CONF</v>
      </c>
      <c r="H1054" s="51">
        <v>2104221105</v>
      </c>
      <c r="I1054" s="28" t="str">
        <f>IFERROR(VLOOKUP(TAB_OFICINAS[[#This Row],[Codigo Produto ]],_000___PEDIDOS_DE_CLIENTES[[Data.Column2]:[Descrição Produto]],2,FALSE)," ")</f>
        <v>FRONHA 2 ABAS 5CM 400F FESTONE BRANCO 0,50 X 0,70</v>
      </c>
      <c r="J1054" s="91">
        <v>37</v>
      </c>
      <c r="K1054" s="88">
        <v>46251</v>
      </c>
      <c r="M1054" s="6">
        <v>46262</v>
      </c>
      <c r="N1054" s="6">
        <v>46255</v>
      </c>
      <c r="O1054" s="23">
        <f>TAB_OFICINAS[[#This Row],[Data Retorno Produção]]-TAB_OFICINAS[[#This Row],[Data Prometida  Entrega]]</f>
        <v>-7</v>
      </c>
      <c r="P1054" s="98" t="str">
        <f>IF(TAB_OFICINAS[[#This Row],[Dias Para Entrega]]&lt;=0,"Em dia","Dia de Atrasado")</f>
        <v>Em dia</v>
      </c>
      <c r="Q1054" s="24">
        <v>0</v>
      </c>
      <c r="R1054" s="24"/>
      <c r="S1054" s="5">
        <v>3372</v>
      </c>
      <c r="T1054" s="5">
        <v>126</v>
      </c>
      <c r="U1054" s="11">
        <v>4</v>
      </c>
      <c r="V1054" s="25">
        <f>IFERROR(TAB_OFICINAS[[#This Row],[Valor Unit]]*TAB_OFICINAS[[#This Row],[Qtd pçs Enviadas]]," ")</f>
        <v>148</v>
      </c>
      <c r="W1054" s="26"/>
      <c r="X1054" s="17" t="s">
        <v>6251</v>
      </c>
      <c r="Y1054" s="27"/>
      <c r="Z1054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5" spans="3:26" hidden="1">
      <c r="C1055" s="28" t="s">
        <v>3</v>
      </c>
      <c r="D1055" s="5">
        <v>5679</v>
      </c>
      <c r="E1055" s="5">
        <v>24047</v>
      </c>
      <c r="F1055" s="28" t="str">
        <f>IFERROR(VLOOKUP(TAB_OFICINAS[[#This Row],[Cliente]],LISTA_DE_CLIENTES[[Código]:[Nome Fantasia]],2,FALSE),"")</f>
        <v>MMCA COMERCIO E CONFECCAO DE ROUPAS E DECORACOES L</v>
      </c>
      <c r="G1055" s="2" t="str">
        <f>IFERROR(VLOOKUP(TAB_OFICINAS[[#This Row],[Cliente]],LISTA_DE_CLIENTES[[Código]:[Nome Fantasia]],3,FALSE),"")</f>
        <v>MMCA COMERCIO E CONF</v>
      </c>
      <c r="H1055" s="51">
        <v>3302016028</v>
      </c>
      <c r="I1055" s="28" t="str">
        <f>IFERROR(VLOOKUP(TAB_OFICINAS[[#This Row],[Codigo Produto ]],_000___PEDIDOS_DE_CLIENTES[[Data.Column2]:[Descrição Produto]],2,FALSE)," ")</f>
        <v>TOALHA DE MÃO FELPA VELUX BRANCO C/ LOGO 0,30 X 0,30</v>
      </c>
      <c r="J1055" s="91">
        <v>24</v>
      </c>
      <c r="K1055" s="88">
        <v>46251</v>
      </c>
      <c r="M1055" s="6">
        <v>46262</v>
      </c>
      <c r="N1055" s="6">
        <v>46255</v>
      </c>
      <c r="O1055" s="23">
        <f>TAB_OFICINAS[[#This Row],[Data Retorno Produção]]-TAB_OFICINAS[[#This Row],[Data Prometida  Entrega]]</f>
        <v>-7</v>
      </c>
      <c r="P1055" s="98" t="str">
        <f>IF(TAB_OFICINAS[[#This Row],[Dias Para Entrega]]&lt;=0,"Em dia","Dia de Atrasado")</f>
        <v>Em dia</v>
      </c>
      <c r="Q1055" s="24">
        <v>0</v>
      </c>
      <c r="R1055" s="24"/>
      <c r="S1055" s="5">
        <v>3372</v>
      </c>
      <c r="T1055" s="5">
        <v>126</v>
      </c>
      <c r="U1055" s="11">
        <v>3</v>
      </c>
      <c r="V1055" s="25">
        <f>IFERROR(TAB_OFICINAS[[#This Row],[Valor Unit]]*TAB_OFICINAS[[#This Row],[Qtd pçs Enviadas]]," ")</f>
        <v>72</v>
      </c>
      <c r="W1055" s="26"/>
      <c r="X1055" s="17" t="s">
        <v>6251</v>
      </c>
      <c r="Y1055" s="27"/>
      <c r="Z1055" s="90" t="str">
        <f>IF(TAB_OFICINAS[[#This Row],[Qtd pçs Enviadas]]=TAB_OFICINAS[[#This Row],[Qtd pçs Retornadas ]],"Produção Finalizada",TAB_OFICINAS[[#This Row],[Qtd pçs Pendetente ]] &amp; " " &amp; "Pçs Pendente")</f>
        <v>0 Pçs Pendente</v>
      </c>
    </row>
    <row r="1056" spans="3:26" hidden="1">
      <c r="C1056" s="28" t="s">
        <v>3</v>
      </c>
      <c r="D1056" s="5">
        <v>526</v>
      </c>
      <c r="E1056" s="5">
        <v>24194</v>
      </c>
      <c r="F1056" s="28" t="str">
        <f>IFERROR(VLOOKUP(TAB_OFICINAS[[#This Row],[Cliente]],LISTA_DE_CLIENTES[[Código]:[Nome Fantasia]],2,FALSE),"")</f>
        <v>ATMOSFERA GESTAO E HIGIENIZACAO DE TEXTEIS S.A.</v>
      </c>
      <c r="G1056" s="2" t="str">
        <f>IFERROR(VLOOKUP(TAB_OFICINAS[[#This Row],[Cliente]],LISTA_DE_CLIENTES[[Código]:[Nome Fantasia]],3,FALSE),"")</f>
        <v>ATMOSFERA ST BARBARA</v>
      </c>
      <c r="H1056" s="51">
        <v>92104156036</v>
      </c>
      <c r="I1056" s="28" t="str">
        <f>IFERROR(VLOOKUP(TAB_OFICINAS[[#This Row],[Codigo Produto ]],_000___PEDIDOS_DE_CLIENTES[[Data.Column2]:[Descrição Produto]],2,FALSE)," ")</f>
        <v>FRONHA 2 ABAS 5cm - 230F MISTO C/ FESTONÊ T - 0,50 X 0,70</v>
      </c>
      <c r="J1056" s="91">
        <v>105</v>
      </c>
      <c r="K1056" s="88">
        <v>46255</v>
      </c>
      <c r="M1056" s="6">
        <v>46262</v>
      </c>
      <c r="N1056" s="6">
        <f t="shared" ca="1" si="4"/>
        <v>46315</v>
      </c>
      <c r="O1056" s="23">
        <f ca="1">TAB_OFICINAS[[#This Row],[Data Retorno Produção]]-TAB_OFICINAS[[#This Row],[Data Prometida  Entrega]]</f>
        <v>53</v>
      </c>
      <c r="P1056" s="98" t="str">
        <f ca="1">IF(TAB_OFICINAS[[#This Row],[Dias Para Entrega]]&lt;=0,"Em dia","Dia de Atrasado")</f>
        <v>Dia de Atrasado</v>
      </c>
      <c r="Q1056" s="24">
        <f>IFERROR(TAB_OFICINAS[[#This Row],[Qtd pçs Enviadas]]-TAB_OFICINAS[[#This Row],[Qtd pçs Retornadas ]],"N/D ")</f>
        <v>105</v>
      </c>
      <c r="R1056" s="24"/>
      <c r="S1056" s="5">
        <v>3380</v>
      </c>
      <c r="U1056" s="11">
        <v>4</v>
      </c>
      <c r="V1056" s="25">
        <f>IFERROR(TAB_OFICINAS[[#This Row],[Valor Unit]]*TAB_OFICINAS[[#This Row],[Qtd pçs Enviadas]]," ")</f>
        <v>420</v>
      </c>
      <c r="W1056" s="26"/>
      <c r="X1056" s="17" t="s">
        <v>6251</v>
      </c>
      <c r="Y1056" s="27"/>
      <c r="Z1056" s="90" t="str">
        <f>IF(TAB_OFICINAS[[#This Row],[Qtd pçs Enviadas]]=TAB_OFICINAS[[#This Row],[Qtd pçs Retornadas ]],"Produção Finalizada",TAB_OFICINAS[[#This Row],[Qtd pçs Pendetente ]] &amp; " " &amp; "Pçs Pendente")</f>
        <v>105 Pçs Pendente</v>
      </c>
    </row>
    <row r="1057" spans="3:26" hidden="1">
      <c r="C1057" s="28" t="s">
        <v>3</v>
      </c>
      <c r="D1057" s="5">
        <v>5681</v>
      </c>
      <c r="E1057" s="5">
        <v>24196</v>
      </c>
      <c r="F1057" s="28" t="str">
        <f>IFERROR(VLOOKUP(TAB_OFICINAS[[#This Row],[Cliente]],LISTA_DE_CLIENTES[[Código]:[Nome Fantasia]],2,FALSE),"")</f>
        <v>CLINICA DRA PATRICIA FAGUNDES DERMATOLOGIA LTDA</v>
      </c>
      <c r="G1057" s="2" t="str">
        <f>IFERROR(VLOOKUP(TAB_OFICINAS[[#This Row],[Cliente]],LISTA_DE_CLIENTES[[Código]:[Nome Fantasia]],3,FALSE),"")</f>
        <v>CLINICA DRA.PATRICIA</v>
      </c>
      <c r="H1057" s="51">
        <v>3302047896</v>
      </c>
      <c r="I1057" s="28" t="str">
        <f>IFERROR(VLOOKUP(TAB_OFICINAS[[#This Row],[Codigo Produto ]],_000___PEDIDOS_DE_CLIENTES[[Data.Column2]:[Descrição Produto]],2,FALSE)," ")</f>
        <v>TOALHA ROSTO FELPA VELUX BRANCO COM LOGO - 0,48 X 0,70</v>
      </c>
      <c r="J1057" s="91">
        <v>30</v>
      </c>
      <c r="K1057" s="88">
        <v>46255</v>
      </c>
      <c r="M1057" s="6">
        <v>46262</v>
      </c>
      <c r="N1057" s="6">
        <f t="shared" ca="1" si="4"/>
        <v>46315</v>
      </c>
      <c r="O1057" s="23">
        <f ca="1">TAB_OFICINAS[[#This Row],[Data Retorno Produção]]-TAB_OFICINAS[[#This Row],[Data Prometida  Entrega]]</f>
        <v>53</v>
      </c>
      <c r="P1057" s="98" t="str">
        <f ca="1">IF(TAB_OFICINAS[[#This Row],[Dias Para Entrega]]&lt;=0,"Em dia","Dia de Atrasado")</f>
        <v>Dia de Atrasado</v>
      </c>
      <c r="Q1057" s="24">
        <f>IFERROR(TAB_OFICINAS[[#This Row],[Qtd pçs Enviadas]]-TAB_OFICINAS[[#This Row],[Qtd pçs Retornadas ]],"N/D ")</f>
        <v>30</v>
      </c>
      <c r="R1057" s="24"/>
      <c r="S1057" s="5">
        <v>3380</v>
      </c>
      <c r="U1057" s="11">
        <v>4.5</v>
      </c>
      <c r="V1057" s="25">
        <f>IFERROR(TAB_OFICINAS[[#This Row],[Valor Unit]]*TAB_OFICINAS[[#This Row],[Qtd pçs Enviadas]]," ")</f>
        <v>135</v>
      </c>
      <c r="W1057" s="26"/>
      <c r="X1057" s="17" t="s">
        <v>6251</v>
      </c>
      <c r="Y1057" s="27"/>
      <c r="Z1057" s="90" t="str">
        <f>IF(TAB_OFICINAS[[#This Row],[Qtd pçs Enviadas]]=TAB_OFICINAS[[#This Row],[Qtd pçs Retornadas ]],"Produção Finalizada",TAB_OFICINAS[[#This Row],[Qtd pçs Pendetente ]] &amp; " " &amp; "Pçs Pendente")</f>
        <v>30 Pçs Pendente</v>
      </c>
    </row>
    <row r="1058" spans="3:26" hidden="1">
      <c r="C1058" s="28" t="s">
        <v>21197</v>
      </c>
      <c r="D1058" s="5">
        <v>96</v>
      </c>
      <c r="E1058" s="5">
        <v>23526</v>
      </c>
      <c r="F1058" s="28" t="str">
        <f>IFERROR(VLOOKUP(TAB_OFICINAS[[#This Row],[Cliente]],LISTA_DE_CLIENTES[[Código]:[Nome Fantasia]],2,FALSE),"")</f>
        <v>DEVILLE HOTEIS E TURISMO LTDA</v>
      </c>
      <c r="G1058" s="2" t="str">
        <f>IFERROR(VLOOKUP(TAB_OFICINAS[[#This Row],[Cliente]],LISTA_DE_CLIENTES[[Código]:[Nome Fantasia]],3,FALSE),"")</f>
        <v>MARRIOT GUARULHOS</v>
      </c>
      <c r="H1058" s="51">
        <v>92115039919</v>
      </c>
      <c r="I1058" s="28" t="str">
        <f>IFERROR(VLOOKUP(TAB_OFICINAS[[#This Row],[Codigo Produto ]],_000___PEDIDOS_DE_CLIENTES[[Data.Column2]:[Descrição Produto]],2,FALSE)," ")</f>
        <v>CAPA DUVET (EDRED) CLASSIC 300F MISTO STRIPE 1CM HORIZONTAL S/ ENVELOPE - TIPO SACO LINHA VERDE NA BARRA P/ IDENTIFICAÇÃO 2,80 X 2,40</v>
      </c>
      <c r="J1058" s="91">
        <v>41</v>
      </c>
      <c r="K1058" s="88">
        <v>46253</v>
      </c>
      <c r="M1058" s="6">
        <v>46261</v>
      </c>
      <c r="N1058" s="6">
        <f t="shared" ca="1" si="4"/>
        <v>46315</v>
      </c>
      <c r="O1058" s="23">
        <f ca="1">TAB_OFICINAS[[#This Row],[Data Retorno Produção]]-TAB_OFICINAS[[#This Row],[Data Prometida  Entrega]]</f>
        <v>54</v>
      </c>
      <c r="P1058" s="98" t="str">
        <f ca="1">IF(TAB_OFICINAS[[#This Row],[Dias Para Entrega]]&lt;=0,"Em dia","Dia de Atrasado")</f>
        <v>Dia de Atrasado</v>
      </c>
      <c r="Q1058" s="24">
        <f>IFERROR(TAB_OFICINAS[[#This Row],[Qtd pçs Enviadas]]-TAB_OFICINAS[[#This Row],[Qtd pçs Retornadas ]],"N/D ")</f>
        <v>41</v>
      </c>
      <c r="R1058" s="24"/>
      <c r="S1058" s="5">
        <v>3377</v>
      </c>
      <c r="U1058" s="11">
        <v>13</v>
      </c>
      <c r="V1058" s="25">
        <f>IFERROR(TAB_OFICINAS[[#This Row],[Valor Unit]]*TAB_OFICINAS[[#This Row],[Qtd pçs Enviadas]]," ")</f>
        <v>533</v>
      </c>
      <c r="W1058" s="26"/>
      <c r="X1058" s="17" t="s">
        <v>6251</v>
      </c>
      <c r="Y1058" s="27"/>
      <c r="Z1058" s="90" t="str">
        <f>IF(TAB_OFICINAS[[#This Row],[Qtd pçs Enviadas]]=TAB_OFICINAS[[#This Row],[Qtd pçs Retornadas ]],"Produção Finalizada",TAB_OFICINAS[[#This Row],[Qtd pçs Pendetente ]] &amp; " " &amp; "Pçs Pendente")</f>
        <v>41 Pçs Pendente</v>
      </c>
    </row>
    <row r="1059" spans="3:26" hidden="1">
      <c r="C1059" s="28" t="s">
        <v>7</v>
      </c>
      <c r="D1059" s="5">
        <v>3132</v>
      </c>
      <c r="E1059" s="5">
        <v>24167</v>
      </c>
      <c r="F1059" s="28" t="str">
        <f>IFERROR(VLOOKUP(TAB_OFICINAS[[#This Row],[Cliente]],LISTA_DE_CLIENTES[[Código]:[Nome Fantasia]],2,FALSE),"")</f>
        <v>FLOW CITY SPE 7 EMPREENDIMENTO IMOBILIARIO LTDA</v>
      </c>
      <c r="G1059" s="2" t="str">
        <f>IFERROR(VLOOKUP(TAB_OFICINAS[[#This Row],[Cliente]],LISTA_DE_CLIENTES[[Código]:[Nome Fantasia]],3,FALSE),"")</f>
        <v>CARNAUBA WIND HOUSE</v>
      </c>
      <c r="H1059" s="51">
        <v>2115032464</v>
      </c>
      <c r="I1059" s="28" t="str">
        <f>IFERROR(VLOOKUP(TAB_OFICINAS[[#This Row],[Codigo Produto ]],_000___PEDIDOS_DE_CLIENTES[[Data.Column2]:[Descrição Produto]],2,FALSE)," ")</f>
        <v>DUVET (CAPA) MODELO ENVELOPE 300F 100% ALG ACAB CLASSIC 2,70 X 2,40</v>
      </c>
      <c r="J1059" s="91">
        <v>39</v>
      </c>
      <c r="K1059" s="88">
        <v>46255</v>
      </c>
      <c r="M1059" s="6">
        <v>46262</v>
      </c>
      <c r="N1059" s="6">
        <f t="shared" ref="N1059:N1067" ca="1" si="5">TODAY()</f>
        <v>46315</v>
      </c>
      <c r="O1059" s="23">
        <f ca="1">TAB_OFICINAS[[#This Row],[Data Retorno Produção]]-TAB_OFICINAS[[#This Row],[Data Prometida  Entrega]]</f>
        <v>53</v>
      </c>
      <c r="P1059" s="98" t="str">
        <f ca="1">IF(TAB_OFICINAS[[#This Row],[Dias Para Entrega]]&lt;=0,"Em dia","Dia de Atrasado")</f>
        <v>Dia de Atrasado</v>
      </c>
      <c r="Q1059" s="24">
        <f>IFERROR(TAB_OFICINAS[[#This Row],[Qtd pçs Enviadas]]-TAB_OFICINAS[[#This Row],[Qtd pçs Retornadas ]],"N/D ")</f>
        <v>39</v>
      </c>
      <c r="R1059" s="24"/>
      <c r="S1059" s="5">
        <v>987</v>
      </c>
      <c r="U1059" s="11">
        <v>16</v>
      </c>
      <c r="V1059" s="25">
        <f>IFERROR(TAB_OFICINAS[[#This Row],[Valor Unit]]*TAB_OFICINAS[[#This Row],[Qtd pçs Enviadas]]," ")</f>
        <v>624</v>
      </c>
      <c r="W1059" s="26"/>
      <c r="X1059" s="17" t="s">
        <v>6251</v>
      </c>
      <c r="Y1059" s="27"/>
      <c r="Z1059" s="90" t="str">
        <f>IF(TAB_OFICINAS[[#This Row],[Qtd pçs Enviadas]]=TAB_OFICINAS[[#This Row],[Qtd pçs Retornadas ]],"Produção Finalizada",TAB_OFICINAS[[#This Row],[Qtd pçs Pendetente ]] &amp; " " &amp; "Pçs Pendente")</f>
        <v>39 Pçs Pendente</v>
      </c>
    </row>
    <row r="1060" spans="3:26" hidden="1">
      <c r="C1060" s="28" t="s">
        <v>7</v>
      </c>
      <c r="D1060" s="5">
        <v>3132</v>
      </c>
      <c r="E1060" s="5">
        <v>24167</v>
      </c>
      <c r="F1060" s="28" t="str">
        <f>IFERROR(VLOOKUP(TAB_OFICINAS[[#This Row],[Cliente]],LISTA_DE_CLIENTES[[Código]:[Nome Fantasia]],2,FALSE),"")</f>
        <v>FLOW CITY SPE 7 EMPREENDIMENTO IMOBILIARIO LTDA</v>
      </c>
      <c r="G1060" s="2" t="str">
        <f>IFERROR(VLOOKUP(TAB_OFICINAS[[#This Row],[Cliente]],LISTA_DE_CLIENTES[[Código]:[Nome Fantasia]],3,FALSE),"")</f>
        <v>CARNAUBA WIND HOUSE</v>
      </c>
      <c r="H1060" s="51">
        <v>2115067026</v>
      </c>
      <c r="I1060" s="28" t="str">
        <f>IFERROR(VLOOKUP(TAB_OFICINAS[[#This Row],[Codigo Produto ]],_000___PEDIDOS_DE_CLIENTES[[Data.Column2]:[Descrição Produto]],2,FALSE)," ")</f>
        <v>DUVET (CAPA)300F 100% ALGODÃO ACAB CLASSIC 1,80 X 2,40</v>
      </c>
      <c r="J1060" s="91">
        <v>8</v>
      </c>
      <c r="K1060" s="88">
        <v>46255</v>
      </c>
      <c r="M1060" s="6">
        <v>46262</v>
      </c>
      <c r="N1060" s="6">
        <f t="shared" ca="1" si="5"/>
        <v>46315</v>
      </c>
      <c r="O1060" s="23">
        <f ca="1">TAB_OFICINAS[[#This Row],[Data Retorno Produção]]-TAB_OFICINAS[[#This Row],[Data Prometida  Entrega]]</f>
        <v>53</v>
      </c>
      <c r="P1060" s="98" t="str">
        <f ca="1">IF(TAB_OFICINAS[[#This Row],[Dias Para Entrega]]&lt;=0,"Em dia","Dia de Atrasado")</f>
        <v>Dia de Atrasado</v>
      </c>
      <c r="Q1060" s="24">
        <f>IFERROR(TAB_OFICINAS[[#This Row],[Qtd pçs Enviadas]]-TAB_OFICINAS[[#This Row],[Qtd pçs Retornadas ]],"N/D ")</f>
        <v>8</v>
      </c>
      <c r="R1060" s="24"/>
      <c r="S1060" s="5">
        <v>987</v>
      </c>
      <c r="U1060" s="11">
        <v>10</v>
      </c>
      <c r="V1060" s="25">
        <f>IFERROR(TAB_OFICINAS[[#This Row],[Valor Unit]]*TAB_OFICINAS[[#This Row],[Qtd pçs Enviadas]]," ")</f>
        <v>80</v>
      </c>
      <c r="W1060" s="26"/>
      <c r="X1060" s="17" t="s">
        <v>6251</v>
      </c>
      <c r="Y1060" s="27"/>
      <c r="Z1060" s="90" t="str">
        <f>IF(TAB_OFICINAS[[#This Row],[Qtd pçs Enviadas]]=TAB_OFICINAS[[#This Row],[Qtd pçs Retornadas ]],"Produção Finalizada",TAB_OFICINAS[[#This Row],[Qtd pçs Pendetente ]] &amp; " " &amp; "Pçs Pendente")</f>
        <v>8 Pçs Pendente</v>
      </c>
    </row>
    <row r="1061" spans="3:26" hidden="1">
      <c r="C1061" s="28" t="s">
        <v>7</v>
      </c>
      <c r="D1061" s="5">
        <v>3132</v>
      </c>
      <c r="E1061" s="5">
        <v>24167</v>
      </c>
      <c r="F1061" s="28" t="str">
        <f>IFERROR(VLOOKUP(TAB_OFICINAS[[#This Row],[Cliente]],LISTA_DE_CLIENTES[[Código]:[Nome Fantasia]],2,FALSE),"")</f>
        <v>FLOW CITY SPE 7 EMPREENDIMENTO IMOBILIARIO LTDA</v>
      </c>
      <c r="G1061" s="2" t="str">
        <f>IFERROR(VLOOKUP(TAB_OFICINAS[[#This Row],[Cliente]],LISTA_DE_CLIENTES[[Código]:[Nome Fantasia]],3,FALSE),"")</f>
        <v>CARNAUBA WIND HOUSE</v>
      </c>
      <c r="H1061" s="51">
        <v>2115851351</v>
      </c>
      <c r="I1061" s="28" t="str">
        <f>IFERROR(VLOOKUP(TAB_OFICINAS[[#This Row],[Codigo Produto ]],_000___PEDIDOS_DE_CLIENTES[[Data.Column2]:[Descrição Produto]],2,FALSE)," ")</f>
        <v>DUVET (CAPA) 300F 100% ALGODAO CLASSIC MOD. ENVELOPE 1,60 X 2,25</v>
      </c>
      <c r="J1061" s="91">
        <v>12</v>
      </c>
      <c r="K1061" s="88">
        <v>46255</v>
      </c>
      <c r="M1061" s="6">
        <v>46262</v>
      </c>
      <c r="N1061" s="6">
        <f t="shared" ca="1" si="5"/>
        <v>46315</v>
      </c>
      <c r="O1061" s="23">
        <f ca="1">TAB_OFICINAS[[#This Row],[Data Retorno Produção]]-TAB_OFICINAS[[#This Row],[Data Prometida  Entrega]]</f>
        <v>53</v>
      </c>
      <c r="P1061" s="98" t="str">
        <f ca="1">IF(TAB_OFICINAS[[#This Row],[Dias Para Entrega]]&lt;=0,"Em dia","Dia de Atrasado")</f>
        <v>Dia de Atrasado</v>
      </c>
      <c r="Q1061" s="24">
        <f>IFERROR(TAB_OFICINAS[[#This Row],[Qtd pçs Enviadas]]-TAB_OFICINAS[[#This Row],[Qtd pçs Retornadas ]],"N/D ")</f>
        <v>12</v>
      </c>
      <c r="R1061" s="24"/>
      <c r="S1061" s="5">
        <v>987</v>
      </c>
      <c r="U1061" s="11">
        <v>10</v>
      </c>
      <c r="V1061" s="25">
        <f>IFERROR(TAB_OFICINAS[[#This Row],[Valor Unit]]*TAB_OFICINAS[[#This Row],[Qtd pçs Enviadas]]," ")</f>
        <v>120</v>
      </c>
      <c r="W1061" s="26"/>
      <c r="X1061" s="17" t="s">
        <v>6251</v>
      </c>
      <c r="Y1061" s="27"/>
      <c r="Z1061" s="90" t="str">
        <f>IF(TAB_OFICINAS[[#This Row],[Qtd pçs Enviadas]]=TAB_OFICINAS[[#This Row],[Qtd pçs Retornadas ]],"Produção Finalizada",TAB_OFICINAS[[#This Row],[Qtd pçs Pendetente ]] &amp; " " &amp; "Pçs Pendente")</f>
        <v>12 Pçs Pendente</v>
      </c>
    </row>
    <row r="1062" spans="3:26" hidden="1">
      <c r="C1062" s="28" t="s">
        <v>7</v>
      </c>
      <c r="D1062" s="5">
        <v>3132</v>
      </c>
      <c r="E1062" s="5">
        <v>24167</v>
      </c>
      <c r="F1062" s="28" t="str">
        <f>IFERROR(VLOOKUP(TAB_OFICINAS[[#This Row],[Cliente]],LISTA_DE_CLIENTES[[Código]:[Nome Fantasia]],2,FALSE),"")</f>
        <v>FLOW CITY SPE 7 EMPREENDIMENTO IMOBILIARIO LTDA</v>
      </c>
      <c r="G1062" s="2" t="str">
        <f>IFERROR(VLOOKUP(TAB_OFICINAS[[#This Row],[Cliente]],LISTA_DE_CLIENTES[[Código]:[Nome Fantasia]],3,FALSE),"")</f>
        <v>CARNAUBA WIND HOUSE</v>
      </c>
      <c r="H1062" s="51">
        <v>2101066940</v>
      </c>
      <c r="I1062" s="28" t="str">
        <f>IFERROR(VLOOKUP(TAB_OFICINAS[[#This Row],[Codigo Produto ]],_000___PEDIDOS_DE_CLIENTES[[Data.Column2]:[Descrição Produto]],2,FALSE)," ")</f>
        <v>LENÇOL BAIXO BARRA ESTREITA 4 LADOS 300F 100% ALG 2,70 X 2,80</v>
      </c>
      <c r="J1062" s="91">
        <v>39</v>
      </c>
      <c r="K1062" s="88">
        <v>46255</v>
      </c>
      <c r="M1062" s="6">
        <v>46262</v>
      </c>
      <c r="N1062" s="6">
        <f t="shared" ca="1" si="5"/>
        <v>46315</v>
      </c>
      <c r="O1062" s="23">
        <f ca="1">TAB_OFICINAS[[#This Row],[Data Retorno Produção]]-TAB_OFICINAS[[#This Row],[Data Prometida  Entrega]]</f>
        <v>53</v>
      </c>
      <c r="P1062" s="98" t="str">
        <f ca="1">IF(TAB_OFICINAS[[#This Row],[Dias Para Entrega]]&lt;=0,"Em dia","Dia de Atrasado")</f>
        <v>Dia de Atrasado</v>
      </c>
      <c r="Q1062" s="24">
        <f>IFERROR(TAB_OFICINAS[[#This Row],[Qtd pçs Enviadas]]-TAB_OFICINAS[[#This Row],[Qtd pçs Retornadas ]],"N/D ")</f>
        <v>39</v>
      </c>
      <c r="R1062" s="24"/>
      <c r="S1062" s="5">
        <v>987</v>
      </c>
      <c r="U1062" s="11">
        <v>8</v>
      </c>
      <c r="V1062" s="25">
        <f>IFERROR(TAB_OFICINAS[[#This Row],[Valor Unit]]*TAB_OFICINAS[[#This Row],[Qtd pçs Enviadas]]," ")</f>
        <v>312</v>
      </c>
      <c r="W1062" s="26"/>
      <c r="X1062" s="17" t="s">
        <v>6251</v>
      </c>
      <c r="Y1062" s="27"/>
      <c r="Z1062" s="90" t="str">
        <f>IF(TAB_OFICINAS[[#This Row],[Qtd pçs Enviadas]]=TAB_OFICINAS[[#This Row],[Qtd pçs Retornadas ]],"Produção Finalizada",TAB_OFICINAS[[#This Row],[Qtd pçs Pendetente ]] &amp; " " &amp; "Pçs Pendente")</f>
        <v>39 Pçs Pendente</v>
      </c>
    </row>
    <row r="1063" spans="3:26" hidden="1">
      <c r="C1063" s="28" t="s">
        <v>7</v>
      </c>
      <c r="D1063" s="5">
        <v>3132</v>
      </c>
      <c r="E1063" s="5">
        <v>24167</v>
      </c>
      <c r="F1063" s="28" t="str">
        <f>IFERROR(VLOOKUP(TAB_OFICINAS[[#This Row],[Cliente]],LISTA_DE_CLIENTES[[Código]:[Nome Fantasia]],2,FALSE),"")</f>
        <v>FLOW CITY SPE 7 EMPREENDIMENTO IMOBILIARIO LTDA</v>
      </c>
      <c r="G1063" s="2" t="str">
        <f>IFERROR(VLOOKUP(TAB_OFICINAS[[#This Row],[Cliente]],LISTA_DE_CLIENTES[[Código]:[Nome Fantasia]],3,FALSE),"")</f>
        <v>CARNAUBA WIND HOUSE</v>
      </c>
      <c r="H1063" s="51">
        <v>2101065692</v>
      </c>
      <c r="I1063" s="28" t="str">
        <f>IFERROR(VLOOKUP(TAB_OFICINAS[[#This Row],[Codigo Produto ]],_000___PEDIDOS_DE_CLIENTES[[Data.Column2]:[Descrição Produto]],2,FALSE)," ")</f>
        <v>LENÇOL BAIXO BARRA ESTREITA 4 LADOS 300F 100%ALG 1,80 X 2,80</v>
      </c>
      <c r="J1063" s="91">
        <v>8</v>
      </c>
      <c r="K1063" s="88">
        <v>46255</v>
      </c>
      <c r="M1063" s="6">
        <v>46262</v>
      </c>
      <c r="N1063" s="6">
        <f t="shared" ca="1" si="5"/>
        <v>46315</v>
      </c>
      <c r="O1063" s="23">
        <f ca="1">TAB_OFICINAS[[#This Row],[Data Retorno Produção]]-TAB_OFICINAS[[#This Row],[Data Prometida  Entrega]]</f>
        <v>53</v>
      </c>
      <c r="P1063" s="98" t="str">
        <f ca="1">IF(TAB_OFICINAS[[#This Row],[Dias Para Entrega]]&lt;=0,"Em dia","Dia de Atrasado")</f>
        <v>Dia de Atrasado</v>
      </c>
      <c r="Q1063" s="24">
        <f>IFERROR(TAB_OFICINAS[[#This Row],[Qtd pçs Enviadas]]-TAB_OFICINAS[[#This Row],[Qtd pçs Retornadas ]],"N/D ")</f>
        <v>8</v>
      </c>
      <c r="R1063" s="24"/>
      <c r="S1063" s="5">
        <v>987</v>
      </c>
      <c r="U1063" s="11">
        <v>4.5</v>
      </c>
      <c r="V1063" s="25">
        <f>IFERROR(TAB_OFICINAS[[#This Row],[Valor Unit]]*TAB_OFICINAS[[#This Row],[Qtd pçs Enviadas]]," ")</f>
        <v>36</v>
      </c>
      <c r="W1063" s="26"/>
      <c r="X1063" s="17" t="s">
        <v>6251</v>
      </c>
      <c r="Y1063" s="27"/>
      <c r="Z1063" s="90" t="str">
        <f>IF(TAB_OFICINAS[[#This Row],[Qtd pçs Enviadas]]=TAB_OFICINAS[[#This Row],[Qtd pçs Retornadas ]],"Produção Finalizada",TAB_OFICINAS[[#This Row],[Qtd pçs Pendetente ]] &amp; " " &amp; "Pçs Pendente")</f>
        <v>8 Pçs Pendente</v>
      </c>
    </row>
    <row r="1064" spans="3:26" hidden="1">
      <c r="C1064" s="28" t="s">
        <v>7</v>
      </c>
      <c r="D1064" s="5">
        <v>3132</v>
      </c>
      <c r="E1064" s="5">
        <v>24167</v>
      </c>
      <c r="F1064" s="28" t="str">
        <f>IFERROR(VLOOKUP(TAB_OFICINAS[[#This Row],[Cliente]],LISTA_DE_CLIENTES[[Código]:[Nome Fantasia]],2,FALSE),"")</f>
        <v>FLOW CITY SPE 7 EMPREENDIMENTO IMOBILIARIO LTDA</v>
      </c>
      <c r="G1064" s="2" t="str">
        <f>IFERROR(VLOOKUP(TAB_OFICINAS[[#This Row],[Cliente]],LISTA_DE_CLIENTES[[Código]:[Nome Fantasia]],3,FALSE),"")</f>
        <v>CARNAUBA WIND HOUSE</v>
      </c>
      <c r="H1064" s="51">
        <v>2102861349</v>
      </c>
      <c r="I1064" s="28" t="str">
        <f>IFERROR(VLOOKUP(TAB_OFICINAS[[#This Row],[Codigo Produto ]],_000___PEDIDOS_DE_CLIENTES[[Data.Column2]:[Descrição Produto]],2,FALSE)," ")</f>
        <v>LENÇOL BAIXO BARRA ESTREITA 4LADOS 300F 100% ALGODÃO 1,60 X 2,60</v>
      </c>
      <c r="J1064" s="91">
        <v>8</v>
      </c>
      <c r="K1064" s="88">
        <v>46255</v>
      </c>
      <c r="M1064" s="6">
        <v>46262</v>
      </c>
      <c r="N1064" s="6">
        <f t="shared" ca="1" si="5"/>
        <v>46315</v>
      </c>
      <c r="O1064" s="23">
        <f ca="1">TAB_OFICINAS[[#This Row],[Data Retorno Produção]]-TAB_OFICINAS[[#This Row],[Data Prometida  Entrega]]</f>
        <v>53</v>
      </c>
      <c r="P1064" s="98" t="str">
        <f ca="1">IF(TAB_OFICINAS[[#This Row],[Dias Para Entrega]]&lt;=0,"Em dia","Dia de Atrasado")</f>
        <v>Dia de Atrasado</v>
      </c>
      <c r="Q1064" s="24">
        <f>IFERROR(TAB_OFICINAS[[#This Row],[Qtd pçs Enviadas]]-TAB_OFICINAS[[#This Row],[Qtd pçs Retornadas ]],"N/D ")</f>
        <v>8</v>
      </c>
      <c r="R1064" s="24"/>
      <c r="S1064" s="5">
        <v>987</v>
      </c>
      <c r="U1064" s="11">
        <v>4.5</v>
      </c>
      <c r="V1064" s="25">
        <f>IFERROR(TAB_OFICINAS[[#This Row],[Valor Unit]]*TAB_OFICINAS[[#This Row],[Qtd pçs Enviadas]]," ")</f>
        <v>36</v>
      </c>
      <c r="W1064" s="26"/>
      <c r="X1064" s="17" t="s">
        <v>6251</v>
      </c>
      <c r="Y1064" s="27"/>
      <c r="Z1064" s="90" t="str">
        <f>IF(TAB_OFICINAS[[#This Row],[Qtd pçs Enviadas]]=TAB_OFICINAS[[#This Row],[Qtd pçs Retornadas ]],"Produção Finalizada",TAB_OFICINAS[[#This Row],[Qtd pçs Pendetente ]] &amp; " " &amp; "Pçs Pendente")</f>
        <v>8 Pçs Pendente</v>
      </c>
    </row>
    <row r="1065" spans="3:26" hidden="1">
      <c r="C1065" s="28" t="s">
        <v>7</v>
      </c>
      <c r="D1065" s="5">
        <v>3132</v>
      </c>
      <c r="E1065" s="5">
        <v>24167</v>
      </c>
      <c r="F1065" s="28" t="str">
        <f>IFERROR(VLOOKUP(TAB_OFICINAS[[#This Row],[Cliente]],LISTA_DE_CLIENTES[[Código]:[Nome Fantasia]],2,FALSE),"")</f>
        <v>FLOW CITY SPE 7 EMPREENDIMENTO IMOBILIARIO LTDA</v>
      </c>
      <c r="G1065" s="2" t="str">
        <f>IFERROR(VLOOKUP(TAB_OFICINAS[[#This Row],[Cliente]],LISTA_DE_CLIENTES[[Código]:[Nome Fantasia]],3,FALSE),"")</f>
        <v>CARNAUBA WIND HOUSE</v>
      </c>
      <c r="H1065" s="51">
        <v>2102068749</v>
      </c>
      <c r="I1065" s="28" t="str">
        <f>IFERROR(VLOOKUP(TAB_OFICINAS[[#This Row],[Codigo Produto ]],_000___PEDIDOS_DE_CLIENTES[[Data.Column2]:[Descrição Produto]],2,FALSE)," ")</f>
        <v>LENÇOL DE CIMA 300F 100% ALG ACAB. CLASSIC 2,70 X2,40</v>
      </c>
      <c r="J1065" s="91">
        <v>39</v>
      </c>
      <c r="K1065" s="88">
        <v>46255</v>
      </c>
      <c r="M1065" s="6">
        <v>46262</v>
      </c>
      <c r="N1065" s="6">
        <f t="shared" ca="1" si="5"/>
        <v>46315</v>
      </c>
      <c r="O1065" s="23">
        <f ca="1">TAB_OFICINAS[[#This Row],[Data Retorno Produção]]-TAB_OFICINAS[[#This Row],[Data Prometida  Entrega]]</f>
        <v>53</v>
      </c>
      <c r="P1065" s="98" t="str">
        <f ca="1">IF(TAB_OFICINAS[[#This Row],[Dias Para Entrega]]&lt;=0,"Em dia","Dia de Atrasado")</f>
        <v>Dia de Atrasado</v>
      </c>
      <c r="Q1065" s="24">
        <f>IFERROR(TAB_OFICINAS[[#This Row],[Qtd pçs Enviadas]]-TAB_OFICINAS[[#This Row],[Qtd pçs Retornadas ]],"N/D ")</f>
        <v>39</v>
      </c>
      <c r="R1065" s="24"/>
      <c r="S1065" s="5">
        <v>987</v>
      </c>
      <c r="U1065" s="11">
        <v>7.5</v>
      </c>
      <c r="V1065" s="25">
        <f>IFERROR(TAB_OFICINAS[[#This Row],[Valor Unit]]*TAB_OFICINAS[[#This Row],[Qtd pçs Enviadas]]," ")</f>
        <v>292.5</v>
      </c>
      <c r="W1065" s="26"/>
      <c r="X1065" s="17" t="s">
        <v>6251</v>
      </c>
      <c r="Y1065" s="27"/>
      <c r="Z1065" s="90" t="str">
        <f>IF(TAB_OFICINAS[[#This Row],[Qtd pçs Enviadas]]=TAB_OFICINAS[[#This Row],[Qtd pçs Retornadas ]],"Produção Finalizada",TAB_OFICINAS[[#This Row],[Qtd pçs Pendetente ]] &amp; " " &amp; "Pçs Pendente")</f>
        <v>39 Pçs Pendente</v>
      </c>
    </row>
    <row r="1066" spans="3:26" hidden="1">
      <c r="C1066" s="28" t="s">
        <v>7</v>
      </c>
      <c r="D1066" s="5">
        <v>3132</v>
      </c>
      <c r="E1066" s="5">
        <v>24167</v>
      </c>
      <c r="F1066" s="28" t="str">
        <f>IFERROR(VLOOKUP(TAB_OFICINAS[[#This Row],[Cliente]],LISTA_DE_CLIENTES[[Código]:[Nome Fantasia]],2,FALSE),"")</f>
        <v>FLOW CITY SPE 7 EMPREENDIMENTO IMOBILIARIO LTDA</v>
      </c>
      <c r="G1066" s="2" t="str">
        <f>IFERROR(VLOOKUP(TAB_OFICINAS[[#This Row],[Cliente]],LISTA_DE_CLIENTES[[Código]:[Nome Fantasia]],3,FALSE),"")</f>
        <v>CARNAUBA WIND HOUSE</v>
      </c>
      <c r="H1066" s="51">
        <v>2102057307</v>
      </c>
      <c r="I1066" s="28" t="str">
        <f>IFERROR(VLOOKUP(TAB_OFICINAS[[#This Row],[Codigo Produto ]],_000___PEDIDOS_DE_CLIENTES[[Data.Column2]:[Descrição Produto]],2,FALSE)," ")</f>
        <v>LENÇOL DECIMA 300F 100% ALG ACAB. CLASSIC 1,80 X2,40</v>
      </c>
      <c r="J1066" s="91">
        <v>8</v>
      </c>
      <c r="K1066" s="88">
        <v>46255</v>
      </c>
      <c r="M1066" s="6">
        <v>46262</v>
      </c>
      <c r="N1066" s="6">
        <f t="shared" ca="1" si="5"/>
        <v>46315</v>
      </c>
      <c r="O1066" s="23">
        <f ca="1">TAB_OFICINAS[[#This Row],[Data Retorno Produção]]-TAB_OFICINAS[[#This Row],[Data Prometida  Entrega]]</f>
        <v>53</v>
      </c>
      <c r="P1066" s="98" t="str">
        <f ca="1">IF(TAB_OFICINAS[[#This Row],[Dias Para Entrega]]&lt;=0,"Em dia","Dia de Atrasado")</f>
        <v>Dia de Atrasado</v>
      </c>
      <c r="Q1066" s="24">
        <f>IFERROR(TAB_OFICINAS[[#This Row],[Qtd pçs Enviadas]]-TAB_OFICINAS[[#This Row],[Qtd pçs Retornadas ]],"N/D ")</f>
        <v>8</v>
      </c>
      <c r="R1066" s="24"/>
      <c r="S1066" s="5">
        <v>987</v>
      </c>
      <c r="U1066" s="11">
        <v>6</v>
      </c>
      <c r="V1066" s="25">
        <f>IFERROR(TAB_OFICINAS[[#This Row],[Valor Unit]]*TAB_OFICINAS[[#This Row],[Qtd pçs Enviadas]]," ")</f>
        <v>48</v>
      </c>
      <c r="W1066" s="26"/>
      <c r="X1066" s="17" t="s">
        <v>6251</v>
      </c>
      <c r="Y1066" s="27"/>
      <c r="Z1066" s="90" t="str">
        <f>IF(TAB_OFICINAS[[#This Row],[Qtd pçs Enviadas]]=TAB_OFICINAS[[#This Row],[Qtd pçs Retornadas ]],"Produção Finalizada",TAB_OFICINAS[[#This Row],[Qtd pçs Pendetente ]] &amp; " " &amp; "Pçs Pendente")</f>
        <v>8 Pçs Pendente</v>
      </c>
    </row>
    <row r="1067" spans="3:26" hidden="1">
      <c r="C1067" s="28" t="s">
        <v>7</v>
      </c>
      <c r="D1067" s="5">
        <v>3132</v>
      </c>
      <c r="E1067" s="5">
        <v>24167</v>
      </c>
      <c r="F1067" s="28" t="str">
        <f>IFERROR(VLOOKUP(TAB_OFICINAS[[#This Row],[Cliente]],LISTA_DE_CLIENTES[[Código]:[Nome Fantasia]],2,FALSE),"")</f>
        <v>FLOW CITY SPE 7 EMPREENDIMENTO IMOBILIARIO LTDA</v>
      </c>
      <c r="G1067" s="2" t="str">
        <f>IFERROR(VLOOKUP(TAB_OFICINAS[[#This Row],[Cliente]],LISTA_DE_CLIENTES[[Código]:[Nome Fantasia]],3,FALSE),"")</f>
        <v>CARNAUBA WIND HOUSE</v>
      </c>
      <c r="H1067" s="51">
        <v>2102021348</v>
      </c>
      <c r="I1067" s="28" t="str">
        <f>IFERROR(VLOOKUP(TAB_OFICINAS[[#This Row],[Codigo Produto ]],_000___PEDIDOS_DE_CLIENTES[[Data.Column2]:[Descrição Produto]],2,FALSE)," ")</f>
        <v>LENÇOL CIMA 300F 100% ALGODÃO CLASSIC 1,60 X 2,25</v>
      </c>
      <c r="J1067" s="91">
        <v>8</v>
      </c>
      <c r="K1067" s="88">
        <v>46255</v>
      </c>
      <c r="M1067" s="6">
        <v>46262</v>
      </c>
      <c r="N1067" s="6">
        <f t="shared" ca="1" si="5"/>
        <v>46315</v>
      </c>
      <c r="O1067" s="23">
        <f ca="1">TAB_OFICINAS[[#This Row],[Data Retorno Produção]]-TAB_OFICINAS[[#This Row],[Data Prometida  Entrega]]</f>
        <v>53</v>
      </c>
      <c r="P1067" s="98" t="str">
        <f ca="1">IF(TAB_OFICINAS[[#This Row],[Dias Para Entrega]]&lt;=0,"Em dia","Dia de Atrasado")</f>
        <v>Dia de Atrasado</v>
      </c>
      <c r="Q1067" s="24">
        <f>IFERROR(TAB_OFICINAS[[#This Row],[Qtd pçs Enviadas]]-TAB_OFICINAS[[#This Row],[Qtd pçs Retornadas ]],"N/D ")</f>
        <v>8</v>
      </c>
      <c r="R1067" s="24"/>
      <c r="S1067" s="5">
        <v>987</v>
      </c>
      <c r="U1067" s="11">
        <v>6</v>
      </c>
      <c r="V1067" s="25">
        <f>IFERROR(TAB_OFICINAS[[#This Row],[Valor Unit]]*TAB_OFICINAS[[#This Row],[Qtd pçs Enviadas]]," ")</f>
        <v>48</v>
      </c>
      <c r="W1067" s="26"/>
      <c r="X1067" s="17" t="s">
        <v>6251</v>
      </c>
      <c r="Y1067" s="27"/>
      <c r="Z1067" s="90" t="str">
        <f>IF(TAB_OFICINAS[[#This Row],[Qtd pçs Enviadas]]=TAB_OFICINAS[[#This Row],[Qtd pçs Retornadas ]],"Produção Finalizada",TAB_OFICINAS[[#This Row],[Qtd pçs Pendetente ]] &amp; " " &amp; "Pçs Pendente")</f>
        <v>8 Pçs Pendente</v>
      </c>
    </row>
    <row r="1068" spans="3:26" hidden="1">
      <c r="C1068" s="28" t="s">
        <v>18</v>
      </c>
      <c r="D1068" s="5">
        <v>3625</v>
      </c>
      <c r="E1068" s="5">
        <v>24231</v>
      </c>
      <c r="F1068" s="28" t="s">
        <v>1643</v>
      </c>
      <c r="G1068" s="2" t="s">
        <v>1636</v>
      </c>
      <c r="H1068" s="51">
        <v>3301092628</v>
      </c>
      <c r="I1068" s="28" t="s">
        <v>20827</v>
      </c>
      <c r="J1068" s="91">
        <v>50</v>
      </c>
      <c r="K1068" s="88">
        <v>46258</v>
      </c>
      <c r="L1068" s="9">
        <v>50</v>
      </c>
      <c r="M1068" s="6">
        <v>46273</v>
      </c>
      <c r="N1068" s="6">
        <v>46274</v>
      </c>
      <c r="O1068" s="23">
        <v>1</v>
      </c>
      <c r="P1068" s="98" t="s">
        <v>24427</v>
      </c>
      <c r="Q1068" s="24" t="s">
        <v>24428</v>
      </c>
      <c r="R1068" s="24"/>
      <c r="S1068" s="5">
        <v>988</v>
      </c>
      <c r="T1068" s="5">
        <v>50</v>
      </c>
      <c r="U1068" s="11">
        <v>16</v>
      </c>
      <c r="V1068" s="135">
        <v>800</v>
      </c>
      <c r="W1068" s="26">
        <v>46284</v>
      </c>
      <c r="X1068" s="17" t="s">
        <v>6251</v>
      </c>
      <c r="Y1068" s="27"/>
      <c r="Z1068" s="90" t="s">
        <v>24429</v>
      </c>
    </row>
    <row r="1069" spans="3:26" hidden="1">
      <c r="C1069" s="28" t="s">
        <v>17</v>
      </c>
      <c r="D1069" s="5">
        <v>5584</v>
      </c>
      <c r="E1069" s="5">
        <v>24204</v>
      </c>
      <c r="F1069" s="28" t="s">
        <v>23015</v>
      </c>
      <c r="G1069" s="2" t="s">
        <v>23014</v>
      </c>
      <c r="H1069" s="51">
        <v>3301071384</v>
      </c>
      <c r="I1069" s="28" t="s">
        <v>24390</v>
      </c>
      <c r="J1069" s="91">
        <v>24</v>
      </c>
      <c r="K1069" s="88">
        <v>46258</v>
      </c>
      <c r="L1069" s="9">
        <v>24</v>
      </c>
      <c r="M1069" s="6">
        <v>46279</v>
      </c>
      <c r="N1069" s="6">
        <v>46267</v>
      </c>
      <c r="O1069" s="23">
        <v>-12</v>
      </c>
      <c r="P1069" s="98" t="s">
        <v>24430</v>
      </c>
      <c r="Q1069" s="24">
        <f>IFERROR(TAB_OFICINAS[[#This Row],[Qtd pçs Enviadas]]-TAB_OFICINAS[[#This Row],[Qtd pçs Retornadas ]],"N/D ")</f>
        <v>0</v>
      </c>
      <c r="R1069" s="24"/>
      <c r="S1069" s="5">
        <v>3384</v>
      </c>
      <c r="T1069" s="5">
        <v>64</v>
      </c>
      <c r="U1069" s="11">
        <v>16</v>
      </c>
      <c r="V1069" s="25">
        <v>384</v>
      </c>
      <c r="W1069" s="26">
        <v>46275</v>
      </c>
      <c r="X1069" s="17" t="s">
        <v>6251</v>
      </c>
      <c r="Y1069" s="27"/>
      <c r="Z1069" s="90" t="s">
        <v>24429</v>
      </c>
    </row>
    <row r="1070" spans="3:26" hidden="1">
      <c r="C1070" s="28" t="s">
        <v>17</v>
      </c>
      <c r="D1070" s="5">
        <v>5680</v>
      </c>
      <c r="E1070" s="5">
        <v>24130</v>
      </c>
      <c r="F1070" s="28" t="s">
        <v>23687</v>
      </c>
      <c r="G1070" s="2" t="s">
        <v>23686</v>
      </c>
      <c r="H1070" s="51">
        <v>3301091213</v>
      </c>
      <c r="I1070" s="28" t="s">
        <v>24431</v>
      </c>
      <c r="J1070" s="91">
        <v>10</v>
      </c>
      <c r="K1070" s="88">
        <v>46258</v>
      </c>
      <c r="L1070" s="9">
        <v>10</v>
      </c>
      <c r="M1070" s="6">
        <v>46265</v>
      </c>
      <c r="N1070" s="6">
        <v>46265</v>
      </c>
      <c r="O1070" s="23" t="s">
        <v>24428</v>
      </c>
      <c r="P1070" s="98" t="s">
        <v>24430</v>
      </c>
      <c r="Q1070" s="24">
        <f>IFERROR(TAB_OFICINAS[[#This Row],[Qtd pçs Enviadas]]-TAB_OFICINAS[[#This Row],[Qtd pçs Retornadas ]],"N/D ")</f>
        <v>0</v>
      </c>
      <c r="R1070" s="24"/>
      <c r="S1070" s="5">
        <v>3384</v>
      </c>
      <c r="T1070" s="5">
        <v>62</v>
      </c>
      <c r="U1070" s="11">
        <v>14</v>
      </c>
      <c r="V1070" s="25">
        <v>140</v>
      </c>
      <c r="W1070" s="26">
        <v>46275</v>
      </c>
      <c r="X1070" s="17" t="s">
        <v>6251</v>
      </c>
      <c r="Y1070" s="27"/>
      <c r="Z1070" s="90" t="s">
        <v>24429</v>
      </c>
    </row>
    <row r="1071" spans="3:26" ht="85.5" hidden="1">
      <c r="C1071" s="28" t="s">
        <v>16</v>
      </c>
      <c r="D1071" s="5">
        <v>1942</v>
      </c>
      <c r="E1071" s="5">
        <v>24067</v>
      </c>
      <c r="F1071" s="28" t="s">
        <v>4498</v>
      </c>
      <c r="G1071" s="2" t="s">
        <v>4497</v>
      </c>
      <c r="H1071" s="51">
        <v>2103062485</v>
      </c>
      <c r="I1071" s="28" t="s">
        <v>20770</v>
      </c>
      <c r="J1071" s="91">
        <v>298</v>
      </c>
      <c r="K1071" s="88">
        <v>46258</v>
      </c>
      <c r="L1071" s="9">
        <v>298</v>
      </c>
      <c r="M1071" s="6">
        <v>46266</v>
      </c>
      <c r="N1071" s="6">
        <v>46265</v>
      </c>
      <c r="O1071" s="23">
        <v>-1</v>
      </c>
      <c r="P1071" s="98" t="s">
        <v>24430</v>
      </c>
      <c r="Q1071" s="24">
        <f>IFERROR(TAB_OFICINAS[[#This Row],[Qtd pçs Enviadas]]-TAB_OFICINAS[[#This Row],[Qtd pçs Retornadas ]],"N/D ")</f>
        <v>0</v>
      </c>
      <c r="R1071" s="24"/>
      <c r="S1071" s="5">
        <v>989</v>
      </c>
      <c r="T1071" s="5">
        <v>63</v>
      </c>
      <c r="U1071" s="134">
        <v>5.15</v>
      </c>
      <c r="V1071" s="25">
        <f>IFERROR(TAB_OFICINAS[[#This Row],[Valor Unit]]*TAB_OFICINAS[[#This Row],[Qtd pçs Enviadas]]," ")</f>
        <v>1534.7</v>
      </c>
      <c r="W1071" s="26">
        <v>46275</v>
      </c>
      <c r="X1071" s="17" t="s">
        <v>6251</v>
      </c>
      <c r="Y1071" s="27" t="s">
        <v>25295</v>
      </c>
      <c r="Z1071" s="90" t="s">
        <v>24429</v>
      </c>
    </row>
    <row r="1072" spans="3:26" hidden="1">
      <c r="C1072" s="28" t="s">
        <v>15</v>
      </c>
      <c r="D1072" s="5">
        <v>3660</v>
      </c>
      <c r="E1072" s="5">
        <v>23695</v>
      </c>
      <c r="F1072" s="28" t="s">
        <v>2604</v>
      </c>
      <c r="G1072" s="2" t="s">
        <v>2602</v>
      </c>
      <c r="H1072" s="51">
        <v>2101067951</v>
      </c>
      <c r="I1072" s="28" t="s">
        <v>23092</v>
      </c>
      <c r="J1072" s="91">
        <v>316</v>
      </c>
      <c r="K1072" s="88">
        <v>46259</v>
      </c>
      <c r="L1072" s="9">
        <v>316</v>
      </c>
      <c r="M1072" s="6">
        <v>46267</v>
      </c>
      <c r="N1072" s="6">
        <v>46262</v>
      </c>
      <c r="O1072" s="23">
        <v>-5</v>
      </c>
      <c r="P1072" s="98" t="s">
        <v>24430</v>
      </c>
      <c r="Q1072" s="24">
        <f>IFERROR(TAB_OFICINAS[[#This Row],[Qtd pçs Enviadas]]-TAB_OFICINAS[[#This Row],[Qtd pçs Retornadas ]],"N/D ")</f>
        <v>0</v>
      </c>
      <c r="R1072" s="24"/>
      <c r="S1072" s="5">
        <v>994</v>
      </c>
      <c r="T1072" s="5">
        <v>17571</v>
      </c>
      <c r="U1072" s="134">
        <v>3.85</v>
      </c>
      <c r="V1072" s="135">
        <v>1216.5999999999999</v>
      </c>
      <c r="W1072" s="26">
        <v>46269</v>
      </c>
      <c r="X1072" s="17" t="s">
        <v>6251</v>
      </c>
      <c r="Y1072" s="27" t="s">
        <v>21341</v>
      </c>
      <c r="Z1072" s="90" t="s">
        <v>24429</v>
      </c>
    </row>
    <row r="1073" spans="3:26" hidden="1">
      <c r="C1073" s="28" t="s">
        <v>15</v>
      </c>
      <c r="D1073" s="5">
        <v>5679</v>
      </c>
      <c r="E1073" s="5">
        <v>24047</v>
      </c>
      <c r="F1073" s="28" t="s">
        <v>23683</v>
      </c>
      <c r="G1073" s="2" t="s">
        <v>23682</v>
      </c>
      <c r="H1073" s="51">
        <v>3302016028</v>
      </c>
      <c r="I1073" s="28" t="s">
        <v>21062</v>
      </c>
      <c r="J1073" s="91">
        <v>24</v>
      </c>
      <c r="K1073" s="88">
        <v>46259</v>
      </c>
      <c r="L1073" s="9">
        <v>24</v>
      </c>
      <c r="M1073" s="6">
        <v>46265</v>
      </c>
      <c r="N1073" s="6">
        <v>46262</v>
      </c>
      <c r="O1073" s="23">
        <v>-3</v>
      </c>
      <c r="P1073" s="98" t="s">
        <v>24430</v>
      </c>
      <c r="Q1073" s="24">
        <f>IFERROR(TAB_OFICINAS[[#This Row],[Qtd pçs Enviadas]]-TAB_OFICINAS[[#This Row],[Qtd pçs Retornadas ]],"N/D ")</f>
        <v>0</v>
      </c>
      <c r="R1073" s="24"/>
      <c r="S1073" s="5">
        <v>3386</v>
      </c>
      <c r="T1073" s="5">
        <v>17570</v>
      </c>
      <c r="U1073" s="134">
        <v>3.6</v>
      </c>
      <c r="V1073" s="135">
        <v>86.4</v>
      </c>
      <c r="W1073" s="26">
        <v>46269</v>
      </c>
      <c r="X1073" s="17" t="s">
        <v>6251</v>
      </c>
      <c r="Y1073" s="27" t="s">
        <v>24432</v>
      </c>
      <c r="Z1073" s="90" t="s">
        <v>24429</v>
      </c>
    </row>
    <row r="1074" spans="3:26" hidden="1">
      <c r="C1074" s="28" t="s">
        <v>15</v>
      </c>
      <c r="D1074" s="5">
        <v>5645</v>
      </c>
      <c r="E1074" s="5">
        <v>23888</v>
      </c>
      <c r="F1074" s="28" t="s">
        <v>2911</v>
      </c>
      <c r="G1074" s="2" t="s">
        <v>23485</v>
      </c>
      <c r="H1074" s="51">
        <v>2111261202</v>
      </c>
      <c r="I1074" s="28" t="s">
        <v>23781</v>
      </c>
      <c r="J1074" s="91">
        <v>71</v>
      </c>
      <c r="K1074" s="88">
        <v>46259</v>
      </c>
      <c r="L1074" s="9">
        <v>71</v>
      </c>
      <c r="M1074" s="6">
        <v>46268</v>
      </c>
      <c r="N1074" s="6">
        <v>46265</v>
      </c>
      <c r="O1074" s="23">
        <v>-3</v>
      </c>
      <c r="P1074" s="98" t="s">
        <v>24430</v>
      </c>
      <c r="Q1074" s="24">
        <f>IFERROR(TAB_OFICINAS[[#This Row],[Qtd pçs Enviadas]]-TAB_OFICINAS[[#This Row],[Qtd pçs Retornadas ]],"N/D ")</f>
        <v>0</v>
      </c>
      <c r="R1074" s="24"/>
      <c r="S1074" s="5">
        <v>3386</v>
      </c>
      <c r="T1074" s="5">
        <v>17570</v>
      </c>
      <c r="U1074" s="134">
        <v>4</v>
      </c>
      <c r="V1074" s="135">
        <v>284</v>
      </c>
      <c r="W1074" s="26">
        <v>46269</v>
      </c>
      <c r="X1074" s="17" t="s">
        <v>6251</v>
      </c>
      <c r="Y1074" s="27" t="s">
        <v>24433</v>
      </c>
      <c r="Z1074" s="90" t="s">
        <v>24429</v>
      </c>
    </row>
    <row r="1075" spans="3:26" hidden="1">
      <c r="C1075" s="28" t="s">
        <v>15</v>
      </c>
      <c r="D1075" s="5">
        <v>3660</v>
      </c>
      <c r="E1075" s="5">
        <v>23695</v>
      </c>
      <c r="F1075" s="28" t="s">
        <v>2604</v>
      </c>
      <c r="G1075" s="2" t="s">
        <v>2602</v>
      </c>
      <c r="H1075" s="51">
        <v>2101067951</v>
      </c>
      <c r="I1075" s="28" t="s">
        <v>23092</v>
      </c>
      <c r="J1075" s="91">
        <v>500</v>
      </c>
      <c r="K1075" s="88">
        <v>46261</v>
      </c>
      <c r="L1075" s="9">
        <v>500</v>
      </c>
      <c r="M1075" s="6">
        <v>46266</v>
      </c>
      <c r="N1075" s="6">
        <v>46265</v>
      </c>
      <c r="O1075" s="23">
        <v>-1</v>
      </c>
      <c r="P1075" s="98" t="s">
        <v>24430</v>
      </c>
      <c r="Q1075" s="24">
        <f>IFERROR(TAB_OFICINAS[[#This Row],[Qtd pçs Enviadas]]-TAB_OFICINAS[[#This Row],[Qtd pçs Retornadas ]],"N/D ")</f>
        <v>0</v>
      </c>
      <c r="R1075" s="24"/>
      <c r="S1075" s="5">
        <v>996</v>
      </c>
      <c r="T1075" s="5">
        <v>17572</v>
      </c>
      <c r="U1075" s="134">
        <v>3.85</v>
      </c>
      <c r="V1075" s="135">
        <v>1925</v>
      </c>
      <c r="W1075" s="26">
        <v>46269</v>
      </c>
      <c r="X1075" s="17" t="s">
        <v>6251</v>
      </c>
      <c r="Y1075" s="27" t="s">
        <v>21341</v>
      </c>
      <c r="Z1075" s="90" t="s">
        <v>24429</v>
      </c>
    </row>
    <row r="1076" spans="3:26" hidden="1">
      <c r="C1076" s="28" t="s">
        <v>15</v>
      </c>
      <c r="D1076" s="5">
        <v>2533</v>
      </c>
      <c r="E1076" s="5">
        <v>24300</v>
      </c>
      <c r="F1076" s="28" t="s">
        <v>6171</v>
      </c>
      <c r="G1076" s="2" t="s">
        <v>6170</v>
      </c>
      <c r="H1076" s="51">
        <v>2201021433</v>
      </c>
      <c r="I1076" s="28" t="s">
        <v>24434</v>
      </c>
      <c r="J1076" s="91">
        <v>1</v>
      </c>
      <c r="K1076" s="88">
        <v>46261</v>
      </c>
      <c r="L1076" s="9">
        <v>1</v>
      </c>
      <c r="M1076" s="6">
        <v>46262</v>
      </c>
      <c r="N1076" s="6">
        <v>46262</v>
      </c>
      <c r="O1076" s="23" t="s">
        <v>24428</v>
      </c>
      <c r="P1076" s="98" t="s">
        <v>24430</v>
      </c>
      <c r="Q1076" s="24">
        <f>IFERROR(TAB_OFICINAS[[#This Row],[Qtd pçs Enviadas]]-TAB_OFICINAS[[#This Row],[Qtd pçs Retornadas ]],"N/D ")</f>
        <v>0</v>
      </c>
      <c r="R1076" s="24"/>
      <c r="S1076" s="5">
        <v>996</v>
      </c>
      <c r="T1076" s="5">
        <v>17572</v>
      </c>
      <c r="U1076" s="134">
        <v>12</v>
      </c>
      <c r="V1076" s="135">
        <v>12</v>
      </c>
      <c r="W1076" s="26">
        <v>46269</v>
      </c>
      <c r="X1076" s="17" t="s">
        <v>6251</v>
      </c>
      <c r="Y1076" s="27" t="s">
        <v>24283</v>
      </c>
      <c r="Z1076" s="90" t="s">
        <v>24429</v>
      </c>
    </row>
    <row r="1077" spans="3:26" hidden="1">
      <c r="C1077" s="28" t="s">
        <v>15</v>
      </c>
      <c r="D1077" s="5">
        <v>2533</v>
      </c>
      <c r="E1077" s="5">
        <v>24300</v>
      </c>
      <c r="F1077" s="28" t="s">
        <v>6171</v>
      </c>
      <c r="G1077" s="2" t="s">
        <v>6170</v>
      </c>
      <c r="H1077" s="51">
        <v>2201021432</v>
      </c>
      <c r="I1077" s="28" t="s">
        <v>24435</v>
      </c>
      <c r="J1077" s="91">
        <v>2</v>
      </c>
      <c r="K1077" s="88">
        <v>46261</v>
      </c>
      <c r="L1077" s="9">
        <v>2</v>
      </c>
      <c r="M1077" s="6">
        <v>46262</v>
      </c>
      <c r="N1077" s="6">
        <v>46262</v>
      </c>
      <c r="O1077" s="23" t="s">
        <v>24428</v>
      </c>
      <c r="P1077" s="98" t="s">
        <v>24430</v>
      </c>
      <c r="Q1077" s="24">
        <f>IFERROR(TAB_OFICINAS[[#This Row],[Qtd pçs Enviadas]]-TAB_OFICINAS[[#This Row],[Qtd pçs Retornadas ]],"N/D ")</f>
        <v>0</v>
      </c>
      <c r="R1077" s="24"/>
      <c r="S1077" s="5">
        <v>996</v>
      </c>
      <c r="T1077" s="5">
        <v>17572</v>
      </c>
      <c r="U1077" s="134">
        <v>12</v>
      </c>
      <c r="V1077" s="135">
        <v>24</v>
      </c>
      <c r="W1077" s="26">
        <v>46269</v>
      </c>
      <c r="X1077" s="17" t="s">
        <v>6251</v>
      </c>
      <c r="Y1077" s="27" t="s">
        <v>24284</v>
      </c>
      <c r="Z1077" s="90" t="s">
        <v>24429</v>
      </c>
    </row>
    <row r="1078" spans="3:26" hidden="1">
      <c r="C1078" s="28" t="s">
        <v>15</v>
      </c>
      <c r="D1078" s="5">
        <v>2533</v>
      </c>
      <c r="E1078" s="5">
        <v>24300</v>
      </c>
      <c r="F1078" s="28" t="s">
        <v>6171</v>
      </c>
      <c r="G1078" s="2" t="s">
        <v>6170</v>
      </c>
      <c r="H1078" s="51">
        <v>2201021434</v>
      </c>
      <c r="I1078" s="28" t="s">
        <v>24436</v>
      </c>
      <c r="J1078" s="91">
        <v>2</v>
      </c>
      <c r="K1078" s="88">
        <v>46261</v>
      </c>
      <c r="L1078" s="9">
        <v>2</v>
      </c>
      <c r="M1078" s="6">
        <v>46262</v>
      </c>
      <c r="N1078" s="6">
        <v>46262</v>
      </c>
      <c r="O1078" s="23" t="s">
        <v>24428</v>
      </c>
      <c r="P1078" s="98" t="s">
        <v>24430</v>
      </c>
      <c r="Q1078" s="24">
        <f>IFERROR(TAB_OFICINAS[[#This Row],[Qtd pçs Enviadas]]-TAB_OFICINAS[[#This Row],[Qtd pçs Retornadas ]],"N/D ")</f>
        <v>0</v>
      </c>
      <c r="R1078" s="24"/>
      <c r="S1078" s="5">
        <v>996</v>
      </c>
      <c r="T1078" s="5">
        <v>17572</v>
      </c>
      <c r="U1078" s="134">
        <v>12</v>
      </c>
      <c r="V1078" s="135">
        <v>24</v>
      </c>
      <c r="W1078" s="26">
        <v>46269</v>
      </c>
      <c r="X1078" s="17" t="s">
        <v>6251</v>
      </c>
      <c r="Y1078" s="27" t="s">
        <v>24282</v>
      </c>
      <c r="Z1078" s="90" t="s">
        <v>24429</v>
      </c>
    </row>
    <row r="1079" spans="3:26" hidden="1">
      <c r="C1079" s="28" t="s">
        <v>15</v>
      </c>
      <c r="D1079" s="5">
        <v>1876</v>
      </c>
      <c r="E1079" s="5">
        <v>24307</v>
      </c>
      <c r="F1079" s="28" t="s">
        <v>3436</v>
      </c>
      <c r="G1079" s="2" t="s">
        <v>3435</v>
      </c>
      <c r="H1079" s="51" t="s">
        <v>24437</v>
      </c>
      <c r="I1079" s="28" t="s">
        <v>24438</v>
      </c>
      <c r="J1079" s="91">
        <v>1</v>
      </c>
      <c r="K1079" s="88">
        <v>46261</v>
      </c>
      <c r="L1079" s="9">
        <v>1</v>
      </c>
      <c r="M1079" s="6">
        <v>46266</v>
      </c>
      <c r="N1079" s="6">
        <v>46266</v>
      </c>
      <c r="O1079" s="23" t="s">
        <v>24428</v>
      </c>
      <c r="P1079" s="98" t="s">
        <v>24430</v>
      </c>
      <c r="Q1079" s="24">
        <f>IFERROR(TAB_OFICINAS[[#This Row],[Qtd pçs Enviadas]]-TAB_OFICINAS[[#This Row],[Qtd pçs Retornadas ]],"N/D ")</f>
        <v>0</v>
      </c>
      <c r="R1079" s="24"/>
      <c r="S1079" s="5">
        <v>996</v>
      </c>
      <c r="T1079" s="5">
        <v>17574</v>
      </c>
      <c r="U1079" s="134">
        <v>18</v>
      </c>
      <c r="V1079" s="135">
        <v>18</v>
      </c>
      <c r="W1079" s="26">
        <v>46272</v>
      </c>
      <c r="X1079" s="17" t="s">
        <v>6251</v>
      </c>
      <c r="Y1079" s="27" t="s">
        <v>24439</v>
      </c>
      <c r="Z1079" s="90" t="s">
        <v>24429</v>
      </c>
    </row>
    <row r="1080" spans="3:26" hidden="1">
      <c r="C1080" s="28" t="s">
        <v>15</v>
      </c>
      <c r="D1080" s="5">
        <v>5681</v>
      </c>
      <c r="E1080" s="5">
        <v>24196</v>
      </c>
      <c r="F1080" s="28" t="s">
        <v>24285</v>
      </c>
      <c r="G1080" s="2" t="s">
        <v>23690</v>
      </c>
      <c r="H1080" s="51">
        <v>3302047896</v>
      </c>
      <c r="I1080" s="28" t="s">
        <v>24393</v>
      </c>
      <c r="J1080" s="91">
        <v>30</v>
      </c>
      <c r="K1080" s="88">
        <v>46261</v>
      </c>
      <c r="L1080" s="9">
        <v>30</v>
      </c>
      <c r="M1080" s="6">
        <v>46266</v>
      </c>
      <c r="N1080" s="6">
        <v>46266</v>
      </c>
      <c r="O1080" s="23" t="s">
        <v>24428</v>
      </c>
      <c r="P1080" s="98" t="s">
        <v>24430</v>
      </c>
      <c r="Q1080" s="24">
        <f>IFERROR(TAB_OFICINAS[[#This Row],[Qtd pçs Enviadas]]-TAB_OFICINAS[[#This Row],[Qtd pçs Retornadas ]],"N/D ")</f>
        <v>0</v>
      </c>
      <c r="R1080" s="24"/>
      <c r="S1080" s="5">
        <v>996</v>
      </c>
      <c r="T1080" s="5">
        <v>17574</v>
      </c>
      <c r="U1080" s="134">
        <v>3.6</v>
      </c>
      <c r="V1080" s="135">
        <v>108</v>
      </c>
      <c r="W1080" s="26">
        <v>46272</v>
      </c>
      <c r="X1080" s="17" t="s">
        <v>6251</v>
      </c>
      <c r="Y1080" s="27" t="s">
        <v>24440</v>
      </c>
      <c r="Z1080" s="90" t="s">
        <v>24429</v>
      </c>
    </row>
    <row r="1081" spans="3:26" hidden="1">
      <c r="C1081" s="28" t="s">
        <v>7</v>
      </c>
      <c r="D1081" s="5">
        <v>2463</v>
      </c>
      <c r="E1081" s="5">
        <v>24258</v>
      </c>
      <c r="F1081" s="28" t="s">
        <v>12726</v>
      </c>
      <c r="G1081" s="2" t="s">
        <v>12725</v>
      </c>
      <c r="H1081" s="51" t="s">
        <v>23962</v>
      </c>
      <c r="I1081" s="28" t="s">
        <v>24441</v>
      </c>
      <c r="J1081" s="91">
        <v>1</v>
      </c>
      <c r="K1081" s="88">
        <v>46261</v>
      </c>
      <c r="L1081" s="9">
        <v>1</v>
      </c>
      <c r="M1081" s="6">
        <v>46261</v>
      </c>
      <c r="N1081" s="6">
        <v>46261</v>
      </c>
      <c r="O1081" s="23" t="s">
        <v>24428</v>
      </c>
      <c r="P1081" s="98" t="s">
        <v>24430</v>
      </c>
      <c r="Q1081" s="24" t="s">
        <v>24428</v>
      </c>
      <c r="R1081" s="24"/>
      <c r="S1081" s="5">
        <v>3389</v>
      </c>
      <c r="T1081" s="5">
        <v>57</v>
      </c>
      <c r="U1081" s="134">
        <v>12</v>
      </c>
      <c r="V1081" s="135">
        <v>12</v>
      </c>
      <c r="W1081" s="26">
        <v>46269</v>
      </c>
      <c r="X1081" s="17" t="s">
        <v>6251</v>
      </c>
      <c r="Y1081" s="27" t="s">
        <v>24442</v>
      </c>
      <c r="Z1081" s="90" t="s">
        <v>24429</v>
      </c>
    </row>
    <row r="1082" spans="3:26" hidden="1">
      <c r="C1082" s="28" t="s">
        <v>7</v>
      </c>
      <c r="D1082" s="5">
        <v>2463</v>
      </c>
      <c r="E1082" s="5">
        <v>24258</v>
      </c>
      <c r="F1082" s="28" t="s">
        <v>12726</v>
      </c>
      <c r="G1082" s="2" t="s">
        <v>12725</v>
      </c>
      <c r="H1082" s="51" t="s">
        <v>23962</v>
      </c>
      <c r="I1082" s="28" t="s">
        <v>24443</v>
      </c>
      <c r="J1082" s="91">
        <v>1</v>
      </c>
      <c r="K1082" s="88">
        <v>46261</v>
      </c>
      <c r="L1082" s="9">
        <v>1</v>
      </c>
      <c r="M1082" s="6">
        <v>46261</v>
      </c>
      <c r="N1082" s="6">
        <v>46261</v>
      </c>
      <c r="O1082" s="23" t="s">
        <v>24428</v>
      </c>
      <c r="P1082" s="98" t="s">
        <v>24430</v>
      </c>
      <c r="Q1082" s="24" t="s">
        <v>24428</v>
      </c>
      <c r="R1082" s="24"/>
      <c r="S1082" s="5">
        <v>3389</v>
      </c>
      <c r="T1082" s="5">
        <v>57</v>
      </c>
      <c r="U1082" s="134">
        <v>12</v>
      </c>
      <c r="V1082" s="135">
        <v>12</v>
      </c>
      <c r="W1082" s="26">
        <v>46269</v>
      </c>
      <c r="X1082" s="17" t="s">
        <v>6251</v>
      </c>
      <c r="Y1082" s="27" t="s">
        <v>24442</v>
      </c>
      <c r="Z1082" s="90" t="s">
        <v>24429</v>
      </c>
    </row>
    <row r="1083" spans="3:26" hidden="1">
      <c r="C1083" s="28" t="s">
        <v>7</v>
      </c>
      <c r="D1083" s="5">
        <v>2463</v>
      </c>
      <c r="E1083" s="5">
        <v>24258</v>
      </c>
      <c r="F1083" s="28" t="s">
        <v>12726</v>
      </c>
      <c r="G1083" s="2" t="s">
        <v>12725</v>
      </c>
      <c r="H1083" s="51" t="s">
        <v>23962</v>
      </c>
      <c r="I1083" s="28" t="s">
        <v>24444</v>
      </c>
      <c r="J1083" s="91">
        <v>1</v>
      </c>
      <c r="K1083" s="88">
        <v>46261</v>
      </c>
      <c r="L1083" s="9">
        <v>1</v>
      </c>
      <c r="M1083" s="6">
        <v>46261</v>
      </c>
      <c r="N1083" s="6">
        <v>46261</v>
      </c>
      <c r="O1083" s="23" t="s">
        <v>24428</v>
      </c>
      <c r="P1083" s="98" t="s">
        <v>24430</v>
      </c>
      <c r="Q1083" s="24" t="s">
        <v>24428</v>
      </c>
      <c r="R1083" s="24"/>
      <c r="S1083" s="5">
        <v>3389</v>
      </c>
      <c r="T1083" s="5">
        <v>57</v>
      </c>
      <c r="U1083" s="134">
        <v>12</v>
      </c>
      <c r="V1083" s="135">
        <v>12</v>
      </c>
      <c r="W1083" s="26">
        <v>46269</v>
      </c>
      <c r="X1083" s="17" t="s">
        <v>6251</v>
      </c>
      <c r="Y1083" s="27" t="s">
        <v>24445</v>
      </c>
      <c r="Z1083" s="90" t="s">
        <v>24429</v>
      </c>
    </row>
    <row r="1084" spans="3:26" hidden="1">
      <c r="C1084" s="28" t="s">
        <v>7</v>
      </c>
      <c r="H1084" s="51" t="s">
        <v>23962</v>
      </c>
      <c r="I1084" s="28" t="s">
        <v>24446</v>
      </c>
      <c r="J1084" s="91">
        <v>1</v>
      </c>
      <c r="K1084" s="88">
        <v>46261</v>
      </c>
      <c r="L1084" s="9">
        <v>1</v>
      </c>
      <c r="M1084" s="6">
        <v>46261</v>
      </c>
      <c r="N1084" s="6">
        <v>46261</v>
      </c>
      <c r="O1084" s="23" t="s">
        <v>24428</v>
      </c>
      <c r="P1084" s="98" t="s">
        <v>24430</v>
      </c>
      <c r="Q1084" s="24" t="s">
        <v>24428</v>
      </c>
      <c r="R1084" s="24"/>
      <c r="S1084" s="5">
        <v>3389</v>
      </c>
      <c r="T1084" s="5">
        <v>57</v>
      </c>
      <c r="U1084" s="134">
        <v>6</v>
      </c>
      <c r="V1084" s="135">
        <v>6</v>
      </c>
      <c r="W1084" s="26">
        <v>46269</v>
      </c>
      <c r="X1084" s="17" t="s">
        <v>6251</v>
      </c>
      <c r="Y1084" s="27"/>
      <c r="Z1084" s="90" t="s">
        <v>24429</v>
      </c>
    </row>
    <row r="1085" spans="3:26" hidden="1">
      <c r="C1085" s="28" t="s">
        <v>15</v>
      </c>
      <c r="D1085" s="5">
        <v>4652</v>
      </c>
      <c r="E1085" s="5">
        <v>23900</v>
      </c>
      <c r="F1085" s="28" t="s">
        <v>693</v>
      </c>
      <c r="G1085" s="2" t="s">
        <v>687</v>
      </c>
      <c r="H1085" s="51">
        <v>3301091242</v>
      </c>
      <c r="I1085" s="28" t="s">
        <v>23885</v>
      </c>
      <c r="J1085" s="91">
        <v>61</v>
      </c>
      <c r="K1085" s="88">
        <v>46261</v>
      </c>
      <c r="L1085" s="9">
        <v>61</v>
      </c>
      <c r="M1085" s="6">
        <v>46266</v>
      </c>
      <c r="N1085" s="6">
        <v>46266</v>
      </c>
      <c r="O1085" s="23" t="s">
        <v>24428</v>
      </c>
      <c r="P1085" s="98" t="s">
        <v>24430</v>
      </c>
      <c r="Q1085" s="24">
        <f>IFERROR(TAB_OFICINAS[[#This Row],[Qtd pçs Enviadas]]-TAB_OFICINAS[[#This Row],[Qtd pçs Retornadas ]],"N/D ")</f>
        <v>0</v>
      </c>
      <c r="R1085" s="24"/>
      <c r="S1085" s="5">
        <v>3390</v>
      </c>
      <c r="T1085" s="5">
        <v>17576</v>
      </c>
      <c r="U1085" s="134">
        <v>4.2</v>
      </c>
      <c r="V1085" s="135">
        <v>256.2</v>
      </c>
      <c r="W1085" s="26">
        <v>46273</v>
      </c>
      <c r="X1085" s="17" t="s">
        <v>6251</v>
      </c>
      <c r="Y1085" s="27" t="s">
        <v>24447</v>
      </c>
      <c r="Z1085" s="90" t="s">
        <v>24429</v>
      </c>
    </row>
    <row r="1086" spans="3:26" hidden="1">
      <c r="C1086" s="28" t="s">
        <v>15</v>
      </c>
      <c r="D1086" s="5">
        <v>4652</v>
      </c>
      <c r="E1086" s="5">
        <v>23900</v>
      </c>
      <c r="F1086" s="28" t="s">
        <v>693</v>
      </c>
      <c r="G1086" s="2" t="s">
        <v>687</v>
      </c>
      <c r="H1086" s="51">
        <v>3301091213</v>
      </c>
      <c r="I1086" s="28" t="s">
        <v>24431</v>
      </c>
      <c r="J1086" s="91">
        <v>121</v>
      </c>
      <c r="K1086" s="88">
        <v>46261</v>
      </c>
      <c r="L1086" s="9">
        <v>121</v>
      </c>
      <c r="M1086" s="6">
        <v>46266</v>
      </c>
      <c r="N1086" s="6">
        <v>46267</v>
      </c>
      <c r="O1086" s="23">
        <v>1</v>
      </c>
      <c r="P1086" s="98" t="s">
        <v>24427</v>
      </c>
      <c r="Q1086" s="24">
        <f>IFERROR(TAB_OFICINAS[[#This Row],[Qtd pçs Enviadas]]-TAB_OFICINAS[[#This Row],[Qtd pçs Retornadas ]],"N/D ")</f>
        <v>0</v>
      </c>
      <c r="R1086" s="24">
        <v>2</v>
      </c>
      <c r="S1086" s="5">
        <v>3390</v>
      </c>
      <c r="T1086" s="5">
        <v>17576</v>
      </c>
      <c r="U1086" s="134">
        <v>4.2</v>
      </c>
      <c r="V1086" s="135">
        <v>508.2</v>
      </c>
      <c r="W1086" s="26">
        <v>46273</v>
      </c>
      <c r="X1086" s="17" t="s">
        <v>6251</v>
      </c>
      <c r="Y1086" s="27" t="s">
        <v>24447</v>
      </c>
      <c r="Z1086" s="90" t="s">
        <v>24429</v>
      </c>
    </row>
    <row r="1087" spans="3:26" hidden="1">
      <c r="C1087" s="28" t="s">
        <v>15</v>
      </c>
      <c r="D1087" s="5">
        <v>4652</v>
      </c>
      <c r="E1087" s="5">
        <v>23900</v>
      </c>
      <c r="F1087" s="28" t="s">
        <v>693</v>
      </c>
      <c r="G1087" s="2" t="s">
        <v>687</v>
      </c>
      <c r="H1087" s="51">
        <v>3301091211</v>
      </c>
      <c r="I1087" s="28" t="s">
        <v>24448</v>
      </c>
      <c r="J1087" s="91">
        <v>61</v>
      </c>
      <c r="K1087" s="88">
        <v>46261</v>
      </c>
      <c r="L1087" s="9">
        <v>61</v>
      </c>
      <c r="M1087" s="6">
        <v>46266</v>
      </c>
      <c r="N1087" s="6">
        <v>46266</v>
      </c>
      <c r="O1087" s="23" t="s">
        <v>24428</v>
      </c>
      <c r="P1087" s="98" t="s">
        <v>24430</v>
      </c>
      <c r="Q1087" s="24">
        <f>IFERROR(TAB_OFICINAS[[#This Row],[Qtd pçs Enviadas]]-TAB_OFICINAS[[#This Row],[Qtd pçs Retornadas ]],"N/D ")</f>
        <v>0</v>
      </c>
      <c r="R1087" s="24"/>
      <c r="S1087" s="5">
        <v>3390</v>
      </c>
      <c r="T1087" s="5">
        <v>17576</v>
      </c>
      <c r="U1087" s="134">
        <v>4.2</v>
      </c>
      <c r="V1087" s="135">
        <v>256.2</v>
      </c>
      <c r="W1087" s="26">
        <v>46273</v>
      </c>
      <c r="X1087" s="17" t="s">
        <v>6251</v>
      </c>
      <c r="Y1087" s="27" t="s">
        <v>24447</v>
      </c>
      <c r="Z1087" s="90" t="s">
        <v>24429</v>
      </c>
    </row>
    <row r="1088" spans="3:26" hidden="1">
      <c r="C1088" s="28" t="s">
        <v>3</v>
      </c>
      <c r="D1088" s="5">
        <v>1942</v>
      </c>
      <c r="E1088" s="5">
        <v>24067</v>
      </c>
      <c r="F1088" s="28" t="s">
        <v>4498</v>
      </c>
      <c r="G1088" s="2" t="s">
        <v>4497</v>
      </c>
      <c r="H1088" s="51">
        <v>2103062485</v>
      </c>
      <c r="I1088" s="28" t="s">
        <v>20770</v>
      </c>
      <c r="J1088" s="91">
        <v>200</v>
      </c>
      <c r="K1088" s="88">
        <v>46261</v>
      </c>
      <c r="L1088" s="9">
        <v>200</v>
      </c>
      <c r="M1088" s="6">
        <v>46272</v>
      </c>
      <c r="N1088" s="6">
        <v>46303</v>
      </c>
      <c r="O1088" s="23">
        <v>31</v>
      </c>
      <c r="P1088" s="98" t="s">
        <v>24427</v>
      </c>
      <c r="Q1088" s="24" t="s">
        <v>24428</v>
      </c>
      <c r="R1088" s="24"/>
      <c r="S1088" s="5">
        <v>3388</v>
      </c>
      <c r="T1088" s="5">
        <v>130</v>
      </c>
      <c r="U1088" s="134">
        <v>5.15</v>
      </c>
      <c r="V1088" s="135">
        <v>1030</v>
      </c>
      <c r="W1088" s="26">
        <v>46313</v>
      </c>
      <c r="X1088" s="17" t="s">
        <v>6251</v>
      </c>
      <c r="Y1088" s="27"/>
      <c r="Z1088" s="90" t="s">
        <v>24429</v>
      </c>
    </row>
    <row r="1089" spans="3:26" hidden="1">
      <c r="C1089" s="28" t="s">
        <v>3</v>
      </c>
      <c r="D1089" s="5">
        <v>240</v>
      </c>
      <c r="E1089" s="5">
        <v>24257</v>
      </c>
      <c r="F1089" s="28" t="s">
        <v>4148</v>
      </c>
      <c r="G1089" s="2" t="s">
        <v>4147</v>
      </c>
      <c r="H1089" s="51">
        <v>3302119211</v>
      </c>
      <c r="I1089" s="28" t="s">
        <v>24449</v>
      </c>
      <c r="J1089" s="91">
        <v>60</v>
      </c>
      <c r="K1089" s="88">
        <v>46261</v>
      </c>
      <c r="L1089" s="9">
        <v>60</v>
      </c>
      <c r="M1089" s="6">
        <v>46272</v>
      </c>
      <c r="N1089" s="6">
        <v>46303</v>
      </c>
      <c r="O1089" s="23">
        <v>31</v>
      </c>
      <c r="P1089" s="98" t="s">
        <v>24427</v>
      </c>
      <c r="Q1089" s="24" t="s">
        <v>24428</v>
      </c>
      <c r="R1089" s="24"/>
      <c r="S1089" s="5">
        <v>3388</v>
      </c>
      <c r="T1089" s="5">
        <v>131</v>
      </c>
      <c r="U1089" s="134">
        <v>5</v>
      </c>
      <c r="V1089" s="135">
        <v>300</v>
      </c>
      <c r="W1089" s="26">
        <v>46313</v>
      </c>
      <c r="X1089" s="17" t="s">
        <v>6251</v>
      </c>
      <c r="Y1089" s="27"/>
      <c r="Z1089" s="90" t="s">
        <v>24429</v>
      </c>
    </row>
    <row r="1090" spans="3:26" hidden="1">
      <c r="C1090" s="28" t="s">
        <v>3</v>
      </c>
      <c r="D1090" s="5">
        <v>240</v>
      </c>
      <c r="E1090" s="5">
        <v>24257</v>
      </c>
      <c r="F1090" s="28" t="s">
        <v>4148</v>
      </c>
      <c r="G1090" s="2" t="s">
        <v>4147</v>
      </c>
      <c r="H1090" s="51">
        <v>3302128548</v>
      </c>
      <c r="I1090" s="28" t="s">
        <v>24450</v>
      </c>
      <c r="J1090" s="91">
        <v>60</v>
      </c>
      <c r="K1090" s="88">
        <v>46261</v>
      </c>
      <c r="L1090" s="9">
        <v>60</v>
      </c>
      <c r="M1090" s="6">
        <v>46272</v>
      </c>
      <c r="N1090" s="6">
        <v>46303</v>
      </c>
      <c r="O1090" s="23">
        <v>31</v>
      </c>
      <c r="P1090" s="98" t="s">
        <v>24427</v>
      </c>
      <c r="Q1090" s="24" t="s">
        <v>24428</v>
      </c>
      <c r="R1090" s="24"/>
      <c r="S1090" s="5">
        <v>3388</v>
      </c>
      <c r="T1090" s="5">
        <v>131</v>
      </c>
      <c r="U1090" s="134">
        <v>4.5</v>
      </c>
      <c r="V1090" s="135">
        <v>270</v>
      </c>
      <c r="W1090" s="26">
        <v>46313</v>
      </c>
      <c r="X1090" s="17" t="s">
        <v>6251</v>
      </c>
      <c r="Y1090" s="27"/>
      <c r="Z1090" s="90" t="s">
        <v>24429</v>
      </c>
    </row>
    <row r="1091" spans="3:26" hidden="1">
      <c r="C1091" s="28" t="s">
        <v>7</v>
      </c>
      <c r="D1091" s="5">
        <v>2463</v>
      </c>
      <c r="E1091" s="5">
        <v>24258</v>
      </c>
      <c r="F1091" s="28" t="s">
        <v>12726</v>
      </c>
      <c r="G1091" s="2" t="s">
        <v>12725</v>
      </c>
      <c r="H1091" s="51" t="s">
        <v>23962</v>
      </c>
      <c r="I1091" s="28" t="s">
        <v>24444</v>
      </c>
      <c r="J1091" s="91">
        <v>1</v>
      </c>
      <c r="K1091" s="88">
        <v>46262</v>
      </c>
      <c r="L1091" s="9">
        <v>1</v>
      </c>
      <c r="M1091" s="6">
        <v>46262</v>
      </c>
      <c r="N1091" s="6">
        <v>46262</v>
      </c>
      <c r="O1091" s="23" t="s">
        <v>24428</v>
      </c>
      <c r="P1091" s="98" t="s">
        <v>24430</v>
      </c>
      <c r="Q1091" s="24" t="s">
        <v>24428</v>
      </c>
      <c r="R1091" s="24"/>
      <c r="S1091" s="5">
        <v>3389</v>
      </c>
      <c r="T1091" s="5">
        <v>57</v>
      </c>
      <c r="U1091" s="134">
        <v>12</v>
      </c>
      <c r="V1091" s="135">
        <v>12</v>
      </c>
      <c r="W1091" s="26">
        <v>46269</v>
      </c>
      <c r="X1091" s="17" t="s">
        <v>6251</v>
      </c>
      <c r="Y1091" s="27" t="s">
        <v>24451</v>
      </c>
      <c r="Z1091" s="90" t="s">
        <v>24429</v>
      </c>
    </row>
    <row r="1092" spans="3:26" hidden="1">
      <c r="C1092" s="28" t="s">
        <v>7</v>
      </c>
      <c r="D1092" s="5">
        <v>964</v>
      </c>
      <c r="E1092" s="5">
        <v>24258</v>
      </c>
      <c r="F1092" s="28" t="s">
        <v>8839</v>
      </c>
      <c r="G1092" s="2" t="s">
        <v>8838</v>
      </c>
      <c r="H1092" s="51" t="s">
        <v>23962</v>
      </c>
      <c r="I1092" s="28" t="s">
        <v>24452</v>
      </c>
      <c r="J1092" s="91">
        <v>1</v>
      </c>
      <c r="K1092" s="88">
        <v>46262</v>
      </c>
      <c r="L1092" s="9">
        <v>1</v>
      </c>
      <c r="M1092" s="6">
        <v>46262</v>
      </c>
      <c r="N1092" s="6">
        <v>46262</v>
      </c>
      <c r="O1092" s="23" t="s">
        <v>24428</v>
      </c>
      <c r="P1092" s="98" t="s">
        <v>24430</v>
      </c>
      <c r="Q1092" s="24" t="s">
        <v>24428</v>
      </c>
      <c r="R1092" s="24"/>
      <c r="S1092" s="5">
        <v>998</v>
      </c>
      <c r="T1092" s="5">
        <v>58</v>
      </c>
      <c r="U1092" s="134">
        <v>12</v>
      </c>
      <c r="V1092" s="135">
        <v>12</v>
      </c>
      <c r="W1092" s="26">
        <v>46269</v>
      </c>
      <c r="X1092" s="17" t="s">
        <v>6251</v>
      </c>
      <c r="Y1092" s="27" t="s">
        <v>24453</v>
      </c>
      <c r="Z1092" s="90" t="s">
        <v>24429</v>
      </c>
    </row>
    <row r="1093" spans="3:26" hidden="1">
      <c r="C1093" s="28" t="s">
        <v>7</v>
      </c>
      <c r="D1093" s="5">
        <v>964</v>
      </c>
      <c r="E1093" s="5">
        <v>24258</v>
      </c>
      <c r="F1093" s="28" t="s">
        <v>8839</v>
      </c>
      <c r="G1093" s="2" t="s">
        <v>8838</v>
      </c>
      <c r="H1093" s="51" t="s">
        <v>23962</v>
      </c>
      <c r="I1093" s="28" t="s">
        <v>24454</v>
      </c>
      <c r="J1093" s="91">
        <v>1</v>
      </c>
      <c r="K1093" s="88">
        <v>46262</v>
      </c>
      <c r="L1093" s="9">
        <v>1</v>
      </c>
      <c r="M1093" s="6">
        <v>46262</v>
      </c>
      <c r="N1093" s="6">
        <v>46262</v>
      </c>
      <c r="O1093" s="23" t="s">
        <v>24428</v>
      </c>
      <c r="P1093" s="98" t="s">
        <v>24430</v>
      </c>
      <c r="Q1093" s="24" t="s">
        <v>24428</v>
      </c>
      <c r="R1093" s="24"/>
      <c r="S1093" s="5">
        <v>998</v>
      </c>
      <c r="T1093" s="5">
        <v>58</v>
      </c>
      <c r="U1093" s="134">
        <v>12</v>
      </c>
      <c r="V1093" s="135">
        <v>12</v>
      </c>
      <c r="W1093" s="26">
        <v>46269</v>
      </c>
      <c r="X1093" s="17" t="s">
        <v>6251</v>
      </c>
      <c r="Y1093" s="27" t="s">
        <v>24453</v>
      </c>
      <c r="Z1093" s="90" t="s">
        <v>24429</v>
      </c>
    </row>
    <row r="1094" spans="3:26" hidden="1">
      <c r="C1094" s="28" t="s">
        <v>7</v>
      </c>
      <c r="D1094" s="5">
        <v>964</v>
      </c>
      <c r="E1094" s="5">
        <v>24258</v>
      </c>
      <c r="F1094" s="28" t="s">
        <v>8839</v>
      </c>
      <c r="G1094" s="2" t="s">
        <v>8838</v>
      </c>
      <c r="H1094" s="51" t="s">
        <v>23962</v>
      </c>
      <c r="I1094" s="28" t="s">
        <v>24455</v>
      </c>
      <c r="J1094" s="91">
        <v>1</v>
      </c>
      <c r="K1094" s="88">
        <v>46262</v>
      </c>
      <c r="L1094" s="9">
        <v>1</v>
      </c>
      <c r="M1094" s="6">
        <v>46262</v>
      </c>
      <c r="N1094" s="6">
        <v>46262</v>
      </c>
      <c r="O1094" s="23" t="s">
        <v>24428</v>
      </c>
      <c r="P1094" s="98" t="s">
        <v>24430</v>
      </c>
      <c r="Q1094" s="24" t="s">
        <v>24428</v>
      </c>
      <c r="R1094" s="24"/>
      <c r="S1094" s="5">
        <v>998</v>
      </c>
      <c r="T1094" s="5">
        <v>58</v>
      </c>
      <c r="U1094" s="134">
        <v>12</v>
      </c>
      <c r="V1094" s="135">
        <v>12</v>
      </c>
      <c r="W1094" s="26">
        <v>46269</v>
      </c>
      <c r="X1094" s="17" t="s">
        <v>6251</v>
      </c>
      <c r="Y1094" s="27" t="s">
        <v>24451</v>
      </c>
      <c r="Z1094" s="90" t="s">
        <v>24429</v>
      </c>
    </row>
    <row r="1095" spans="3:26" hidden="1">
      <c r="C1095" s="28" t="s">
        <v>7</v>
      </c>
      <c r="D1095" s="5">
        <v>964</v>
      </c>
      <c r="E1095" s="5">
        <v>24258</v>
      </c>
      <c r="F1095" s="28" t="s">
        <v>8839</v>
      </c>
      <c r="G1095" s="2" t="s">
        <v>8838</v>
      </c>
      <c r="H1095" s="51" t="s">
        <v>23962</v>
      </c>
      <c r="I1095" s="28" t="s">
        <v>24456</v>
      </c>
      <c r="J1095" s="91">
        <v>1</v>
      </c>
      <c r="K1095" s="88">
        <v>46262</v>
      </c>
      <c r="L1095" s="9">
        <v>1</v>
      </c>
      <c r="M1095" s="6">
        <v>46262</v>
      </c>
      <c r="N1095" s="6">
        <v>46262</v>
      </c>
      <c r="O1095" s="23" t="s">
        <v>24428</v>
      </c>
      <c r="P1095" s="98" t="s">
        <v>24430</v>
      </c>
      <c r="Q1095" s="24" t="s">
        <v>24428</v>
      </c>
      <c r="R1095" s="24"/>
      <c r="S1095" s="5">
        <v>998</v>
      </c>
      <c r="T1095" s="5">
        <v>58</v>
      </c>
      <c r="U1095" s="134">
        <v>12</v>
      </c>
      <c r="V1095" s="135">
        <v>12</v>
      </c>
      <c r="W1095" s="26">
        <v>46269</v>
      </c>
      <c r="X1095" s="17" t="s">
        <v>6251</v>
      </c>
      <c r="Y1095" s="27" t="s">
        <v>24457</v>
      </c>
      <c r="Z1095" s="90" t="s">
        <v>24429</v>
      </c>
    </row>
    <row r="1096" spans="3:26" hidden="1">
      <c r="C1096" s="28" t="s">
        <v>16</v>
      </c>
      <c r="D1096" s="5">
        <v>1942</v>
      </c>
      <c r="E1096" s="5">
        <v>24067</v>
      </c>
      <c r="F1096" s="28" t="s">
        <v>4498</v>
      </c>
      <c r="G1096" s="2" t="s">
        <v>4497</v>
      </c>
      <c r="H1096" s="51">
        <v>2103062485</v>
      </c>
      <c r="I1096" s="28" t="s">
        <v>20770</v>
      </c>
      <c r="J1096" s="91">
        <v>250</v>
      </c>
      <c r="K1096" s="88">
        <v>46262</v>
      </c>
      <c r="L1096" s="9">
        <v>250</v>
      </c>
      <c r="M1096" s="6">
        <v>46273</v>
      </c>
      <c r="N1096" s="6">
        <v>46269</v>
      </c>
      <c r="O1096" s="23">
        <v>-1</v>
      </c>
      <c r="P1096" s="98" t="s">
        <v>24430</v>
      </c>
      <c r="Q1096" s="24">
        <f>IFERROR(TAB_OFICINAS[[#This Row],[Qtd pçs Enviadas]]-TAB_OFICINAS[[#This Row],[Qtd pçs Retornadas ]],"N/D ")</f>
        <v>0</v>
      </c>
      <c r="R1096" s="24"/>
      <c r="S1096" s="5">
        <v>999</v>
      </c>
      <c r="T1096" s="5">
        <v>64</v>
      </c>
      <c r="U1096" s="134">
        <v>5.15</v>
      </c>
      <c r="V1096" s="135">
        <v>1287.5</v>
      </c>
      <c r="W1096" s="26">
        <v>46269</v>
      </c>
      <c r="X1096" s="17" t="s">
        <v>6251</v>
      </c>
      <c r="Y1096" s="27"/>
      <c r="Z1096" s="90" t="s">
        <v>24429</v>
      </c>
    </row>
    <row r="1097" spans="3:26" hidden="1">
      <c r="C1097" s="28" t="s">
        <v>1</v>
      </c>
      <c r="D1097" s="5">
        <v>526</v>
      </c>
      <c r="E1097" s="5">
        <v>24304</v>
      </c>
      <c r="F1097" s="28" t="s">
        <v>605</v>
      </c>
      <c r="G1097" s="2" t="s">
        <v>602</v>
      </c>
      <c r="H1097" s="51">
        <v>92115472176</v>
      </c>
      <c r="I1097" s="28" t="s">
        <v>20503</v>
      </c>
      <c r="J1097" s="91">
        <v>272</v>
      </c>
      <c r="K1097" s="88">
        <v>46262</v>
      </c>
      <c r="L1097" s="9">
        <v>271</v>
      </c>
      <c r="M1097" s="6">
        <v>46293</v>
      </c>
      <c r="N1097" s="6">
        <v>46286</v>
      </c>
      <c r="O1097" s="23">
        <v>-7</v>
      </c>
      <c r="P1097" s="98" t="s">
        <v>24430</v>
      </c>
      <c r="Q1097" s="24">
        <v>1</v>
      </c>
      <c r="R1097" s="24"/>
      <c r="S1097" s="5">
        <v>3393</v>
      </c>
      <c r="T1097" s="5">
        <v>66</v>
      </c>
      <c r="U1097" s="137">
        <v>16</v>
      </c>
      <c r="V1097" s="135">
        <v>4352</v>
      </c>
      <c r="W1097" s="26">
        <v>46295</v>
      </c>
      <c r="X1097" s="17" t="s">
        <v>6251</v>
      </c>
      <c r="Y1097" s="27"/>
      <c r="Z1097" s="90" t="s">
        <v>24458</v>
      </c>
    </row>
    <row r="1098" spans="3:26" hidden="1">
      <c r="C1098" s="28" t="s">
        <v>1</v>
      </c>
      <c r="D1098" s="5">
        <v>526</v>
      </c>
      <c r="E1098" s="5">
        <v>24304</v>
      </c>
      <c r="F1098" s="28" t="s">
        <v>605</v>
      </c>
      <c r="G1098" s="2" t="s">
        <v>602</v>
      </c>
      <c r="H1098" s="51">
        <v>92115170167</v>
      </c>
      <c r="I1098" s="28" t="s">
        <v>24459</v>
      </c>
      <c r="J1098" s="91">
        <v>8</v>
      </c>
      <c r="K1098" s="88">
        <v>46262</v>
      </c>
      <c r="L1098" s="9">
        <v>8</v>
      </c>
      <c r="M1098" s="6">
        <v>46293</v>
      </c>
      <c r="N1098" s="6">
        <v>46286</v>
      </c>
      <c r="O1098" s="23">
        <v>-7</v>
      </c>
      <c r="P1098" s="98" t="s">
        <v>24430</v>
      </c>
      <c r="Q1098" s="24">
        <v>0</v>
      </c>
      <c r="R1098" s="24"/>
      <c r="S1098" s="5">
        <v>3393</v>
      </c>
      <c r="T1098" s="5">
        <v>66</v>
      </c>
      <c r="U1098" s="134">
        <v>15</v>
      </c>
      <c r="V1098" s="135">
        <v>120</v>
      </c>
      <c r="W1098" s="26">
        <v>46295</v>
      </c>
      <c r="X1098" s="17" t="s">
        <v>6251</v>
      </c>
      <c r="Y1098" s="27"/>
      <c r="Z1098" s="90" t="s">
        <v>24429</v>
      </c>
    </row>
    <row r="1099" spans="3:26" hidden="1">
      <c r="C1099" s="28" t="s">
        <v>1</v>
      </c>
      <c r="D1099" s="5">
        <v>526</v>
      </c>
      <c r="E1099" s="5">
        <v>24304</v>
      </c>
      <c r="F1099" s="28" t="s">
        <v>605</v>
      </c>
      <c r="G1099" s="2" t="s">
        <v>602</v>
      </c>
      <c r="H1099" s="51">
        <v>92101040169</v>
      </c>
      <c r="I1099" s="28" t="s">
        <v>21021</v>
      </c>
      <c r="J1099" s="91">
        <v>38</v>
      </c>
      <c r="K1099" s="88">
        <v>46262</v>
      </c>
      <c r="L1099" s="9">
        <v>38</v>
      </c>
      <c r="M1099" s="6">
        <v>46293</v>
      </c>
      <c r="N1099" s="6">
        <v>46286</v>
      </c>
      <c r="O1099" s="23">
        <v>-7</v>
      </c>
      <c r="P1099" s="98" t="s">
        <v>24430</v>
      </c>
      <c r="Q1099" s="24">
        <v>0</v>
      </c>
      <c r="R1099" s="24"/>
      <c r="S1099" s="5">
        <v>3393</v>
      </c>
      <c r="T1099" s="5">
        <v>66</v>
      </c>
      <c r="U1099" s="134">
        <v>7.5</v>
      </c>
      <c r="V1099" s="135">
        <v>285</v>
      </c>
      <c r="W1099" s="26">
        <v>46295</v>
      </c>
      <c r="X1099" s="17" t="s">
        <v>6251</v>
      </c>
      <c r="Y1099" s="27"/>
      <c r="Z1099" s="90" t="s">
        <v>24429</v>
      </c>
    </row>
    <row r="1100" spans="3:26" hidden="1">
      <c r="C1100" s="28" t="s">
        <v>1</v>
      </c>
      <c r="D1100" s="5">
        <v>526</v>
      </c>
      <c r="E1100" s="5">
        <v>24304</v>
      </c>
      <c r="F1100" s="28" t="s">
        <v>605</v>
      </c>
      <c r="G1100" s="2" t="s">
        <v>602</v>
      </c>
      <c r="H1100" s="51">
        <v>92102156030</v>
      </c>
      <c r="I1100" s="28" t="s">
        <v>21017</v>
      </c>
      <c r="J1100" s="91">
        <v>22</v>
      </c>
      <c r="K1100" s="88">
        <v>46262</v>
      </c>
      <c r="L1100" s="9">
        <v>22</v>
      </c>
      <c r="M1100" s="6">
        <v>46293</v>
      </c>
      <c r="N1100" s="6">
        <v>46286</v>
      </c>
      <c r="O1100" s="23">
        <v>-7</v>
      </c>
      <c r="P1100" s="98" t="s">
        <v>24430</v>
      </c>
      <c r="Q1100" s="24">
        <v>0</v>
      </c>
      <c r="R1100" s="24"/>
      <c r="S1100" s="5">
        <v>3393</v>
      </c>
      <c r="T1100" s="5">
        <v>66</v>
      </c>
      <c r="U1100" s="134">
        <v>10.3</v>
      </c>
      <c r="V1100" s="135">
        <v>226.6</v>
      </c>
      <c r="W1100" s="26">
        <v>46295</v>
      </c>
      <c r="X1100" s="17" t="s">
        <v>6251</v>
      </c>
      <c r="Y1100" s="27"/>
      <c r="Z1100" s="90" t="s">
        <v>24429</v>
      </c>
    </row>
    <row r="1101" spans="3:26" hidden="1">
      <c r="C1101" s="28" t="s">
        <v>21197</v>
      </c>
      <c r="D1101" s="5">
        <v>1942</v>
      </c>
      <c r="E1101" s="5">
        <v>24067</v>
      </c>
      <c r="F1101" s="28" t="s">
        <v>4498</v>
      </c>
      <c r="G1101" s="2" t="s">
        <v>4497</v>
      </c>
      <c r="H1101" s="51">
        <v>2103062485</v>
      </c>
      <c r="I1101" s="28" t="s">
        <v>20770</v>
      </c>
      <c r="J1101" s="91">
        <v>248</v>
      </c>
      <c r="K1101" s="88">
        <v>46265</v>
      </c>
      <c r="L1101" s="9">
        <v>248</v>
      </c>
      <c r="M1101" s="6">
        <v>46269</v>
      </c>
      <c r="N1101" s="6">
        <v>46272</v>
      </c>
      <c r="O1101" s="23">
        <v>3</v>
      </c>
      <c r="P1101" s="98" t="s">
        <v>24427</v>
      </c>
      <c r="Q1101" s="24" t="s">
        <v>24428</v>
      </c>
      <c r="R1101" s="24"/>
      <c r="S1101" s="5">
        <v>1001</v>
      </c>
      <c r="T1101" s="5" t="s">
        <v>24460</v>
      </c>
      <c r="U1101" s="134">
        <v>5.15</v>
      </c>
      <c r="V1101" s="135">
        <v>1277.2</v>
      </c>
      <c r="W1101" s="26">
        <v>46282</v>
      </c>
      <c r="X1101" s="17" t="s">
        <v>6251</v>
      </c>
      <c r="Y1101" s="27"/>
      <c r="Z1101" s="90" t="s">
        <v>24429</v>
      </c>
    </row>
    <row r="1102" spans="3:26" ht="71.25" hidden="1">
      <c r="C1102" s="28" t="s">
        <v>19</v>
      </c>
      <c r="D1102" s="5">
        <v>5069</v>
      </c>
      <c r="E1102" s="5">
        <v>24232</v>
      </c>
      <c r="F1102" s="28" t="s">
        <v>24461</v>
      </c>
      <c r="G1102" s="2" t="s">
        <v>1636</v>
      </c>
      <c r="H1102" s="51">
        <v>3301092628</v>
      </c>
      <c r="I1102" s="28" t="s">
        <v>20827</v>
      </c>
      <c r="J1102" s="91">
        <v>20</v>
      </c>
      <c r="K1102" s="88">
        <v>46265</v>
      </c>
      <c r="L1102" s="9">
        <v>20</v>
      </c>
      <c r="M1102" s="6">
        <v>46273</v>
      </c>
      <c r="N1102" s="6">
        <v>46268</v>
      </c>
      <c r="O1102" s="23">
        <v>-5</v>
      </c>
      <c r="P1102" s="98" t="s">
        <v>24430</v>
      </c>
      <c r="Q1102" s="24" t="s">
        <v>24428</v>
      </c>
      <c r="R1102" s="24">
        <v>2</v>
      </c>
      <c r="S1102" s="5">
        <v>997</v>
      </c>
      <c r="T1102" s="5">
        <v>60</v>
      </c>
      <c r="U1102" s="134">
        <v>16</v>
      </c>
      <c r="V1102" s="135">
        <v>320</v>
      </c>
      <c r="W1102" s="26">
        <v>46279</v>
      </c>
      <c r="X1102" s="17" t="s">
        <v>6251</v>
      </c>
      <c r="Y1102" s="27" t="s">
        <v>24462</v>
      </c>
      <c r="Z1102" s="90" t="s">
        <v>24429</v>
      </c>
    </row>
    <row r="1103" spans="3:26" ht="85.5" hidden="1">
      <c r="C1103" s="28" t="s">
        <v>15</v>
      </c>
      <c r="D1103" s="5">
        <v>3660</v>
      </c>
      <c r="E1103" s="5">
        <v>23695</v>
      </c>
      <c r="F1103" s="28" t="s">
        <v>2604</v>
      </c>
      <c r="G1103" s="2" t="s">
        <v>2602</v>
      </c>
      <c r="H1103" s="51">
        <v>2101067951</v>
      </c>
      <c r="I1103" s="28" t="s">
        <v>23092</v>
      </c>
      <c r="J1103" s="91">
        <v>110</v>
      </c>
      <c r="K1103" s="88">
        <v>46265</v>
      </c>
      <c r="L1103" s="9">
        <v>110</v>
      </c>
      <c r="M1103" s="6">
        <v>46266</v>
      </c>
      <c r="N1103" s="6">
        <v>46266</v>
      </c>
      <c r="O1103" s="23" t="s">
        <v>24428</v>
      </c>
      <c r="P1103" s="98" t="s">
        <v>24430</v>
      </c>
      <c r="Q1103" s="24">
        <f>IFERROR(TAB_OFICINAS[[#This Row],[Qtd pçs Enviadas]]-TAB_OFICINAS[[#This Row],[Qtd pçs Retornadas ]],"N/D ")</f>
        <v>0</v>
      </c>
      <c r="R1103" s="24">
        <v>8</v>
      </c>
      <c r="S1103" s="5">
        <v>1000</v>
      </c>
      <c r="T1103" s="5">
        <v>17577</v>
      </c>
      <c r="U1103" s="134">
        <v>3.85</v>
      </c>
      <c r="V1103" s="135">
        <v>423.5</v>
      </c>
      <c r="W1103" s="26">
        <v>46273</v>
      </c>
      <c r="X1103" s="17" t="s">
        <v>6251</v>
      </c>
      <c r="Y1103" s="27" t="s">
        <v>24463</v>
      </c>
      <c r="Z1103" s="90" t="s">
        <v>24429</v>
      </c>
    </row>
    <row r="1104" spans="3:26" hidden="1">
      <c r="C1104" s="28" t="s">
        <v>15</v>
      </c>
      <c r="D1104" s="5">
        <v>4</v>
      </c>
      <c r="E1104" s="5">
        <v>24278</v>
      </c>
      <c r="F1104" s="28" t="s">
        <v>1349</v>
      </c>
      <c r="G1104" s="2" t="s">
        <v>1348</v>
      </c>
      <c r="H1104" s="51" t="s">
        <v>24464</v>
      </c>
      <c r="I1104" s="28" t="s">
        <v>24465</v>
      </c>
      <c r="J1104" s="91">
        <v>2</v>
      </c>
      <c r="K1104" s="88">
        <v>46266</v>
      </c>
      <c r="L1104" s="9">
        <v>2</v>
      </c>
      <c r="M1104" s="6">
        <v>46269</v>
      </c>
      <c r="N1104" s="6">
        <v>46269</v>
      </c>
      <c r="O1104" s="23" t="s">
        <v>24428</v>
      </c>
      <c r="P1104" s="98" t="s">
        <v>24430</v>
      </c>
      <c r="Q1104" s="24">
        <f>IFERROR(TAB_OFICINAS[[#This Row],[Qtd pçs Enviadas]]-TAB_OFICINAS[[#This Row],[Qtd pçs Retornadas ]],"N/D ")</f>
        <v>0</v>
      </c>
      <c r="R1104" s="24"/>
      <c r="S1104" s="5">
        <v>3395</v>
      </c>
      <c r="T1104" s="5">
        <v>17581</v>
      </c>
      <c r="U1104" s="134">
        <v>12</v>
      </c>
      <c r="V1104" s="135">
        <v>24</v>
      </c>
      <c r="W1104" s="26">
        <v>46276</v>
      </c>
      <c r="X1104" s="17" t="s">
        <v>6251</v>
      </c>
      <c r="Y1104" s="27" t="s">
        <v>24466</v>
      </c>
      <c r="Z1104" s="90" t="s">
        <v>24429</v>
      </c>
    </row>
    <row r="1105" spans="3:26" hidden="1">
      <c r="C1105" s="28" t="s">
        <v>15</v>
      </c>
      <c r="D1105" s="5">
        <v>4</v>
      </c>
      <c r="E1105" s="5">
        <v>24278</v>
      </c>
      <c r="F1105" s="28" t="s">
        <v>1349</v>
      </c>
      <c r="G1105" s="2" t="s">
        <v>1348</v>
      </c>
      <c r="H1105" s="51" t="s">
        <v>24467</v>
      </c>
      <c r="I1105" s="28" t="s">
        <v>24468</v>
      </c>
      <c r="J1105" s="91">
        <v>2</v>
      </c>
      <c r="K1105" s="88">
        <v>46266</v>
      </c>
      <c r="L1105" s="9">
        <v>2</v>
      </c>
      <c r="M1105" s="6">
        <v>46269</v>
      </c>
      <c r="N1105" s="6">
        <v>46269</v>
      </c>
      <c r="O1105" s="23" t="s">
        <v>24428</v>
      </c>
      <c r="P1105" s="98" t="s">
        <v>24430</v>
      </c>
      <c r="Q1105" s="24">
        <f>IFERROR(TAB_OFICINAS[[#This Row],[Qtd pçs Enviadas]]-TAB_OFICINAS[[#This Row],[Qtd pçs Retornadas ]],"N/D ")</f>
        <v>0</v>
      </c>
      <c r="R1105" s="24"/>
      <c r="S1105" s="5">
        <v>3395</v>
      </c>
      <c r="T1105" s="5">
        <v>17581</v>
      </c>
      <c r="U1105" s="134">
        <v>12</v>
      </c>
      <c r="V1105" s="135">
        <v>24</v>
      </c>
      <c r="W1105" s="26">
        <v>46276</v>
      </c>
      <c r="X1105" s="17" t="s">
        <v>6251</v>
      </c>
      <c r="Y1105" s="27" t="s">
        <v>24466</v>
      </c>
      <c r="Z1105" s="90" t="s">
        <v>24429</v>
      </c>
    </row>
    <row r="1106" spans="3:26" hidden="1">
      <c r="C1106" s="28" t="s">
        <v>15</v>
      </c>
      <c r="D1106" s="5">
        <v>5687</v>
      </c>
      <c r="E1106" s="5">
        <v>24161</v>
      </c>
      <c r="F1106" s="28" t="s">
        <v>24136</v>
      </c>
      <c r="G1106" s="2" t="s">
        <v>24135</v>
      </c>
      <c r="H1106" s="51" t="s">
        <v>23962</v>
      </c>
      <c r="I1106" s="28" t="s">
        <v>24469</v>
      </c>
      <c r="J1106" s="91">
        <v>2</v>
      </c>
      <c r="K1106" s="88">
        <v>46266</v>
      </c>
      <c r="L1106" s="9">
        <v>2</v>
      </c>
      <c r="M1106" s="6">
        <v>46269</v>
      </c>
      <c r="N1106" s="6">
        <v>46269</v>
      </c>
      <c r="O1106" s="23" t="s">
        <v>24428</v>
      </c>
      <c r="P1106" s="98" t="s">
        <v>24430</v>
      </c>
      <c r="Q1106" s="24">
        <f>IFERROR(TAB_OFICINAS[[#This Row],[Qtd pçs Enviadas]]-TAB_OFICINAS[[#This Row],[Qtd pçs Retornadas ]],"N/D ")</f>
        <v>0</v>
      </c>
      <c r="R1106" s="24"/>
      <c r="S1106" s="5">
        <v>3395</v>
      </c>
      <c r="T1106" s="5">
        <v>17581</v>
      </c>
      <c r="U1106" s="134">
        <v>12</v>
      </c>
      <c r="V1106" s="135">
        <v>24</v>
      </c>
      <c r="W1106" s="26">
        <v>46276</v>
      </c>
      <c r="X1106" s="17" t="s">
        <v>6251</v>
      </c>
      <c r="Y1106" s="27" t="s">
        <v>24470</v>
      </c>
      <c r="Z1106" s="90" t="s">
        <v>24429</v>
      </c>
    </row>
    <row r="1107" spans="3:26" hidden="1">
      <c r="C1107" s="28" t="s">
        <v>15</v>
      </c>
      <c r="D1107" s="5">
        <v>5687</v>
      </c>
      <c r="E1107" s="5">
        <v>24161</v>
      </c>
      <c r="F1107" s="28" t="s">
        <v>24136</v>
      </c>
      <c r="G1107" s="2" t="s">
        <v>24135</v>
      </c>
      <c r="H1107" s="51" t="s">
        <v>23962</v>
      </c>
      <c r="I1107" s="28" t="s">
        <v>24471</v>
      </c>
      <c r="J1107" s="91">
        <v>2</v>
      </c>
      <c r="K1107" s="88">
        <v>46266</v>
      </c>
      <c r="L1107" s="9">
        <v>2</v>
      </c>
      <c r="M1107" s="6">
        <v>46269</v>
      </c>
      <c r="N1107" s="6">
        <v>46269</v>
      </c>
      <c r="O1107" s="23" t="s">
        <v>24428</v>
      </c>
      <c r="P1107" s="98" t="s">
        <v>24430</v>
      </c>
      <c r="Q1107" s="24">
        <f>IFERROR(TAB_OFICINAS[[#This Row],[Qtd pçs Enviadas]]-TAB_OFICINAS[[#This Row],[Qtd pçs Retornadas ]],"N/D ")</f>
        <v>0</v>
      </c>
      <c r="R1107" s="24"/>
      <c r="S1107" s="5">
        <v>3395</v>
      </c>
      <c r="T1107" s="5">
        <v>17581</v>
      </c>
      <c r="U1107" s="134">
        <v>12</v>
      </c>
      <c r="V1107" s="135">
        <v>24</v>
      </c>
      <c r="W1107" s="26">
        <v>46276</v>
      </c>
      <c r="X1107" s="17" t="s">
        <v>6251</v>
      </c>
      <c r="Y1107" s="27" t="s">
        <v>24470</v>
      </c>
      <c r="Z1107" s="90" t="s">
        <v>24429</v>
      </c>
    </row>
    <row r="1108" spans="3:26" hidden="1">
      <c r="C1108" s="28" t="s">
        <v>15</v>
      </c>
      <c r="D1108" s="5">
        <v>5687</v>
      </c>
      <c r="E1108" s="5">
        <v>24161</v>
      </c>
      <c r="F1108" s="28" t="s">
        <v>24136</v>
      </c>
      <c r="G1108" s="2" t="s">
        <v>24135</v>
      </c>
      <c r="H1108" s="51">
        <v>3105015332</v>
      </c>
      <c r="I1108" s="28" t="s">
        <v>21796</v>
      </c>
      <c r="J1108" s="91">
        <v>1</v>
      </c>
      <c r="K1108" s="88">
        <v>46266</v>
      </c>
      <c r="L1108" s="9">
        <v>1</v>
      </c>
      <c r="M1108" s="6">
        <v>46269</v>
      </c>
      <c r="N1108" s="6">
        <v>46269</v>
      </c>
      <c r="O1108" s="23" t="s">
        <v>24428</v>
      </c>
      <c r="P1108" s="98" t="s">
        <v>24430</v>
      </c>
      <c r="Q1108" s="24">
        <f>IFERROR(TAB_OFICINAS[[#This Row],[Qtd pçs Enviadas]]-TAB_OFICINAS[[#This Row],[Qtd pçs Retornadas ]],"N/D ")</f>
        <v>0</v>
      </c>
      <c r="R1108" s="24"/>
      <c r="S1108" s="5">
        <v>3395</v>
      </c>
      <c r="T1108" s="5">
        <v>17581</v>
      </c>
      <c r="U1108" s="134">
        <v>12</v>
      </c>
      <c r="V1108" s="135">
        <v>12</v>
      </c>
      <c r="W1108" s="26">
        <v>46276</v>
      </c>
      <c r="X1108" s="17" t="s">
        <v>6251</v>
      </c>
      <c r="Y1108" s="27" t="s">
        <v>24470</v>
      </c>
      <c r="Z1108" s="90" t="s">
        <v>24429</v>
      </c>
    </row>
    <row r="1109" spans="3:26" hidden="1">
      <c r="C1109" s="28" t="s">
        <v>15</v>
      </c>
      <c r="D1109" s="5">
        <v>5687</v>
      </c>
      <c r="E1109" s="5">
        <v>24161</v>
      </c>
      <c r="F1109" s="28" t="s">
        <v>24136</v>
      </c>
      <c r="G1109" s="2" t="s">
        <v>24135</v>
      </c>
      <c r="H1109" s="51">
        <v>3105015333</v>
      </c>
      <c r="I1109" s="28" t="s">
        <v>20650</v>
      </c>
      <c r="J1109" s="91">
        <v>1</v>
      </c>
      <c r="K1109" s="88">
        <v>46266</v>
      </c>
      <c r="L1109" s="9">
        <v>1</v>
      </c>
      <c r="M1109" s="6">
        <v>46269</v>
      </c>
      <c r="N1109" s="6">
        <v>46269</v>
      </c>
      <c r="O1109" s="23" t="s">
        <v>24428</v>
      </c>
      <c r="P1109" s="98" t="s">
        <v>24430</v>
      </c>
      <c r="Q1109" s="24">
        <f>IFERROR(TAB_OFICINAS[[#This Row],[Qtd pçs Enviadas]]-TAB_OFICINAS[[#This Row],[Qtd pçs Retornadas ]],"N/D ")</f>
        <v>0</v>
      </c>
      <c r="R1109" s="24"/>
      <c r="S1109" s="5">
        <v>3395</v>
      </c>
      <c r="T1109" s="5">
        <v>17581</v>
      </c>
      <c r="U1109" s="134">
        <v>12</v>
      </c>
      <c r="V1109" s="135">
        <v>12</v>
      </c>
      <c r="W1109" s="26">
        <v>46276</v>
      </c>
      <c r="X1109" s="17" t="s">
        <v>6251</v>
      </c>
      <c r="Y1109" s="27" t="s">
        <v>24470</v>
      </c>
      <c r="Z1109" s="90" t="s">
        <v>24429</v>
      </c>
    </row>
    <row r="1110" spans="3:26" hidden="1">
      <c r="C1110" s="28" t="s">
        <v>15</v>
      </c>
      <c r="D1110" s="5">
        <v>5687</v>
      </c>
      <c r="E1110" s="5">
        <v>24161</v>
      </c>
      <c r="F1110" s="28" t="s">
        <v>24136</v>
      </c>
      <c r="G1110" s="2" t="s">
        <v>24135</v>
      </c>
      <c r="H1110" s="51" t="s">
        <v>23962</v>
      </c>
      <c r="I1110" s="28" t="s">
        <v>24403</v>
      </c>
      <c r="J1110" s="91">
        <v>2</v>
      </c>
      <c r="K1110" s="88">
        <v>46266</v>
      </c>
      <c r="L1110" s="9">
        <v>2</v>
      </c>
      <c r="M1110" s="6">
        <v>46269</v>
      </c>
      <c r="N1110" s="6">
        <v>46269</v>
      </c>
      <c r="O1110" s="23" t="s">
        <v>24428</v>
      </c>
      <c r="P1110" s="98" t="s">
        <v>24430</v>
      </c>
      <c r="Q1110" s="24">
        <f>IFERROR(TAB_OFICINAS[[#This Row],[Qtd pçs Enviadas]]-TAB_OFICINAS[[#This Row],[Qtd pçs Retornadas ]],"N/D ")</f>
        <v>0</v>
      </c>
      <c r="R1110" s="24"/>
      <c r="S1110" s="5">
        <v>3395</v>
      </c>
      <c r="T1110" s="5">
        <v>17581</v>
      </c>
      <c r="U1110" s="134">
        <v>12</v>
      </c>
      <c r="V1110" s="135">
        <v>24</v>
      </c>
      <c r="W1110" s="26">
        <v>46276</v>
      </c>
      <c r="X1110" s="17" t="s">
        <v>6251</v>
      </c>
      <c r="Y1110" s="27" t="s">
        <v>24470</v>
      </c>
      <c r="Z1110" s="90" t="s">
        <v>24429</v>
      </c>
    </row>
    <row r="1111" spans="3:26" hidden="1">
      <c r="C1111" s="28" t="s">
        <v>15</v>
      </c>
      <c r="D1111" s="5">
        <v>5687</v>
      </c>
      <c r="E1111" s="5">
        <v>24161</v>
      </c>
      <c r="F1111" s="28" t="s">
        <v>24136</v>
      </c>
      <c r="G1111" s="2" t="s">
        <v>24135</v>
      </c>
      <c r="H1111" s="51" t="s">
        <v>23962</v>
      </c>
      <c r="I1111" s="28" t="s">
        <v>24472</v>
      </c>
      <c r="J1111" s="91">
        <v>2</v>
      </c>
      <c r="K1111" s="88">
        <v>46266</v>
      </c>
      <c r="L1111" s="9">
        <v>2</v>
      </c>
      <c r="M1111" s="6">
        <v>46269</v>
      </c>
      <c r="N1111" s="6">
        <v>46269</v>
      </c>
      <c r="O1111" s="23" t="s">
        <v>24428</v>
      </c>
      <c r="P1111" s="98" t="s">
        <v>24430</v>
      </c>
      <c r="Q1111" s="24">
        <f>IFERROR(TAB_OFICINAS[[#This Row],[Qtd pçs Enviadas]]-TAB_OFICINAS[[#This Row],[Qtd pçs Retornadas ]],"N/D ")</f>
        <v>0</v>
      </c>
      <c r="R1111" s="24"/>
      <c r="S1111" s="5">
        <v>3395</v>
      </c>
      <c r="T1111" s="5">
        <v>17581</v>
      </c>
      <c r="U1111" s="134">
        <v>12</v>
      </c>
      <c r="V1111" s="135">
        <v>24</v>
      </c>
      <c r="W1111" s="26">
        <v>46276</v>
      </c>
      <c r="X1111" s="17" t="s">
        <v>6251</v>
      </c>
      <c r="Y1111" s="27" t="s">
        <v>24470</v>
      </c>
      <c r="Z1111" s="90" t="s">
        <v>24429</v>
      </c>
    </row>
    <row r="1112" spans="3:26" hidden="1">
      <c r="C1112" s="28" t="s">
        <v>15</v>
      </c>
      <c r="D1112" s="5">
        <v>1942</v>
      </c>
      <c r="E1112" s="5">
        <v>24067</v>
      </c>
      <c r="F1112" s="28" t="s">
        <v>4498</v>
      </c>
      <c r="G1112" s="2" t="s">
        <v>4497</v>
      </c>
      <c r="H1112" s="51">
        <v>210112487</v>
      </c>
      <c r="I1112" s="28" t="s">
        <v>24001</v>
      </c>
      <c r="J1112" s="91">
        <v>502</v>
      </c>
      <c r="K1112" s="88">
        <v>46266</v>
      </c>
      <c r="L1112" s="9">
        <v>502</v>
      </c>
      <c r="M1112" s="6">
        <v>46269</v>
      </c>
      <c r="N1112" s="6">
        <v>46268</v>
      </c>
      <c r="O1112" s="23">
        <v>-1</v>
      </c>
      <c r="P1112" s="98" t="s">
        <v>24430</v>
      </c>
      <c r="Q1112" s="24">
        <f>IFERROR(TAB_OFICINAS[[#This Row],[Qtd pçs Enviadas]]-TAB_OFICINAS[[#This Row],[Qtd pçs Retornadas ]],"N/D ")</f>
        <v>0</v>
      </c>
      <c r="R1112" s="24"/>
      <c r="S1112" s="5">
        <v>3395</v>
      </c>
      <c r="T1112" s="5">
        <v>17579</v>
      </c>
      <c r="U1112" s="134">
        <v>3.85</v>
      </c>
      <c r="V1112" s="135">
        <v>1932.7</v>
      </c>
      <c r="W1112" s="26">
        <v>46275</v>
      </c>
      <c r="X1112" s="17" t="s">
        <v>6251</v>
      </c>
      <c r="Y1112" s="27" t="s">
        <v>21341</v>
      </c>
      <c r="Z1112" s="90" t="s">
        <v>24429</v>
      </c>
    </row>
    <row r="1113" spans="3:26" ht="42.75" hidden="1">
      <c r="C1113" s="28" t="s">
        <v>15</v>
      </c>
      <c r="D1113" s="5">
        <v>526</v>
      </c>
      <c r="E1113" s="5">
        <v>24304</v>
      </c>
      <c r="F1113" s="28" t="s">
        <v>605</v>
      </c>
      <c r="G1113" s="2" t="s">
        <v>602</v>
      </c>
      <c r="H1113" s="51">
        <v>92115472176</v>
      </c>
      <c r="I1113" s="28" t="s">
        <v>20503</v>
      </c>
      <c r="J1113" s="91">
        <v>272</v>
      </c>
      <c r="K1113" s="88">
        <v>46266</v>
      </c>
      <c r="L1113" s="9">
        <v>272</v>
      </c>
      <c r="M1113" s="6">
        <v>46274</v>
      </c>
      <c r="N1113" s="6">
        <v>46275</v>
      </c>
      <c r="O1113" s="23">
        <v>1</v>
      </c>
      <c r="P1113" s="98" t="s">
        <v>24427</v>
      </c>
      <c r="Q1113" s="24">
        <f>IFERROR(TAB_OFICINAS[[#This Row],[Qtd pçs Enviadas]]-TAB_OFICINAS[[#This Row],[Qtd pçs Retornadas ]],"N/D ")</f>
        <v>0</v>
      </c>
      <c r="R1113" s="24">
        <v>1</v>
      </c>
      <c r="S1113" s="5">
        <v>3395</v>
      </c>
      <c r="T1113" s="5">
        <v>17581</v>
      </c>
      <c r="U1113" s="134">
        <v>15</v>
      </c>
      <c r="V1113" s="135">
        <v>4080</v>
      </c>
      <c r="W1113" s="26">
        <v>46282</v>
      </c>
      <c r="X1113" s="17" t="s">
        <v>6251</v>
      </c>
      <c r="Y1113" s="27" t="s">
        <v>24473</v>
      </c>
      <c r="Z1113" s="90" t="s">
        <v>24429</v>
      </c>
    </row>
    <row r="1114" spans="3:26" hidden="1">
      <c r="C1114" s="28" t="s">
        <v>15</v>
      </c>
      <c r="D1114" s="5">
        <v>526</v>
      </c>
      <c r="E1114" s="5">
        <v>24304</v>
      </c>
      <c r="F1114" s="28" t="s">
        <v>605</v>
      </c>
      <c r="G1114" s="2" t="s">
        <v>602</v>
      </c>
      <c r="H1114" s="51">
        <v>92115170167</v>
      </c>
      <c r="I1114" s="28" t="s">
        <v>24459</v>
      </c>
      <c r="J1114" s="91">
        <v>8</v>
      </c>
      <c r="K1114" s="88">
        <v>46266</v>
      </c>
      <c r="L1114" s="9">
        <v>8</v>
      </c>
      <c r="M1114" s="6">
        <v>46274</v>
      </c>
      <c r="N1114" s="6">
        <v>46275</v>
      </c>
      <c r="O1114" s="23">
        <v>1</v>
      </c>
      <c r="P1114" s="98" t="s">
        <v>24427</v>
      </c>
      <c r="Q1114" s="24">
        <f>IFERROR(TAB_OFICINAS[[#This Row],[Qtd pçs Enviadas]]-TAB_OFICINAS[[#This Row],[Qtd pçs Retornadas ]],"N/D ")</f>
        <v>0</v>
      </c>
      <c r="R1114" s="24"/>
      <c r="S1114" s="5">
        <v>3395</v>
      </c>
      <c r="T1114" s="5">
        <v>17581</v>
      </c>
      <c r="U1114" s="134">
        <v>15</v>
      </c>
      <c r="V1114" s="135">
        <v>120</v>
      </c>
      <c r="W1114" s="26">
        <v>46282</v>
      </c>
      <c r="X1114" s="17" t="s">
        <v>6251</v>
      </c>
      <c r="Y1114" s="27" t="s">
        <v>24474</v>
      </c>
      <c r="Z1114" s="90" t="s">
        <v>24429</v>
      </c>
    </row>
    <row r="1115" spans="3:26" hidden="1">
      <c r="C1115" s="28" t="s">
        <v>15</v>
      </c>
      <c r="D1115" s="5">
        <v>526</v>
      </c>
      <c r="E1115" s="5">
        <v>24304</v>
      </c>
      <c r="F1115" s="28" t="s">
        <v>605</v>
      </c>
      <c r="G1115" s="2" t="s">
        <v>602</v>
      </c>
      <c r="H1115" s="51">
        <v>92102156030</v>
      </c>
      <c r="I1115" s="28" t="s">
        <v>21017</v>
      </c>
      <c r="J1115" s="91">
        <v>22</v>
      </c>
      <c r="K1115" s="88">
        <v>46266</v>
      </c>
      <c r="L1115" s="9">
        <v>22</v>
      </c>
      <c r="M1115" s="6">
        <v>46274</v>
      </c>
      <c r="N1115" s="6">
        <v>46275</v>
      </c>
      <c r="O1115" s="23">
        <v>1</v>
      </c>
      <c r="P1115" s="98" t="s">
        <v>24427</v>
      </c>
      <c r="Q1115" s="24">
        <f>IFERROR(TAB_OFICINAS[[#This Row],[Qtd pçs Enviadas]]-TAB_OFICINAS[[#This Row],[Qtd pçs Retornadas ]],"N/D ")</f>
        <v>0</v>
      </c>
      <c r="R1115" s="24"/>
      <c r="S1115" s="5">
        <v>3395</v>
      </c>
      <c r="T1115" s="5">
        <v>17581</v>
      </c>
      <c r="U1115" s="134">
        <v>15</v>
      </c>
      <c r="V1115" s="135">
        <v>330</v>
      </c>
      <c r="W1115" s="26">
        <v>46282</v>
      </c>
      <c r="X1115" s="17" t="s">
        <v>6251</v>
      </c>
      <c r="Y1115" s="27" t="s">
        <v>24474</v>
      </c>
      <c r="Z1115" s="90" t="s">
        <v>24429</v>
      </c>
    </row>
    <row r="1116" spans="3:26" hidden="1">
      <c r="C1116" s="28" t="s">
        <v>15</v>
      </c>
      <c r="D1116" s="5">
        <v>5679</v>
      </c>
      <c r="E1116" s="5">
        <v>24047</v>
      </c>
      <c r="F1116" s="28" t="s">
        <v>23683</v>
      </c>
      <c r="G1116" s="2" t="s">
        <v>23682</v>
      </c>
      <c r="H1116" s="51" t="s">
        <v>23448</v>
      </c>
      <c r="I1116" s="28" t="s">
        <v>24475</v>
      </c>
      <c r="J1116" s="91">
        <v>8</v>
      </c>
      <c r="K1116" s="88">
        <v>46266</v>
      </c>
      <c r="L1116" s="9">
        <v>8</v>
      </c>
      <c r="M1116" s="6">
        <v>46269</v>
      </c>
      <c r="N1116" s="6">
        <v>46269</v>
      </c>
      <c r="O1116" s="23" t="s">
        <v>24428</v>
      </c>
      <c r="P1116" s="98" t="s">
        <v>24430</v>
      </c>
      <c r="Q1116" s="24">
        <f>IFERROR(TAB_OFICINAS[[#This Row],[Qtd pçs Enviadas]]-TAB_OFICINAS[[#This Row],[Qtd pçs Retornadas ]],"N/D ")</f>
        <v>0</v>
      </c>
      <c r="R1116" s="24"/>
      <c r="S1116" s="5">
        <v>3395</v>
      </c>
      <c r="T1116" s="5">
        <v>17581</v>
      </c>
      <c r="U1116" s="134">
        <v>8</v>
      </c>
      <c r="V1116" s="135">
        <v>64</v>
      </c>
      <c r="W1116" s="26">
        <v>46276</v>
      </c>
      <c r="X1116" s="17" t="s">
        <v>6251</v>
      </c>
      <c r="Y1116" s="27" t="s">
        <v>23140</v>
      </c>
      <c r="Z1116" s="90" t="s">
        <v>24429</v>
      </c>
    </row>
    <row r="1117" spans="3:26" hidden="1">
      <c r="C1117" s="28" t="s">
        <v>15</v>
      </c>
      <c r="D1117" s="5">
        <v>5758</v>
      </c>
      <c r="E1117" s="5">
        <v>24355</v>
      </c>
      <c r="F1117" s="28" t="s">
        <v>24476</v>
      </c>
      <c r="G1117" s="2" t="s">
        <v>24477</v>
      </c>
      <c r="H1117" s="51">
        <v>3105015333</v>
      </c>
      <c r="I1117" s="28" t="s">
        <v>20650</v>
      </c>
      <c r="J1117" s="91">
        <v>1</v>
      </c>
      <c r="K1117" s="88">
        <v>46266</v>
      </c>
      <c r="L1117" s="9">
        <v>1</v>
      </c>
      <c r="M1117" s="6">
        <v>46269</v>
      </c>
      <c r="N1117" s="6">
        <v>46303</v>
      </c>
      <c r="O1117" s="23">
        <v>34</v>
      </c>
      <c r="P1117" s="98" t="s">
        <v>24427</v>
      </c>
      <c r="Q1117" s="24">
        <f>IFERROR(TAB_OFICINAS[[#This Row],[Qtd pçs Enviadas]]-TAB_OFICINAS[[#This Row],[Qtd pçs Retornadas ]],"N/D ")</f>
        <v>0</v>
      </c>
      <c r="R1117" s="24"/>
      <c r="S1117" s="5" t="s">
        <v>21371</v>
      </c>
      <c r="U1117" s="11" t="s">
        <v>24478</v>
      </c>
      <c r="V1117" s="25" t="s">
        <v>24264</v>
      </c>
      <c r="W1117" s="26"/>
      <c r="X1117" s="17" t="s">
        <v>6251</v>
      </c>
      <c r="Y1117" s="27" t="s">
        <v>20413</v>
      </c>
      <c r="Z1117" s="90" t="s">
        <v>24429</v>
      </c>
    </row>
    <row r="1118" spans="3:26" hidden="1">
      <c r="C1118" s="28" t="s">
        <v>15</v>
      </c>
      <c r="D1118" s="5">
        <v>2770</v>
      </c>
      <c r="E1118" s="5">
        <v>24105</v>
      </c>
      <c r="F1118" s="28" t="s">
        <v>5554</v>
      </c>
      <c r="G1118" s="2" t="s">
        <v>5553</v>
      </c>
      <c r="H1118" s="51" t="s">
        <v>23962</v>
      </c>
      <c r="I1118" s="28" t="s">
        <v>24479</v>
      </c>
      <c r="J1118" s="91">
        <v>2</v>
      </c>
      <c r="K1118" s="88">
        <v>46266</v>
      </c>
      <c r="L1118" s="9">
        <v>2</v>
      </c>
      <c r="M1118" s="6">
        <v>46269</v>
      </c>
      <c r="N1118" s="6">
        <v>46303</v>
      </c>
      <c r="O1118" s="23">
        <v>34</v>
      </c>
      <c r="P1118" s="98" t="s">
        <v>24427</v>
      </c>
      <c r="Q1118" s="24">
        <f>IFERROR(TAB_OFICINAS[[#This Row],[Qtd pçs Enviadas]]-TAB_OFICINAS[[#This Row],[Qtd pçs Retornadas ]],"N/D ")</f>
        <v>0</v>
      </c>
      <c r="R1118" s="24"/>
      <c r="S1118" s="5" t="s">
        <v>21371</v>
      </c>
      <c r="U1118" s="11" t="s">
        <v>24478</v>
      </c>
      <c r="V1118" s="25" t="s">
        <v>24264</v>
      </c>
      <c r="W1118" s="26"/>
      <c r="X1118" s="17" t="s">
        <v>6251</v>
      </c>
      <c r="Y1118" s="27" t="s">
        <v>20413</v>
      </c>
      <c r="Z1118" s="90" t="s">
        <v>24429</v>
      </c>
    </row>
    <row r="1119" spans="3:26" hidden="1">
      <c r="C1119" s="28" t="s">
        <v>1</v>
      </c>
      <c r="D1119" s="5">
        <v>5756</v>
      </c>
      <c r="E1119" s="5">
        <v>24353</v>
      </c>
      <c r="F1119" s="28" t="s">
        <v>24480</v>
      </c>
      <c r="G1119" s="2" t="s">
        <v>24481</v>
      </c>
      <c r="H1119" s="51">
        <v>92101065362</v>
      </c>
      <c r="I1119" s="28" t="s">
        <v>24482</v>
      </c>
      <c r="J1119" s="91">
        <v>27</v>
      </c>
      <c r="K1119" s="88">
        <v>46267</v>
      </c>
      <c r="L1119" s="9">
        <v>27</v>
      </c>
      <c r="M1119" s="6">
        <v>46277</v>
      </c>
      <c r="N1119" s="6">
        <v>46273</v>
      </c>
      <c r="O1119" s="23">
        <v>-4</v>
      </c>
      <c r="P1119" s="98" t="s">
        <v>24430</v>
      </c>
      <c r="Q1119" s="24">
        <v>0</v>
      </c>
      <c r="R1119" s="24"/>
      <c r="S1119" s="5">
        <v>3400</v>
      </c>
      <c r="T1119" s="5">
        <v>64</v>
      </c>
      <c r="U1119" s="134">
        <v>8</v>
      </c>
      <c r="V1119" s="135">
        <v>216</v>
      </c>
      <c r="W1119" s="26">
        <v>46283</v>
      </c>
      <c r="X1119" s="17" t="s">
        <v>6251</v>
      </c>
      <c r="Y1119" s="27"/>
      <c r="Z1119" s="90" t="s">
        <v>24429</v>
      </c>
    </row>
    <row r="1120" spans="3:26" hidden="1">
      <c r="C1120" s="28" t="s">
        <v>1</v>
      </c>
      <c r="D1120" s="5">
        <v>5756</v>
      </c>
      <c r="E1120" s="5">
        <v>24353</v>
      </c>
      <c r="F1120" s="28" t="s">
        <v>24480</v>
      </c>
      <c r="G1120" s="2" t="s">
        <v>24481</v>
      </c>
      <c r="H1120" s="51">
        <v>92101021444</v>
      </c>
      <c r="I1120" s="28" t="s">
        <v>24483</v>
      </c>
      <c r="J1120" s="91">
        <v>33</v>
      </c>
      <c r="K1120" s="88">
        <v>46267</v>
      </c>
      <c r="L1120" s="9">
        <v>33</v>
      </c>
      <c r="M1120" s="6">
        <v>46277</v>
      </c>
      <c r="N1120" s="6">
        <v>46273</v>
      </c>
      <c r="O1120" s="23">
        <v>-4</v>
      </c>
      <c r="P1120" s="98" t="s">
        <v>24430</v>
      </c>
      <c r="Q1120" s="24">
        <v>0</v>
      </c>
      <c r="R1120" s="24"/>
      <c r="S1120" s="5">
        <v>3400</v>
      </c>
      <c r="T1120" s="5">
        <v>64</v>
      </c>
      <c r="U1120" s="134">
        <v>7.5</v>
      </c>
      <c r="V1120" s="135">
        <v>247.5</v>
      </c>
      <c r="W1120" s="26">
        <v>46283</v>
      </c>
      <c r="X1120" s="17" t="s">
        <v>6251</v>
      </c>
      <c r="Y1120" s="27"/>
      <c r="Z1120" s="90" t="s">
        <v>24429</v>
      </c>
    </row>
    <row r="1121" spans="3:26" hidden="1">
      <c r="C1121" s="28" t="s">
        <v>1</v>
      </c>
      <c r="D1121" s="5">
        <v>5756</v>
      </c>
      <c r="E1121" s="5">
        <v>24353</v>
      </c>
      <c r="F1121" s="28" t="s">
        <v>24480</v>
      </c>
      <c r="G1121" s="2" t="s">
        <v>24481</v>
      </c>
      <c r="H1121" s="51">
        <v>92101021443</v>
      </c>
      <c r="I1121" s="28" t="s">
        <v>24484</v>
      </c>
      <c r="J1121" s="91">
        <v>20</v>
      </c>
      <c r="K1121" s="88">
        <v>46267</v>
      </c>
      <c r="L1121" s="9">
        <v>20</v>
      </c>
      <c r="M1121" s="6">
        <v>46277</v>
      </c>
      <c r="N1121" s="6">
        <v>46273</v>
      </c>
      <c r="O1121" s="23">
        <v>-4</v>
      </c>
      <c r="P1121" s="98" t="s">
        <v>24430</v>
      </c>
      <c r="Q1121" s="24">
        <v>0</v>
      </c>
      <c r="R1121" s="24"/>
      <c r="S1121" s="5">
        <v>3400</v>
      </c>
      <c r="T1121" s="5">
        <v>64</v>
      </c>
      <c r="U1121" s="134">
        <v>6</v>
      </c>
      <c r="V1121" s="135">
        <v>120</v>
      </c>
      <c r="W1121" s="26">
        <v>46283</v>
      </c>
      <c r="X1121" s="17" t="s">
        <v>6251</v>
      </c>
      <c r="Y1121" s="27"/>
      <c r="Z1121" s="90" t="s">
        <v>24429</v>
      </c>
    </row>
    <row r="1122" spans="3:26" hidden="1">
      <c r="C1122" s="28" t="s">
        <v>15</v>
      </c>
      <c r="D1122" s="5">
        <v>2463</v>
      </c>
      <c r="E1122" s="5">
        <v>24309</v>
      </c>
      <c r="F1122" s="28" t="s">
        <v>12726</v>
      </c>
      <c r="G1122" s="2" t="s">
        <v>12725</v>
      </c>
      <c r="H1122" s="51" t="s">
        <v>23962</v>
      </c>
      <c r="I1122" s="28" t="s">
        <v>24485</v>
      </c>
      <c r="J1122" s="91">
        <v>1</v>
      </c>
      <c r="K1122" s="88">
        <v>46267</v>
      </c>
      <c r="L1122" s="9">
        <v>1</v>
      </c>
      <c r="M1122" s="6">
        <v>46269</v>
      </c>
      <c r="N1122" s="6">
        <v>46269</v>
      </c>
      <c r="O1122" s="23" t="s">
        <v>24428</v>
      </c>
      <c r="P1122" s="98" t="s">
        <v>24430</v>
      </c>
      <c r="Q1122" s="24">
        <f>IFERROR(TAB_OFICINAS[[#This Row],[Qtd pçs Enviadas]]-TAB_OFICINAS[[#This Row],[Qtd pçs Retornadas ]],"N/D ")</f>
        <v>0</v>
      </c>
      <c r="R1122" s="24"/>
      <c r="S1122" s="5">
        <v>1004</v>
      </c>
      <c r="T1122" s="5">
        <v>17582</v>
      </c>
      <c r="U1122" s="134">
        <v>12</v>
      </c>
      <c r="V1122" s="135">
        <v>12</v>
      </c>
      <c r="W1122" s="26">
        <v>46276</v>
      </c>
      <c r="X1122" s="17" t="s">
        <v>6251</v>
      </c>
      <c r="Y1122" s="27" t="s">
        <v>23412</v>
      </c>
      <c r="Z1122" s="90" t="s">
        <v>24429</v>
      </c>
    </row>
    <row r="1123" spans="3:26" hidden="1">
      <c r="C1123" s="28" t="s">
        <v>15</v>
      </c>
      <c r="D1123" s="5">
        <v>2463</v>
      </c>
      <c r="E1123" s="5">
        <v>24309</v>
      </c>
      <c r="F1123" s="28" t="s">
        <v>12726</v>
      </c>
      <c r="G1123" s="2" t="s">
        <v>12725</v>
      </c>
      <c r="H1123" s="51" t="s">
        <v>23962</v>
      </c>
      <c r="I1123" s="28" t="s">
        <v>24486</v>
      </c>
      <c r="J1123" s="91">
        <v>2</v>
      </c>
      <c r="K1123" s="88">
        <v>46267</v>
      </c>
      <c r="L1123" s="9">
        <v>2</v>
      </c>
      <c r="M1123" s="6">
        <v>46269</v>
      </c>
      <c r="N1123" s="6">
        <v>46269</v>
      </c>
      <c r="O1123" s="23" t="s">
        <v>24428</v>
      </c>
      <c r="P1123" s="98" t="s">
        <v>24430</v>
      </c>
      <c r="Q1123" s="24">
        <f>IFERROR(TAB_OFICINAS[[#This Row],[Qtd pçs Enviadas]]-TAB_OFICINAS[[#This Row],[Qtd pçs Retornadas ]],"N/D ")</f>
        <v>0</v>
      </c>
      <c r="R1123" s="24"/>
      <c r="S1123" s="5">
        <v>1004</v>
      </c>
      <c r="T1123" s="5">
        <v>17582</v>
      </c>
      <c r="U1123" s="134">
        <v>12</v>
      </c>
      <c r="V1123" s="135">
        <v>24</v>
      </c>
      <c r="W1123" s="26">
        <v>46276</v>
      </c>
      <c r="X1123" s="17" t="s">
        <v>6251</v>
      </c>
      <c r="Y1123" s="27" t="s">
        <v>23970</v>
      </c>
      <c r="Z1123" s="90" t="s">
        <v>24429</v>
      </c>
    </row>
    <row r="1124" spans="3:26" hidden="1">
      <c r="C1124" s="28" t="s">
        <v>15</v>
      </c>
      <c r="D1124" s="5">
        <v>2463</v>
      </c>
      <c r="E1124" s="5">
        <v>24309</v>
      </c>
      <c r="F1124" s="28" t="s">
        <v>12726</v>
      </c>
      <c r="G1124" s="2" t="s">
        <v>12725</v>
      </c>
      <c r="H1124" s="51" t="s">
        <v>23962</v>
      </c>
      <c r="I1124" s="28" t="s">
        <v>24487</v>
      </c>
      <c r="J1124" s="91">
        <v>1</v>
      </c>
      <c r="K1124" s="88">
        <v>46267</v>
      </c>
      <c r="L1124" s="9">
        <v>1</v>
      </c>
      <c r="M1124" s="6">
        <v>46269</v>
      </c>
      <c r="N1124" s="6">
        <v>46269</v>
      </c>
      <c r="O1124" s="23" t="s">
        <v>24428</v>
      </c>
      <c r="P1124" s="98" t="s">
        <v>24430</v>
      </c>
      <c r="Q1124" s="24">
        <f>IFERROR(TAB_OFICINAS[[#This Row],[Qtd pçs Enviadas]]-TAB_OFICINAS[[#This Row],[Qtd pçs Retornadas ]],"N/D ")</f>
        <v>0</v>
      </c>
      <c r="R1124" s="24"/>
      <c r="S1124" s="5">
        <v>1004</v>
      </c>
      <c r="T1124" s="5">
        <v>17582</v>
      </c>
      <c r="U1124" s="134">
        <v>12</v>
      </c>
      <c r="V1124" s="135">
        <v>12</v>
      </c>
      <c r="W1124" s="26">
        <v>46276</v>
      </c>
      <c r="X1124" s="17" t="s">
        <v>6251</v>
      </c>
      <c r="Y1124" s="27" t="s">
        <v>24470</v>
      </c>
      <c r="Z1124" s="90" t="s">
        <v>24429</v>
      </c>
    </row>
    <row r="1125" spans="3:26" hidden="1">
      <c r="C1125" s="28" t="s">
        <v>15</v>
      </c>
      <c r="D1125" s="5">
        <v>2463</v>
      </c>
      <c r="E1125" s="5">
        <v>24309</v>
      </c>
      <c r="F1125" s="28" t="s">
        <v>12726</v>
      </c>
      <c r="G1125" s="2" t="s">
        <v>12725</v>
      </c>
      <c r="H1125" s="51" t="s">
        <v>23962</v>
      </c>
      <c r="I1125" s="28" t="s">
        <v>24488</v>
      </c>
      <c r="J1125" s="91">
        <v>1</v>
      </c>
      <c r="K1125" s="88">
        <v>46267</v>
      </c>
      <c r="L1125" s="9">
        <v>1</v>
      </c>
      <c r="M1125" s="6">
        <v>46269</v>
      </c>
      <c r="N1125" s="6">
        <v>46269</v>
      </c>
      <c r="O1125" s="23" t="s">
        <v>24428</v>
      </c>
      <c r="P1125" s="98" t="s">
        <v>24430</v>
      </c>
      <c r="Q1125" s="24">
        <f>IFERROR(TAB_OFICINAS[[#This Row],[Qtd pçs Enviadas]]-TAB_OFICINAS[[#This Row],[Qtd pçs Retornadas ]],"N/D ")</f>
        <v>0</v>
      </c>
      <c r="R1125" s="24"/>
      <c r="S1125" s="5">
        <v>1004</v>
      </c>
      <c r="T1125" s="5">
        <v>17582</v>
      </c>
      <c r="U1125" s="134">
        <v>12</v>
      </c>
      <c r="V1125" s="135">
        <v>12</v>
      </c>
      <c r="W1125" s="26">
        <v>46276</v>
      </c>
      <c r="X1125" s="17" t="s">
        <v>6251</v>
      </c>
      <c r="Y1125" s="27" t="s">
        <v>24489</v>
      </c>
      <c r="Z1125" s="90" t="s">
        <v>24429</v>
      </c>
    </row>
    <row r="1126" spans="3:26" hidden="1">
      <c r="C1126" s="28" t="s">
        <v>15</v>
      </c>
      <c r="D1126" s="5">
        <v>2463</v>
      </c>
      <c r="E1126" s="5">
        <v>24309</v>
      </c>
      <c r="F1126" s="28" t="s">
        <v>12726</v>
      </c>
      <c r="G1126" s="2" t="s">
        <v>12725</v>
      </c>
      <c r="H1126" s="51" t="s">
        <v>23962</v>
      </c>
      <c r="I1126" s="28" t="s">
        <v>24490</v>
      </c>
      <c r="J1126" s="91">
        <v>1</v>
      </c>
      <c r="K1126" s="88">
        <v>46267</v>
      </c>
      <c r="L1126" s="9">
        <v>1</v>
      </c>
      <c r="M1126" s="6">
        <v>46269</v>
      </c>
      <c r="N1126" s="6">
        <v>46269</v>
      </c>
      <c r="O1126" s="23" t="s">
        <v>24428</v>
      </c>
      <c r="P1126" s="98" t="s">
        <v>24430</v>
      </c>
      <c r="Q1126" s="24">
        <f>IFERROR(TAB_OFICINAS[[#This Row],[Qtd pçs Enviadas]]-TAB_OFICINAS[[#This Row],[Qtd pçs Retornadas ]],"N/D ")</f>
        <v>0</v>
      </c>
      <c r="R1126" s="24"/>
      <c r="S1126" s="5">
        <v>1004</v>
      </c>
      <c r="T1126" s="5">
        <v>17582</v>
      </c>
      <c r="U1126" s="134">
        <v>12</v>
      </c>
      <c r="V1126" s="135">
        <v>12</v>
      </c>
      <c r="W1126" s="26">
        <v>46276</v>
      </c>
      <c r="X1126" s="17" t="s">
        <v>6251</v>
      </c>
      <c r="Y1126" s="27" t="s">
        <v>24491</v>
      </c>
      <c r="Z1126" s="90" t="s">
        <v>24429</v>
      </c>
    </row>
    <row r="1127" spans="3:26" hidden="1">
      <c r="C1127" s="28" t="s">
        <v>15</v>
      </c>
      <c r="D1127" s="5">
        <v>5415</v>
      </c>
      <c r="E1127" s="5">
        <v>24291</v>
      </c>
      <c r="F1127" s="28" t="s">
        <v>20430</v>
      </c>
      <c r="G1127" s="2" t="s">
        <v>20430</v>
      </c>
      <c r="H1127" s="51">
        <v>2111231441</v>
      </c>
      <c r="I1127" s="28" t="s">
        <v>24492</v>
      </c>
      <c r="J1127" s="91">
        <v>1</v>
      </c>
      <c r="K1127" s="88">
        <v>46267</v>
      </c>
      <c r="L1127" s="9">
        <v>1</v>
      </c>
      <c r="M1127" s="6">
        <v>46269</v>
      </c>
      <c r="N1127" s="6">
        <v>46269</v>
      </c>
      <c r="O1127" s="23" t="s">
        <v>24428</v>
      </c>
      <c r="P1127" s="98" t="s">
        <v>24430</v>
      </c>
      <c r="Q1127" s="24">
        <f>IFERROR(TAB_OFICINAS[[#This Row],[Qtd pçs Enviadas]]-TAB_OFICINAS[[#This Row],[Qtd pçs Retornadas ]],"N/D ")</f>
        <v>0</v>
      </c>
      <c r="R1127" s="24"/>
      <c r="S1127" s="5">
        <v>1004</v>
      </c>
      <c r="T1127" s="5">
        <v>17582</v>
      </c>
      <c r="U1127" s="134">
        <v>12</v>
      </c>
      <c r="V1127" s="135">
        <v>12</v>
      </c>
      <c r="W1127" s="26">
        <v>46276</v>
      </c>
      <c r="X1127" s="17" t="s">
        <v>6251</v>
      </c>
      <c r="Y1127" s="27" t="s">
        <v>21377</v>
      </c>
      <c r="Z1127" s="90" t="s">
        <v>24429</v>
      </c>
    </row>
    <row r="1128" spans="3:26" hidden="1">
      <c r="C1128" s="28" t="s">
        <v>1</v>
      </c>
      <c r="D1128" s="5">
        <v>5756</v>
      </c>
      <c r="E1128" s="5">
        <v>24353</v>
      </c>
      <c r="F1128" s="28" t="s">
        <v>24480</v>
      </c>
      <c r="G1128" s="2" t="s">
        <v>24481</v>
      </c>
      <c r="H1128" s="51">
        <v>92115864092</v>
      </c>
      <c r="I1128" s="28" t="s">
        <v>24493</v>
      </c>
      <c r="J1128" s="91">
        <v>27</v>
      </c>
      <c r="K1128" s="88">
        <v>46267</v>
      </c>
      <c r="L1128" s="9">
        <v>27</v>
      </c>
      <c r="M1128" s="6">
        <v>46277</v>
      </c>
      <c r="N1128" s="6">
        <v>46273</v>
      </c>
      <c r="O1128" s="23">
        <v>-4</v>
      </c>
      <c r="P1128" s="98" t="s">
        <v>24430</v>
      </c>
      <c r="Q1128" s="24">
        <v>0</v>
      </c>
      <c r="R1128" s="24"/>
      <c r="S1128" s="5">
        <v>3400</v>
      </c>
      <c r="T1128" s="5">
        <v>64</v>
      </c>
      <c r="U1128" s="134">
        <v>8.5</v>
      </c>
      <c r="V1128" s="135">
        <v>229.5</v>
      </c>
      <c r="W1128" s="26">
        <v>46283</v>
      </c>
      <c r="X1128" s="17" t="s">
        <v>6251</v>
      </c>
      <c r="Y1128" s="27"/>
      <c r="Z1128" s="90" t="s">
        <v>24429</v>
      </c>
    </row>
    <row r="1129" spans="3:26" hidden="1">
      <c r="C1129" s="28" t="s">
        <v>1</v>
      </c>
      <c r="D1129" s="5">
        <v>5756</v>
      </c>
      <c r="E1129" s="5">
        <v>24353</v>
      </c>
      <c r="F1129" s="28" t="s">
        <v>24480</v>
      </c>
      <c r="G1129" s="2" t="s">
        <v>24481</v>
      </c>
      <c r="H1129" s="51">
        <v>92102111810</v>
      </c>
      <c r="I1129" s="28" t="s">
        <v>24494</v>
      </c>
      <c r="J1129" s="91">
        <v>33</v>
      </c>
      <c r="K1129" s="88">
        <v>46267</v>
      </c>
      <c r="L1129" s="9">
        <v>33</v>
      </c>
      <c r="M1129" s="6">
        <v>46277</v>
      </c>
      <c r="N1129" s="6">
        <v>46273</v>
      </c>
      <c r="O1129" s="23">
        <v>-4</v>
      </c>
      <c r="P1129" s="98" t="s">
        <v>24430</v>
      </c>
      <c r="Q1129" s="24">
        <v>0</v>
      </c>
      <c r="R1129" s="24"/>
      <c r="S1129" s="5">
        <v>3400</v>
      </c>
      <c r="T1129" s="5">
        <v>64</v>
      </c>
      <c r="U1129" s="134">
        <v>8</v>
      </c>
      <c r="V1129" s="135">
        <v>264</v>
      </c>
      <c r="W1129" s="26">
        <v>46283</v>
      </c>
      <c r="X1129" s="17" t="s">
        <v>6251</v>
      </c>
      <c r="Y1129" s="27"/>
      <c r="Z1129" s="90" t="s">
        <v>24429</v>
      </c>
    </row>
    <row r="1130" spans="3:26" hidden="1">
      <c r="C1130" s="28" t="s">
        <v>1</v>
      </c>
      <c r="D1130" s="5">
        <v>5756</v>
      </c>
      <c r="E1130" s="5">
        <v>24353</v>
      </c>
      <c r="F1130" s="28" t="s">
        <v>24480</v>
      </c>
      <c r="G1130" s="2" t="s">
        <v>24481</v>
      </c>
      <c r="H1130" s="51">
        <v>92102030432</v>
      </c>
      <c r="I1130" s="28" t="s">
        <v>24495</v>
      </c>
      <c r="J1130" s="91">
        <v>20</v>
      </c>
      <c r="K1130" s="88">
        <v>46267</v>
      </c>
      <c r="L1130" s="9">
        <v>20</v>
      </c>
      <c r="M1130" s="6">
        <v>46277</v>
      </c>
      <c r="N1130" s="6">
        <v>46273</v>
      </c>
      <c r="O1130" s="23">
        <v>-4</v>
      </c>
      <c r="P1130" s="98" t="s">
        <v>24430</v>
      </c>
      <c r="Q1130" s="24">
        <v>0</v>
      </c>
      <c r="R1130" s="24"/>
      <c r="S1130" s="5">
        <v>3400</v>
      </c>
      <c r="T1130" s="5">
        <v>64</v>
      </c>
      <c r="U1130" s="134">
        <v>6.5</v>
      </c>
      <c r="V1130" s="135">
        <v>130</v>
      </c>
      <c r="W1130" s="26">
        <v>46283</v>
      </c>
      <c r="X1130" s="17" t="s">
        <v>6251</v>
      </c>
      <c r="Y1130" s="27"/>
      <c r="Z1130" s="90" t="s">
        <v>24429</v>
      </c>
    </row>
    <row r="1131" spans="3:26" hidden="1">
      <c r="C1131" s="28" t="s">
        <v>20</v>
      </c>
      <c r="D1131" s="5">
        <v>245</v>
      </c>
      <c r="E1131" s="5">
        <v>24210</v>
      </c>
      <c r="F1131" s="28" t="s">
        <v>4162</v>
      </c>
      <c r="G1131" s="2" t="s">
        <v>4156</v>
      </c>
      <c r="H1131" s="51">
        <v>92101041103</v>
      </c>
      <c r="I1131" s="28" t="s">
        <v>20803</v>
      </c>
      <c r="J1131" s="91">
        <v>107</v>
      </c>
      <c r="K1131" s="88">
        <v>46268</v>
      </c>
      <c r="L1131" s="9">
        <v>107</v>
      </c>
      <c r="M1131" s="6">
        <v>46275</v>
      </c>
      <c r="N1131" s="6">
        <v>46273</v>
      </c>
      <c r="O1131" s="23">
        <v>-2</v>
      </c>
      <c r="P1131" s="98" t="s">
        <v>24430</v>
      </c>
      <c r="Q1131" s="24" t="s">
        <v>24428</v>
      </c>
      <c r="R1131" s="24"/>
      <c r="S1131" s="5">
        <v>3403</v>
      </c>
      <c r="T1131" s="5">
        <v>99</v>
      </c>
      <c r="U1131" s="11">
        <v>7.5</v>
      </c>
      <c r="V1131" s="135">
        <v>802.5</v>
      </c>
      <c r="W1131" s="26">
        <v>46283</v>
      </c>
      <c r="X1131" s="17" t="s">
        <v>6251</v>
      </c>
      <c r="Y1131" s="27"/>
      <c r="Z1131" s="90" t="s">
        <v>24429</v>
      </c>
    </row>
    <row r="1132" spans="3:26" hidden="1">
      <c r="C1132" s="28" t="s">
        <v>1</v>
      </c>
      <c r="D1132" s="5">
        <v>5645</v>
      </c>
      <c r="E1132" s="5">
        <v>23888</v>
      </c>
      <c r="F1132" s="28" t="s">
        <v>2911</v>
      </c>
      <c r="G1132" s="2" t="s">
        <v>23485</v>
      </c>
      <c r="H1132" s="51">
        <v>92115011196</v>
      </c>
      <c r="I1132" s="28" t="s">
        <v>23950</v>
      </c>
      <c r="J1132" s="91">
        <v>113</v>
      </c>
      <c r="K1132" s="88">
        <v>46268</v>
      </c>
      <c r="L1132" s="9">
        <v>113</v>
      </c>
      <c r="M1132" s="6">
        <v>46293</v>
      </c>
      <c r="N1132" s="6">
        <v>46279</v>
      </c>
      <c r="O1132" s="23">
        <v>-14</v>
      </c>
      <c r="P1132" s="98" t="s">
        <v>24430</v>
      </c>
      <c r="Q1132" s="24">
        <v>0</v>
      </c>
      <c r="R1132" s="24"/>
      <c r="S1132" s="5">
        <v>3402</v>
      </c>
      <c r="T1132" s="5">
        <v>65</v>
      </c>
      <c r="U1132" s="134">
        <v>16</v>
      </c>
      <c r="V1132" s="135">
        <v>1808</v>
      </c>
      <c r="W1132" s="26">
        <v>46289</v>
      </c>
      <c r="X1132" s="17" t="s">
        <v>6251</v>
      </c>
      <c r="Y1132" s="27"/>
      <c r="Z1132" s="90" t="s">
        <v>24429</v>
      </c>
    </row>
    <row r="1133" spans="3:26" hidden="1">
      <c r="C1133" s="28" t="s">
        <v>16</v>
      </c>
      <c r="D1133" s="5">
        <v>5645</v>
      </c>
      <c r="E1133" s="5">
        <v>23888</v>
      </c>
      <c r="F1133" s="28" t="s">
        <v>2911</v>
      </c>
      <c r="G1133" s="2" t="s">
        <v>23485</v>
      </c>
      <c r="H1133" s="51">
        <v>92115011196</v>
      </c>
      <c r="I1133" s="28" t="s">
        <v>23950</v>
      </c>
      <c r="J1133" s="91">
        <v>69</v>
      </c>
      <c r="K1133" s="88">
        <v>46269</v>
      </c>
      <c r="L1133" s="9">
        <v>69</v>
      </c>
      <c r="M1133" s="6">
        <v>46289</v>
      </c>
      <c r="N1133" s="6">
        <v>46276</v>
      </c>
      <c r="O1133" s="23">
        <v>-13</v>
      </c>
      <c r="P1133" s="98" t="s">
        <v>24430</v>
      </c>
      <c r="Q1133" s="24">
        <f>IFERROR(TAB_OFICINAS[[#This Row],[Qtd pçs Enviadas]]-TAB_OFICINAS[[#This Row],[Qtd pçs Retornadas ]],"N/D ")</f>
        <v>0</v>
      </c>
      <c r="R1133" s="24"/>
      <c r="S1133" s="5">
        <v>3404</v>
      </c>
      <c r="T1133" s="5">
        <v>65</v>
      </c>
      <c r="U1133" s="134">
        <v>16</v>
      </c>
      <c r="V1133" s="135">
        <v>1104</v>
      </c>
      <c r="W1133" s="26">
        <v>46286</v>
      </c>
      <c r="X1133" s="17" t="s">
        <v>6251</v>
      </c>
      <c r="Y1133" s="27"/>
      <c r="Z1133" s="90" t="s">
        <v>24429</v>
      </c>
    </row>
    <row r="1134" spans="3:26" hidden="1">
      <c r="C1134" s="28" t="s">
        <v>15</v>
      </c>
      <c r="D1134" s="5">
        <v>5737</v>
      </c>
      <c r="E1134" s="5">
        <v>24314</v>
      </c>
      <c r="F1134" s="28" t="s">
        <v>24496</v>
      </c>
      <c r="G1134" s="2" t="s">
        <v>24496</v>
      </c>
      <c r="H1134" s="51">
        <v>3161091427</v>
      </c>
      <c r="I1134" s="28" t="s">
        <v>24497</v>
      </c>
      <c r="J1134" s="91">
        <v>1</v>
      </c>
      <c r="K1134" s="88">
        <v>46269</v>
      </c>
      <c r="L1134" s="9">
        <v>1</v>
      </c>
      <c r="M1134" s="6">
        <v>46271</v>
      </c>
      <c r="N1134" s="6">
        <v>46276</v>
      </c>
      <c r="O1134" s="23" t="s">
        <v>24428</v>
      </c>
      <c r="P1134" s="98" t="s">
        <v>24430</v>
      </c>
      <c r="Q1134" s="24">
        <f>IFERROR(TAB_OFICINAS[[#This Row],[Qtd pçs Enviadas]]-TAB_OFICINAS[[#This Row],[Qtd pçs Retornadas ]],"N/D ")</f>
        <v>0</v>
      </c>
      <c r="R1134" s="24"/>
      <c r="S1134" s="5">
        <v>3406</v>
      </c>
      <c r="T1134" s="5">
        <v>17585</v>
      </c>
      <c r="U1134" s="134">
        <v>12</v>
      </c>
      <c r="V1134" s="135">
        <v>12</v>
      </c>
      <c r="W1134" s="26">
        <v>46282</v>
      </c>
      <c r="X1134" s="17" t="s">
        <v>6251</v>
      </c>
      <c r="Y1134" s="27" t="s">
        <v>24498</v>
      </c>
      <c r="Z1134" s="90" t="s">
        <v>24429</v>
      </c>
    </row>
    <row r="1135" spans="3:26" hidden="1">
      <c r="C1135" s="28" t="s">
        <v>15</v>
      </c>
      <c r="D1135" s="5">
        <v>5737</v>
      </c>
      <c r="E1135" s="5">
        <v>24314</v>
      </c>
      <c r="F1135" s="28" t="s">
        <v>24496</v>
      </c>
      <c r="G1135" s="2" t="s">
        <v>24496</v>
      </c>
      <c r="H1135" s="51">
        <v>3161091426</v>
      </c>
      <c r="I1135" s="28" t="s">
        <v>24499</v>
      </c>
      <c r="J1135" s="91">
        <v>1</v>
      </c>
      <c r="K1135" s="88">
        <v>46269</v>
      </c>
      <c r="L1135" s="9">
        <v>1</v>
      </c>
      <c r="M1135" s="6">
        <v>46271</v>
      </c>
      <c r="N1135" s="6">
        <v>46276</v>
      </c>
      <c r="O1135" s="23" t="s">
        <v>24428</v>
      </c>
      <c r="P1135" s="98" t="s">
        <v>24430</v>
      </c>
      <c r="Q1135" s="24">
        <f>IFERROR(TAB_OFICINAS[[#This Row],[Qtd pçs Enviadas]]-TAB_OFICINAS[[#This Row],[Qtd pçs Retornadas ]],"N/D ")</f>
        <v>0</v>
      </c>
      <c r="R1135" s="24"/>
      <c r="S1135" s="5">
        <v>3406</v>
      </c>
      <c r="T1135" s="5">
        <v>17585</v>
      </c>
      <c r="U1135" s="134">
        <v>12</v>
      </c>
      <c r="V1135" s="135">
        <v>12</v>
      </c>
      <c r="W1135" s="26">
        <v>46282</v>
      </c>
      <c r="X1135" s="17" t="s">
        <v>6251</v>
      </c>
      <c r="Y1135" s="27" t="s">
        <v>24500</v>
      </c>
      <c r="Z1135" s="90" t="s">
        <v>24429</v>
      </c>
    </row>
    <row r="1136" spans="3:26" hidden="1">
      <c r="C1136" s="28" t="s">
        <v>15</v>
      </c>
      <c r="D1136" s="5">
        <v>5737</v>
      </c>
      <c r="E1136" s="5">
        <v>24314</v>
      </c>
      <c r="F1136" s="28" t="s">
        <v>24496</v>
      </c>
      <c r="G1136" s="2" t="s">
        <v>24496</v>
      </c>
      <c r="H1136" s="51">
        <v>3105015332</v>
      </c>
      <c r="I1136" s="28" t="s">
        <v>21796</v>
      </c>
      <c r="J1136" s="91">
        <v>1</v>
      </c>
      <c r="K1136" s="88">
        <v>46269</v>
      </c>
      <c r="L1136" s="9">
        <v>1</v>
      </c>
      <c r="M1136" s="6">
        <v>46271</v>
      </c>
      <c r="N1136" s="6">
        <v>46276</v>
      </c>
      <c r="O1136" s="23" t="s">
        <v>24428</v>
      </c>
      <c r="P1136" s="98" t="s">
        <v>24430</v>
      </c>
      <c r="Q1136" s="24">
        <f>IFERROR(TAB_OFICINAS[[#This Row],[Qtd pçs Enviadas]]-TAB_OFICINAS[[#This Row],[Qtd pçs Retornadas ]],"N/D ")</f>
        <v>0</v>
      </c>
      <c r="R1136" s="24"/>
      <c r="S1136" s="5">
        <v>3406</v>
      </c>
      <c r="T1136" s="5">
        <v>17585</v>
      </c>
      <c r="U1136" s="134">
        <v>12</v>
      </c>
      <c r="V1136" s="135">
        <v>12</v>
      </c>
      <c r="W1136" s="26">
        <v>46282</v>
      </c>
      <c r="X1136" s="17" t="s">
        <v>6251</v>
      </c>
      <c r="Y1136" s="27" t="s">
        <v>24501</v>
      </c>
      <c r="Z1136" s="90" t="s">
        <v>24429</v>
      </c>
    </row>
    <row r="1137" spans="3:26" hidden="1">
      <c r="C1137" s="28" t="s">
        <v>3</v>
      </c>
      <c r="D1137" s="5">
        <v>5645</v>
      </c>
      <c r="E1137" s="5">
        <v>23888</v>
      </c>
      <c r="F1137" s="28" t="s">
        <v>2911</v>
      </c>
      <c r="G1137" s="2" t="s">
        <v>23485</v>
      </c>
      <c r="H1137" s="51">
        <v>3101011204</v>
      </c>
      <c r="I1137" s="28" t="s">
        <v>23836</v>
      </c>
      <c r="J1137" s="91">
        <v>70</v>
      </c>
      <c r="K1137" s="88">
        <v>46269</v>
      </c>
      <c r="L1137" s="9">
        <v>70</v>
      </c>
      <c r="M1137" s="6">
        <v>46293</v>
      </c>
      <c r="N1137" s="6">
        <v>46286</v>
      </c>
      <c r="O1137" s="23">
        <v>-7</v>
      </c>
      <c r="P1137" s="98" t="s">
        <v>24430</v>
      </c>
      <c r="Q1137" s="24" t="s">
        <v>24428</v>
      </c>
      <c r="R1137" s="24"/>
      <c r="S1137" s="5">
        <v>3405</v>
      </c>
      <c r="T1137" s="5">
        <v>132</v>
      </c>
      <c r="U1137" s="134">
        <v>11.9</v>
      </c>
      <c r="V1137" s="135">
        <v>833</v>
      </c>
      <c r="W1137" s="26">
        <v>46296</v>
      </c>
      <c r="X1137" s="17" t="s">
        <v>6251</v>
      </c>
      <c r="Y1137" s="27"/>
      <c r="Z1137" s="90" t="s">
        <v>24429</v>
      </c>
    </row>
    <row r="1138" spans="3:26" hidden="1">
      <c r="C1138" s="28" t="s">
        <v>3</v>
      </c>
      <c r="D1138" s="5">
        <v>5645</v>
      </c>
      <c r="E1138" s="5">
        <v>23888</v>
      </c>
      <c r="F1138" s="28" t="s">
        <v>2911</v>
      </c>
      <c r="G1138" s="2" t="s">
        <v>23485</v>
      </c>
      <c r="H1138" s="51">
        <v>3101011203</v>
      </c>
      <c r="I1138" s="28" t="s">
        <v>23834</v>
      </c>
      <c r="J1138" s="91">
        <v>16</v>
      </c>
      <c r="K1138" s="88">
        <v>46269</v>
      </c>
      <c r="L1138" s="9">
        <v>16</v>
      </c>
      <c r="M1138" s="6">
        <v>46293</v>
      </c>
      <c r="N1138" s="6">
        <v>46286</v>
      </c>
      <c r="O1138" s="23">
        <v>-7</v>
      </c>
      <c r="P1138" s="98" t="s">
        <v>24430</v>
      </c>
      <c r="Q1138" s="24" t="s">
        <v>24428</v>
      </c>
      <c r="R1138" s="24"/>
      <c r="S1138" s="5">
        <v>3405</v>
      </c>
      <c r="T1138" s="5">
        <v>132</v>
      </c>
      <c r="U1138" s="134">
        <v>8</v>
      </c>
      <c r="V1138" s="135">
        <v>128</v>
      </c>
      <c r="W1138" s="26">
        <v>46296</v>
      </c>
      <c r="X1138" s="17" t="s">
        <v>6251</v>
      </c>
      <c r="Y1138" s="27"/>
      <c r="Z1138" s="90" t="s">
        <v>24429</v>
      </c>
    </row>
    <row r="1139" spans="3:26" hidden="1">
      <c r="C1139" s="28" t="s">
        <v>3</v>
      </c>
      <c r="D1139" s="5">
        <v>5645</v>
      </c>
      <c r="E1139" s="5">
        <v>23888</v>
      </c>
      <c r="F1139" s="28" t="s">
        <v>2911</v>
      </c>
      <c r="G1139" s="2" t="s">
        <v>23485</v>
      </c>
      <c r="H1139" s="51">
        <v>2111261202</v>
      </c>
      <c r="I1139" s="28" t="s">
        <v>23781</v>
      </c>
      <c r="J1139" s="91">
        <v>71</v>
      </c>
      <c r="K1139" s="88">
        <v>46269</v>
      </c>
      <c r="L1139" s="9">
        <v>71</v>
      </c>
      <c r="M1139" s="6">
        <v>46293</v>
      </c>
      <c r="N1139" s="6">
        <v>46286</v>
      </c>
      <c r="O1139" s="23">
        <v>-7</v>
      </c>
      <c r="P1139" s="98" t="s">
        <v>24430</v>
      </c>
      <c r="Q1139" s="24" t="s">
        <v>24428</v>
      </c>
      <c r="R1139" s="24"/>
      <c r="S1139" s="5">
        <v>3405</v>
      </c>
      <c r="T1139" s="5">
        <v>132</v>
      </c>
      <c r="U1139" s="134">
        <v>6.5</v>
      </c>
      <c r="V1139" s="135">
        <v>461.5</v>
      </c>
      <c r="W1139" s="26">
        <v>46296</v>
      </c>
      <c r="X1139" s="17" t="s">
        <v>6251</v>
      </c>
      <c r="Y1139" s="27"/>
      <c r="Z1139" s="90" t="s">
        <v>24429</v>
      </c>
    </row>
    <row r="1140" spans="3:26" hidden="1">
      <c r="C1140" s="28" t="s">
        <v>15</v>
      </c>
      <c r="D1140" s="5">
        <v>240</v>
      </c>
      <c r="E1140" s="5">
        <v>24257</v>
      </c>
      <c r="F1140" s="28" t="s">
        <v>4148</v>
      </c>
      <c r="G1140" s="2" t="s">
        <v>4147</v>
      </c>
      <c r="H1140" s="51">
        <v>3302128548</v>
      </c>
      <c r="I1140" s="28" t="s">
        <v>24450</v>
      </c>
      <c r="J1140" s="91">
        <v>60</v>
      </c>
      <c r="K1140" s="88">
        <v>46273</v>
      </c>
      <c r="L1140" s="9">
        <v>60</v>
      </c>
      <c r="M1140" s="6">
        <v>46276</v>
      </c>
      <c r="N1140" s="6">
        <v>46276</v>
      </c>
      <c r="O1140" s="23" t="s">
        <v>24428</v>
      </c>
      <c r="P1140" s="98" t="s">
        <v>24430</v>
      </c>
      <c r="Q1140" s="24">
        <f>IFERROR(TAB_OFICINAS[[#This Row],[Qtd pçs Enviadas]]-TAB_OFICINAS[[#This Row],[Qtd pçs Retornadas ]],"N/D ")</f>
        <v>0</v>
      </c>
      <c r="R1140" s="24"/>
      <c r="S1140" s="5">
        <v>3408</v>
      </c>
      <c r="T1140" s="5">
        <v>17585</v>
      </c>
      <c r="U1140" s="134">
        <v>4.8</v>
      </c>
      <c r="V1140" s="135">
        <v>288</v>
      </c>
      <c r="W1140" s="26">
        <v>46282</v>
      </c>
      <c r="X1140" s="17" t="s">
        <v>6251</v>
      </c>
      <c r="Y1140" s="27" t="s">
        <v>24502</v>
      </c>
      <c r="Z1140" s="90" t="s">
        <v>24429</v>
      </c>
    </row>
    <row r="1141" spans="3:26" hidden="1">
      <c r="C1141" s="28" t="s">
        <v>15</v>
      </c>
      <c r="D1141" s="5">
        <v>240</v>
      </c>
      <c r="E1141" s="5">
        <v>24257</v>
      </c>
      <c r="F1141" s="28" t="s">
        <v>4148</v>
      </c>
      <c r="G1141" s="2" t="s">
        <v>4147</v>
      </c>
      <c r="H1141" s="51">
        <v>3302119211</v>
      </c>
      <c r="I1141" s="28" t="s">
        <v>24449</v>
      </c>
      <c r="J1141" s="91">
        <v>60</v>
      </c>
      <c r="K1141" s="88">
        <v>46273</v>
      </c>
      <c r="L1141" s="9">
        <v>60</v>
      </c>
      <c r="M1141" s="6">
        <v>46276</v>
      </c>
      <c r="N1141" s="6">
        <v>46276</v>
      </c>
      <c r="O1141" s="23" t="s">
        <v>24428</v>
      </c>
      <c r="P1141" s="98" t="s">
        <v>24430</v>
      </c>
      <c r="Q1141" s="24">
        <f>IFERROR(TAB_OFICINAS[[#This Row],[Qtd pçs Enviadas]]-TAB_OFICINAS[[#This Row],[Qtd pçs Retornadas ]],"N/D ")</f>
        <v>0</v>
      </c>
      <c r="R1141" s="24"/>
      <c r="S1141" s="5">
        <v>3408</v>
      </c>
      <c r="T1141" s="5">
        <v>17585</v>
      </c>
      <c r="U1141" s="134">
        <v>4.8</v>
      </c>
      <c r="V1141" s="135">
        <v>288</v>
      </c>
      <c r="W1141" s="26">
        <v>46282</v>
      </c>
      <c r="X1141" s="17" t="s">
        <v>6251</v>
      </c>
      <c r="Y1141" s="27" t="s">
        <v>24503</v>
      </c>
      <c r="Z1141" s="90" t="s">
        <v>24429</v>
      </c>
    </row>
    <row r="1142" spans="3:26" hidden="1">
      <c r="C1142" s="28" t="s">
        <v>15</v>
      </c>
      <c r="D1142" s="5">
        <v>2533</v>
      </c>
      <c r="E1142" s="5">
        <v>24338</v>
      </c>
      <c r="F1142" s="28" t="s">
        <v>6171</v>
      </c>
      <c r="G1142" s="2" t="s">
        <v>6170</v>
      </c>
      <c r="H1142" s="51">
        <v>2201021364</v>
      </c>
      <c r="I1142" s="28" t="s">
        <v>24504</v>
      </c>
      <c r="J1142" s="91">
        <v>4</v>
      </c>
      <c r="K1142" s="88">
        <v>46273</v>
      </c>
      <c r="L1142" s="9">
        <v>4</v>
      </c>
      <c r="M1142" s="6">
        <v>46276</v>
      </c>
      <c r="N1142" s="6">
        <v>46276</v>
      </c>
      <c r="O1142" s="23" t="s">
        <v>24428</v>
      </c>
      <c r="P1142" s="98" t="s">
        <v>24430</v>
      </c>
      <c r="Q1142" s="24">
        <f>IFERROR(TAB_OFICINAS[[#This Row],[Qtd pçs Enviadas]]-TAB_OFICINAS[[#This Row],[Qtd pçs Retornadas ]],"N/D ")</f>
        <v>0</v>
      </c>
      <c r="R1142" s="24"/>
      <c r="S1142" s="5">
        <v>3409</v>
      </c>
      <c r="T1142" s="5">
        <v>17585</v>
      </c>
      <c r="U1142" s="134">
        <v>6.6</v>
      </c>
      <c r="V1142" s="135">
        <v>26.4</v>
      </c>
      <c r="W1142" s="26">
        <v>46282</v>
      </c>
      <c r="X1142" s="17" t="s">
        <v>6251</v>
      </c>
      <c r="Y1142" s="27" t="s">
        <v>24284</v>
      </c>
      <c r="Z1142" s="90" t="s">
        <v>24429</v>
      </c>
    </row>
    <row r="1143" spans="3:26" hidden="1">
      <c r="C1143" s="28" t="s">
        <v>15</v>
      </c>
      <c r="D1143" s="5">
        <v>2533</v>
      </c>
      <c r="E1143" s="5">
        <v>24338</v>
      </c>
      <c r="F1143" s="28" t="s">
        <v>6171</v>
      </c>
      <c r="G1143" s="2" t="s">
        <v>6170</v>
      </c>
      <c r="H1143" s="51">
        <v>2201021365</v>
      </c>
      <c r="I1143" s="28" t="s">
        <v>24505</v>
      </c>
      <c r="J1143" s="91">
        <v>4</v>
      </c>
      <c r="K1143" s="88">
        <v>46273</v>
      </c>
      <c r="L1143" s="9">
        <v>4</v>
      </c>
      <c r="M1143" s="6">
        <v>46276</v>
      </c>
      <c r="N1143" s="6">
        <v>46276</v>
      </c>
      <c r="O1143" s="23" t="s">
        <v>24428</v>
      </c>
      <c r="P1143" s="98" t="s">
        <v>24430</v>
      </c>
      <c r="Q1143" s="24">
        <f>IFERROR(TAB_OFICINAS[[#This Row],[Qtd pçs Enviadas]]-TAB_OFICINAS[[#This Row],[Qtd pçs Retornadas ]],"N/D ")</f>
        <v>0</v>
      </c>
      <c r="R1143" s="24"/>
      <c r="S1143" s="5">
        <v>3409</v>
      </c>
      <c r="T1143" s="5">
        <v>17585</v>
      </c>
      <c r="U1143" s="134">
        <v>4</v>
      </c>
      <c r="V1143" s="135">
        <v>16</v>
      </c>
      <c r="W1143" s="26">
        <v>46282</v>
      </c>
      <c r="X1143" s="17" t="s">
        <v>6251</v>
      </c>
      <c r="Y1143" s="27" t="s">
        <v>24283</v>
      </c>
      <c r="Z1143" s="90" t="s">
        <v>24429</v>
      </c>
    </row>
    <row r="1144" spans="3:26" hidden="1">
      <c r="C1144" s="28" t="s">
        <v>15</v>
      </c>
      <c r="D1144" s="5">
        <v>2533</v>
      </c>
      <c r="E1144" s="5">
        <v>24338</v>
      </c>
      <c r="F1144" s="28" t="s">
        <v>6171</v>
      </c>
      <c r="G1144" s="2" t="s">
        <v>6170</v>
      </c>
      <c r="H1144" s="51">
        <v>2201021366</v>
      </c>
      <c r="I1144" s="28" t="s">
        <v>24506</v>
      </c>
      <c r="J1144" s="91">
        <v>4</v>
      </c>
      <c r="K1144" s="88">
        <v>46273</v>
      </c>
      <c r="L1144" s="9">
        <v>4</v>
      </c>
      <c r="M1144" s="6">
        <v>46276</v>
      </c>
      <c r="N1144" s="6">
        <v>46276</v>
      </c>
      <c r="O1144" s="23" t="s">
        <v>24428</v>
      </c>
      <c r="P1144" s="98" t="s">
        <v>24430</v>
      </c>
      <c r="Q1144" s="24">
        <f>IFERROR(TAB_OFICINAS[[#This Row],[Qtd pçs Enviadas]]-TAB_OFICINAS[[#This Row],[Qtd pçs Retornadas ]],"N/D ")</f>
        <v>0</v>
      </c>
      <c r="R1144" s="24"/>
      <c r="S1144" s="5">
        <v>3409</v>
      </c>
      <c r="T1144" s="5">
        <v>17585</v>
      </c>
      <c r="U1144" s="134">
        <v>4</v>
      </c>
      <c r="V1144" s="135">
        <v>16</v>
      </c>
      <c r="W1144" s="26">
        <v>46282</v>
      </c>
      <c r="X1144" s="17" t="s">
        <v>6251</v>
      </c>
      <c r="Y1144" s="27" t="s">
        <v>24282</v>
      </c>
      <c r="Z1144" s="90" t="s">
        <v>24429</v>
      </c>
    </row>
    <row r="1145" spans="3:26" ht="28.5" hidden="1">
      <c r="C1145" s="28" t="s">
        <v>15</v>
      </c>
      <c r="D1145" s="5">
        <v>2533</v>
      </c>
      <c r="E1145" s="5">
        <v>24338</v>
      </c>
      <c r="F1145" s="28" t="s">
        <v>6171</v>
      </c>
      <c r="G1145" s="2" t="s">
        <v>6170</v>
      </c>
      <c r="H1145" s="51">
        <v>2201021367</v>
      </c>
      <c r="I1145" s="28" t="s">
        <v>24507</v>
      </c>
      <c r="J1145" s="91">
        <v>5</v>
      </c>
      <c r="K1145" s="88">
        <v>46273</v>
      </c>
      <c r="L1145" s="9">
        <v>5</v>
      </c>
      <c r="M1145" s="6">
        <v>46276</v>
      </c>
      <c r="N1145" s="6">
        <v>46276</v>
      </c>
      <c r="O1145" s="23" t="s">
        <v>24428</v>
      </c>
      <c r="P1145" s="98" t="s">
        <v>24430</v>
      </c>
      <c r="Q1145" s="24">
        <f>IFERROR(TAB_OFICINAS[[#This Row],[Qtd pçs Enviadas]]-TAB_OFICINAS[[#This Row],[Qtd pçs Retornadas ]],"N/D ")</f>
        <v>0</v>
      </c>
      <c r="R1145" s="24"/>
      <c r="S1145" s="5">
        <v>3409</v>
      </c>
      <c r="T1145" s="5">
        <v>17585</v>
      </c>
      <c r="U1145" s="134">
        <v>4</v>
      </c>
      <c r="V1145" s="135">
        <v>20</v>
      </c>
      <c r="W1145" s="26">
        <v>46282</v>
      </c>
      <c r="X1145" s="17" t="s">
        <v>6251</v>
      </c>
      <c r="Y1145" s="27" t="s">
        <v>24281</v>
      </c>
      <c r="Z1145" s="90" t="s">
        <v>24429</v>
      </c>
    </row>
    <row r="1146" spans="3:26" hidden="1">
      <c r="C1146" s="28" t="s">
        <v>15</v>
      </c>
      <c r="D1146" s="5">
        <v>1942</v>
      </c>
      <c r="E1146" s="5">
        <v>24068</v>
      </c>
      <c r="F1146" s="28" t="s">
        <v>4498</v>
      </c>
      <c r="G1146" s="2" t="s">
        <v>4497</v>
      </c>
      <c r="H1146" s="51">
        <v>3301084164</v>
      </c>
      <c r="I1146" s="28" t="s">
        <v>23583</v>
      </c>
      <c r="J1146" s="91">
        <v>150</v>
      </c>
      <c r="K1146" s="88">
        <v>46273</v>
      </c>
      <c r="L1146" s="9">
        <v>150</v>
      </c>
      <c r="M1146" s="6">
        <v>46280</v>
      </c>
      <c r="N1146" s="6">
        <v>46280</v>
      </c>
      <c r="O1146" s="23" t="s">
        <v>24428</v>
      </c>
      <c r="P1146" s="98" t="s">
        <v>24430</v>
      </c>
      <c r="Q1146" s="24">
        <f>IFERROR(TAB_OFICINAS[[#This Row],[Qtd pçs Enviadas]]-TAB_OFICINAS[[#This Row],[Qtd pçs Retornadas ]],"N/D ")</f>
        <v>0</v>
      </c>
      <c r="R1146" s="24"/>
      <c r="S1146" s="5">
        <v>3415</v>
      </c>
      <c r="T1146" s="5">
        <v>17588</v>
      </c>
      <c r="U1146" s="134">
        <v>3.85</v>
      </c>
      <c r="V1146" s="135">
        <v>577.5</v>
      </c>
      <c r="W1146" s="26">
        <v>46285</v>
      </c>
      <c r="X1146" s="17" t="s">
        <v>6251</v>
      </c>
      <c r="Y1146" s="27" t="s">
        <v>23428</v>
      </c>
      <c r="Z1146" s="90" t="s">
        <v>24429</v>
      </c>
    </row>
    <row r="1147" spans="3:26" hidden="1">
      <c r="C1147" s="28" t="s">
        <v>15</v>
      </c>
      <c r="D1147" s="5">
        <v>1942</v>
      </c>
      <c r="E1147" s="5">
        <v>24068</v>
      </c>
      <c r="F1147" s="28" t="s">
        <v>4498</v>
      </c>
      <c r="G1147" s="2" t="s">
        <v>4497</v>
      </c>
      <c r="H1147" s="51">
        <v>3301084128</v>
      </c>
      <c r="I1147" s="28" t="s">
        <v>23582</v>
      </c>
      <c r="J1147" s="91">
        <v>150</v>
      </c>
      <c r="K1147" s="88">
        <v>46273</v>
      </c>
      <c r="L1147" s="9">
        <v>150</v>
      </c>
      <c r="M1147" s="6">
        <v>46280</v>
      </c>
      <c r="N1147" s="6">
        <v>46280</v>
      </c>
      <c r="O1147" s="23" t="s">
        <v>24428</v>
      </c>
      <c r="P1147" s="98" t="s">
        <v>24430</v>
      </c>
      <c r="Q1147" s="24">
        <f>IFERROR(TAB_OFICINAS[[#This Row],[Qtd pçs Enviadas]]-TAB_OFICINAS[[#This Row],[Qtd pçs Retornadas ]],"N/D ")</f>
        <v>0</v>
      </c>
      <c r="R1147" s="24"/>
      <c r="S1147" s="5">
        <v>3409</v>
      </c>
      <c r="T1147" s="5">
        <v>17588</v>
      </c>
      <c r="U1147" s="134">
        <v>3.85</v>
      </c>
      <c r="V1147" s="135">
        <v>577.5</v>
      </c>
      <c r="W1147" s="26">
        <v>46285</v>
      </c>
      <c r="X1147" s="17" t="s">
        <v>6251</v>
      </c>
      <c r="Y1147" s="27" t="s">
        <v>23428</v>
      </c>
      <c r="Z1147" s="90" t="s">
        <v>24429</v>
      </c>
    </row>
    <row r="1148" spans="3:26" hidden="1">
      <c r="C1148" s="28" t="s">
        <v>15</v>
      </c>
      <c r="D1148" s="5">
        <v>1942</v>
      </c>
      <c r="E1148" s="5">
        <v>24068</v>
      </c>
      <c r="F1148" s="28" t="s">
        <v>4498</v>
      </c>
      <c r="G1148" s="2" t="s">
        <v>4497</v>
      </c>
      <c r="H1148" s="51">
        <v>3301084127</v>
      </c>
      <c r="I1148" s="28" t="s">
        <v>23581</v>
      </c>
      <c r="J1148" s="91">
        <v>150</v>
      </c>
      <c r="K1148" s="88">
        <v>46273</v>
      </c>
      <c r="L1148" s="9">
        <v>150</v>
      </c>
      <c r="M1148" s="6">
        <v>46280</v>
      </c>
      <c r="N1148" s="6">
        <v>46283</v>
      </c>
      <c r="O1148" s="23">
        <v>23</v>
      </c>
      <c r="P1148" s="98" t="s">
        <v>24427</v>
      </c>
      <c r="Q1148" s="24">
        <f>IFERROR(TAB_OFICINAS[[#This Row],[Qtd pçs Enviadas]]-TAB_OFICINAS[[#This Row],[Qtd pçs Retornadas ]],"N/D ")</f>
        <v>0</v>
      </c>
      <c r="R1148" s="24"/>
      <c r="S1148" s="5">
        <v>3409</v>
      </c>
      <c r="T1148" s="5">
        <v>17588</v>
      </c>
      <c r="U1148" s="134">
        <v>3.85</v>
      </c>
      <c r="V1148" s="135">
        <v>577.5</v>
      </c>
      <c r="W1148" s="26">
        <v>46285</v>
      </c>
      <c r="X1148" s="17" t="s">
        <v>6251</v>
      </c>
      <c r="Y1148" s="27" t="s">
        <v>23428</v>
      </c>
      <c r="Z1148" s="90" t="s">
        <v>24429</v>
      </c>
    </row>
    <row r="1149" spans="3:26" ht="71.25" hidden="1">
      <c r="C1149" s="28" t="s">
        <v>18</v>
      </c>
      <c r="D1149" s="5">
        <v>1942</v>
      </c>
      <c r="E1149" s="5">
        <v>24068</v>
      </c>
      <c r="F1149" s="28" t="s">
        <v>4498</v>
      </c>
      <c r="G1149" s="2" t="s">
        <v>4497</v>
      </c>
      <c r="H1149" s="51">
        <v>3301084128</v>
      </c>
      <c r="I1149" s="28" t="s">
        <v>23582</v>
      </c>
      <c r="J1149" s="91">
        <v>150</v>
      </c>
      <c r="K1149" s="88">
        <v>46274</v>
      </c>
      <c r="L1149" s="9">
        <v>150</v>
      </c>
      <c r="M1149" s="6">
        <v>46293</v>
      </c>
      <c r="N1149" s="6">
        <v>46295</v>
      </c>
      <c r="O1149" s="23">
        <v>2</v>
      </c>
      <c r="P1149" s="98" t="s">
        <v>24427</v>
      </c>
      <c r="Q1149" s="24" t="s">
        <v>24428</v>
      </c>
      <c r="R1149" s="24"/>
      <c r="S1149" s="5">
        <v>1006</v>
      </c>
      <c r="T1149" s="5">
        <v>51</v>
      </c>
      <c r="U1149" s="11">
        <v>14</v>
      </c>
      <c r="V1149" s="135">
        <v>2100</v>
      </c>
      <c r="W1149" s="26">
        <v>46304</v>
      </c>
      <c r="X1149" s="17" t="s">
        <v>6251</v>
      </c>
      <c r="Y1149" s="27" t="s">
        <v>24508</v>
      </c>
      <c r="Z1149" s="90" t="s">
        <v>24429</v>
      </c>
    </row>
    <row r="1150" spans="3:26" hidden="1">
      <c r="C1150" s="28" t="s">
        <v>21197</v>
      </c>
      <c r="D1150" s="5">
        <v>1942</v>
      </c>
      <c r="E1150" s="5">
        <v>24068</v>
      </c>
      <c r="F1150" s="28" t="s">
        <v>4498</v>
      </c>
      <c r="G1150" s="2" t="s">
        <v>4497</v>
      </c>
      <c r="H1150" s="51">
        <v>3301084127</v>
      </c>
      <c r="I1150" s="28" t="s">
        <v>23581</v>
      </c>
      <c r="J1150" s="91">
        <v>150</v>
      </c>
      <c r="K1150" s="88">
        <v>46276</v>
      </c>
      <c r="L1150" s="9">
        <v>150</v>
      </c>
      <c r="M1150" s="6">
        <v>46293</v>
      </c>
      <c r="N1150" s="6">
        <v>46294</v>
      </c>
      <c r="O1150" s="23">
        <v>1</v>
      </c>
      <c r="P1150" s="98" t="s">
        <v>24427</v>
      </c>
      <c r="Q1150" s="24" t="s">
        <v>24428</v>
      </c>
      <c r="R1150" s="24"/>
      <c r="S1150" s="5">
        <v>1008</v>
      </c>
      <c r="T1150" s="5" t="s">
        <v>24509</v>
      </c>
      <c r="U1150" s="134">
        <v>16</v>
      </c>
      <c r="V1150" s="135">
        <v>2400</v>
      </c>
      <c r="W1150" s="26">
        <v>46304</v>
      </c>
      <c r="X1150" s="17" t="s">
        <v>6251</v>
      </c>
      <c r="Y1150" s="27"/>
      <c r="Z1150" s="90" t="s">
        <v>24429</v>
      </c>
    </row>
    <row r="1151" spans="3:26" hidden="1">
      <c r="C1151" s="28" t="s">
        <v>19</v>
      </c>
      <c r="D1151" s="5">
        <v>1942</v>
      </c>
      <c r="E1151" s="5">
        <v>24068</v>
      </c>
      <c r="F1151" s="28" t="s">
        <v>4498</v>
      </c>
      <c r="G1151" s="2" t="s">
        <v>4497</v>
      </c>
      <c r="H1151" s="51">
        <v>3301084164</v>
      </c>
      <c r="I1151" s="28" t="s">
        <v>23583</v>
      </c>
      <c r="J1151" s="91">
        <v>150</v>
      </c>
      <c r="K1151" s="88">
        <v>46276</v>
      </c>
      <c r="L1151" s="9">
        <v>150</v>
      </c>
      <c r="M1151" s="6">
        <v>46293</v>
      </c>
      <c r="N1151" s="6">
        <v>46290</v>
      </c>
      <c r="O1151" s="23">
        <v>-3</v>
      </c>
      <c r="P1151" s="98" t="s">
        <v>24430</v>
      </c>
      <c r="Q1151" s="24" t="s">
        <v>24428</v>
      </c>
      <c r="R1151" s="24"/>
      <c r="S1151" s="5">
        <v>1007</v>
      </c>
      <c r="T1151" s="5">
        <v>61</v>
      </c>
      <c r="U1151" s="134">
        <v>14</v>
      </c>
      <c r="V1151" s="135">
        <v>2100</v>
      </c>
      <c r="W1151" s="26">
        <v>46300</v>
      </c>
      <c r="X1151" s="17" t="s">
        <v>6251</v>
      </c>
      <c r="Y1151" s="27"/>
      <c r="Z1151" s="90" t="s">
        <v>24429</v>
      </c>
    </row>
    <row r="1152" spans="3:26" hidden="1">
      <c r="C1152" s="28" t="s">
        <v>15</v>
      </c>
      <c r="D1152" s="5">
        <v>5737</v>
      </c>
      <c r="E1152" s="5">
        <v>24314</v>
      </c>
      <c r="F1152" s="28" t="s">
        <v>24496</v>
      </c>
      <c r="G1152" s="2" t="s">
        <v>24496</v>
      </c>
      <c r="H1152" s="51">
        <v>3105015332</v>
      </c>
      <c r="I1152" s="28" t="s">
        <v>21796</v>
      </c>
      <c r="J1152" s="91">
        <v>1</v>
      </c>
      <c r="K1152" s="88">
        <v>46276</v>
      </c>
      <c r="L1152" s="9">
        <v>1</v>
      </c>
      <c r="M1152" s="6">
        <v>46281</v>
      </c>
      <c r="N1152" s="6">
        <v>46280</v>
      </c>
      <c r="O1152" s="23">
        <v>-1</v>
      </c>
      <c r="P1152" s="98" t="s">
        <v>24430</v>
      </c>
      <c r="Q1152" s="24">
        <f>IFERROR(TAB_OFICINAS[[#This Row],[Qtd pçs Enviadas]]-TAB_OFICINAS[[#This Row],[Qtd pçs Retornadas ]],"N/D ")</f>
        <v>0</v>
      </c>
      <c r="R1152" s="24"/>
      <c r="S1152" s="5">
        <v>3409</v>
      </c>
      <c r="T1152" s="5">
        <v>17588</v>
      </c>
      <c r="U1152" s="134">
        <v>12</v>
      </c>
      <c r="V1152" s="135">
        <v>12</v>
      </c>
      <c r="W1152" s="26">
        <v>46285</v>
      </c>
      <c r="X1152" s="17" t="s">
        <v>6251</v>
      </c>
      <c r="Y1152" s="27"/>
      <c r="Z1152" s="90" t="s">
        <v>24429</v>
      </c>
    </row>
    <row r="1153" spans="3:26" hidden="1">
      <c r="C1153" s="28" t="s">
        <v>15</v>
      </c>
      <c r="D1153" s="5">
        <v>5737</v>
      </c>
      <c r="E1153" s="5">
        <v>24314</v>
      </c>
      <c r="F1153" s="28" t="s">
        <v>24496</v>
      </c>
      <c r="G1153" s="2" t="s">
        <v>24496</v>
      </c>
      <c r="H1153" s="51">
        <v>3161091427</v>
      </c>
      <c r="I1153" s="28" t="s">
        <v>24510</v>
      </c>
      <c r="J1153" s="91">
        <v>1</v>
      </c>
      <c r="K1153" s="88">
        <v>46276</v>
      </c>
      <c r="L1153" s="9">
        <v>1</v>
      </c>
      <c r="M1153" s="6">
        <v>46281</v>
      </c>
      <c r="N1153" s="6">
        <v>46280</v>
      </c>
      <c r="O1153" s="23">
        <v>-1</v>
      </c>
      <c r="P1153" s="98" t="s">
        <v>24430</v>
      </c>
      <c r="Q1153" s="24">
        <f>IFERROR(TAB_OFICINAS[[#This Row],[Qtd pçs Enviadas]]-TAB_OFICINAS[[#This Row],[Qtd pçs Retornadas ]],"N/D ")</f>
        <v>0</v>
      </c>
      <c r="R1153" s="24"/>
      <c r="S1153" s="5">
        <v>3409</v>
      </c>
      <c r="T1153" s="5">
        <v>17588</v>
      </c>
      <c r="U1153" s="134">
        <v>12</v>
      </c>
      <c r="V1153" s="135">
        <v>12</v>
      </c>
      <c r="W1153" s="26">
        <v>46285</v>
      </c>
      <c r="X1153" s="17" t="s">
        <v>6251</v>
      </c>
      <c r="Y1153" s="27"/>
      <c r="Z1153" s="90" t="s">
        <v>24429</v>
      </c>
    </row>
    <row r="1154" spans="3:26" hidden="1">
      <c r="C1154" s="28" t="s">
        <v>15</v>
      </c>
      <c r="D1154" s="5">
        <v>1942</v>
      </c>
      <c r="E1154" s="5">
        <v>24068</v>
      </c>
      <c r="F1154" s="28" t="s">
        <v>4498</v>
      </c>
      <c r="G1154" s="2" t="s">
        <v>4497</v>
      </c>
      <c r="H1154" s="51">
        <v>3301084128</v>
      </c>
      <c r="I1154" s="28" t="s">
        <v>23582</v>
      </c>
      <c r="J1154" s="91">
        <v>51</v>
      </c>
      <c r="K1154" s="88">
        <v>46279</v>
      </c>
      <c r="L1154" s="9">
        <v>51</v>
      </c>
      <c r="M1154" s="6">
        <v>46281</v>
      </c>
      <c r="N1154" s="6">
        <v>46280</v>
      </c>
      <c r="O1154" s="23">
        <v>-1</v>
      </c>
      <c r="P1154" s="98" t="s">
        <v>24430</v>
      </c>
      <c r="Q1154" s="24">
        <f>IFERROR(TAB_OFICINAS[[#This Row],[Qtd pçs Enviadas]]-TAB_OFICINAS[[#This Row],[Qtd pçs Retornadas ]],"N/D ")</f>
        <v>0</v>
      </c>
      <c r="R1154" s="24"/>
      <c r="S1154" s="5">
        <v>1009</v>
      </c>
      <c r="T1154" s="5">
        <v>17589</v>
      </c>
      <c r="U1154" s="134">
        <v>3.85</v>
      </c>
      <c r="V1154" s="135">
        <v>196.35</v>
      </c>
      <c r="W1154" s="26">
        <v>46287</v>
      </c>
      <c r="X1154" s="17" t="s">
        <v>6251</v>
      </c>
      <c r="Y1154" s="27" t="s">
        <v>23428</v>
      </c>
      <c r="Z1154" s="90" t="s">
        <v>24429</v>
      </c>
    </row>
    <row r="1155" spans="3:26" hidden="1">
      <c r="C1155" s="28" t="s">
        <v>15</v>
      </c>
      <c r="D1155" s="5">
        <v>1942</v>
      </c>
      <c r="E1155" s="5">
        <v>24068</v>
      </c>
      <c r="F1155" s="28" t="s">
        <v>4498</v>
      </c>
      <c r="G1155" s="2" t="s">
        <v>4497</v>
      </c>
      <c r="H1155" s="51">
        <v>3301084127</v>
      </c>
      <c r="I1155" s="28" t="s">
        <v>23581</v>
      </c>
      <c r="J1155" s="91">
        <v>51</v>
      </c>
      <c r="K1155" s="88">
        <v>46279</v>
      </c>
      <c r="L1155" s="9">
        <v>51</v>
      </c>
      <c r="M1155" s="6">
        <v>46281</v>
      </c>
      <c r="N1155" s="6">
        <v>46280</v>
      </c>
      <c r="O1155" s="23">
        <v>-1</v>
      </c>
      <c r="P1155" s="98" t="s">
        <v>24430</v>
      </c>
      <c r="Q1155" s="24">
        <f>IFERROR(TAB_OFICINAS[[#This Row],[Qtd pçs Enviadas]]-TAB_OFICINAS[[#This Row],[Qtd pçs Retornadas ]],"N/D ")</f>
        <v>0</v>
      </c>
      <c r="R1155" s="24"/>
      <c r="S1155" s="5">
        <v>1009</v>
      </c>
      <c r="T1155" s="5">
        <v>17589</v>
      </c>
      <c r="U1155" s="134">
        <v>3.85</v>
      </c>
      <c r="V1155" s="135">
        <v>196.35</v>
      </c>
      <c r="W1155" s="26">
        <v>46287</v>
      </c>
      <c r="X1155" s="17" t="s">
        <v>6251</v>
      </c>
      <c r="Y1155" s="27" t="s">
        <v>23428</v>
      </c>
      <c r="Z1155" s="90" t="s">
        <v>24429</v>
      </c>
    </row>
    <row r="1156" spans="3:26" hidden="1">
      <c r="C1156" s="28" t="s">
        <v>15</v>
      </c>
      <c r="D1156" s="5">
        <v>4422</v>
      </c>
      <c r="E1156" s="5">
        <v>24319</v>
      </c>
      <c r="F1156" s="28" t="s">
        <v>24511</v>
      </c>
      <c r="G1156" s="2" t="s">
        <v>6139</v>
      </c>
      <c r="H1156" s="51">
        <v>92111016797</v>
      </c>
      <c r="I1156" s="28" t="s">
        <v>24512</v>
      </c>
      <c r="J1156" s="91">
        <v>100</v>
      </c>
      <c r="K1156" s="88">
        <v>46279</v>
      </c>
      <c r="L1156" s="9">
        <v>100</v>
      </c>
      <c r="M1156" s="6">
        <v>46281</v>
      </c>
      <c r="N1156" s="6">
        <v>46280</v>
      </c>
      <c r="O1156" s="23">
        <v>-1</v>
      </c>
      <c r="P1156" s="98" t="s">
        <v>24430</v>
      </c>
      <c r="Q1156" s="24">
        <f>IFERROR(TAB_OFICINAS[[#This Row],[Qtd pçs Enviadas]]-TAB_OFICINAS[[#This Row],[Qtd pçs Retornadas ]],"N/D ")</f>
        <v>0</v>
      </c>
      <c r="R1156" s="24"/>
      <c r="S1156" s="5">
        <v>1009</v>
      </c>
      <c r="T1156" s="5">
        <v>17589</v>
      </c>
      <c r="U1156" s="134">
        <v>4</v>
      </c>
      <c r="V1156" s="135">
        <v>400</v>
      </c>
      <c r="W1156" s="26">
        <v>46287</v>
      </c>
      <c r="X1156" s="17" t="s">
        <v>6251</v>
      </c>
      <c r="Y1156" s="27" t="s">
        <v>24513</v>
      </c>
      <c r="Z1156" s="90" t="s">
        <v>24429</v>
      </c>
    </row>
    <row r="1157" spans="3:26" ht="42.75" hidden="1">
      <c r="C1157" s="28" t="s">
        <v>15</v>
      </c>
      <c r="E1157" s="5">
        <v>45</v>
      </c>
      <c r="F1157" s="28" t="s">
        <v>24514</v>
      </c>
      <c r="G1157" s="2" t="s">
        <v>24514</v>
      </c>
      <c r="H1157" s="51">
        <v>2111021228</v>
      </c>
      <c r="I1157" s="28" t="s">
        <v>24515</v>
      </c>
      <c r="J1157" s="91">
        <v>104</v>
      </c>
      <c r="K1157" s="88">
        <v>46279</v>
      </c>
      <c r="L1157" s="9">
        <v>104</v>
      </c>
      <c r="M1157" s="6">
        <v>46285</v>
      </c>
      <c r="N1157" s="6">
        <v>46283</v>
      </c>
      <c r="O1157" s="23">
        <v>-2</v>
      </c>
      <c r="P1157" s="98" t="s">
        <v>24430</v>
      </c>
      <c r="Q1157" s="24">
        <f>IFERROR(TAB_OFICINAS[[#This Row],[Qtd pçs Enviadas]]-TAB_OFICINAS[[#This Row],[Qtd pçs Retornadas ]],"N/D ")</f>
        <v>0</v>
      </c>
      <c r="R1157" s="24"/>
      <c r="S1157" s="5">
        <v>3418</v>
      </c>
      <c r="T1157" s="5">
        <v>17617</v>
      </c>
      <c r="U1157" s="134">
        <v>6</v>
      </c>
      <c r="V1157" s="135">
        <v>624</v>
      </c>
      <c r="W1157" s="26">
        <v>46290</v>
      </c>
      <c r="X1157" s="17" t="s">
        <v>6251</v>
      </c>
      <c r="Y1157" s="27" t="s">
        <v>24516</v>
      </c>
      <c r="Z1157" s="90" t="s">
        <v>24429</v>
      </c>
    </row>
    <row r="1158" spans="3:26" hidden="1">
      <c r="C1158" s="28" t="s">
        <v>15</v>
      </c>
      <c r="D1158" s="5">
        <v>2533</v>
      </c>
      <c r="E1158" s="5">
        <v>24339</v>
      </c>
      <c r="F1158" s="28" t="s">
        <v>6171</v>
      </c>
      <c r="G1158" s="2" t="s">
        <v>6170</v>
      </c>
      <c r="H1158" s="51">
        <v>2201021366</v>
      </c>
      <c r="I1158" s="28" t="s">
        <v>24506</v>
      </c>
      <c r="J1158" s="91">
        <v>62</v>
      </c>
      <c r="K1158" s="88">
        <v>46280</v>
      </c>
      <c r="L1158" s="9">
        <v>62</v>
      </c>
      <c r="M1158" s="6">
        <v>46285</v>
      </c>
      <c r="N1158" s="6">
        <v>46283</v>
      </c>
      <c r="O1158" s="23">
        <v>-2</v>
      </c>
      <c r="P1158" s="98" t="s">
        <v>24430</v>
      </c>
      <c r="Q1158" s="24">
        <f>IFERROR(TAB_OFICINAS[[#This Row],[Qtd pçs Enviadas]]-TAB_OFICINAS[[#This Row],[Qtd pçs Retornadas ]],"N/D ")</f>
        <v>0</v>
      </c>
      <c r="R1158" s="24"/>
      <c r="S1158" s="5">
        <v>3419</v>
      </c>
      <c r="T1158" s="5">
        <v>17617</v>
      </c>
      <c r="U1158" s="134">
        <v>4</v>
      </c>
      <c r="V1158" s="135">
        <v>248</v>
      </c>
      <c r="W1158" s="26">
        <v>46290</v>
      </c>
      <c r="X1158" s="17" t="s">
        <v>6251</v>
      </c>
      <c r="Y1158" s="27" t="s">
        <v>24282</v>
      </c>
      <c r="Z1158" s="90" t="s">
        <v>24429</v>
      </c>
    </row>
    <row r="1159" spans="3:26" hidden="1">
      <c r="C1159" s="28" t="s">
        <v>15</v>
      </c>
      <c r="D1159" s="5">
        <v>2533</v>
      </c>
      <c r="E1159" s="5">
        <v>24339</v>
      </c>
      <c r="F1159" s="28" t="s">
        <v>6171</v>
      </c>
      <c r="G1159" s="2" t="s">
        <v>6170</v>
      </c>
      <c r="H1159" s="51">
        <v>2201021365</v>
      </c>
      <c r="I1159" s="28" t="s">
        <v>24505</v>
      </c>
      <c r="J1159" s="91">
        <v>62</v>
      </c>
      <c r="K1159" s="88">
        <v>46280</v>
      </c>
      <c r="L1159" s="9">
        <v>62</v>
      </c>
      <c r="M1159" s="6">
        <v>46285</v>
      </c>
      <c r="N1159" s="6">
        <v>46283</v>
      </c>
      <c r="O1159" s="23">
        <v>-2</v>
      </c>
      <c r="P1159" s="98" t="s">
        <v>24430</v>
      </c>
      <c r="Q1159" s="24">
        <f>IFERROR(TAB_OFICINAS[[#This Row],[Qtd pçs Enviadas]]-TAB_OFICINAS[[#This Row],[Qtd pçs Retornadas ]],"N/D ")</f>
        <v>0</v>
      </c>
      <c r="R1159" s="24"/>
      <c r="S1159" s="5">
        <v>3419</v>
      </c>
      <c r="T1159" s="5">
        <v>17617</v>
      </c>
      <c r="U1159" s="134">
        <v>4</v>
      </c>
      <c r="V1159" s="135">
        <v>248</v>
      </c>
      <c r="W1159" s="26">
        <v>46290</v>
      </c>
      <c r="X1159" s="17" t="s">
        <v>6251</v>
      </c>
      <c r="Y1159" s="27" t="s">
        <v>24283</v>
      </c>
      <c r="Z1159" s="90" t="s">
        <v>24429</v>
      </c>
    </row>
    <row r="1160" spans="3:26" hidden="1">
      <c r="C1160" s="28" t="s">
        <v>15</v>
      </c>
      <c r="D1160" s="5">
        <v>2533</v>
      </c>
      <c r="E1160" s="5">
        <v>24339</v>
      </c>
      <c r="F1160" s="28" t="s">
        <v>6171</v>
      </c>
      <c r="G1160" s="2" t="s">
        <v>6170</v>
      </c>
      <c r="H1160" s="51">
        <v>2201021364</v>
      </c>
      <c r="I1160" s="28" t="s">
        <v>24504</v>
      </c>
      <c r="J1160" s="91">
        <v>62</v>
      </c>
      <c r="K1160" s="88">
        <v>46280</v>
      </c>
      <c r="L1160" s="9">
        <v>62</v>
      </c>
      <c r="M1160" s="6">
        <v>46285</v>
      </c>
      <c r="N1160" s="6">
        <v>46283</v>
      </c>
      <c r="O1160" s="23">
        <v>-2</v>
      </c>
      <c r="P1160" s="98" t="s">
        <v>24430</v>
      </c>
      <c r="Q1160" s="24">
        <f>IFERROR(TAB_OFICINAS[[#This Row],[Qtd pçs Enviadas]]-TAB_OFICINAS[[#This Row],[Qtd pçs Retornadas ]],"N/D ")</f>
        <v>0</v>
      </c>
      <c r="R1160" s="24"/>
      <c r="S1160" s="5">
        <v>3419</v>
      </c>
      <c r="T1160" s="5">
        <v>17617</v>
      </c>
      <c r="U1160" s="134">
        <v>6.6</v>
      </c>
      <c r="V1160" s="135">
        <v>409.2</v>
      </c>
      <c r="W1160" s="26">
        <v>46290</v>
      </c>
      <c r="X1160" s="17" t="s">
        <v>6251</v>
      </c>
      <c r="Y1160" s="27" t="s">
        <v>24284</v>
      </c>
      <c r="Z1160" s="90" t="s">
        <v>24429</v>
      </c>
    </row>
    <row r="1161" spans="3:26" hidden="1">
      <c r="C1161" s="28" t="s">
        <v>15</v>
      </c>
      <c r="D1161" s="5">
        <v>5762</v>
      </c>
      <c r="E1161" s="5">
        <v>24366</v>
      </c>
      <c r="F1161" s="28" t="s">
        <v>24517</v>
      </c>
      <c r="G1161" s="2" t="s">
        <v>24518</v>
      </c>
      <c r="H1161" s="51">
        <v>2161221453</v>
      </c>
      <c r="I1161" s="28" t="s">
        <v>24519</v>
      </c>
      <c r="J1161" s="91">
        <v>1</v>
      </c>
      <c r="K1161" s="88">
        <v>46281</v>
      </c>
      <c r="L1161" s="9">
        <v>1</v>
      </c>
      <c r="M1161" s="6">
        <v>46285</v>
      </c>
      <c r="N1161" s="6">
        <v>46283</v>
      </c>
      <c r="O1161" s="23">
        <v>-2</v>
      </c>
      <c r="P1161" s="98" t="s">
        <v>24430</v>
      </c>
      <c r="Q1161" s="24">
        <f>IFERROR(TAB_OFICINAS[[#This Row],[Qtd pçs Enviadas]]-TAB_OFICINAS[[#This Row],[Qtd pçs Retornadas ]],"N/D ")</f>
        <v>0</v>
      </c>
      <c r="R1161" s="24"/>
      <c r="S1161" s="5">
        <v>3422</v>
      </c>
      <c r="T1161" s="5">
        <v>16617</v>
      </c>
      <c r="U1161" s="134">
        <v>12</v>
      </c>
      <c r="V1161" s="135">
        <v>12</v>
      </c>
      <c r="W1161" s="26">
        <v>46290</v>
      </c>
      <c r="X1161" s="17" t="s">
        <v>6251</v>
      </c>
      <c r="Y1161" s="27" t="s">
        <v>24520</v>
      </c>
      <c r="Z1161" s="90" t="s">
        <v>24429</v>
      </c>
    </row>
    <row r="1162" spans="3:26" hidden="1">
      <c r="C1162" s="28" t="s">
        <v>15</v>
      </c>
      <c r="D1162" s="5">
        <v>5762</v>
      </c>
      <c r="E1162" s="5">
        <v>24366</v>
      </c>
      <c r="F1162" s="28" t="s">
        <v>24517</v>
      </c>
      <c r="G1162" s="2" t="s">
        <v>24518</v>
      </c>
      <c r="H1162" s="51">
        <v>2161221352</v>
      </c>
      <c r="I1162" s="28" t="s">
        <v>24521</v>
      </c>
      <c r="J1162" s="91">
        <v>1</v>
      </c>
      <c r="K1162" s="88">
        <v>46281</v>
      </c>
      <c r="L1162" s="9">
        <v>1</v>
      </c>
      <c r="M1162" s="6">
        <v>46285</v>
      </c>
      <c r="N1162" s="6">
        <v>46288</v>
      </c>
      <c r="O1162" s="23">
        <v>-2</v>
      </c>
      <c r="P1162" s="98" t="s">
        <v>24430</v>
      </c>
      <c r="Q1162" s="24">
        <f>IFERROR(TAB_OFICINAS[[#This Row],[Qtd pçs Enviadas]]-TAB_OFICINAS[[#This Row],[Qtd pçs Retornadas ]],"N/D ")</f>
        <v>0</v>
      </c>
      <c r="R1162" s="24"/>
      <c r="S1162" s="5">
        <v>3422</v>
      </c>
      <c r="T1162" s="5">
        <v>16617</v>
      </c>
      <c r="U1162" s="134">
        <v>12</v>
      </c>
      <c r="V1162" s="135">
        <v>12</v>
      </c>
      <c r="W1162" s="26">
        <v>46290</v>
      </c>
      <c r="X1162" s="17" t="s">
        <v>6251</v>
      </c>
      <c r="Y1162" s="27" t="s">
        <v>24520</v>
      </c>
      <c r="Z1162" s="90" t="s">
        <v>24429</v>
      </c>
    </row>
    <row r="1163" spans="3:26" hidden="1">
      <c r="C1163" s="28" t="s">
        <v>15</v>
      </c>
      <c r="D1163" s="5">
        <v>5762</v>
      </c>
      <c r="E1163" s="5">
        <v>24366</v>
      </c>
      <c r="F1163" s="28" t="s">
        <v>24517</v>
      </c>
      <c r="G1163" s="2" t="s">
        <v>24518</v>
      </c>
      <c r="H1163" s="51">
        <v>3161091452</v>
      </c>
      <c r="I1163" s="28" t="s">
        <v>24522</v>
      </c>
      <c r="J1163" s="91">
        <v>4</v>
      </c>
      <c r="K1163" s="88">
        <v>46281</v>
      </c>
      <c r="L1163" s="9">
        <v>4</v>
      </c>
      <c r="M1163" s="6">
        <v>46285</v>
      </c>
      <c r="N1163" s="6">
        <v>46283</v>
      </c>
      <c r="O1163" s="23">
        <v>-2</v>
      </c>
      <c r="P1163" s="98" t="s">
        <v>24430</v>
      </c>
      <c r="Q1163" s="24">
        <f>IFERROR(TAB_OFICINAS[[#This Row],[Qtd pçs Enviadas]]-TAB_OFICINAS[[#This Row],[Qtd pçs Retornadas ]],"N/D ")</f>
        <v>0</v>
      </c>
      <c r="R1163" s="24"/>
      <c r="S1163" s="5">
        <v>3422</v>
      </c>
      <c r="T1163" s="5">
        <v>16617</v>
      </c>
      <c r="U1163" s="134">
        <v>4</v>
      </c>
      <c r="V1163" s="135">
        <v>16</v>
      </c>
      <c r="W1163" s="26">
        <v>46290</v>
      </c>
      <c r="X1163" s="17" t="s">
        <v>6251</v>
      </c>
      <c r="Y1163" s="27" t="s">
        <v>24523</v>
      </c>
      <c r="Z1163" s="90" t="s">
        <v>24429</v>
      </c>
    </row>
    <row r="1164" spans="3:26" hidden="1">
      <c r="C1164" s="28" t="s">
        <v>15</v>
      </c>
      <c r="D1164" s="5">
        <v>2770</v>
      </c>
      <c r="E1164" s="5">
        <v>24389</v>
      </c>
      <c r="F1164" s="28" t="s">
        <v>5554</v>
      </c>
      <c r="G1164" s="2" t="s">
        <v>5553</v>
      </c>
      <c r="H1164" s="51">
        <v>3105119853</v>
      </c>
      <c r="I1164" s="28" t="s">
        <v>22664</v>
      </c>
      <c r="J1164" s="91">
        <v>2</v>
      </c>
      <c r="K1164" s="88">
        <v>46281</v>
      </c>
      <c r="L1164" s="9">
        <v>2</v>
      </c>
      <c r="M1164" s="6">
        <v>46283</v>
      </c>
      <c r="N1164" s="6">
        <v>46288</v>
      </c>
      <c r="O1164" s="23">
        <v>20</v>
      </c>
      <c r="P1164" s="98" t="s">
        <v>24427</v>
      </c>
      <c r="Q1164" s="24">
        <f>IFERROR(TAB_OFICINAS[[#This Row],[Qtd pçs Enviadas]]-TAB_OFICINAS[[#This Row],[Qtd pçs Retornadas ]],"N/D ")</f>
        <v>0</v>
      </c>
      <c r="R1164" s="24"/>
      <c r="S1164" s="5">
        <v>3422</v>
      </c>
      <c r="T1164" s="5">
        <v>17617</v>
      </c>
      <c r="U1164" s="134">
        <v>8</v>
      </c>
      <c r="V1164" s="135">
        <v>16</v>
      </c>
      <c r="W1164" s="26">
        <v>46290</v>
      </c>
      <c r="X1164" s="17" t="s">
        <v>6251</v>
      </c>
      <c r="Y1164" s="27" t="s">
        <v>22857</v>
      </c>
      <c r="Z1164" s="90" t="s">
        <v>24429</v>
      </c>
    </row>
    <row r="1165" spans="3:26" hidden="1">
      <c r="C1165" s="28" t="s">
        <v>15</v>
      </c>
      <c r="D1165" s="5">
        <v>2770</v>
      </c>
      <c r="E1165" s="5">
        <v>24389</v>
      </c>
      <c r="F1165" s="28" t="s">
        <v>5554</v>
      </c>
      <c r="G1165" s="2" t="s">
        <v>5553</v>
      </c>
      <c r="H1165" s="51">
        <v>3105119852</v>
      </c>
      <c r="I1165" s="28" t="s">
        <v>22662</v>
      </c>
      <c r="J1165" s="91">
        <v>2</v>
      </c>
      <c r="K1165" s="88">
        <v>46281</v>
      </c>
      <c r="L1165" s="9">
        <v>2</v>
      </c>
      <c r="M1165" s="6">
        <v>46283</v>
      </c>
      <c r="N1165" s="6">
        <v>46288</v>
      </c>
      <c r="O1165" s="23">
        <v>20</v>
      </c>
      <c r="P1165" s="98" t="s">
        <v>24427</v>
      </c>
      <c r="Q1165" s="24">
        <f>IFERROR(TAB_OFICINAS[[#This Row],[Qtd pçs Enviadas]]-TAB_OFICINAS[[#This Row],[Qtd pçs Retornadas ]],"N/D ")</f>
        <v>0</v>
      </c>
      <c r="R1165" s="24"/>
      <c r="S1165" s="5">
        <v>3422</v>
      </c>
      <c r="T1165" s="5">
        <v>17617</v>
      </c>
      <c r="U1165" s="134">
        <v>8</v>
      </c>
      <c r="V1165" s="135">
        <v>16</v>
      </c>
      <c r="W1165" s="26">
        <v>46290</v>
      </c>
      <c r="X1165" s="17" t="s">
        <v>6251</v>
      </c>
      <c r="Y1165" s="27" t="s">
        <v>22857</v>
      </c>
      <c r="Z1165" s="90" t="s">
        <v>24429</v>
      </c>
    </row>
    <row r="1166" spans="3:26" hidden="1">
      <c r="C1166" s="28" t="s">
        <v>16</v>
      </c>
      <c r="D1166" s="5">
        <v>173</v>
      </c>
      <c r="E1166" s="5">
        <v>24369</v>
      </c>
      <c r="F1166" s="28" t="s">
        <v>2771</v>
      </c>
      <c r="G1166" s="2" t="s">
        <v>2770</v>
      </c>
      <c r="H1166" s="51">
        <v>92101051870</v>
      </c>
      <c r="I1166" s="28" t="s">
        <v>22142</v>
      </c>
      <c r="J1166" s="91">
        <v>60</v>
      </c>
      <c r="K1166" s="88">
        <v>46281</v>
      </c>
      <c r="L1166" s="9">
        <v>60</v>
      </c>
      <c r="M1166" s="6">
        <v>46291</v>
      </c>
      <c r="N1166" s="6">
        <v>46289</v>
      </c>
      <c r="O1166" s="23">
        <v>-2</v>
      </c>
      <c r="P1166" s="98" t="s">
        <v>24430</v>
      </c>
      <c r="Q1166" s="24">
        <f>IFERROR(TAB_OFICINAS[[#This Row],[Qtd pçs Enviadas]]-TAB_OFICINAS[[#This Row],[Qtd pçs Retornadas ]],"N/D ")</f>
        <v>0</v>
      </c>
      <c r="R1166" s="24"/>
      <c r="S1166" s="5">
        <v>24369</v>
      </c>
      <c r="T1166" s="5">
        <v>66</v>
      </c>
      <c r="U1166" s="134">
        <v>4.9000000000000004</v>
      </c>
      <c r="V1166" s="135">
        <v>294</v>
      </c>
      <c r="W1166" s="26">
        <v>46300</v>
      </c>
      <c r="X1166" s="17" t="s">
        <v>6251</v>
      </c>
      <c r="Y1166" s="27"/>
      <c r="Z1166" s="90" t="s">
        <v>24429</v>
      </c>
    </row>
    <row r="1167" spans="3:26" hidden="1">
      <c r="C1167" s="28" t="s">
        <v>16</v>
      </c>
      <c r="D1167" s="5">
        <v>4422</v>
      </c>
      <c r="E1167" s="5">
        <v>24319</v>
      </c>
      <c r="F1167" s="28" t="s">
        <v>24511</v>
      </c>
      <c r="G1167" s="2" t="s">
        <v>6139</v>
      </c>
      <c r="H1167" s="51">
        <v>92111016797</v>
      </c>
      <c r="I1167" s="28" t="s">
        <v>24512</v>
      </c>
      <c r="J1167" s="91">
        <v>101</v>
      </c>
      <c r="K1167" s="88">
        <v>46281</v>
      </c>
      <c r="L1167" s="9">
        <v>101</v>
      </c>
      <c r="M1167" s="6">
        <v>46289</v>
      </c>
      <c r="N1167" s="6">
        <v>46289</v>
      </c>
      <c r="O1167" s="23" t="s">
        <v>24428</v>
      </c>
      <c r="P1167" s="98" t="s">
        <v>24430</v>
      </c>
      <c r="Q1167" s="24">
        <f>IFERROR(TAB_OFICINAS[[#This Row],[Qtd pçs Enviadas]]-TAB_OFICINAS[[#This Row],[Qtd pçs Retornadas ]],"N/D ")</f>
        <v>0</v>
      </c>
      <c r="R1167" s="24"/>
      <c r="S1167" s="5">
        <v>24369</v>
      </c>
      <c r="T1167" s="5">
        <v>67</v>
      </c>
      <c r="U1167" s="134">
        <v>4</v>
      </c>
      <c r="V1167" s="135">
        <v>404</v>
      </c>
      <c r="W1167" s="26">
        <v>46300</v>
      </c>
      <c r="X1167" s="17" t="s">
        <v>6251</v>
      </c>
      <c r="Y1167" s="27"/>
      <c r="Z1167" s="90" t="s">
        <v>24429</v>
      </c>
    </row>
    <row r="1168" spans="3:26" hidden="1">
      <c r="C1168" s="28" t="s">
        <v>1</v>
      </c>
      <c r="D1168" s="5">
        <v>1226</v>
      </c>
      <c r="E1168" s="5">
        <v>24463</v>
      </c>
      <c r="F1168" s="28" t="s">
        <v>5230</v>
      </c>
      <c r="G1168" s="2" t="s">
        <v>5229</v>
      </c>
      <c r="H1168" s="51">
        <v>92101062495</v>
      </c>
      <c r="I1168" s="28" t="s">
        <v>22992</v>
      </c>
      <c r="J1168" s="91">
        <v>500</v>
      </c>
      <c r="K1168" s="88">
        <v>46287</v>
      </c>
      <c r="L1168" s="9">
        <v>500</v>
      </c>
      <c r="M1168" s="6">
        <v>46301</v>
      </c>
      <c r="N1168" s="6">
        <v>46295</v>
      </c>
      <c r="O1168" s="23">
        <v>-6</v>
      </c>
      <c r="P1168" s="98" t="s">
        <v>24430</v>
      </c>
      <c r="Q1168" s="24">
        <v>0</v>
      </c>
      <c r="R1168" s="24"/>
      <c r="S1168" s="5">
        <v>3440</v>
      </c>
      <c r="T1168" s="5">
        <v>6</v>
      </c>
      <c r="U1168" s="134">
        <v>7.9</v>
      </c>
      <c r="V1168" s="135">
        <v>3950</v>
      </c>
      <c r="W1168" s="26"/>
      <c r="X1168" s="17" t="s">
        <v>6251</v>
      </c>
      <c r="Y1168" s="27"/>
      <c r="Z1168" s="90" t="s">
        <v>24429</v>
      </c>
    </row>
    <row r="1169" spans="3:26" hidden="1">
      <c r="C1169" s="28" t="s">
        <v>15</v>
      </c>
      <c r="D1169" s="5">
        <v>5</v>
      </c>
      <c r="E1169" s="5">
        <v>24425</v>
      </c>
      <c r="F1169" s="28" t="s">
        <v>5907</v>
      </c>
      <c r="G1169" s="2" t="s">
        <v>5906</v>
      </c>
      <c r="H1169" s="51">
        <v>3301074373</v>
      </c>
      <c r="I1169" s="28" t="s">
        <v>24524</v>
      </c>
      <c r="J1169" s="91">
        <v>20</v>
      </c>
      <c r="K1169" s="88">
        <v>46287</v>
      </c>
      <c r="L1169" s="9">
        <v>20</v>
      </c>
      <c r="M1169" s="6">
        <v>46289</v>
      </c>
      <c r="N1169" s="6">
        <v>46288</v>
      </c>
      <c r="O1169" s="23">
        <v>-1</v>
      </c>
      <c r="P1169" s="98" t="s">
        <v>24430</v>
      </c>
      <c r="Q1169" s="24">
        <f>IFERROR(TAB_OFICINAS[[#This Row],[Qtd pçs Enviadas]]-TAB_OFICINAS[[#This Row],[Qtd pçs Retornadas ]],"N/D ")</f>
        <v>0</v>
      </c>
      <c r="R1169" s="24"/>
      <c r="S1169" s="5">
        <v>3439</v>
      </c>
      <c r="T1169" s="5">
        <v>17627</v>
      </c>
      <c r="U1169" s="134">
        <v>4.8</v>
      </c>
      <c r="V1169" s="135">
        <v>96</v>
      </c>
      <c r="W1169" s="26">
        <v>46295</v>
      </c>
      <c r="X1169" s="17" t="s">
        <v>6251</v>
      </c>
      <c r="Y1169" s="27" t="s">
        <v>24525</v>
      </c>
      <c r="Z1169" s="90" t="s">
        <v>24429</v>
      </c>
    </row>
    <row r="1170" spans="3:26" hidden="1">
      <c r="C1170" s="28" t="s">
        <v>15</v>
      </c>
      <c r="D1170" s="5">
        <v>5</v>
      </c>
      <c r="E1170" s="5">
        <v>24425</v>
      </c>
      <c r="F1170" s="28" t="s">
        <v>5907</v>
      </c>
      <c r="G1170" s="2" t="s">
        <v>5906</v>
      </c>
      <c r="H1170" s="51">
        <v>3301074372</v>
      </c>
      <c r="I1170" s="28" t="s">
        <v>24526</v>
      </c>
      <c r="J1170" s="91">
        <v>30</v>
      </c>
      <c r="K1170" s="88">
        <v>46287</v>
      </c>
      <c r="L1170" s="9">
        <v>30</v>
      </c>
      <c r="M1170" s="6">
        <v>46289</v>
      </c>
      <c r="N1170" s="6">
        <v>46288</v>
      </c>
      <c r="O1170" s="23">
        <v>-1</v>
      </c>
      <c r="P1170" s="98" t="s">
        <v>24430</v>
      </c>
      <c r="Q1170" s="24">
        <f>IFERROR(TAB_OFICINAS[[#This Row],[Qtd pçs Enviadas]]-TAB_OFICINAS[[#This Row],[Qtd pçs Retornadas ]],"N/D ")</f>
        <v>0</v>
      </c>
      <c r="R1170" s="24"/>
      <c r="S1170" s="5">
        <v>3439</v>
      </c>
      <c r="T1170" s="5">
        <v>17627</v>
      </c>
      <c r="U1170" s="134">
        <v>4.8</v>
      </c>
      <c r="V1170" s="135">
        <v>144</v>
      </c>
      <c r="W1170" s="26">
        <v>46295</v>
      </c>
      <c r="X1170" s="17" t="s">
        <v>6251</v>
      </c>
      <c r="Y1170" s="27" t="s">
        <v>24525</v>
      </c>
      <c r="Z1170" s="90" t="s">
        <v>24429</v>
      </c>
    </row>
    <row r="1171" spans="3:26" ht="57" hidden="1">
      <c r="C1171" s="28" t="s">
        <v>15</v>
      </c>
      <c r="D1171" s="5">
        <v>5796</v>
      </c>
      <c r="E1171" s="5">
        <v>24472</v>
      </c>
      <c r="F1171" s="28" t="s">
        <v>24527</v>
      </c>
      <c r="G1171" s="2" t="s">
        <v>24527</v>
      </c>
      <c r="H1171" s="51">
        <v>2161221507</v>
      </c>
      <c r="I1171" s="28" t="s">
        <v>24528</v>
      </c>
      <c r="J1171" s="91">
        <v>2</v>
      </c>
      <c r="K1171" s="88">
        <v>46287</v>
      </c>
      <c r="L1171" s="9">
        <v>2</v>
      </c>
      <c r="M1171" s="6">
        <v>46289</v>
      </c>
      <c r="N1171" s="6">
        <v>46288</v>
      </c>
      <c r="O1171" s="23">
        <v>-1</v>
      </c>
      <c r="P1171" s="98" t="s">
        <v>24430</v>
      </c>
      <c r="Q1171" s="24">
        <f>IFERROR(TAB_OFICINAS[[#This Row],[Qtd pçs Enviadas]]-TAB_OFICINAS[[#This Row],[Qtd pçs Retornadas ]],"N/D ")</f>
        <v>0</v>
      </c>
      <c r="R1171" s="24">
        <v>2</v>
      </c>
      <c r="S1171" s="5">
        <v>3439</v>
      </c>
      <c r="T1171" s="5">
        <v>17627</v>
      </c>
      <c r="U1171" s="134">
        <v>10</v>
      </c>
      <c r="V1171" s="135">
        <v>20</v>
      </c>
      <c r="W1171" s="26">
        <v>46295</v>
      </c>
      <c r="X1171" s="17" t="s">
        <v>6251</v>
      </c>
      <c r="Y1171" s="27" t="s">
        <v>24529</v>
      </c>
      <c r="Z1171" s="90" t="s">
        <v>24429</v>
      </c>
    </row>
    <row r="1172" spans="3:26" ht="57" hidden="1">
      <c r="C1172" s="28" t="s">
        <v>15</v>
      </c>
      <c r="D1172" s="5">
        <v>5796</v>
      </c>
      <c r="E1172" s="5">
        <v>24472</v>
      </c>
      <c r="F1172" s="28" t="s">
        <v>24527</v>
      </c>
      <c r="G1172" s="2" t="s">
        <v>24527</v>
      </c>
      <c r="H1172" s="51">
        <v>2161221506</v>
      </c>
      <c r="I1172" s="28" t="s">
        <v>24519</v>
      </c>
      <c r="J1172" s="91">
        <v>2</v>
      </c>
      <c r="K1172" s="88">
        <v>46287</v>
      </c>
      <c r="L1172" s="9">
        <v>2</v>
      </c>
      <c r="M1172" s="6">
        <v>46289</v>
      </c>
      <c r="N1172" s="6">
        <v>46288</v>
      </c>
      <c r="O1172" s="23">
        <v>-1</v>
      </c>
      <c r="P1172" s="98" t="s">
        <v>24430</v>
      </c>
      <c r="Q1172" s="24">
        <f>IFERROR(TAB_OFICINAS[[#This Row],[Qtd pçs Enviadas]]-TAB_OFICINAS[[#This Row],[Qtd pçs Retornadas ]],"N/D ")</f>
        <v>0</v>
      </c>
      <c r="R1172" s="24">
        <v>2</v>
      </c>
      <c r="S1172" s="5">
        <v>3439</v>
      </c>
      <c r="T1172" s="5">
        <v>17627</v>
      </c>
      <c r="U1172" s="134">
        <v>10</v>
      </c>
      <c r="V1172" s="135">
        <v>20</v>
      </c>
      <c r="W1172" s="26">
        <v>46295</v>
      </c>
      <c r="X1172" s="17" t="s">
        <v>6251</v>
      </c>
      <c r="Y1172" s="27" t="s">
        <v>24529</v>
      </c>
      <c r="Z1172" s="90" t="s">
        <v>24429</v>
      </c>
    </row>
    <row r="1173" spans="3:26" ht="57" hidden="1">
      <c r="C1173" s="28" t="s">
        <v>15</v>
      </c>
      <c r="D1173" s="5">
        <v>5796</v>
      </c>
      <c r="E1173" s="5">
        <v>24472</v>
      </c>
      <c r="F1173" s="28" t="s">
        <v>24527</v>
      </c>
      <c r="G1173" s="2" t="s">
        <v>24527</v>
      </c>
      <c r="H1173" s="51">
        <v>2161221352</v>
      </c>
      <c r="I1173" s="28" t="s">
        <v>24521</v>
      </c>
      <c r="J1173" s="91">
        <v>6</v>
      </c>
      <c r="K1173" s="88">
        <v>46287</v>
      </c>
      <c r="L1173" s="9">
        <v>6</v>
      </c>
      <c r="M1173" s="6">
        <v>46289</v>
      </c>
      <c r="N1173" s="6">
        <v>46288</v>
      </c>
      <c r="O1173" s="23">
        <v>-1</v>
      </c>
      <c r="P1173" s="98" t="s">
        <v>24430</v>
      </c>
      <c r="Q1173" s="24">
        <f>IFERROR(TAB_OFICINAS[[#This Row],[Qtd pçs Enviadas]]-TAB_OFICINAS[[#This Row],[Qtd pçs Retornadas ]],"N/D ")</f>
        <v>0</v>
      </c>
      <c r="R1173" s="24">
        <v>6</v>
      </c>
      <c r="S1173" s="5">
        <v>3439</v>
      </c>
      <c r="T1173" s="5">
        <v>17627</v>
      </c>
      <c r="U1173" s="134">
        <v>10</v>
      </c>
      <c r="V1173" s="135">
        <v>60</v>
      </c>
      <c r="W1173" s="26">
        <v>46295</v>
      </c>
      <c r="X1173" s="17" t="s">
        <v>6251</v>
      </c>
      <c r="Y1173" s="27" t="s">
        <v>24529</v>
      </c>
      <c r="Z1173" s="90" t="s">
        <v>24429</v>
      </c>
    </row>
    <row r="1174" spans="3:26" hidden="1">
      <c r="C1174" s="28" t="s">
        <v>15</v>
      </c>
      <c r="D1174" s="5">
        <v>4939</v>
      </c>
      <c r="E1174" s="5">
        <v>24480</v>
      </c>
      <c r="F1174" s="28" t="s">
        <v>4074</v>
      </c>
      <c r="G1174" s="2" t="s">
        <v>4073</v>
      </c>
      <c r="H1174" s="51">
        <v>3161091519</v>
      </c>
      <c r="I1174" s="28" t="s">
        <v>24530</v>
      </c>
      <c r="J1174" s="91">
        <v>1</v>
      </c>
      <c r="K1174" s="88">
        <v>46287</v>
      </c>
      <c r="L1174" s="9">
        <v>1</v>
      </c>
      <c r="M1174" s="6">
        <v>46289</v>
      </c>
      <c r="N1174" s="6">
        <v>46288</v>
      </c>
      <c r="O1174" s="23">
        <v>-1</v>
      </c>
      <c r="P1174" s="98" t="s">
        <v>24430</v>
      </c>
      <c r="Q1174" s="24">
        <f>IFERROR(TAB_OFICINAS[[#This Row],[Qtd pçs Enviadas]]-TAB_OFICINAS[[#This Row],[Qtd pçs Retornadas ]],"N/D ")</f>
        <v>0</v>
      </c>
      <c r="R1174" s="24"/>
      <c r="S1174" s="5">
        <v>3439</v>
      </c>
      <c r="T1174" s="5">
        <v>17627</v>
      </c>
      <c r="U1174" s="134">
        <v>12</v>
      </c>
      <c r="V1174" s="135">
        <v>12</v>
      </c>
      <c r="W1174" s="26">
        <v>46295</v>
      </c>
      <c r="X1174" s="17" t="s">
        <v>6251</v>
      </c>
      <c r="Y1174" s="27" t="s">
        <v>24531</v>
      </c>
      <c r="Z1174" s="90" t="s">
        <v>24429</v>
      </c>
    </row>
    <row r="1175" spans="3:26" ht="28.5" hidden="1">
      <c r="C1175" s="28" t="s">
        <v>15</v>
      </c>
      <c r="D1175" s="5">
        <v>2533</v>
      </c>
      <c r="E1175" s="5">
        <v>24339</v>
      </c>
      <c r="F1175" s="28" t="s">
        <v>6171</v>
      </c>
      <c r="G1175" s="2" t="s">
        <v>6170</v>
      </c>
      <c r="H1175" s="51">
        <v>2201021367</v>
      </c>
      <c r="I1175" s="28" t="s">
        <v>24507</v>
      </c>
      <c r="J1175" s="91">
        <v>62</v>
      </c>
      <c r="K1175" s="88">
        <v>46287</v>
      </c>
      <c r="L1175" s="9">
        <v>62</v>
      </c>
      <c r="M1175" s="6">
        <v>46289</v>
      </c>
      <c r="N1175" s="6">
        <v>46288</v>
      </c>
      <c r="O1175" s="23">
        <v>-1</v>
      </c>
      <c r="P1175" s="98" t="s">
        <v>24430</v>
      </c>
      <c r="Q1175" s="24">
        <f>IFERROR(TAB_OFICINAS[[#This Row],[Qtd pçs Enviadas]]-TAB_OFICINAS[[#This Row],[Qtd pçs Retornadas ]],"N/D ")</f>
        <v>0</v>
      </c>
      <c r="R1175" s="24"/>
      <c r="S1175" s="5">
        <v>3419</v>
      </c>
      <c r="T1175" s="5">
        <v>17627</v>
      </c>
      <c r="U1175" s="134">
        <v>4</v>
      </c>
      <c r="V1175" s="135">
        <v>248</v>
      </c>
      <c r="W1175" s="26">
        <v>46295</v>
      </c>
      <c r="X1175" s="17" t="s">
        <v>6251</v>
      </c>
      <c r="Y1175" s="27" t="s">
        <v>24281</v>
      </c>
      <c r="Z1175" s="90" t="s">
        <v>24429</v>
      </c>
    </row>
    <row r="1176" spans="3:26" hidden="1">
      <c r="C1176" s="28" t="s">
        <v>15</v>
      </c>
      <c r="D1176" s="5">
        <v>5247</v>
      </c>
      <c r="E1176" s="5">
        <v>24428</v>
      </c>
      <c r="F1176" s="28" t="s">
        <v>3988</v>
      </c>
      <c r="G1176" s="2" t="s">
        <v>3988</v>
      </c>
      <c r="H1176" s="51">
        <v>3302021488</v>
      </c>
      <c r="I1176" s="28" t="s">
        <v>24532</v>
      </c>
      <c r="J1176" s="91">
        <v>3</v>
      </c>
      <c r="K1176" s="88">
        <v>46287</v>
      </c>
      <c r="L1176" s="9">
        <v>3</v>
      </c>
      <c r="M1176" s="6">
        <v>46289</v>
      </c>
      <c r="N1176" s="6">
        <v>46288</v>
      </c>
      <c r="O1176" s="23">
        <v>-1</v>
      </c>
      <c r="P1176" s="98" t="s">
        <v>24430</v>
      </c>
      <c r="Q1176" s="24">
        <f>IFERROR(TAB_OFICINAS[[#This Row],[Qtd pçs Enviadas]]-TAB_OFICINAS[[#This Row],[Qtd pçs Retornadas ]],"N/D ")</f>
        <v>0</v>
      </c>
      <c r="R1176" s="24"/>
      <c r="S1176" s="5">
        <v>3429</v>
      </c>
      <c r="T1176" s="5">
        <v>17617</v>
      </c>
      <c r="U1176" s="134">
        <v>12</v>
      </c>
      <c r="V1176" s="135">
        <v>36</v>
      </c>
      <c r="W1176" s="26">
        <v>46295</v>
      </c>
      <c r="X1176" s="17" t="s">
        <v>6251</v>
      </c>
      <c r="Y1176" s="27" t="s">
        <v>24533</v>
      </c>
      <c r="Z1176" s="90" t="s">
        <v>24429</v>
      </c>
    </row>
    <row r="1177" spans="3:26" hidden="1">
      <c r="C1177" s="28" t="s">
        <v>15</v>
      </c>
      <c r="E1177" s="5">
        <v>42</v>
      </c>
      <c r="F1177" s="28" t="s">
        <v>24534</v>
      </c>
      <c r="G1177" s="2" t="s">
        <v>22335</v>
      </c>
      <c r="H1177" s="51" t="s">
        <v>24535</v>
      </c>
      <c r="I1177" s="28" t="s">
        <v>24536</v>
      </c>
      <c r="J1177" s="91">
        <v>1</v>
      </c>
      <c r="K1177" s="88">
        <v>46287</v>
      </c>
      <c r="L1177" s="9">
        <v>1</v>
      </c>
      <c r="M1177" s="6">
        <v>46289</v>
      </c>
      <c r="N1177" s="6">
        <v>46288</v>
      </c>
      <c r="O1177" s="23">
        <v>-1</v>
      </c>
      <c r="P1177" s="98" t="s">
        <v>24430</v>
      </c>
      <c r="Q1177" s="24">
        <f>IFERROR(TAB_OFICINAS[[#This Row],[Qtd pçs Enviadas]]-TAB_OFICINAS[[#This Row],[Qtd pçs Retornadas ]],"N/D ")</f>
        <v>0</v>
      </c>
      <c r="R1177" s="24"/>
      <c r="S1177" s="5">
        <v>3439</v>
      </c>
      <c r="T1177" s="5">
        <v>17627</v>
      </c>
      <c r="U1177" s="134">
        <v>12</v>
      </c>
      <c r="V1177" s="135">
        <v>12</v>
      </c>
      <c r="W1177" s="26">
        <v>46295</v>
      </c>
      <c r="X1177" s="17" t="s">
        <v>6251</v>
      </c>
      <c r="Y1177" s="27" t="s">
        <v>24537</v>
      </c>
      <c r="Z1177" s="90" t="s">
        <v>24429</v>
      </c>
    </row>
    <row r="1178" spans="3:26" hidden="1">
      <c r="C1178" s="28" t="s">
        <v>15</v>
      </c>
      <c r="E1178" s="5">
        <v>22</v>
      </c>
      <c r="F1178" s="28" t="s">
        <v>24534</v>
      </c>
      <c r="G1178" s="2" t="s">
        <v>22335</v>
      </c>
      <c r="H1178" s="51" t="s">
        <v>24535</v>
      </c>
      <c r="I1178" s="28" t="s">
        <v>24538</v>
      </c>
      <c r="J1178" s="91">
        <v>6</v>
      </c>
      <c r="K1178" s="88">
        <v>46287</v>
      </c>
      <c r="L1178" s="9">
        <v>6</v>
      </c>
      <c r="M1178" s="6">
        <v>46289</v>
      </c>
      <c r="N1178" s="6">
        <v>46288</v>
      </c>
      <c r="O1178" s="23">
        <v>-1</v>
      </c>
      <c r="P1178" s="98" t="s">
        <v>24430</v>
      </c>
      <c r="Q1178" s="24">
        <f>IFERROR(TAB_OFICINAS[[#This Row],[Qtd pçs Enviadas]]-TAB_OFICINAS[[#This Row],[Qtd pçs Retornadas ]],"N/D ")</f>
        <v>0</v>
      </c>
      <c r="R1178" s="24"/>
      <c r="S1178" s="5">
        <v>3439</v>
      </c>
      <c r="T1178" s="5">
        <v>17627</v>
      </c>
      <c r="U1178" s="134">
        <v>8</v>
      </c>
      <c r="V1178" s="135">
        <v>48</v>
      </c>
      <c r="W1178" s="26">
        <v>46295</v>
      </c>
      <c r="X1178" s="17" t="s">
        <v>6251</v>
      </c>
      <c r="Y1178" s="27" t="s">
        <v>24539</v>
      </c>
      <c r="Z1178" s="90" t="s">
        <v>24429</v>
      </c>
    </row>
    <row r="1179" spans="3:26" hidden="1">
      <c r="C1179" s="28" t="s">
        <v>1</v>
      </c>
      <c r="D1179" s="5">
        <v>1226</v>
      </c>
      <c r="E1179" s="5">
        <v>24463</v>
      </c>
      <c r="F1179" s="28" t="s">
        <v>5230</v>
      </c>
      <c r="G1179" s="2" t="s">
        <v>5229</v>
      </c>
      <c r="H1179" s="51">
        <v>92101062495</v>
      </c>
      <c r="I1179" s="28" t="s">
        <v>22992</v>
      </c>
      <c r="J1179" s="91">
        <v>500</v>
      </c>
      <c r="K1179" s="88">
        <v>46287</v>
      </c>
      <c r="L1179" s="9">
        <v>500</v>
      </c>
      <c r="M1179" s="6">
        <v>46301</v>
      </c>
      <c r="N1179" s="6">
        <v>46295</v>
      </c>
      <c r="O1179" s="23">
        <v>-6</v>
      </c>
      <c r="P1179" s="98" t="s">
        <v>24430</v>
      </c>
      <c r="Q1179" s="24">
        <v>0</v>
      </c>
      <c r="R1179" s="24"/>
      <c r="S1179" s="5">
        <v>3440</v>
      </c>
      <c r="T1179" s="5">
        <v>70</v>
      </c>
      <c r="U1179" s="134">
        <v>7.9</v>
      </c>
      <c r="V1179" s="135">
        <v>3950</v>
      </c>
      <c r="W1179" s="26">
        <v>46305</v>
      </c>
      <c r="X1179" s="17" t="s">
        <v>6251</v>
      </c>
      <c r="Y1179" s="27"/>
      <c r="Z1179" s="90" t="s">
        <v>24429</v>
      </c>
    </row>
    <row r="1180" spans="3:26" hidden="1">
      <c r="C1180" s="28" t="s">
        <v>3</v>
      </c>
      <c r="D1180" s="5">
        <v>1226</v>
      </c>
      <c r="E1180" s="5">
        <v>24463</v>
      </c>
      <c r="F1180" s="28" t="s">
        <v>5230</v>
      </c>
      <c r="G1180" s="2" t="s">
        <v>5229</v>
      </c>
      <c r="H1180" s="51">
        <v>92101086445</v>
      </c>
      <c r="I1180" s="28" t="s">
        <v>22999</v>
      </c>
      <c r="J1180" s="91">
        <v>282</v>
      </c>
      <c r="K1180" s="88">
        <v>46288</v>
      </c>
      <c r="L1180" s="9">
        <v>282</v>
      </c>
      <c r="M1180" s="6">
        <v>46301</v>
      </c>
      <c r="N1180" s="6">
        <v>46297</v>
      </c>
      <c r="O1180" s="23">
        <v>-4</v>
      </c>
      <c r="P1180" s="98" t="s">
        <v>24430</v>
      </c>
      <c r="Q1180" s="24" t="s">
        <v>24428</v>
      </c>
      <c r="R1180" s="24"/>
      <c r="S1180" s="5">
        <v>3342</v>
      </c>
      <c r="T1180" s="5">
        <v>133</v>
      </c>
      <c r="U1180" s="134">
        <v>4.3</v>
      </c>
      <c r="V1180" s="135">
        <v>1212.5999999999999</v>
      </c>
      <c r="W1180" s="26">
        <v>46307</v>
      </c>
      <c r="X1180" s="17" t="s">
        <v>6251</v>
      </c>
      <c r="Y1180" s="27"/>
      <c r="Z1180" s="90" t="s">
        <v>24429</v>
      </c>
    </row>
    <row r="1181" spans="3:26" hidden="1">
      <c r="C1181" s="28" t="s">
        <v>16</v>
      </c>
      <c r="D1181" s="5">
        <v>1226</v>
      </c>
      <c r="E1181" s="5">
        <v>24463</v>
      </c>
      <c r="F1181" s="28" t="s">
        <v>5230</v>
      </c>
      <c r="G1181" s="2" t="s">
        <v>5229</v>
      </c>
      <c r="H1181" s="51">
        <v>92101086445</v>
      </c>
      <c r="I1181" s="28" t="s">
        <v>22999</v>
      </c>
      <c r="J1181" s="91">
        <v>118</v>
      </c>
      <c r="K1181" s="88">
        <v>46289</v>
      </c>
      <c r="L1181" s="9">
        <v>118</v>
      </c>
      <c r="M1181" s="6">
        <v>46301</v>
      </c>
      <c r="N1181" s="6">
        <v>46295</v>
      </c>
      <c r="O1181" s="23">
        <v>-6</v>
      </c>
      <c r="P1181" s="98" t="s">
        <v>24430</v>
      </c>
      <c r="Q1181" s="24">
        <f>IFERROR(TAB_OFICINAS[[#This Row],[Qtd pçs Enviadas]]-TAB_OFICINAS[[#This Row],[Qtd pçs Retornadas ]],"N/D ")</f>
        <v>0</v>
      </c>
      <c r="R1181" s="24"/>
      <c r="S1181" s="5">
        <v>3444</v>
      </c>
      <c r="T1181" s="5">
        <v>68</v>
      </c>
      <c r="U1181" s="134">
        <v>4.3</v>
      </c>
      <c r="V1181" s="135">
        <v>507.4</v>
      </c>
      <c r="W1181" s="26">
        <v>46304</v>
      </c>
      <c r="X1181" s="17" t="s">
        <v>6251</v>
      </c>
      <c r="Y1181" s="27"/>
      <c r="Z1181" s="90" t="s">
        <v>24429</v>
      </c>
    </row>
    <row r="1182" spans="3:26" hidden="1">
      <c r="C1182" s="28" t="s">
        <v>16</v>
      </c>
      <c r="D1182" s="5">
        <v>1226</v>
      </c>
      <c r="E1182" s="5">
        <v>24463</v>
      </c>
      <c r="F1182" s="28" t="s">
        <v>5230</v>
      </c>
      <c r="G1182" s="2" t="s">
        <v>5229</v>
      </c>
      <c r="H1182" s="51">
        <v>92101046444</v>
      </c>
      <c r="I1182" s="28" t="s">
        <v>22988</v>
      </c>
      <c r="J1182" s="91">
        <v>100</v>
      </c>
      <c r="K1182" s="88">
        <v>46289</v>
      </c>
      <c r="L1182" s="9">
        <v>100</v>
      </c>
      <c r="M1182" s="6">
        <v>46301</v>
      </c>
      <c r="N1182" s="6">
        <v>46295</v>
      </c>
      <c r="O1182" s="23">
        <v>-6</v>
      </c>
      <c r="P1182" s="98" t="s">
        <v>24430</v>
      </c>
      <c r="Q1182" s="24">
        <f>IFERROR(TAB_OFICINAS[[#This Row],[Qtd pçs Enviadas]]-TAB_OFICINAS[[#This Row],[Qtd pçs Retornadas ]],"N/D ")</f>
        <v>0</v>
      </c>
      <c r="R1182" s="24"/>
      <c r="S1182" s="5">
        <v>3444</v>
      </c>
      <c r="T1182" s="5">
        <v>68</v>
      </c>
      <c r="U1182" s="134">
        <v>4</v>
      </c>
      <c r="V1182" s="135">
        <v>400</v>
      </c>
      <c r="W1182" s="26">
        <v>46304</v>
      </c>
      <c r="X1182" s="17" t="s">
        <v>6251</v>
      </c>
      <c r="Y1182" s="27"/>
      <c r="Z1182" s="90" t="s">
        <v>24429</v>
      </c>
    </row>
    <row r="1183" spans="3:26" hidden="1">
      <c r="C1183" s="28" t="s">
        <v>20</v>
      </c>
      <c r="D1183" s="5">
        <v>1226</v>
      </c>
      <c r="E1183" s="5">
        <v>24463</v>
      </c>
      <c r="F1183" s="28" t="s">
        <v>5230</v>
      </c>
      <c r="G1183" s="2" t="s">
        <v>5229</v>
      </c>
      <c r="H1183" s="51">
        <v>92101062494</v>
      </c>
      <c r="I1183" s="28" t="s">
        <v>24540</v>
      </c>
      <c r="J1183" s="91">
        <v>100</v>
      </c>
      <c r="K1183" s="88">
        <v>46289</v>
      </c>
      <c r="L1183" s="9">
        <v>100</v>
      </c>
      <c r="M1183" s="6">
        <v>46301</v>
      </c>
      <c r="N1183" s="6">
        <v>46295</v>
      </c>
      <c r="O1183" s="23">
        <v>-6</v>
      </c>
      <c r="P1183" s="98" t="s">
        <v>24430</v>
      </c>
      <c r="Q1183" s="24" t="s">
        <v>24428</v>
      </c>
      <c r="R1183" s="24"/>
      <c r="S1183" s="5">
        <v>3445</v>
      </c>
      <c r="T1183" s="5">
        <v>100</v>
      </c>
      <c r="U1183" s="11">
        <v>5</v>
      </c>
      <c r="V1183" s="135">
        <v>500</v>
      </c>
      <c r="W1183" s="26">
        <v>46304</v>
      </c>
      <c r="X1183" s="17" t="s">
        <v>6251</v>
      </c>
      <c r="Y1183" s="27"/>
      <c r="Z1183" s="90" t="s">
        <v>24429</v>
      </c>
    </row>
    <row r="1184" spans="3:26" hidden="1">
      <c r="C1184" s="28" t="s">
        <v>15</v>
      </c>
      <c r="D1184" s="5">
        <v>173</v>
      </c>
      <c r="E1184" s="5">
        <v>24369</v>
      </c>
      <c r="F1184" s="28" t="s">
        <v>2771</v>
      </c>
      <c r="G1184" s="2" t="s">
        <v>2770</v>
      </c>
      <c r="H1184" s="51">
        <v>3301091213</v>
      </c>
      <c r="I1184" s="28" t="s">
        <v>24541</v>
      </c>
      <c r="J1184" s="91">
        <v>15</v>
      </c>
      <c r="K1184" s="88">
        <v>46290</v>
      </c>
      <c r="L1184" s="9">
        <v>15</v>
      </c>
      <c r="M1184" s="6">
        <v>46293</v>
      </c>
      <c r="N1184" s="6">
        <v>46293</v>
      </c>
      <c r="O1184" s="23" t="s">
        <v>24428</v>
      </c>
      <c r="P1184" s="98" t="s">
        <v>24430</v>
      </c>
      <c r="Q1184" s="24">
        <f>IFERROR(TAB_OFICINAS[[#This Row],[Qtd pçs Enviadas]]-TAB_OFICINAS[[#This Row],[Qtd pçs Retornadas ]],"N/D ")</f>
        <v>0</v>
      </c>
      <c r="R1184" s="24"/>
      <c r="S1184" s="5">
        <v>3446</v>
      </c>
      <c r="T1184" s="5">
        <v>17631</v>
      </c>
      <c r="U1184" s="134">
        <v>7.2</v>
      </c>
      <c r="V1184" s="135">
        <v>108</v>
      </c>
      <c r="W1184" s="26">
        <v>46300</v>
      </c>
      <c r="X1184" s="17" t="s">
        <v>6251</v>
      </c>
      <c r="Y1184" s="27" t="s">
        <v>24542</v>
      </c>
      <c r="Z1184" s="90" t="s">
        <v>24429</v>
      </c>
    </row>
    <row r="1185" spans="3:26" hidden="1">
      <c r="C1185" s="28" t="s">
        <v>15</v>
      </c>
      <c r="D1185" s="5">
        <v>173</v>
      </c>
      <c r="E1185" s="5">
        <v>24369</v>
      </c>
      <c r="F1185" s="28" t="s">
        <v>2771</v>
      </c>
      <c r="G1185" s="2" t="s">
        <v>2770</v>
      </c>
      <c r="H1185" s="51">
        <v>3301091211</v>
      </c>
      <c r="I1185" s="28" t="s">
        <v>24543</v>
      </c>
      <c r="J1185" s="91">
        <v>15</v>
      </c>
      <c r="K1185" s="88">
        <v>46290</v>
      </c>
      <c r="L1185" s="9">
        <v>15</v>
      </c>
      <c r="M1185" s="6">
        <v>46293</v>
      </c>
      <c r="N1185" s="6">
        <v>46293</v>
      </c>
      <c r="O1185" s="23" t="s">
        <v>24428</v>
      </c>
      <c r="P1185" s="98" t="s">
        <v>24430</v>
      </c>
      <c r="Q1185" s="24">
        <f>IFERROR(TAB_OFICINAS[[#This Row],[Qtd pçs Enviadas]]-TAB_OFICINAS[[#This Row],[Qtd pçs Retornadas ]],"N/D ")</f>
        <v>0</v>
      </c>
      <c r="R1185" s="24"/>
      <c r="S1185" s="5">
        <v>3446</v>
      </c>
      <c r="T1185" s="5">
        <v>17631</v>
      </c>
      <c r="U1185" s="134">
        <v>7.2</v>
      </c>
      <c r="V1185" s="135">
        <v>108</v>
      </c>
      <c r="W1185" s="26">
        <v>46300</v>
      </c>
      <c r="X1185" s="17" t="s">
        <v>6251</v>
      </c>
      <c r="Y1185" s="27" t="s">
        <v>24542</v>
      </c>
      <c r="Z1185" s="90" t="s">
        <v>24429</v>
      </c>
    </row>
    <row r="1186" spans="3:26" hidden="1">
      <c r="C1186" s="28" t="s">
        <v>17</v>
      </c>
      <c r="D1186" s="5">
        <v>3874</v>
      </c>
      <c r="E1186" s="5">
        <v>24346</v>
      </c>
      <c r="F1186" s="28" t="s">
        <v>3413</v>
      </c>
      <c r="G1186" s="2" t="s">
        <v>3412</v>
      </c>
      <c r="H1186" s="51">
        <v>3301099651</v>
      </c>
      <c r="I1186" s="28" t="s">
        <v>20974</v>
      </c>
      <c r="J1186" s="91">
        <v>5</v>
      </c>
      <c r="K1186" s="88">
        <v>46293</v>
      </c>
      <c r="L1186" s="9">
        <v>5</v>
      </c>
      <c r="M1186" s="6">
        <v>46302</v>
      </c>
      <c r="N1186" s="6">
        <v>46295</v>
      </c>
      <c r="O1186" s="23">
        <v>-7</v>
      </c>
      <c r="P1186" s="98" t="s">
        <v>24430</v>
      </c>
      <c r="Q1186" s="24">
        <f>IFERROR(TAB_OFICINAS[[#This Row],[Qtd pçs Enviadas]]-TAB_OFICINAS[[#This Row],[Qtd pçs Retornadas ]],"N/D ")</f>
        <v>0</v>
      </c>
      <c r="R1186" s="24"/>
      <c r="S1186" s="5">
        <v>3448</v>
      </c>
      <c r="T1186" s="5">
        <v>66</v>
      </c>
      <c r="U1186" s="11">
        <v>14</v>
      </c>
      <c r="V1186" s="25">
        <v>70</v>
      </c>
      <c r="W1186" s="26">
        <v>46314</v>
      </c>
      <c r="X1186" s="17" t="s">
        <v>6251</v>
      </c>
      <c r="Y1186" s="27"/>
      <c r="Z1186" s="90" t="s">
        <v>24429</v>
      </c>
    </row>
    <row r="1187" spans="3:26" hidden="1">
      <c r="C1187" s="28" t="s">
        <v>17</v>
      </c>
      <c r="D1187" s="5">
        <v>3874</v>
      </c>
      <c r="E1187" s="5">
        <v>24346</v>
      </c>
      <c r="F1187" s="28" t="s">
        <v>3413</v>
      </c>
      <c r="G1187" s="2" t="s">
        <v>3412</v>
      </c>
      <c r="H1187" s="51">
        <v>3301091442</v>
      </c>
      <c r="I1187" s="28" t="s">
        <v>24544</v>
      </c>
      <c r="J1187" s="91">
        <v>5</v>
      </c>
      <c r="K1187" s="88">
        <v>46293</v>
      </c>
      <c r="L1187" s="9">
        <v>5</v>
      </c>
      <c r="M1187" s="6">
        <v>46302</v>
      </c>
      <c r="N1187" s="6">
        <v>46295</v>
      </c>
      <c r="O1187" s="23">
        <v>-7</v>
      </c>
      <c r="P1187" s="98" t="s">
        <v>24430</v>
      </c>
      <c r="Q1187" s="24">
        <f>IFERROR(TAB_OFICINAS[[#This Row],[Qtd pçs Enviadas]]-TAB_OFICINAS[[#This Row],[Qtd pçs Retornadas ]],"N/D ")</f>
        <v>0</v>
      </c>
      <c r="R1187" s="24"/>
      <c r="S1187" s="5">
        <v>3448</v>
      </c>
      <c r="T1187" s="5">
        <v>66</v>
      </c>
      <c r="U1187" s="11">
        <v>14</v>
      </c>
      <c r="V1187" s="25">
        <v>70</v>
      </c>
      <c r="W1187" s="26">
        <v>46314</v>
      </c>
      <c r="X1187" s="17" t="s">
        <v>6251</v>
      </c>
      <c r="Y1187" s="27"/>
      <c r="Z1187" s="90" t="s">
        <v>24429</v>
      </c>
    </row>
    <row r="1188" spans="3:26" hidden="1">
      <c r="C1188" s="28" t="s">
        <v>17</v>
      </c>
      <c r="D1188" s="5">
        <v>173</v>
      </c>
      <c r="E1188" s="5">
        <v>24369</v>
      </c>
      <c r="F1188" s="28" t="s">
        <v>2771</v>
      </c>
      <c r="G1188" s="2" t="s">
        <v>2770</v>
      </c>
      <c r="H1188" s="51">
        <v>3301091213</v>
      </c>
      <c r="I1188" s="28" t="s">
        <v>24431</v>
      </c>
      <c r="J1188" s="91">
        <v>15</v>
      </c>
      <c r="K1188" s="88">
        <v>46293</v>
      </c>
      <c r="L1188" s="9">
        <v>15</v>
      </c>
      <c r="M1188" s="6">
        <v>46310</v>
      </c>
      <c r="N1188" s="6">
        <v>46303</v>
      </c>
      <c r="O1188" s="23">
        <v>-7</v>
      </c>
      <c r="P1188" s="98" t="s">
        <v>24430</v>
      </c>
      <c r="Q1188" s="24">
        <f>IFERROR(TAB_OFICINAS[[#This Row],[Qtd pçs Enviadas]]-TAB_OFICINAS[[#This Row],[Qtd pçs Retornadas ]],"N/D ")</f>
        <v>0</v>
      </c>
      <c r="R1188" s="24"/>
      <c r="S1188" s="5">
        <v>3448</v>
      </c>
      <c r="T1188" s="5">
        <v>66</v>
      </c>
      <c r="U1188" s="11">
        <v>14</v>
      </c>
      <c r="V1188" s="25">
        <v>210</v>
      </c>
      <c r="W1188" s="26">
        <v>46314</v>
      </c>
      <c r="X1188" s="17" t="s">
        <v>6251</v>
      </c>
      <c r="Y1188" s="27"/>
      <c r="Z1188" s="90" t="s">
        <v>24429</v>
      </c>
    </row>
    <row r="1189" spans="3:26" hidden="1">
      <c r="C1189" s="28" t="s">
        <v>17</v>
      </c>
      <c r="D1189" s="5">
        <v>173</v>
      </c>
      <c r="E1189" s="5">
        <v>24369</v>
      </c>
      <c r="F1189" s="28" t="s">
        <v>2771</v>
      </c>
      <c r="G1189" s="2" t="s">
        <v>2770</v>
      </c>
      <c r="H1189" s="51">
        <v>3301091211</v>
      </c>
      <c r="I1189" s="28" t="s">
        <v>24448</v>
      </c>
      <c r="J1189" s="91">
        <v>15</v>
      </c>
      <c r="K1189" s="88">
        <v>46293</v>
      </c>
      <c r="L1189" s="9">
        <v>15</v>
      </c>
      <c r="M1189" s="6">
        <v>46310</v>
      </c>
      <c r="N1189" s="6">
        <v>46303</v>
      </c>
      <c r="O1189" s="23">
        <v>-7</v>
      </c>
      <c r="P1189" s="98" t="s">
        <v>24430</v>
      </c>
      <c r="Q1189" s="24">
        <f>IFERROR(TAB_OFICINAS[[#This Row],[Qtd pçs Enviadas]]-TAB_OFICINAS[[#This Row],[Qtd pçs Retornadas ]],"N/D ")</f>
        <v>0</v>
      </c>
      <c r="R1189" s="24"/>
      <c r="S1189" s="5">
        <v>3448</v>
      </c>
      <c r="T1189" s="5">
        <v>66</v>
      </c>
      <c r="U1189" s="11">
        <v>14</v>
      </c>
      <c r="V1189" s="25">
        <v>210</v>
      </c>
      <c r="W1189" s="26">
        <v>46314</v>
      </c>
      <c r="X1189" s="17" t="s">
        <v>6251</v>
      </c>
      <c r="Y1189" s="27"/>
      <c r="Z1189" s="90" t="s">
        <v>24429</v>
      </c>
    </row>
    <row r="1190" spans="3:26" hidden="1">
      <c r="C1190" s="28" t="s">
        <v>15</v>
      </c>
      <c r="D1190" s="5">
        <v>4652</v>
      </c>
      <c r="E1190" s="5">
        <v>24532</v>
      </c>
      <c r="F1190" s="28" t="s">
        <v>693</v>
      </c>
      <c r="G1190" s="2" t="s">
        <v>687</v>
      </c>
      <c r="H1190" s="51">
        <v>3301092761</v>
      </c>
      <c r="I1190" s="28" t="s">
        <v>24545</v>
      </c>
      <c r="J1190" s="91">
        <v>41</v>
      </c>
      <c r="K1190" s="88">
        <v>46294</v>
      </c>
      <c r="L1190" s="9">
        <v>41</v>
      </c>
      <c r="M1190" s="6">
        <v>46296</v>
      </c>
      <c r="N1190" s="6">
        <v>46295</v>
      </c>
      <c r="O1190" s="23" t="s">
        <v>24428</v>
      </c>
      <c r="P1190" s="98" t="s">
        <v>24430</v>
      </c>
      <c r="Q1190" s="24">
        <f>IFERROR(TAB_OFICINAS[[#This Row],[Qtd pçs Enviadas]]-TAB_OFICINAS[[#This Row],[Qtd pçs Retornadas ]],"N/D ")</f>
        <v>0</v>
      </c>
      <c r="R1190" s="24"/>
      <c r="S1190" s="5">
        <v>3451</v>
      </c>
      <c r="T1190" s="5">
        <v>17638</v>
      </c>
      <c r="U1190" s="134">
        <v>4.8</v>
      </c>
      <c r="V1190" s="135">
        <v>196.8</v>
      </c>
      <c r="W1190" s="26">
        <v>46302</v>
      </c>
      <c r="X1190" s="17" t="s">
        <v>6251</v>
      </c>
      <c r="Y1190" s="27" t="s">
        <v>24447</v>
      </c>
      <c r="Z1190" s="90" t="s">
        <v>24429</v>
      </c>
    </row>
    <row r="1191" spans="3:26" hidden="1">
      <c r="C1191" s="28" t="s">
        <v>15</v>
      </c>
      <c r="D1191" s="5">
        <v>4652</v>
      </c>
      <c r="E1191" s="5">
        <v>24532</v>
      </c>
      <c r="F1191" s="28" t="s">
        <v>693</v>
      </c>
      <c r="G1191" s="2" t="s">
        <v>687</v>
      </c>
      <c r="H1191" s="51">
        <v>3301091544</v>
      </c>
      <c r="I1191" s="28" t="s">
        <v>23435</v>
      </c>
      <c r="J1191" s="91">
        <v>41</v>
      </c>
      <c r="K1191" s="88">
        <v>46294</v>
      </c>
      <c r="L1191" s="9">
        <v>41</v>
      </c>
      <c r="M1191" s="6">
        <v>46296</v>
      </c>
      <c r="N1191" s="6">
        <v>46295</v>
      </c>
      <c r="O1191" s="23" t="s">
        <v>24428</v>
      </c>
      <c r="P1191" s="98" t="s">
        <v>24430</v>
      </c>
      <c r="Q1191" s="24">
        <f>IFERROR(TAB_OFICINAS[[#This Row],[Qtd pçs Enviadas]]-TAB_OFICINAS[[#This Row],[Qtd pçs Retornadas ]],"N/D ")</f>
        <v>0</v>
      </c>
      <c r="R1191" s="24"/>
      <c r="S1191" s="5">
        <v>3451</v>
      </c>
      <c r="T1191" s="5">
        <v>17638</v>
      </c>
      <c r="U1191" s="134">
        <v>4.8</v>
      </c>
      <c r="V1191" s="135">
        <v>196.8</v>
      </c>
      <c r="W1191" s="26">
        <v>46302</v>
      </c>
      <c r="X1191" s="17" t="s">
        <v>6251</v>
      </c>
      <c r="Y1191" s="27" t="s">
        <v>24447</v>
      </c>
      <c r="Z1191" s="90" t="s">
        <v>24429</v>
      </c>
    </row>
    <row r="1192" spans="3:26" hidden="1">
      <c r="C1192" s="28" t="s">
        <v>7</v>
      </c>
      <c r="D1192" s="5">
        <v>5715</v>
      </c>
      <c r="E1192" s="5">
        <v>24514</v>
      </c>
      <c r="F1192" s="28" t="s">
        <v>24546</v>
      </c>
      <c r="G1192" s="2" t="s">
        <v>24287</v>
      </c>
      <c r="H1192" s="51">
        <v>2115861524</v>
      </c>
      <c r="I1192" s="28" t="s">
        <v>24547</v>
      </c>
      <c r="J1192" s="91">
        <v>260</v>
      </c>
      <c r="K1192" s="88">
        <v>46294</v>
      </c>
      <c r="L1192" s="9">
        <v>260</v>
      </c>
      <c r="M1192" s="6">
        <v>46310</v>
      </c>
      <c r="N1192" s="6">
        <v>46304</v>
      </c>
      <c r="O1192" s="23">
        <v>-4</v>
      </c>
      <c r="P1192" s="98" t="s">
        <v>24430</v>
      </c>
      <c r="Q1192" s="24">
        <v>0</v>
      </c>
      <c r="R1192" s="24"/>
      <c r="S1192" s="5">
        <v>3450</v>
      </c>
      <c r="T1192" s="5">
        <v>61</v>
      </c>
      <c r="U1192" s="134">
        <v>16</v>
      </c>
      <c r="V1192" s="135">
        <v>4160</v>
      </c>
      <c r="W1192" s="26">
        <f>TAB_OFICINAS[[#This Row],[Data Retorno Produção]]+10</f>
        <v>46314</v>
      </c>
      <c r="X1192" s="17" t="s">
        <v>6251</v>
      </c>
      <c r="Y1192" s="27"/>
      <c r="Z1192" s="90" t="s">
        <v>24429</v>
      </c>
    </row>
    <row r="1193" spans="3:26" hidden="1">
      <c r="C1193" s="28" t="s">
        <v>1</v>
      </c>
      <c r="D1193" s="5">
        <v>5715</v>
      </c>
      <c r="E1193" s="5">
        <v>24514</v>
      </c>
      <c r="F1193" s="28" t="s">
        <v>24546</v>
      </c>
      <c r="G1193" s="2" t="s">
        <v>24287</v>
      </c>
      <c r="H1193" s="51">
        <v>2101858692</v>
      </c>
      <c r="I1193" s="28" t="s">
        <v>24548</v>
      </c>
      <c r="J1193" s="91">
        <v>518</v>
      </c>
      <c r="K1193" s="88">
        <v>46297</v>
      </c>
      <c r="L1193" s="9">
        <v>518</v>
      </c>
      <c r="M1193" s="6">
        <v>46310</v>
      </c>
      <c r="N1193" s="6">
        <v>46304</v>
      </c>
      <c r="O1193" s="23">
        <v>-4</v>
      </c>
      <c r="P1193" s="98" t="s">
        <v>24430</v>
      </c>
      <c r="Q1193" s="24">
        <v>0</v>
      </c>
      <c r="R1193" s="24"/>
      <c r="S1193" s="5">
        <v>3462</v>
      </c>
      <c r="T1193" s="5">
        <v>73</v>
      </c>
      <c r="U1193" s="134">
        <v>7.5</v>
      </c>
      <c r="V1193" s="135">
        <v>3885</v>
      </c>
      <c r="W1193" s="26">
        <f>TAB_OFICINAS[[#This Row],[Data Retorno Produção]]+10</f>
        <v>46314</v>
      </c>
      <c r="X1193" s="17" t="s">
        <v>6251</v>
      </c>
      <c r="Y1193" s="27"/>
      <c r="Z1193" s="90" t="s">
        <v>24429</v>
      </c>
    </row>
    <row r="1194" spans="3:26" hidden="1">
      <c r="C1194" s="28" t="s">
        <v>15</v>
      </c>
      <c r="E1194" s="5">
        <v>44</v>
      </c>
      <c r="F1194" s="28" t="s">
        <v>24549</v>
      </c>
      <c r="G1194" s="2" t="s">
        <v>22335</v>
      </c>
      <c r="H1194" s="51">
        <v>2103062485</v>
      </c>
      <c r="I1194" s="28" t="s">
        <v>20770</v>
      </c>
      <c r="J1194" s="91">
        <v>400</v>
      </c>
      <c r="K1194" s="88">
        <v>46297</v>
      </c>
      <c r="L1194" s="9">
        <v>400</v>
      </c>
      <c r="M1194" s="6">
        <v>46300</v>
      </c>
      <c r="N1194" s="6">
        <v>46300</v>
      </c>
      <c r="O1194" s="23" t="s">
        <v>24428</v>
      </c>
      <c r="P1194" s="98" t="s">
        <v>24430</v>
      </c>
      <c r="Q1194" s="24">
        <f>IFERROR(TAB_OFICINAS[[#This Row],[Qtd pçs Enviadas]]-TAB_OFICINAS[[#This Row],[Qtd pçs Retornadas ]],"N/D ")</f>
        <v>0</v>
      </c>
      <c r="R1194" s="24"/>
      <c r="S1194" s="5">
        <v>3459</v>
      </c>
      <c r="T1194" s="5">
        <v>17650</v>
      </c>
      <c r="U1194" s="134">
        <v>3.85</v>
      </c>
      <c r="V1194" s="135">
        <v>1540</v>
      </c>
      <c r="W1194" s="26">
        <v>46308</v>
      </c>
      <c r="X1194" s="17" t="s">
        <v>6251</v>
      </c>
      <c r="Y1194" s="27" t="s">
        <v>21378</v>
      </c>
      <c r="Z1194" s="90" t="s">
        <v>24429</v>
      </c>
    </row>
    <row r="1195" spans="3:26" hidden="1">
      <c r="C1195" s="28" t="s">
        <v>15</v>
      </c>
      <c r="E1195" s="5">
        <v>44</v>
      </c>
      <c r="F1195" s="28" t="s">
        <v>24549</v>
      </c>
      <c r="G1195" s="2" t="s">
        <v>22335</v>
      </c>
      <c r="H1195" s="51">
        <v>2103062494</v>
      </c>
      <c r="I1195" s="28" t="s">
        <v>21170</v>
      </c>
      <c r="J1195" s="91">
        <v>152</v>
      </c>
      <c r="K1195" s="88">
        <v>46297</v>
      </c>
      <c r="L1195" s="9">
        <v>152</v>
      </c>
      <c r="M1195" s="6">
        <v>46301</v>
      </c>
      <c r="N1195" s="6">
        <v>46301</v>
      </c>
      <c r="O1195" s="23" t="s">
        <v>24428</v>
      </c>
      <c r="P1195" s="98" t="s">
        <v>24430</v>
      </c>
      <c r="Q1195" s="24">
        <f>IFERROR(TAB_OFICINAS[[#This Row],[Qtd pçs Enviadas]]-TAB_OFICINAS[[#This Row],[Qtd pçs Retornadas ]],"N/D ")</f>
        <v>0</v>
      </c>
      <c r="R1195" s="24"/>
      <c r="S1195" s="5">
        <v>3459</v>
      </c>
      <c r="U1195" s="134">
        <v>3.85</v>
      </c>
      <c r="V1195" s="135">
        <v>585.20000000000005</v>
      </c>
      <c r="W1195" s="26"/>
      <c r="X1195" s="17" t="s">
        <v>6251</v>
      </c>
      <c r="Y1195" s="27" t="s">
        <v>21378</v>
      </c>
      <c r="Z1195" s="90" t="s">
        <v>24429</v>
      </c>
    </row>
    <row r="1196" spans="3:26" hidden="1">
      <c r="C1196" s="28" t="s">
        <v>15</v>
      </c>
      <c r="D1196" s="5">
        <v>4</v>
      </c>
      <c r="E1196" s="5">
        <v>24568</v>
      </c>
      <c r="F1196" s="28" t="s">
        <v>1349</v>
      </c>
      <c r="G1196" s="2" t="s">
        <v>1348</v>
      </c>
      <c r="H1196" s="51">
        <v>3302051583</v>
      </c>
      <c r="I1196" s="28" t="s">
        <v>24550</v>
      </c>
      <c r="J1196" s="91">
        <v>2</v>
      </c>
      <c r="K1196" s="88">
        <v>46297</v>
      </c>
      <c r="L1196" s="9">
        <v>2</v>
      </c>
      <c r="M1196" s="6">
        <v>46300</v>
      </c>
      <c r="N1196" s="6">
        <v>46301</v>
      </c>
      <c r="O1196" s="23" t="s">
        <v>24428</v>
      </c>
      <c r="P1196" s="98" t="s">
        <v>24430</v>
      </c>
      <c r="Q1196" s="24">
        <f>IFERROR(TAB_OFICINAS[[#This Row],[Qtd pçs Enviadas]]-TAB_OFICINAS[[#This Row],[Qtd pçs Retornadas ]],"N/D ")</f>
        <v>0</v>
      </c>
      <c r="R1196" s="24"/>
      <c r="S1196" s="5">
        <v>3459</v>
      </c>
      <c r="T1196" s="5">
        <v>17650</v>
      </c>
      <c r="U1196" s="134">
        <v>12</v>
      </c>
      <c r="V1196" s="135">
        <v>24</v>
      </c>
      <c r="W1196" s="26">
        <v>46308</v>
      </c>
      <c r="X1196" s="17" t="s">
        <v>6251</v>
      </c>
      <c r="Y1196" s="27" t="s">
        <v>24466</v>
      </c>
      <c r="Z1196" s="90" t="s">
        <v>24429</v>
      </c>
    </row>
    <row r="1197" spans="3:26" ht="28.5" hidden="1">
      <c r="C1197" s="28" t="s">
        <v>15</v>
      </c>
      <c r="D1197" s="5">
        <v>5796</v>
      </c>
      <c r="E1197" s="5">
        <v>24472</v>
      </c>
      <c r="F1197" s="28" t="s">
        <v>24527</v>
      </c>
      <c r="G1197" s="2" t="s">
        <v>24527</v>
      </c>
      <c r="H1197" s="51">
        <v>2161221352</v>
      </c>
      <c r="I1197" s="28" t="s">
        <v>24521</v>
      </c>
      <c r="J1197" s="91">
        <v>6</v>
      </c>
      <c r="K1197" s="88">
        <v>46300</v>
      </c>
      <c r="L1197" s="9">
        <v>6</v>
      </c>
      <c r="M1197" s="6">
        <v>46300</v>
      </c>
      <c r="N1197" s="6">
        <v>46300</v>
      </c>
      <c r="O1197" s="23" t="s">
        <v>24428</v>
      </c>
      <c r="P1197" s="98" t="s">
        <v>24430</v>
      </c>
      <c r="Q1197" s="24">
        <f>IFERROR(TAB_OFICINAS[[#This Row],[Qtd pçs Enviadas]]-TAB_OFICINAS[[#This Row],[Qtd pçs Retornadas ]],"N/D ")</f>
        <v>0</v>
      </c>
      <c r="R1197" s="24"/>
      <c r="U1197" s="11" t="s">
        <v>24551</v>
      </c>
      <c r="V1197" s="25" t="s">
        <v>24551</v>
      </c>
      <c r="W1197" s="26"/>
      <c r="X1197" s="17" t="s">
        <v>6251</v>
      </c>
      <c r="Y1197" s="27" t="s">
        <v>24552</v>
      </c>
      <c r="Z1197" s="90" t="s">
        <v>24429</v>
      </c>
    </row>
    <row r="1198" spans="3:26" ht="28.5" hidden="1">
      <c r="C1198" s="28" t="s">
        <v>15</v>
      </c>
      <c r="D1198" s="5">
        <v>5796</v>
      </c>
      <c r="E1198" s="5">
        <v>24472</v>
      </c>
      <c r="F1198" s="28" t="s">
        <v>24527</v>
      </c>
      <c r="G1198" s="2" t="s">
        <v>24527</v>
      </c>
      <c r="H1198" s="51">
        <v>2161221506</v>
      </c>
      <c r="I1198" s="28" t="s">
        <v>24519</v>
      </c>
      <c r="J1198" s="91">
        <v>2</v>
      </c>
      <c r="K1198" s="88">
        <v>46300</v>
      </c>
      <c r="L1198" s="9">
        <v>2</v>
      </c>
      <c r="M1198" s="6">
        <v>46300</v>
      </c>
      <c r="N1198" s="6">
        <v>46300</v>
      </c>
      <c r="O1198" s="23" t="s">
        <v>24428</v>
      </c>
      <c r="P1198" s="98" t="s">
        <v>24430</v>
      </c>
      <c r="Q1198" s="24">
        <f>IFERROR(TAB_OFICINAS[[#This Row],[Qtd pçs Enviadas]]-TAB_OFICINAS[[#This Row],[Qtd pçs Retornadas ]],"N/D ")</f>
        <v>0</v>
      </c>
      <c r="R1198" s="24"/>
      <c r="U1198" s="11" t="s">
        <v>24551</v>
      </c>
      <c r="V1198" s="25" t="s">
        <v>24551</v>
      </c>
      <c r="W1198" s="26"/>
      <c r="X1198" s="17" t="s">
        <v>6251</v>
      </c>
      <c r="Y1198" s="27" t="s">
        <v>24552</v>
      </c>
      <c r="Z1198" s="90" t="s">
        <v>24429</v>
      </c>
    </row>
    <row r="1199" spans="3:26" ht="28.5" hidden="1">
      <c r="C1199" s="28" t="s">
        <v>15</v>
      </c>
      <c r="D1199" s="5">
        <v>5796</v>
      </c>
      <c r="E1199" s="5">
        <v>24472</v>
      </c>
      <c r="F1199" s="28" t="s">
        <v>24527</v>
      </c>
      <c r="G1199" s="2" t="s">
        <v>24527</v>
      </c>
      <c r="H1199" s="51">
        <v>2161221507</v>
      </c>
      <c r="I1199" s="28" t="s">
        <v>24528</v>
      </c>
      <c r="J1199" s="91">
        <v>2</v>
      </c>
      <c r="K1199" s="88">
        <v>46300</v>
      </c>
      <c r="L1199" s="9">
        <v>2</v>
      </c>
      <c r="M1199" s="6">
        <v>46300</v>
      </c>
      <c r="N1199" s="6">
        <v>46300</v>
      </c>
      <c r="O1199" s="23" t="s">
        <v>24428</v>
      </c>
      <c r="P1199" s="98" t="s">
        <v>24430</v>
      </c>
      <c r="Q1199" s="24">
        <f>IFERROR(TAB_OFICINAS[[#This Row],[Qtd pçs Enviadas]]-TAB_OFICINAS[[#This Row],[Qtd pçs Retornadas ]],"N/D ")</f>
        <v>0</v>
      </c>
      <c r="R1199" s="24"/>
      <c r="U1199" s="11" t="s">
        <v>24551</v>
      </c>
      <c r="V1199" s="25" t="s">
        <v>24551</v>
      </c>
      <c r="W1199" s="26"/>
      <c r="X1199" s="17" t="s">
        <v>6251</v>
      </c>
      <c r="Y1199" s="27" t="s">
        <v>24552</v>
      </c>
      <c r="Z1199" s="90" t="s">
        <v>24429</v>
      </c>
    </row>
    <row r="1200" spans="3:26" hidden="1">
      <c r="C1200" s="28" t="s">
        <v>20</v>
      </c>
      <c r="D1200" s="5">
        <v>5715</v>
      </c>
      <c r="E1200" s="5">
        <v>24514</v>
      </c>
      <c r="F1200" s="28" t="s">
        <v>24546</v>
      </c>
      <c r="G1200" s="2" t="s">
        <v>24287</v>
      </c>
      <c r="H1200" s="51">
        <v>2101011527</v>
      </c>
      <c r="I1200" s="28" t="s">
        <v>24553</v>
      </c>
      <c r="J1200" s="91">
        <v>266</v>
      </c>
      <c r="K1200" s="88">
        <v>46300</v>
      </c>
      <c r="M1200" s="6">
        <v>46310</v>
      </c>
      <c r="N1200" s="6">
        <v>46303</v>
      </c>
      <c r="O1200" s="23">
        <v>-7</v>
      </c>
      <c r="P1200" s="98" t="s">
        <v>24430</v>
      </c>
      <c r="Q1200" s="24">
        <v>266</v>
      </c>
      <c r="R1200" s="24"/>
      <c r="S1200" s="5">
        <v>3467</v>
      </c>
      <c r="U1200" s="11">
        <v>5</v>
      </c>
      <c r="V1200" s="135">
        <v>1330</v>
      </c>
      <c r="W1200" s="26"/>
      <c r="X1200" s="17" t="s">
        <v>6251</v>
      </c>
      <c r="Y1200" s="27"/>
      <c r="Z1200" s="90" t="s">
        <v>24554</v>
      </c>
    </row>
    <row r="1201" spans="3:26" hidden="1">
      <c r="C1201" s="28" t="s">
        <v>15</v>
      </c>
      <c r="D1201" s="5">
        <v>5798</v>
      </c>
      <c r="E1201" s="5">
        <v>24456</v>
      </c>
      <c r="F1201" s="28" t="s">
        <v>24555</v>
      </c>
      <c r="G1201" s="2" t="s">
        <v>24556</v>
      </c>
      <c r="H1201" s="51">
        <v>3301091242</v>
      </c>
      <c r="I1201" s="28" t="s">
        <v>23885</v>
      </c>
      <c r="J1201" s="91">
        <v>2</v>
      </c>
      <c r="K1201" s="88">
        <v>46300</v>
      </c>
      <c r="L1201" s="9">
        <v>2</v>
      </c>
      <c r="M1201" s="6">
        <v>46302</v>
      </c>
      <c r="N1201" s="6">
        <v>46301</v>
      </c>
      <c r="O1201" s="23">
        <v>1</v>
      </c>
      <c r="P1201" s="98" t="s">
        <v>24427</v>
      </c>
      <c r="Q1201" s="24">
        <f>IFERROR(TAB_OFICINAS[[#This Row],[Qtd pçs Enviadas]]-TAB_OFICINAS[[#This Row],[Qtd pçs Retornadas ]],"N/D ")</f>
        <v>0</v>
      </c>
      <c r="R1201" s="24"/>
      <c r="S1201" s="5">
        <v>3466</v>
      </c>
      <c r="U1201" s="134">
        <v>6</v>
      </c>
      <c r="V1201" s="135">
        <v>12</v>
      </c>
      <c r="W1201" s="26"/>
      <c r="X1201" s="17" t="s">
        <v>6251</v>
      </c>
      <c r="Y1201" s="27" t="s">
        <v>24557</v>
      </c>
      <c r="Z1201" s="90" t="s">
        <v>24429</v>
      </c>
    </row>
    <row r="1202" spans="3:26" hidden="1">
      <c r="C1202" s="28" t="s">
        <v>15</v>
      </c>
      <c r="D1202" s="5">
        <v>5798</v>
      </c>
      <c r="E1202" s="5">
        <v>24456</v>
      </c>
      <c r="F1202" s="28" t="s">
        <v>24555</v>
      </c>
      <c r="G1202" s="2" t="s">
        <v>24556</v>
      </c>
      <c r="H1202" s="51">
        <v>3301091213</v>
      </c>
      <c r="I1202" s="28" t="s">
        <v>24431</v>
      </c>
      <c r="J1202" s="91">
        <v>4</v>
      </c>
      <c r="K1202" s="88">
        <v>46300</v>
      </c>
      <c r="L1202" s="9">
        <v>4</v>
      </c>
      <c r="M1202" s="6">
        <v>46302</v>
      </c>
      <c r="N1202" s="6">
        <v>46301</v>
      </c>
      <c r="O1202" s="23">
        <v>1</v>
      </c>
      <c r="P1202" s="98" t="s">
        <v>24427</v>
      </c>
      <c r="Q1202" s="24">
        <f>IFERROR(TAB_OFICINAS[[#This Row],[Qtd pçs Enviadas]]-TAB_OFICINAS[[#This Row],[Qtd pçs Retornadas ]],"N/D ")</f>
        <v>0</v>
      </c>
      <c r="R1202" s="24"/>
      <c r="S1202" s="5">
        <v>3466</v>
      </c>
      <c r="U1202" s="134">
        <v>6</v>
      </c>
      <c r="V1202" s="135">
        <v>24</v>
      </c>
      <c r="W1202" s="26"/>
      <c r="X1202" s="17" t="s">
        <v>6251</v>
      </c>
      <c r="Y1202" s="27" t="s">
        <v>24557</v>
      </c>
      <c r="Z1202" s="90" t="s">
        <v>24429</v>
      </c>
    </row>
    <row r="1203" spans="3:26" hidden="1">
      <c r="C1203" s="28" t="s">
        <v>15</v>
      </c>
      <c r="D1203" s="5">
        <v>5798</v>
      </c>
      <c r="E1203" s="5">
        <v>24456</v>
      </c>
      <c r="F1203" s="28" t="s">
        <v>24555</v>
      </c>
      <c r="G1203" s="2" t="s">
        <v>24556</v>
      </c>
      <c r="H1203" s="51">
        <v>3301091211</v>
      </c>
      <c r="I1203" s="28" t="s">
        <v>24448</v>
      </c>
      <c r="J1203" s="91">
        <v>2</v>
      </c>
      <c r="K1203" s="88">
        <v>46300</v>
      </c>
      <c r="L1203" s="9">
        <v>2</v>
      </c>
      <c r="M1203" s="6">
        <v>46302</v>
      </c>
      <c r="N1203" s="6">
        <v>46301</v>
      </c>
      <c r="O1203" s="23">
        <v>1</v>
      </c>
      <c r="P1203" s="98" t="s">
        <v>24427</v>
      </c>
      <c r="Q1203" s="24">
        <f>IFERROR(TAB_OFICINAS[[#This Row],[Qtd pçs Enviadas]]-TAB_OFICINAS[[#This Row],[Qtd pçs Retornadas ]],"N/D ")</f>
        <v>0</v>
      </c>
      <c r="R1203" s="24"/>
      <c r="S1203" s="5">
        <v>3466</v>
      </c>
      <c r="U1203" s="134">
        <v>6</v>
      </c>
      <c r="V1203" s="135">
        <v>12</v>
      </c>
      <c r="W1203" s="26"/>
      <c r="X1203" s="17" t="s">
        <v>6251</v>
      </c>
      <c r="Y1203" s="27" t="s">
        <v>24557</v>
      </c>
      <c r="Z1203" s="90" t="s">
        <v>24429</v>
      </c>
    </row>
    <row r="1204" spans="3:26" hidden="1">
      <c r="C1204" s="28" t="s">
        <v>15</v>
      </c>
      <c r="D1204" s="5">
        <v>5825</v>
      </c>
      <c r="E1204" s="5">
        <v>24540</v>
      </c>
      <c r="F1204" s="28" t="s">
        <v>24558</v>
      </c>
      <c r="G1204" s="2" t="s">
        <v>24559</v>
      </c>
      <c r="H1204" s="51">
        <v>3301146819</v>
      </c>
      <c r="I1204" s="28" t="s">
        <v>23702</v>
      </c>
      <c r="J1204" s="91">
        <v>61</v>
      </c>
      <c r="K1204" s="88">
        <v>46300</v>
      </c>
      <c r="L1204" s="9">
        <v>61</v>
      </c>
      <c r="M1204" s="6">
        <v>46302</v>
      </c>
      <c r="N1204" s="6">
        <v>46301</v>
      </c>
      <c r="O1204" s="23">
        <v>1</v>
      </c>
      <c r="P1204" s="98" t="s">
        <v>24427</v>
      </c>
      <c r="Q1204" s="24">
        <f>IFERROR(TAB_OFICINAS[[#This Row],[Qtd pçs Enviadas]]-TAB_OFICINAS[[#This Row],[Qtd pçs Retornadas ]],"N/D ")</f>
        <v>0</v>
      </c>
      <c r="R1204" s="24"/>
      <c r="S1204" s="5">
        <v>3466</v>
      </c>
      <c r="U1204" s="134">
        <v>3.2</v>
      </c>
      <c r="V1204" s="135">
        <v>195.2</v>
      </c>
      <c r="W1204" s="26"/>
      <c r="X1204" s="17" t="s">
        <v>6251</v>
      </c>
      <c r="Y1204" s="27" t="s">
        <v>24560</v>
      </c>
      <c r="Z1204" s="90" t="s">
        <v>24429</v>
      </c>
    </row>
    <row r="1205" spans="3:26" hidden="1">
      <c r="C1205" s="28" t="s">
        <v>15</v>
      </c>
      <c r="D1205" s="5">
        <v>4422</v>
      </c>
      <c r="E1205" s="5">
        <v>24319</v>
      </c>
      <c r="F1205" s="28" t="s">
        <v>24511</v>
      </c>
      <c r="G1205" s="2" t="s">
        <v>6139</v>
      </c>
      <c r="H1205" s="51">
        <v>92111016797</v>
      </c>
      <c r="I1205" s="28" t="s">
        <v>24512</v>
      </c>
      <c r="J1205" s="91">
        <v>100</v>
      </c>
      <c r="K1205" s="88">
        <v>46301</v>
      </c>
      <c r="L1205" s="9">
        <v>100</v>
      </c>
      <c r="M1205" s="6">
        <v>46285</v>
      </c>
      <c r="N1205" s="6">
        <v>46283</v>
      </c>
      <c r="O1205" s="23">
        <v>-2</v>
      </c>
      <c r="P1205" s="98" t="s">
        <v>24430</v>
      </c>
      <c r="Q1205" s="24">
        <f>IFERROR(TAB_OFICINAS[[#This Row],[Qtd pçs Enviadas]]-TAB_OFICINAS[[#This Row],[Qtd pçs Retornadas ]],"N/D ")</f>
        <v>0</v>
      </c>
      <c r="R1205" s="24"/>
      <c r="S1205" s="5">
        <v>1009</v>
      </c>
      <c r="T1205" s="5">
        <v>17589</v>
      </c>
      <c r="U1205" s="134">
        <v>4</v>
      </c>
      <c r="V1205" s="135">
        <v>400</v>
      </c>
      <c r="W1205" s="26">
        <v>46287</v>
      </c>
      <c r="X1205" s="17" t="s">
        <v>6251</v>
      </c>
      <c r="Y1205" s="27" t="s">
        <v>24561</v>
      </c>
      <c r="Z1205" s="90" t="s">
        <v>24429</v>
      </c>
    </row>
    <row r="1206" spans="3:26" ht="57" hidden="1">
      <c r="C1206" s="28" t="s">
        <v>15</v>
      </c>
      <c r="E1206" s="5">
        <v>44</v>
      </c>
      <c r="F1206" s="28" t="s">
        <v>24549</v>
      </c>
      <c r="G1206" s="2" t="s">
        <v>24549</v>
      </c>
      <c r="H1206" s="51">
        <v>2101107948</v>
      </c>
      <c r="I1206" s="28" t="str">
        <f>IFERROR(VLOOKUP(TAB_OFICINAS[[#This Row],[Codigo Produto ]],_000___PEDIDOS_DE_CLIENTES[[Data.Column2]:[Descrição Produto]],2,FALSE)," ")</f>
        <v>LENÇOL BARRA ESTREITA BRANCO 400F 100% ALGODÃO - LOGO BORDADO COR ALABASTRO 07077 - 1,80 X 2,80</v>
      </c>
      <c r="J1206" s="91">
        <v>400</v>
      </c>
      <c r="K1206" s="88">
        <v>46301</v>
      </c>
      <c r="L1206" s="9">
        <v>400</v>
      </c>
      <c r="M1206" s="6">
        <v>46303</v>
      </c>
      <c r="N1206" s="6">
        <f t="shared" ref="N1206:N1251" ca="1" si="6">TODAY()</f>
        <v>46315</v>
      </c>
      <c r="O1206" s="23">
        <f ca="1">TAB_OFICINAS[[#This Row],[Data Retorno Produção]]-TAB_OFICINAS[[#This Row],[Data Prometida  Entrega]]</f>
        <v>12</v>
      </c>
      <c r="P1206" s="98" t="str">
        <f ca="1">IF(TAB_OFICINAS[[#This Row],[Dias Para Entrega]]&lt;=0,"Em dia","Dia de Atrasado")</f>
        <v>Dia de Atrasado</v>
      </c>
      <c r="Q1206" s="24">
        <f>IFERROR(TAB_OFICINAS[[#This Row],[Qtd pçs Enviadas]]-TAB_OFICINAS[[#This Row],[Qtd pçs Retornadas ]],"N/D ")</f>
        <v>0</v>
      </c>
      <c r="R1206" s="24">
        <v>3</v>
      </c>
      <c r="S1206" s="5">
        <v>3477</v>
      </c>
      <c r="T1206" s="5">
        <v>17652</v>
      </c>
      <c r="U1206" s="11">
        <v>3.85</v>
      </c>
      <c r="V1206" s="25">
        <f>IFERROR(TAB_OFICINAS[[#This Row],[Valor Unit]]*TAB_OFICINAS[[#This Row],[Qtd pçs Enviadas]]," ")</f>
        <v>1540</v>
      </c>
      <c r="W1206" s="26">
        <v>46310</v>
      </c>
      <c r="X1206" s="17" t="s">
        <v>6251</v>
      </c>
      <c r="Y1206" s="27" t="s">
        <v>25296</v>
      </c>
      <c r="Z12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07" spans="3:26" ht="57" hidden="1">
      <c r="C1207" s="28" t="s">
        <v>15</v>
      </c>
      <c r="D1207" s="5">
        <v>964</v>
      </c>
      <c r="E1207" s="5">
        <v>24485</v>
      </c>
      <c r="F1207" s="28" t="str">
        <f>IFERROR(VLOOKUP(TAB_OFICINAS[[#This Row],[Cliente]],LISTA_DE_CLIENTES[[Código]:[Nome Fantasia]],2,FALSE),"")</f>
        <v>TRU COMMERCE IMP. EXP. E COM. DE ROUPA EIRELI</v>
      </c>
      <c r="G1207" s="2" t="str">
        <f>IFERROR(VLOOKUP(TAB_OFICINAS[[#This Row],[Cliente]],LISTA_DE_CLIENTES[[Código]:[Nome Fantasia]],3,FALSE),"")</f>
        <v>TRU COMMERCE</v>
      </c>
      <c r="H1207" s="51">
        <v>2161221352</v>
      </c>
      <c r="I1207" s="28" t="str">
        <f>IFERROR(VLOOKUP(TAB_OFICINAS[[#This Row],[Codigo Produto ]],_000___PEDIDOS_DE_CLIENTES[[Data.Column2]:[Descrição Produto]],2,FALSE)," ")</f>
        <v>PONCHO FELPA VELUX BRANCO C/ BOLSO EM FELPA BRANCA - 4 ANOS - C/ LOGO</v>
      </c>
      <c r="J1207" s="91">
        <v>1</v>
      </c>
      <c r="K1207" s="88">
        <v>46301</v>
      </c>
      <c r="L1207" s="9">
        <v>1</v>
      </c>
      <c r="M1207" s="6">
        <v>46303</v>
      </c>
      <c r="N1207" s="6">
        <v>46304</v>
      </c>
      <c r="O1207" s="23">
        <f>TAB_OFICINAS[[#This Row],[Data Retorno Produção]]-TAB_OFICINAS[[#This Row],[Data Prometida  Entrega]]</f>
        <v>1</v>
      </c>
      <c r="P1207" s="98" t="str">
        <f>IF(TAB_OFICINAS[[#This Row],[Dias Para Entrega]]&lt;=0,"Em dia","Dia de Atrasado")</f>
        <v>Dia de Atrasado</v>
      </c>
      <c r="Q1207" s="24">
        <f>IFERROR(TAB_OFICINAS[[#This Row],[Qtd pçs Enviadas]]-TAB_OFICINAS[[#This Row],[Qtd pçs Retornadas ]],"N/D ")</f>
        <v>0</v>
      </c>
      <c r="R1207" s="24"/>
      <c r="S1207" s="5">
        <v>3473</v>
      </c>
      <c r="U1207" s="11">
        <v>24</v>
      </c>
      <c r="V1207" s="25">
        <f>IFERROR(TAB_OFICINAS[[#This Row],[Valor Unit]]*TAB_OFICINAS[[#This Row],[Qtd pçs Enviadas]]," ")</f>
        <v>24</v>
      </c>
      <c r="W1207" s="26"/>
      <c r="X1207" s="17" t="s">
        <v>6251</v>
      </c>
      <c r="Y1207" s="27" t="s">
        <v>25287</v>
      </c>
      <c r="Z12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08" spans="3:26" hidden="1">
      <c r="C1208" s="28" t="s">
        <v>15</v>
      </c>
      <c r="D1208" s="5">
        <v>2963</v>
      </c>
      <c r="E1208" s="5">
        <v>24572</v>
      </c>
      <c r="F1208" s="28" t="str">
        <f>IFERROR(VLOOKUP(TAB_OFICINAS[[#This Row],[Cliente]],LISTA_DE_CLIENTES[[Código]:[Nome Fantasia]],2,FALSE),"")</f>
        <v>WK DESIGN HOTEL</v>
      </c>
      <c r="G1208" s="2" t="str">
        <f>IFERROR(VLOOKUP(TAB_OFICINAS[[#This Row],[Cliente]],LISTA_DE_CLIENTES[[Código]:[Nome Fantasia]],3,FALSE),"")</f>
        <v>LK DESIGN HOTEL</v>
      </c>
      <c r="H1208" s="51" t="s">
        <v>21342</v>
      </c>
      <c r="I1208" s="28" t="s">
        <v>23418</v>
      </c>
      <c r="J1208" s="91">
        <v>1</v>
      </c>
      <c r="K1208" s="88">
        <v>46303</v>
      </c>
      <c r="L1208" s="9">
        <v>1</v>
      </c>
      <c r="M1208" s="6">
        <v>46308</v>
      </c>
      <c r="N1208" s="6">
        <f t="shared" ca="1" si="6"/>
        <v>46315</v>
      </c>
      <c r="O1208" s="23">
        <f ca="1">TAB_OFICINAS[[#This Row],[Data Retorno Produção]]-TAB_OFICINAS[[#This Row],[Data Prometida  Entrega]]</f>
        <v>7</v>
      </c>
      <c r="P1208" s="98" t="str">
        <f ca="1">IF(TAB_OFICINAS[[#This Row],[Dias Para Entrega]]&lt;=0,"Em dia","Dia de Atrasado")</f>
        <v>Dia de Atrasado</v>
      </c>
      <c r="Q1208" s="24">
        <f>IFERROR(TAB_OFICINAS[[#This Row],[Qtd pçs Enviadas]]-TAB_OFICINAS[[#This Row],[Qtd pçs Retornadas ]],"N/D ")</f>
        <v>0</v>
      </c>
      <c r="R1208" s="24"/>
      <c r="S1208" s="5">
        <v>3482</v>
      </c>
      <c r="U1208" s="11">
        <v>12</v>
      </c>
      <c r="V1208" s="25">
        <f>IFERROR(TAB_OFICINAS[[#This Row],[Valor Unit]]*TAB_OFICINAS[[#This Row],[Qtd pçs Enviadas]]," ")</f>
        <v>12</v>
      </c>
      <c r="W1208" s="26"/>
      <c r="X1208" s="17" t="s">
        <v>6251</v>
      </c>
      <c r="Y1208" s="27" t="s">
        <v>25289</v>
      </c>
      <c r="Z12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09" spans="3:26" hidden="1">
      <c r="C1209" s="28" t="s">
        <v>15</v>
      </c>
      <c r="D1209" s="5">
        <v>5669</v>
      </c>
      <c r="E1209" s="5">
        <v>24581</v>
      </c>
      <c r="F1209" s="28" t="str">
        <f>IFERROR(VLOOKUP(TAB_OFICINAS[[#This Row],[Cliente]],LISTA_DE_CLIENTES[[Código]:[Nome Fantasia]],2,FALSE),"")</f>
        <v>ESTANCIA SANTA CLARA LTDA</v>
      </c>
      <c r="G1209" s="2" t="str">
        <f>IFERROR(VLOOKUP(TAB_OFICINAS[[#This Row],[Cliente]],LISTA_DE_CLIENTES[[Código]:[Nome Fantasia]],3,FALSE),"")</f>
        <v>CLARA INHOTIM</v>
      </c>
      <c r="H1209" s="51">
        <v>3759311037</v>
      </c>
      <c r="I1209" s="28" t="str">
        <f>IFERROR(VLOOKUP(TAB_OFICINAS[[#This Row],[Codigo Produto ]],_000___PEDIDOS_DE_CLIENTES[[Data.Column2]:[Descrição Produto]],2,FALSE)," ")</f>
        <v>TOALHA SOHO BANHO C/ LOGO 0,90 X 1,60 CARAMELO</v>
      </c>
      <c r="J1209" s="91">
        <v>5</v>
      </c>
      <c r="K1209" s="88">
        <v>46303</v>
      </c>
      <c r="M1209" s="6">
        <v>46309</v>
      </c>
      <c r="N1209" s="6">
        <f t="shared" ca="1" si="6"/>
        <v>46315</v>
      </c>
      <c r="O1209" s="23">
        <f ca="1">TAB_OFICINAS[[#This Row],[Data Retorno Produção]]-TAB_OFICINAS[[#This Row],[Data Prometida  Entrega]]</f>
        <v>6</v>
      </c>
      <c r="P1209" s="98" t="str">
        <f ca="1">IF(TAB_OFICINAS[[#This Row],[Dias Para Entrega]]&lt;=0,"Em dia","Dia de Atrasado")</f>
        <v>Dia de Atrasado</v>
      </c>
      <c r="Q1209" s="24">
        <f>IFERROR(TAB_OFICINAS[[#This Row],[Qtd pçs Enviadas]]-TAB_OFICINAS[[#This Row],[Qtd pçs Retornadas ]],"N/D ")</f>
        <v>5</v>
      </c>
      <c r="R1209" s="24"/>
      <c r="S1209" s="5">
        <v>3482</v>
      </c>
      <c r="U1209" s="11">
        <v>4</v>
      </c>
      <c r="V1209" s="25">
        <f>IFERROR(TAB_OFICINAS[[#This Row],[Valor Unit]]*TAB_OFICINAS[[#This Row],[Qtd pçs Enviadas]]," ")</f>
        <v>20</v>
      </c>
      <c r="W1209" s="26"/>
      <c r="X1209" s="17" t="s">
        <v>6251</v>
      </c>
      <c r="Y1209" s="27" t="s">
        <v>23422</v>
      </c>
      <c r="Z1209" s="90" t="str">
        <f>IF(TAB_OFICINAS[[#This Row],[Qtd pçs Enviadas]]=TAB_OFICINAS[[#This Row],[Qtd pçs Retornadas ]],"Produção Finalizada",TAB_OFICINAS[[#This Row],[Qtd pçs Pendetente ]] &amp; " " &amp; "Pçs Pendente")</f>
        <v>5 Pçs Pendente</v>
      </c>
    </row>
    <row r="1210" spans="3:26" hidden="1">
      <c r="C1210" s="28" t="s">
        <v>15</v>
      </c>
      <c r="D1210" s="5">
        <v>5669</v>
      </c>
      <c r="E1210" s="5">
        <v>24581</v>
      </c>
      <c r="F1210" s="28" t="str">
        <f>IFERROR(VLOOKUP(TAB_OFICINAS[[#This Row],[Cliente]],LISTA_DE_CLIENTES[[Código]:[Nome Fantasia]],2,FALSE),"")</f>
        <v>ESTANCIA SANTA CLARA LTDA</v>
      </c>
      <c r="G1210" s="2" t="str">
        <f>IFERROR(VLOOKUP(TAB_OFICINAS[[#This Row],[Cliente]],LISTA_DE_CLIENTES[[Código]:[Nome Fantasia]],3,FALSE),"")</f>
        <v>CLARA INHOTIM</v>
      </c>
      <c r="H1210" s="51">
        <v>3302128022</v>
      </c>
      <c r="I1210" s="28" t="str">
        <f>IFERROR(VLOOKUP(TAB_OFICINAS[[#This Row],[Codigo Produto ]],_000___PEDIDOS_DE_CLIENTES[[Data.Column2]:[Descrição Produto]],2,FALSE)," ")</f>
        <v>TOALHA ROSTO CARAMELO C/ LOGO 0,48 X 0,90</v>
      </c>
      <c r="J1210" s="91">
        <v>5</v>
      </c>
      <c r="K1210" s="88">
        <v>46303</v>
      </c>
      <c r="M1210" s="6">
        <v>46309</v>
      </c>
      <c r="N1210" s="6">
        <f t="shared" ca="1" si="6"/>
        <v>46315</v>
      </c>
      <c r="O1210" s="23">
        <f ca="1">TAB_OFICINAS[[#This Row],[Data Retorno Produção]]-TAB_OFICINAS[[#This Row],[Data Prometida  Entrega]]</f>
        <v>6</v>
      </c>
      <c r="P1210" s="98" t="str">
        <f ca="1">IF(TAB_OFICINAS[[#This Row],[Dias Para Entrega]]&lt;=0,"Em dia","Dia de Atrasado")</f>
        <v>Dia de Atrasado</v>
      </c>
      <c r="Q1210" s="24">
        <f>IFERROR(TAB_OFICINAS[[#This Row],[Qtd pçs Enviadas]]-TAB_OFICINAS[[#This Row],[Qtd pçs Retornadas ]],"N/D ")</f>
        <v>5</v>
      </c>
      <c r="R1210" s="24"/>
      <c r="S1210" s="5">
        <v>3482</v>
      </c>
      <c r="U1210" s="11">
        <v>4</v>
      </c>
      <c r="V1210" s="25">
        <f>IFERROR(TAB_OFICINAS[[#This Row],[Valor Unit]]*TAB_OFICINAS[[#This Row],[Qtd pçs Enviadas]]," ")</f>
        <v>20</v>
      </c>
      <c r="W1210" s="26"/>
      <c r="X1210" s="17" t="s">
        <v>6251</v>
      </c>
      <c r="Y1210" s="27" t="s">
        <v>23421</v>
      </c>
      <c r="Z1210" s="90" t="str">
        <f>IF(TAB_OFICINAS[[#This Row],[Qtd pçs Enviadas]]=TAB_OFICINAS[[#This Row],[Qtd pçs Retornadas ]],"Produção Finalizada",TAB_OFICINAS[[#This Row],[Qtd pçs Pendetente ]] &amp; " " &amp; "Pçs Pendente")</f>
        <v>5 Pçs Pendente</v>
      </c>
    </row>
    <row r="1211" spans="3:26" hidden="1">
      <c r="C1211" s="28" t="s">
        <v>15</v>
      </c>
      <c r="D1211" s="5">
        <v>5669</v>
      </c>
      <c r="E1211" s="5">
        <v>24581</v>
      </c>
      <c r="F1211" s="28" t="str">
        <f>IFERROR(VLOOKUP(TAB_OFICINAS[[#This Row],[Cliente]],LISTA_DE_CLIENTES[[Código]:[Nome Fantasia]],2,FALSE),"")</f>
        <v>ESTANCIA SANTA CLARA LTDA</v>
      </c>
      <c r="G1211" s="2" t="str">
        <f>IFERROR(VLOOKUP(TAB_OFICINAS[[#This Row],[Cliente]],LISTA_DE_CLIENTES[[Código]:[Nome Fantasia]],3,FALSE),"")</f>
        <v>CLARA INHOTIM</v>
      </c>
      <c r="H1211" s="51">
        <v>3301094403</v>
      </c>
      <c r="I1211" s="28" t="str">
        <f>IFERROR(VLOOKUP(TAB_OFICINAS[[#This Row],[Codigo Produto ]],_000___PEDIDOS_DE_CLIENTES[[Data.Column2]:[Descrição Produto]],2,FALSE)," ")</f>
        <v>ROUPÃO INFANTIL FELPA CARAMELO MODELO KIMONO COM CAPUZ COM LOGO TAM 10 ANOS</v>
      </c>
      <c r="J1211" s="91">
        <v>5</v>
      </c>
      <c r="K1211" s="88">
        <v>46303</v>
      </c>
      <c r="M1211" s="6">
        <v>46309</v>
      </c>
      <c r="N1211" s="6">
        <f t="shared" ca="1" si="6"/>
        <v>46315</v>
      </c>
      <c r="O1211" s="23">
        <f ca="1">TAB_OFICINAS[[#This Row],[Data Retorno Produção]]-TAB_OFICINAS[[#This Row],[Data Prometida  Entrega]]</f>
        <v>6</v>
      </c>
      <c r="P1211" s="98" t="str">
        <f ca="1">IF(TAB_OFICINAS[[#This Row],[Dias Para Entrega]]&lt;=0,"Em dia","Dia de Atrasado")</f>
        <v>Dia de Atrasado</v>
      </c>
      <c r="Q1211" s="24">
        <f>IFERROR(TAB_OFICINAS[[#This Row],[Qtd pçs Enviadas]]-TAB_OFICINAS[[#This Row],[Qtd pçs Retornadas ]],"N/D ")</f>
        <v>5</v>
      </c>
      <c r="R1211" s="24"/>
      <c r="S1211" s="5">
        <v>3482</v>
      </c>
      <c r="U1211" s="11">
        <v>4</v>
      </c>
      <c r="V1211" s="25">
        <f>IFERROR(TAB_OFICINAS[[#This Row],[Valor Unit]]*TAB_OFICINAS[[#This Row],[Qtd pçs Enviadas]]," ")</f>
        <v>20</v>
      </c>
      <c r="W1211" s="26"/>
      <c r="X1211" s="17" t="s">
        <v>6251</v>
      </c>
      <c r="Y1211" s="27" t="s">
        <v>25290</v>
      </c>
      <c r="Z1211" s="90" t="str">
        <f>IF(TAB_OFICINAS[[#This Row],[Qtd pçs Enviadas]]=TAB_OFICINAS[[#This Row],[Qtd pçs Retornadas ]],"Produção Finalizada",TAB_OFICINAS[[#This Row],[Qtd pçs Pendetente ]] &amp; " " &amp; "Pçs Pendente")</f>
        <v>5 Pçs Pendente</v>
      </c>
    </row>
    <row r="1212" spans="3:26" hidden="1">
      <c r="C1212" s="28" t="s">
        <v>15</v>
      </c>
      <c r="D1212" s="5">
        <v>5669</v>
      </c>
      <c r="E1212" s="5">
        <v>24581</v>
      </c>
      <c r="F1212" s="28" t="str">
        <f>IFERROR(VLOOKUP(TAB_OFICINAS[[#This Row],[Cliente]],LISTA_DE_CLIENTES[[Código]:[Nome Fantasia]],2,FALSE),"")</f>
        <v>ESTANCIA SANTA CLARA LTDA</v>
      </c>
      <c r="G1212" s="2" t="str">
        <f>IFERROR(VLOOKUP(TAB_OFICINAS[[#This Row],[Cliente]],LISTA_DE_CLIENTES[[Código]:[Nome Fantasia]],3,FALSE),"")</f>
        <v>CLARA INHOTIM</v>
      </c>
      <c r="H1212" s="51">
        <v>3105012393</v>
      </c>
      <c r="I1212" s="28" t="str">
        <f>IFERROR(VLOOKUP(TAB_OFICINAS[[#This Row],[Codigo Produto ]],_000___PEDIDOS_DE_CLIENTES[[Data.Column2]:[Descrição Produto]],2,FALSE)," ")</f>
        <v>ROUPÃO KIMONO TAM M C/ LOGO FELPA CARAMELO</v>
      </c>
      <c r="J1212" s="91">
        <v>5</v>
      </c>
      <c r="K1212" s="88">
        <v>46303</v>
      </c>
      <c r="M1212" s="6">
        <v>46309</v>
      </c>
      <c r="N1212" s="6">
        <f t="shared" ca="1" si="6"/>
        <v>46315</v>
      </c>
      <c r="O1212" s="23">
        <f ca="1">TAB_OFICINAS[[#This Row],[Data Retorno Produção]]-TAB_OFICINAS[[#This Row],[Data Prometida  Entrega]]</f>
        <v>6</v>
      </c>
      <c r="P1212" s="98" t="str">
        <f ca="1">IF(TAB_OFICINAS[[#This Row],[Dias Para Entrega]]&lt;=0,"Em dia","Dia de Atrasado")</f>
        <v>Dia de Atrasado</v>
      </c>
      <c r="Q1212" s="24">
        <f>IFERROR(TAB_OFICINAS[[#This Row],[Qtd pçs Enviadas]]-TAB_OFICINAS[[#This Row],[Qtd pçs Retornadas ]],"N/D ")</f>
        <v>5</v>
      </c>
      <c r="R1212" s="24"/>
      <c r="S1212" s="5">
        <v>3482</v>
      </c>
      <c r="U1212" s="11">
        <v>4</v>
      </c>
      <c r="V1212" s="25">
        <f>IFERROR(TAB_OFICINAS[[#This Row],[Valor Unit]]*TAB_OFICINAS[[#This Row],[Qtd pçs Enviadas]]," ")</f>
        <v>20</v>
      </c>
      <c r="W1212" s="26"/>
      <c r="X1212" s="17" t="s">
        <v>6251</v>
      </c>
      <c r="Y1212" s="27" t="s">
        <v>23421</v>
      </c>
      <c r="Z1212" s="90" t="str">
        <f>IF(TAB_OFICINAS[[#This Row],[Qtd pçs Enviadas]]=TAB_OFICINAS[[#This Row],[Qtd pçs Retornadas ]],"Produção Finalizada",TAB_OFICINAS[[#This Row],[Qtd pçs Pendetente ]] &amp; " " &amp; "Pçs Pendente")</f>
        <v>5 Pçs Pendente</v>
      </c>
    </row>
    <row r="1213" spans="3:26" ht="57" hidden="1">
      <c r="C1213" s="28" t="s">
        <v>15</v>
      </c>
      <c r="D1213" s="5">
        <v>2533</v>
      </c>
      <c r="E1213" s="5">
        <v>525</v>
      </c>
      <c r="F1213" s="28" t="str">
        <f>IFERROR(VLOOKUP(TAB_OFICINAS[[#This Row],[Cliente]],LISTA_DE_CLIENTES[[Código]:[Nome Fantasia]],2,FALSE),"")</f>
        <v>WESTWING COMERCIO VAREJISTA S.A.</v>
      </c>
      <c r="G1213" s="2" t="str">
        <f>IFERROR(VLOOKUP(TAB_OFICINAS[[#This Row],[Cliente]],LISTA_DE_CLIENTES[[Código]:[Nome Fantasia]],3,FALSE),"")</f>
        <v>WESTWING - CORRETO</v>
      </c>
      <c r="H1213" s="51" t="s">
        <v>24535</v>
      </c>
      <c r="I1213" s="28" t="s">
        <v>25291</v>
      </c>
      <c r="J1213" s="91">
        <v>1</v>
      </c>
      <c r="K1213" s="88">
        <v>46303</v>
      </c>
      <c r="L1213" s="9">
        <v>1</v>
      </c>
      <c r="M1213" s="6">
        <v>46308</v>
      </c>
      <c r="N1213" s="6">
        <f t="shared" ca="1" si="6"/>
        <v>46315</v>
      </c>
      <c r="O1213" s="23">
        <f ca="1">TAB_OFICINAS[[#This Row],[Data Retorno Produção]]-TAB_OFICINAS[[#This Row],[Data Prometida  Entrega]]</f>
        <v>7</v>
      </c>
      <c r="P1213" s="98" t="str">
        <f ca="1">IF(TAB_OFICINAS[[#This Row],[Dias Para Entrega]]&lt;=0,"Em dia","Dia de Atrasado")</f>
        <v>Dia de Atrasado</v>
      </c>
      <c r="Q1213" s="24">
        <f>IFERROR(TAB_OFICINAS[[#This Row],[Qtd pçs Enviadas]]-TAB_OFICINAS[[#This Row],[Qtd pçs Retornadas ]],"N/D ")</f>
        <v>0</v>
      </c>
      <c r="R1213" s="24">
        <v>1</v>
      </c>
      <c r="S1213" s="5">
        <v>3484</v>
      </c>
      <c r="U1213" s="11">
        <v>12</v>
      </c>
      <c r="V1213" s="25">
        <f>IFERROR(TAB_OFICINAS[[#This Row],[Valor Unit]]*TAB_OFICINAS[[#This Row],[Qtd pçs Enviadas]]," ")</f>
        <v>12</v>
      </c>
      <c r="W1213" s="26"/>
      <c r="X1213" s="17" t="s">
        <v>6251</v>
      </c>
      <c r="Y1213" s="27" t="s">
        <v>25303</v>
      </c>
      <c r="Z12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14" spans="3:26" hidden="1">
      <c r="C1214" s="28" t="s">
        <v>15</v>
      </c>
      <c r="D1214" s="5">
        <v>2533</v>
      </c>
      <c r="E1214" s="5">
        <v>525</v>
      </c>
      <c r="F1214" s="28" t="str">
        <f>IFERROR(VLOOKUP(TAB_OFICINAS[[#This Row],[Cliente]],LISTA_DE_CLIENTES[[Código]:[Nome Fantasia]],2,FALSE),"")</f>
        <v>WESTWING COMERCIO VAREJISTA S.A.</v>
      </c>
      <c r="G1214" s="2" t="str">
        <f>IFERROR(VLOOKUP(TAB_OFICINAS[[#This Row],[Cliente]],LISTA_DE_CLIENTES[[Código]:[Nome Fantasia]],3,FALSE),"")</f>
        <v>WESTWING - CORRETO</v>
      </c>
      <c r="H1214" s="51" t="s">
        <v>24535</v>
      </c>
      <c r="I1214" s="28" t="s">
        <v>25292</v>
      </c>
      <c r="J1214" s="91">
        <v>1</v>
      </c>
      <c r="K1214" s="88">
        <v>46303</v>
      </c>
      <c r="L1214" s="9">
        <v>1</v>
      </c>
      <c r="M1214" s="6">
        <v>46308</v>
      </c>
      <c r="N1214" s="6">
        <f t="shared" ca="1" si="6"/>
        <v>46315</v>
      </c>
      <c r="O1214" s="23">
        <f ca="1">TAB_OFICINAS[[#This Row],[Data Retorno Produção]]-TAB_OFICINAS[[#This Row],[Data Prometida  Entrega]]</f>
        <v>7</v>
      </c>
      <c r="P1214" s="98" t="str">
        <f ca="1">IF(TAB_OFICINAS[[#This Row],[Dias Para Entrega]]&lt;=0,"Em dia","Dia de Atrasado")</f>
        <v>Dia de Atrasado</v>
      </c>
      <c r="Q1214" s="24">
        <f>IFERROR(TAB_OFICINAS[[#This Row],[Qtd pçs Enviadas]]-TAB_OFICINAS[[#This Row],[Qtd pçs Retornadas ]],"N/D ")</f>
        <v>0</v>
      </c>
      <c r="R1214" s="24"/>
      <c r="S1214" s="5">
        <v>3484</v>
      </c>
      <c r="U1214" s="11">
        <v>12</v>
      </c>
      <c r="V1214" s="25">
        <f>IFERROR(TAB_OFICINAS[[#This Row],[Valor Unit]]*TAB_OFICINAS[[#This Row],[Qtd pçs Enviadas]]," ")</f>
        <v>12</v>
      </c>
      <c r="W1214" s="26"/>
      <c r="X1214" s="17" t="s">
        <v>6251</v>
      </c>
      <c r="Y1214" s="27" t="s">
        <v>25293</v>
      </c>
      <c r="Z12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15" spans="3:26" ht="28.5" hidden="1">
      <c r="C1215" s="28" t="s">
        <v>16</v>
      </c>
      <c r="D1215" s="5">
        <v>5715</v>
      </c>
      <c r="E1215" s="5">
        <v>24514</v>
      </c>
      <c r="F1215" s="28" t="str">
        <f>IFERROR(VLOOKUP(TAB_OFICINAS[[#This Row],[Cliente]],LISTA_DE_CLIENTES[[Código]:[Nome Fantasia]],2,FALSE),"")</f>
        <v>HCC HOTELS GESTAO HOTELARIA</v>
      </c>
      <c r="G1215" s="2" t="str">
        <f>IFERROR(VLOOKUP(TAB_OFICINAS[[#This Row],[Cliente]],LISTA_DE_CLIENTES[[Código]:[Nome Fantasia]],3,FALSE),"")</f>
        <v>HOTEL UNNA-HOMEWOOD</v>
      </c>
      <c r="H1215" s="51">
        <v>2104850183</v>
      </c>
      <c r="I1215" s="28" t="str">
        <f>IFERROR(VLOOKUP(TAB_OFICINAS[[#This Row],[Codigo Produto ]],_000___PEDIDOS_DE_CLIENTES[[Data.Column2]:[Descrição Produto]],2,FALSE)," ")</f>
        <v>FRONHA 2 ABAS 5cm - CLASSIC - 180F MISTO PREMIUM - 0,50 X 0,70</v>
      </c>
      <c r="J1215" s="91">
        <v>361</v>
      </c>
      <c r="K1215" s="88">
        <v>46303</v>
      </c>
      <c r="L1215" s="9">
        <v>361</v>
      </c>
      <c r="M1215" s="6">
        <v>46311</v>
      </c>
      <c r="N1215" s="6">
        <v>46310</v>
      </c>
      <c r="O1215" s="23">
        <f>TAB_OFICINAS[[#This Row],[Data Retorno Produção]]-TAB_OFICINAS[[#This Row],[Data Prometida  Entrega]]</f>
        <v>-1</v>
      </c>
      <c r="P1215" s="98" t="str">
        <f>IF(TAB_OFICINAS[[#This Row],[Dias Para Entrega]]&lt;=0,"Em dia","Dia de Atrasado")</f>
        <v>Em dia</v>
      </c>
      <c r="Q1215" s="24">
        <f>IFERROR(TAB_OFICINAS[[#This Row],[Qtd pçs Enviadas]]-TAB_OFICINAS[[#This Row],[Qtd pçs Retornadas ]],"N/D ")</f>
        <v>0</v>
      </c>
      <c r="R1215" s="24">
        <v>7</v>
      </c>
      <c r="S1215" s="5">
        <v>3476</v>
      </c>
      <c r="T1215" s="5">
        <v>69</v>
      </c>
      <c r="U1215" s="11">
        <v>4</v>
      </c>
      <c r="V1215" s="25">
        <f>IFERROR(TAB_OFICINAS[[#This Row],[Valor Unit]]*TAB_OFICINAS[[#This Row],[Qtd pçs Enviadas]]," ")</f>
        <v>1444</v>
      </c>
      <c r="W1215" s="26">
        <v>46321</v>
      </c>
      <c r="X1215" s="17" t="s">
        <v>6251</v>
      </c>
      <c r="Y1215" s="27" t="s">
        <v>25312</v>
      </c>
      <c r="Z12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16" spans="3:26" ht="28.5" hidden="1">
      <c r="C1216" s="28" t="s">
        <v>21197</v>
      </c>
      <c r="D1216" s="5">
        <v>5715</v>
      </c>
      <c r="E1216" s="5">
        <v>24514</v>
      </c>
      <c r="F1216" s="28" t="str">
        <f>IFERROR(VLOOKUP(TAB_OFICINAS[[#This Row],[Cliente]],LISTA_DE_CLIENTES[[Código]:[Nome Fantasia]],2,FALSE),"")</f>
        <v>HCC HOTELS GESTAO HOTELARIA</v>
      </c>
      <c r="G1216" s="2" t="str">
        <f>IFERROR(VLOOKUP(TAB_OFICINAS[[#This Row],[Cliente]],LISTA_DE_CLIENTES[[Código]:[Nome Fantasia]],3,FALSE),"")</f>
        <v>HOTEL UNNA-HOMEWOOD</v>
      </c>
      <c r="H1216" s="51">
        <v>2104850183</v>
      </c>
      <c r="I1216" s="28" t="str">
        <f>IFERROR(VLOOKUP(TAB_OFICINAS[[#This Row],[Codigo Produto ]],_000___PEDIDOS_DE_CLIENTES[[Data.Column2]:[Descrição Produto]],2,FALSE)," ")</f>
        <v>FRONHA 2 ABAS 5cm - CLASSIC - 180F MISTO PREMIUM - 0,50 X 0,70</v>
      </c>
      <c r="J1216" s="91">
        <v>600</v>
      </c>
      <c r="K1216" s="88">
        <v>46301</v>
      </c>
      <c r="L1216" s="9">
        <v>600</v>
      </c>
      <c r="M1216" s="6">
        <v>46310</v>
      </c>
      <c r="N1216" s="6">
        <v>46308</v>
      </c>
      <c r="O1216" s="23">
        <f>TAB_OFICINAS[[#This Row],[Data Retorno Produção]]-TAB_OFICINAS[[#This Row],[Data Prometida  Entrega]]</f>
        <v>-2</v>
      </c>
      <c r="P1216" s="98" t="str">
        <f>IF(TAB_OFICINAS[[#This Row],[Dias Para Entrega]]&lt;=0,"Em dia","Dia de Atrasado")</f>
        <v>Em dia</v>
      </c>
      <c r="Q1216" s="24">
        <f>IFERROR(TAB_OFICINAS[[#This Row],[Qtd pçs Enviadas]]-TAB_OFICINAS[[#This Row],[Qtd pçs Retornadas ]],"N/D ")</f>
        <v>0</v>
      </c>
      <c r="R1216" s="24"/>
      <c r="S1216" s="5">
        <v>24514</v>
      </c>
      <c r="T1216" s="5" t="s">
        <v>25310</v>
      </c>
      <c r="U1216" s="11">
        <v>4</v>
      </c>
      <c r="V1216" s="25">
        <f>IFERROR(TAB_OFICINAS[[#This Row],[Valor Unit]]*TAB_OFICINAS[[#This Row],[Qtd pçs Enviadas]]," ")</f>
        <v>2400</v>
      </c>
      <c r="W1216" s="26">
        <v>46318</v>
      </c>
      <c r="X1216" s="17" t="s">
        <v>6251</v>
      </c>
      <c r="Y1216" s="27" t="s">
        <v>25311</v>
      </c>
      <c r="Z12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17" spans="3:26" hidden="1">
      <c r="C1217" s="28" t="s">
        <v>15</v>
      </c>
      <c r="D1217" s="5">
        <v>4</v>
      </c>
      <c r="E1217" s="5">
        <v>24585</v>
      </c>
      <c r="F1217" s="28" t="str">
        <f>IFERROR(VLOOKUP(TAB_OFICINAS[[#This Row],[Cliente]],LISTA_DE_CLIENTES[[Código]:[Nome Fantasia]],2,FALSE),"")</f>
        <v>COMPANHIA HOTEIS PALACE</v>
      </c>
      <c r="G1217" s="2" t="str">
        <f>IFERROR(VLOOKUP(TAB_OFICINAS[[#This Row],[Cliente]],LISTA_DE_CLIENTES[[Código]:[Nome Fantasia]],3,FALSE),"")</f>
        <v>COPACABANA PALACE</v>
      </c>
      <c r="H1217" s="51">
        <v>3302051584</v>
      </c>
      <c r="I1217" s="28" t="s">
        <v>25172</v>
      </c>
      <c r="J1217" s="91">
        <v>105</v>
      </c>
      <c r="K1217" s="88">
        <v>46308</v>
      </c>
      <c r="M1217" s="6">
        <v>46314</v>
      </c>
      <c r="N1217" s="6">
        <f t="shared" ca="1" si="6"/>
        <v>46315</v>
      </c>
      <c r="O1217" s="23">
        <f ca="1">TAB_OFICINAS[[#This Row],[Data Retorno Produção]]-TAB_OFICINAS[[#This Row],[Data Prometida  Entrega]]</f>
        <v>1</v>
      </c>
      <c r="P1217" s="98" t="str">
        <f ca="1">IF(TAB_OFICINAS[[#This Row],[Dias Para Entrega]]&lt;=0,"Em dia","Dia de Atrasado")</f>
        <v>Dia de Atrasado</v>
      </c>
      <c r="Q1217" s="24">
        <f>IFERROR(TAB_OFICINAS[[#This Row],[Qtd pçs Enviadas]]-TAB_OFICINAS[[#This Row],[Qtd pçs Retornadas ]],"N/D ")</f>
        <v>105</v>
      </c>
      <c r="R1217" s="24"/>
      <c r="S1217" s="5">
        <v>3489</v>
      </c>
      <c r="U1217" s="11">
        <v>3.2</v>
      </c>
      <c r="V1217" s="25">
        <f>IFERROR(TAB_OFICINAS[[#This Row],[Valor Unit]]*TAB_OFICINAS[[#This Row],[Qtd pçs Enviadas]]," ")</f>
        <v>336</v>
      </c>
      <c r="W1217" s="26"/>
      <c r="X1217" s="17" t="s">
        <v>6251</v>
      </c>
      <c r="Y1217" s="27" t="s">
        <v>24466</v>
      </c>
      <c r="Z1217" s="90" t="str">
        <f>IF(TAB_OFICINAS[[#This Row],[Qtd pçs Enviadas]]=TAB_OFICINAS[[#This Row],[Qtd pçs Retornadas ]],"Produção Finalizada",TAB_OFICINAS[[#This Row],[Qtd pçs Pendetente ]] &amp; " " &amp; "Pçs Pendente")</f>
        <v>105 Pçs Pendente</v>
      </c>
    </row>
    <row r="1218" spans="3:26" hidden="1">
      <c r="C1218" s="28" t="s">
        <v>15</v>
      </c>
      <c r="D1218" s="5">
        <v>4</v>
      </c>
      <c r="E1218" s="5">
        <v>24585</v>
      </c>
      <c r="F1218" s="28" t="str">
        <f>IFERROR(VLOOKUP(TAB_OFICINAS[[#This Row],[Cliente]],LISTA_DE_CLIENTES[[Código]:[Nome Fantasia]],2,FALSE),"")</f>
        <v>COMPANHIA HOTEIS PALACE</v>
      </c>
      <c r="G1218" s="2" t="str">
        <f>IFERROR(VLOOKUP(TAB_OFICINAS[[#This Row],[Cliente]],LISTA_DE_CLIENTES[[Código]:[Nome Fantasia]],3,FALSE),"")</f>
        <v>COPACABANA PALACE</v>
      </c>
      <c r="H1218" s="51">
        <v>3302051583</v>
      </c>
      <c r="I1218" s="28" t="s">
        <v>25294</v>
      </c>
      <c r="J1218" s="91">
        <v>105</v>
      </c>
      <c r="K1218" s="88">
        <v>46308</v>
      </c>
      <c r="M1218" s="6">
        <v>46314</v>
      </c>
      <c r="N1218" s="6">
        <f t="shared" ca="1" si="6"/>
        <v>46315</v>
      </c>
      <c r="O1218" s="23">
        <f ca="1">TAB_OFICINAS[[#This Row],[Data Retorno Produção]]-TAB_OFICINAS[[#This Row],[Data Prometida  Entrega]]</f>
        <v>1</v>
      </c>
      <c r="P1218" s="98" t="str">
        <f ca="1">IF(TAB_OFICINAS[[#This Row],[Dias Para Entrega]]&lt;=0,"Em dia","Dia de Atrasado")</f>
        <v>Dia de Atrasado</v>
      </c>
      <c r="Q1218" s="24">
        <f>IFERROR(TAB_OFICINAS[[#This Row],[Qtd pçs Enviadas]]-TAB_OFICINAS[[#This Row],[Qtd pçs Retornadas ]],"N/D ")</f>
        <v>105</v>
      </c>
      <c r="R1218" s="24"/>
      <c r="S1218" s="5">
        <v>3489</v>
      </c>
      <c r="U1218" s="11">
        <v>3.2</v>
      </c>
      <c r="V1218" s="25">
        <f>IFERROR(TAB_OFICINAS[[#This Row],[Valor Unit]]*TAB_OFICINAS[[#This Row],[Qtd pçs Enviadas]]," ")</f>
        <v>336</v>
      </c>
      <c r="W1218" s="26"/>
      <c r="X1218" s="17" t="s">
        <v>6251</v>
      </c>
      <c r="Y1218" s="27" t="s">
        <v>24466</v>
      </c>
      <c r="Z1218" s="90" t="str">
        <f>IF(TAB_OFICINAS[[#This Row],[Qtd pçs Enviadas]]=TAB_OFICINAS[[#This Row],[Qtd pçs Retornadas ]],"Produção Finalizada",TAB_OFICINAS[[#This Row],[Qtd pçs Pendetente ]] &amp; " " &amp; "Pçs Pendente")</f>
        <v>105 Pçs Pendente</v>
      </c>
    </row>
    <row r="1219" spans="3:26" hidden="1">
      <c r="C1219" s="28" t="s">
        <v>15</v>
      </c>
      <c r="D1219" s="5">
        <v>2533</v>
      </c>
      <c r="E1219" s="5">
        <v>525</v>
      </c>
      <c r="F1219" s="28" t="str">
        <f>IFERROR(VLOOKUP(TAB_OFICINAS[[#This Row],[Cliente]],LISTA_DE_CLIENTES[[Código]:[Nome Fantasia]],2,FALSE),"")</f>
        <v>WESTWING COMERCIO VAREJISTA S.A.</v>
      </c>
      <c r="G1219" s="2" t="str">
        <f>IFERROR(VLOOKUP(TAB_OFICINAS[[#This Row],[Cliente]],LISTA_DE_CLIENTES[[Código]:[Nome Fantasia]],3,FALSE),"")</f>
        <v>WESTWING - CORRETO</v>
      </c>
      <c r="H1219" s="51" t="s">
        <v>25297</v>
      </c>
      <c r="I1219" s="28" t="s">
        <v>25298</v>
      </c>
      <c r="J1219" s="91">
        <v>1</v>
      </c>
      <c r="K1219" s="88">
        <v>46308</v>
      </c>
      <c r="M1219" s="6">
        <v>46309</v>
      </c>
      <c r="N1219" s="6">
        <f t="shared" ca="1" si="6"/>
        <v>46315</v>
      </c>
      <c r="O1219" s="23">
        <f ca="1">TAB_OFICINAS[[#This Row],[Data Retorno Produção]]-TAB_OFICINAS[[#This Row],[Data Prometida  Entrega]]</f>
        <v>6</v>
      </c>
      <c r="P1219" s="98" t="str">
        <f ca="1">IF(TAB_OFICINAS[[#This Row],[Dias Para Entrega]]&lt;=0,"Em dia","Dia de Atrasado")</f>
        <v>Dia de Atrasado</v>
      </c>
      <c r="Q1219" s="24">
        <f>IFERROR(TAB_OFICINAS[[#This Row],[Qtd pçs Enviadas]]-TAB_OFICINAS[[#This Row],[Qtd pçs Retornadas ]],"N/D ")</f>
        <v>1</v>
      </c>
      <c r="R1219" s="24"/>
      <c r="U1219" s="11">
        <v>12</v>
      </c>
      <c r="V1219" s="25">
        <f>IFERROR(TAB_OFICINAS[[#This Row],[Valor Unit]]*TAB_OFICINAS[[#This Row],[Qtd pçs Enviadas]]," ")</f>
        <v>12</v>
      </c>
      <c r="W1219" s="26"/>
      <c r="X1219" s="17" t="s">
        <v>6251</v>
      </c>
      <c r="Y1219" s="27" t="s">
        <v>25301</v>
      </c>
      <c r="Z1219" s="90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1220" spans="3:26" ht="28.5" hidden="1">
      <c r="C1220" s="28" t="s">
        <v>15</v>
      </c>
      <c r="D1220" s="5">
        <v>2533</v>
      </c>
      <c r="E1220" s="5">
        <v>525</v>
      </c>
      <c r="F1220" s="28" t="str">
        <f>IFERROR(VLOOKUP(TAB_OFICINAS[[#This Row],[Cliente]],LISTA_DE_CLIENTES[[Código]:[Nome Fantasia]],2,FALSE),"")</f>
        <v>WESTWING COMERCIO VAREJISTA S.A.</v>
      </c>
      <c r="G1220" s="2" t="str">
        <f>IFERROR(VLOOKUP(TAB_OFICINAS[[#This Row],[Cliente]],LISTA_DE_CLIENTES[[Código]:[Nome Fantasia]],3,FALSE),"")</f>
        <v>WESTWING - CORRETO</v>
      </c>
      <c r="H1220" s="51" t="s">
        <v>24535</v>
      </c>
      <c r="I1220" s="28" t="s">
        <v>25299</v>
      </c>
      <c r="J1220" s="91">
        <v>1</v>
      </c>
      <c r="K1220" s="88">
        <v>46309</v>
      </c>
      <c r="M1220" s="6">
        <v>46309</v>
      </c>
      <c r="N1220" s="6">
        <f t="shared" ca="1" si="6"/>
        <v>46315</v>
      </c>
      <c r="O1220" s="23">
        <f ca="1">TAB_OFICINAS[[#This Row],[Data Retorno Produção]]-TAB_OFICINAS[[#This Row],[Data Prometida  Entrega]]</f>
        <v>6</v>
      </c>
      <c r="P1220" s="98" t="str">
        <f ca="1">IF(TAB_OFICINAS[[#This Row],[Dias Para Entrega]]&lt;=0,"Em dia","Dia de Atrasado")</f>
        <v>Dia de Atrasado</v>
      </c>
      <c r="Q1220" s="24">
        <f>IFERROR(TAB_OFICINAS[[#This Row],[Qtd pçs Enviadas]]-TAB_OFICINAS[[#This Row],[Qtd pçs Retornadas ]],"N/D ")</f>
        <v>1</v>
      </c>
      <c r="R1220" s="24"/>
      <c r="S1220" s="5" t="s">
        <v>25300</v>
      </c>
      <c r="U1220" s="11"/>
      <c r="V1220" s="25">
        <f>IFERROR(TAB_OFICINAS[[#This Row],[Valor Unit]]*TAB_OFICINAS[[#This Row],[Qtd pçs Enviadas]]," ")</f>
        <v>0</v>
      </c>
      <c r="W1220" s="26"/>
      <c r="X1220" s="17" t="s">
        <v>6251</v>
      </c>
      <c r="Y1220" s="27" t="s">
        <v>25302</v>
      </c>
      <c r="Z1220" s="90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1221" spans="3:26" hidden="1">
      <c r="C1221" s="28" t="s">
        <v>15</v>
      </c>
      <c r="D1221" s="5">
        <v>964</v>
      </c>
      <c r="E1221" s="5">
        <v>24592</v>
      </c>
      <c r="F1221" s="28" t="str">
        <f>IFERROR(VLOOKUP(TAB_OFICINAS[[#This Row],[Cliente]],LISTA_DE_CLIENTES[[Código]:[Nome Fantasia]],2,FALSE),"")</f>
        <v>TRU COMMERCE IMP. EXP. E COM. DE ROUPA EIRELI</v>
      </c>
      <c r="G1221" s="2" t="str">
        <f>IFERROR(VLOOKUP(TAB_OFICINAS[[#This Row],[Cliente]],LISTA_DE_CLIENTES[[Código]:[Nome Fantasia]],3,FALSE),"")</f>
        <v>TRU COMMERCE</v>
      </c>
      <c r="H1221" s="51">
        <v>3161091377</v>
      </c>
      <c r="I1221" s="28" t="s">
        <v>25304</v>
      </c>
      <c r="J1221" s="91">
        <v>1</v>
      </c>
      <c r="K1221" s="88">
        <v>46308</v>
      </c>
      <c r="M1221" s="6">
        <v>46309</v>
      </c>
      <c r="N1221" s="6">
        <f t="shared" ca="1" si="6"/>
        <v>46315</v>
      </c>
      <c r="O1221" s="23">
        <f ca="1">TAB_OFICINAS[[#This Row],[Data Retorno Produção]]-TAB_OFICINAS[[#This Row],[Data Prometida  Entrega]]</f>
        <v>6</v>
      </c>
      <c r="P1221" s="98" t="str">
        <f ca="1">IF(TAB_OFICINAS[[#This Row],[Dias Para Entrega]]&lt;=0,"Em dia","Dia de Atrasado")</f>
        <v>Dia de Atrasado</v>
      </c>
      <c r="Q1221" s="24">
        <f>IFERROR(TAB_OFICINAS[[#This Row],[Qtd pçs Enviadas]]-TAB_OFICINAS[[#This Row],[Qtd pçs Retornadas ]],"N/D ")</f>
        <v>1</v>
      </c>
      <c r="R1221" s="24"/>
      <c r="S1221" s="5">
        <v>3492</v>
      </c>
      <c r="U1221" s="11">
        <v>12</v>
      </c>
      <c r="V1221" s="25">
        <f>IFERROR(TAB_OFICINAS[[#This Row],[Valor Unit]]*TAB_OFICINAS[[#This Row],[Qtd pçs Enviadas]]," ")</f>
        <v>12</v>
      </c>
      <c r="W1221" s="26"/>
      <c r="X1221" s="17" t="s">
        <v>6251</v>
      </c>
      <c r="Y1221" s="27" t="s">
        <v>25307</v>
      </c>
      <c r="Z1221" s="90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1222" spans="3:26" hidden="1">
      <c r="C1222" s="28" t="s">
        <v>15</v>
      </c>
      <c r="D1222" s="5">
        <v>964</v>
      </c>
      <c r="E1222" s="5">
        <v>24592</v>
      </c>
      <c r="F1222" s="28" t="str">
        <f>IFERROR(VLOOKUP(TAB_OFICINAS[[#This Row],[Cliente]],LISTA_DE_CLIENTES[[Código]:[Nome Fantasia]],2,FALSE),"")</f>
        <v>TRU COMMERCE IMP. EXP. E COM. DE ROUPA EIRELI</v>
      </c>
      <c r="G1222" s="2" t="str">
        <f>IFERROR(VLOOKUP(TAB_OFICINAS[[#This Row],[Cliente]],LISTA_DE_CLIENTES[[Código]:[Nome Fantasia]],3,FALSE),"")</f>
        <v>TRU COMMERCE</v>
      </c>
      <c r="H1222" s="51" t="s">
        <v>24535</v>
      </c>
      <c r="I1222" s="28" t="s">
        <v>25306</v>
      </c>
      <c r="J1222" s="91">
        <v>1</v>
      </c>
      <c r="K1222" s="88">
        <v>46308</v>
      </c>
      <c r="M1222" s="6">
        <v>46309</v>
      </c>
      <c r="N1222" s="6">
        <f t="shared" ca="1" si="6"/>
        <v>46315</v>
      </c>
      <c r="O1222" s="23">
        <f ca="1">TAB_OFICINAS[[#This Row],[Data Retorno Produção]]-TAB_OFICINAS[[#This Row],[Data Prometida  Entrega]]</f>
        <v>6</v>
      </c>
      <c r="P1222" s="98" t="str">
        <f ca="1">IF(TAB_OFICINAS[[#This Row],[Dias Para Entrega]]&lt;=0,"Em dia","Dia de Atrasado")</f>
        <v>Dia de Atrasado</v>
      </c>
      <c r="Q1222" s="24">
        <f>IFERROR(TAB_OFICINAS[[#This Row],[Qtd pçs Enviadas]]-TAB_OFICINAS[[#This Row],[Qtd pçs Retornadas ]],"N/D ")</f>
        <v>1</v>
      </c>
      <c r="R1222" s="24"/>
      <c r="S1222" s="5">
        <v>3493</v>
      </c>
      <c r="U1222" s="11">
        <v>12</v>
      </c>
      <c r="V1222" s="25">
        <f>IFERROR(TAB_OFICINAS[[#This Row],[Valor Unit]]*TAB_OFICINAS[[#This Row],[Qtd pçs Enviadas]]," ")</f>
        <v>12</v>
      </c>
      <c r="W1222" s="26"/>
      <c r="X1222" s="17" t="s">
        <v>6251</v>
      </c>
      <c r="Y1222" s="27" t="s">
        <v>25308</v>
      </c>
      <c r="Z1222" s="90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1223" spans="3:26" hidden="1">
      <c r="C1223" s="28" t="s">
        <v>15</v>
      </c>
      <c r="D1223" s="5">
        <v>964</v>
      </c>
      <c r="E1223" s="5">
        <v>24592</v>
      </c>
      <c r="F1223" s="28" t="str">
        <f>IFERROR(VLOOKUP(TAB_OFICINAS[[#This Row],[Cliente]],LISTA_DE_CLIENTES[[Código]:[Nome Fantasia]],2,FALSE),"")</f>
        <v>TRU COMMERCE IMP. EXP. E COM. DE ROUPA EIRELI</v>
      </c>
      <c r="G1223" s="2" t="str">
        <f>IFERROR(VLOOKUP(TAB_OFICINAS[[#This Row],[Cliente]],LISTA_DE_CLIENTES[[Código]:[Nome Fantasia]],3,FALSE),"")</f>
        <v>TRU COMMERCE</v>
      </c>
      <c r="H1223" s="51" t="s">
        <v>24535</v>
      </c>
      <c r="I1223" s="28" t="s">
        <v>25305</v>
      </c>
      <c r="J1223" s="91">
        <v>1</v>
      </c>
      <c r="K1223" s="88">
        <v>46308</v>
      </c>
      <c r="M1223" s="6">
        <v>46309</v>
      </c>
      <c r="N1223" s="6">
        <f t="shared" ca="1" si="6"/>
        <v>46315</v>
      </c>
      <c r="O1223" s="23">
        <f ca="1">TAB_OFICINAS[[#This Row],[Data Retorno Produção]]-TAB_OFICINAS[[#This Row],[Data Prometida  Entrega]]</f>
        <v>6</v>
      </c>
      <c r="P1223" s="98" t="str">
        <f ca="1">IF(TAB_OFICINAS[[#This Row],[Dias Para Entrega]]&lt;=0,"Em dia","Dia de Atrasado")</f>
        <v>Dia de Atrasado</v>
      </c>
      <c r="Q1223" s="24">
        <f>IFERROR(TAB_OFICINAS[[#This Row],[Qtd pçs Enviadas]]-TAB_OFICINAS[[#This Row],[Qtd pçs Retornadas ]],"N/D ")</f>
        <v>1</v>
      </c>
      <c r="R1223" s="24"/>
      <c r="S1223" s="5">
        <v>3492</v>
      </c>
      <c r="U1223" s="11">
        <v>12</v>
      </c>
      <c r="V1223" s="25">
        <f>IFERROR(TAB_OFICINAS[[#This Row],[Valor Unit]]*TAB_OFICINAS[[#This Row],[Qtd pçs Enviadas]]," ")</f>
        <v>12</v>
      </c>
      <c r="W1223" s="26"/>
      <c r="X1223" s="17" t="s">
        <v>6251</v>
      </c>
      <c r="Y1223" s="27" t="s">
        <v>25308</v>
      </c>
      <c r="Z1223" s="90" t="str">
        <f>IF(TAB_OFICINAS[[#This Row],[Qtd pçs Enviadas]]=TAB_OFICINAS[[#This Row],[Qtd pçs Retornadas ]],"Produção Finalizada",TAB_OFICINAS[[#This Row],[Qtd pçs Pendetente ]] &amp; " " &amp; "Pçs Pendente")</f>
        <v>1 Pçs Pendente</v>
      </c>
    </row>
    <row r="1224" spans="3:26" hidden="1">
      <c r="C1224" s="28" t="s">
        <v>3</v>
      </c>
      <c r="D1224" s="5">
        <v>5715</v>
      </c>
      <c r="E1224" s="5">
        <v>24514</v>
      </c>
      <c r="F1224" s="28" t="str">
        <f>IFERROR(VLOOKUP(TAB_OFICINAS[[#This Row],[Cliente]],LISTA_DE_CLIENTES[[Código]:[Nome Fantasia]],2,FALSE),"")</f>
        <v>HCC HOTELS GESTAO HOTELARIA</v>
      </c>
      <c r="G1224" s="2" t="str">
        <f>IFERROR(VLOOKUP(TAB_OFICINAS[[#This Row],[Cliente]],LISTA_DE_CLIENTES[[Código]:[Nome Fantasia]],3,FALSE),"")</f>
        <v>HOTEL UNNA-HOMEWOOD</v>
      </c>
      <c r="H1224" s="51">
        <v>2104850183</v>
      </c>
      <c r="I1224" s="28" t="str">
        <f>IFERROR(VLOOKUP(TAB_OFICINAS[[#This Row],[Codigo Produto ]],_000___PEDIDOS_DE_CLIENTES[[Data.Column2]:[Descrição Produto]],2,FALSE)," ")</f>
        <v>FRONHA 2 ABAS 5cm - CLASSIC - 180F MISTO PREMIUM - 0,50 X 0,70</v>
      </c>
      <c r="J1224" s="91">
        <v>339</v>
      </c>
      <c r="K1224" s="88">
        <v>46301</v>
      </c>
      <c r="M1224" s="6">
        <v>46310</v>
      </c>
      <c r="N1224" s="6">
        <f t="shared" ca="1" si="6"/>
        <v>46315</v>
      </c>
      <c r="O1224" s="23">
        <f ca="1">TAB_OFICINAS[[#This Row],[Data Retorno Produção]]-TAB_OFICINAS[[#This Row],[Data Prometida  Entrega]]</f>
        <v>5</v>
      </c>
      <c r="P1224" s="98" t="str">
        <f ca="1">IF(TAB_OFICINAS[[#This Row],[Dias Para Entrega]]&lt;=0,"Em dia","Dia de Atrasado")</f>
        <v>Dia de Atrasado</v>
      </c>
      <c r="Q1224" s="24">
        <f>IFERROR(TAB_OFICINAS[[#This Row],[Qtd pçs Enviadas]]-TAB_OFICINAS[[#This Row],[Qtd pçs Retornadas ]],"N/D ")</f>
        <v>339</v>
      </c>
      <c r="R1224" s="24"/>
      <c r="S1224" s="5">
        <v>3477</v>
      </c>
      <c r="U1224" s="11">
        <v>4</v>
      </c>
      <c r="V1224" s="25">
        <f>IFERROR(TAB_OFICINAS[[#This Row],[Valor Unit]]*TAB_OFICINAS[[#This Row],[Qtd pçs Enviadas]]," ")</f>
        <v>1356</v>
      </c>
      <c r="W1224" s="26"/>
      <c r="X1224" s="17" t="s">
        <v>6251</v>
      </c>
      <c r="Y1224" s="27"/>
      <c r="Z1224" s="90" t="str">
        <f>IF(TAB_OFICINAS[[#This Row],[Qtd pçs Enviadas]]=TAB_OFICINAS[[#This Row],[Qtd pçs Retornadas ]],"Produção Finalizada",TAB_OFICINAS[[#This Row],[Qtd pçs Pendetente ]] &amp; " " &amp; "Pçs Pendente")</f>
        <v>339 Pçs Pendente</v>
      </c>
    </row>
    <row r="1225" spans="3:26">
      <c r="C1225" s="28" t="s">
        <v>1</v>
      </c>
      <c r="D1225" s="5">
        <v>5735</v>
      </c>
      <c r="E1225" s="5">
        <v>24271</v>
      </c>
      <c r="F1225" s="28" t="str">
        <f>IFERROR(VLOOKUP(TAB_OFICINAS[[#This Row],[Cliente]],LISTA_DE_CLIENTES[[Código]:[Nome Fantasia]],2,FALSE),"")</f>
        <v>OPERADORA HOTELEIRA RITZ LTDA</v>
      </c>
      <c r="G1225" s="2" t="str">
        <f>IFERROR(VLOOKUP(TAB_OFICINAS[[#This Row],[Cliente]],LISTA_DE_CLIENTES[[Código]:[Nome Fantasia]],3,FALSE),"")</f>
        <v>RITZ LTDA</v>
      </c>
      <c r="H1225" s="51">
        <v>2115851415</v>
      </c>
      <c r="I1225" s="28" t="str">
        <f>IFERROR(VLOOKUP(TAB_OFICINAS[[#This Row],[Codigo Produto ]],_000___PEDIDOS_DE_CLIENTES[[Data.Column2]:[Descrição Produto]],2,FALSE)," ")</f>
        <v>DUVET (CAPA) 300F MISTO CLASSIC MOD ENVELOPE 2,50 X 2,45</v>
      </c>
      <c r="J1225" s="91">
        <v>140</v>
      </c>
      <c r="K1225" s="88">
        <v>46304</v>
      </c>
      <c r="L1225" s="9">
        <v>140</v>
      </c>
      <c r="M1225" s="6">
        <v>46314</v>
      </c>
      <c r="N1225" s="6">
        <v>46314</v>
      </c>
      <c r="O1225" s="23">
        <f>TAB_OFICINAS[[#This Row],[Data Retorno Produção]]-TAB_OFICINAS[[#This Row],[Data Prometida  Entrega]]</f>
        <v>0</v>
      </c>
      <c r="P1225" s="98" t="str">
        <f>IF(TAB_OFICINAS[[#This Row],[Dias Para Entrega]]&lt;=0,"Em dia","Dia de Atrasado")</f>
        <v>Em dia</v>
      </c>
      <c r="Q1225" s="24">
        <v>0</v>
      </c>
      <c r="R1225" s="24"/>
      <c r="S1225" s="5">
        <v>3486</v>
      </c>
      <c r="T1225" s="5">
        <v>74</v>
      </c>
      <c r="U1225" s="11">
        <v>16</v>
      </c>
      <c r="V1225" s="25">
        <f>IFERROR(TAB_OFICINAS[[#This Row],[Valor Unit]]*TAB_OFICINAS[[#This Row],[Qtd pçs Enviadas]]," ")</f>
        <v>2240</v>
      </c>
      <c r="W1225" s="26">
        <f>TAB_OFICINAS[[#This Row],[Data Retorno Produção]]+10</f>
        <v>46324</v>
      </c>
      <c r="X1225" s="17" t="s">
        <v>6251</v>
      </c>
      <c r="Y1225" s="27"/>
      <c r="Z12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26" spans="3:26">
      <c r="C1226" s="28" t="s">
        <v>1</v>
      </c>
      <c r="D1226" s="5">
        <v>5735</v>
      </c>
      <c r="E1226" s="5">
        <v>24271</v>
      </c>
      <c r="F1226" s="28" t="str">
        <f>IFERROR(VLOOKUP(TAB_OFICINAS[[#This Row],[Cliente]],LISTA_DE_CLIENTES[[Código]:[Nome Fantasia]],2,FALSE),"")</f>
        <v>OPERADORA HOTELEIRA RITZ LTDA</v>
      </c>
      <c r="G1226" s="2" t="str">
        <f>IFERROR(VLOOKUP(TAB_OFICINAS[[#This Row],[Cliente]],LISTA_DE_CLIENTES[[Código]:[Nome Fantasia]],3,FALSE),"")</f>
        <v>RITZ LTDA</v>
      </c>
      <c r="H1226" s="51">
        <v>2115851414</v>
      </c>
      <c r="I1226" s="28" t="str">
        <f>IFERROR(VLOOKUP(TAB_OFICINAS[[#This Row],[Codigo Produto ]],_000___PEDIDOS_DE_CLIENTES[[Data.Column2]:[Descrição Produto]],2,FALSE)," ")</f>
        <v>DUVET (CAPA) 300F MISTO CLASSIC MOD ENVELOPE 1,60 X 2,25</v>
      </c>
      <c r="J1226" s="91">
        <v>60</v>
      </c>
      <c r="K1226" s="88">
        <v>46304</v>
      </c>
      <c r="L1226" s="9">
        <v>60</v>
      </c>
      <c r="M1226" s="6">
        <v>46314</v>
      </c>
      <c r="N1226" s="6">
        <v>46314</v>
      </c>
      <c r="O1226" s="23">
        <f>TAB_OFICINAS[[#This Row],[Data Retorno Produção]]-TAB_OFICINAS[[#This Row],[Data Prometida  Entrega]]</f>
        <v>0</v>
      </c>
      <c r="P1226" s="98" t="str">
        <f>IF(TAB_OFICINAS[[#This Row],[Dias Para Entrega]]&lt;=0,"Em dia","Dia de Atrasado")</f>
        <v>Em dia</v>
      </c>
      <c r="Q1226" s="24">
        <f>IFERROR(TAB_OFICINAS[[#This Row],[Qtd pçs Enviadas]]-TAB_OFICINAS[[#This Row],[Qtd pçs Retornadas ]],"N/D ")</f>
        <v>0</v>
      </c>
      <c r="R1226" s="24"/>
      <c r="S1226" s="5">
        <v>3486</v>
      </c>
      <c r="T1226" s="5">
        <v>74</v>
      </c>
      <c r="U1226" s="11">
        <v>14</v>
      </c>
      <c r="V1226" s="25">
        <f>IFERROR(TAB_OFICINAS[[#This Row],[Valor Unit]]*TAB_OFICINAS[[#This Row],[Qtd pçs Enviadas]]," ")</f>
        <v>840</v>
      </c>
      <c r="W1226" s="26">
        <v>46324</v>
      </c>
      <c r="X1226" s="17" t="s">
        <v>6251</v>
      </c>
      <c r="Y1226" s="27"/>
      <c r="Z12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27" spans="3:26" hidden="1">
      <c r="C1227" s="28" t="s">
        <v>7</v>
      </c>
      <c r="D1227" s="5">
        <v>5735</v>
      </c>
      <c r="E1227" s="5">
        <v>24271</v>
      </c>
      <c r="F1227" s="28" t="str">
        <f>IFERROR(VLOOKUP(TAB_OFICINAS[[#This Row],[Cliente]],LISTA_DE_CLIENTES[[Código]:[Nome Fantasia]],2,FALSE),"")</f>
        <v>OPERADORA HOTELEIRA RITZ LTDA</v>
      </c>
      <c r="G1227" s="2" t="str">
        <f>IFERROR(VLOOKUP(TAB_OFICINAS[[#This Row],[Cliente]],LISTA_DE_CLIENTES[[Código]:[Nome Fantasia]],3,FALSE),"")</f>
        <v>RITZ LTDA</v>
      </c>
      <c r="H1227" s="51">
        <v>2101029863</v>
      </c>
      <c r="I1227" s="28" t="str">
        <f>IFERROR(VLOOKUP(TAB_OFICINAS[[#This Row],[Codigo Produto ]],_000___PEDIDOS_DE_CLIENTES[[Data.Column2]:[Descrição Produto]],2,FALSE)," ")</f>
        <v>LENÇOL BAIXO BARRA ESTREITA - 300F MISTO - 2,50 X 2,90</v>
      </c>
      <c r="J1227" s="91">
        <v>243</v>
      </c>
      <c r="K1227" s="88">
        <v>46308</v>
      </c>
      <c r="M1227" s="6">
        <v>46314</v>
      </c>
      <c r="N1227" s="6">
        <f t="shared" ca="1" si="6"/>
        <v>46315</v>
      </c>
      <c r="O1227" s="23">
        <f ca="1">TAB_OFICINAS[[#This Row],[Data Retorno Produção]]-TAB_OFICINAS[[#This Row],[Data Prometida  Entrega]]</f>
        <v>1</v>
      </c>
      <c r="P1227" s="98" t="str">
        <f ca="1">IF(TAB_OFICINAS[[#This Row],[Dias Para Entrega]]&lt;=0,"Em dia","Dia de Atrasado")</f>
        <v>Dia de Atrasado</v>
      </c>
      <c r="Q1227" s="24">
        <f>IFERROR(TAB_OFICINAS[[#This Row],[Qtd pçs Enviadas]]-TAB_OFICINAS[[#This Row],[Qtd pçs Retornadas ]],"N/D ")</f>
        <v>243</v>
      </c>
      <c r="R1227" s="24"/>
      <c r="S1227" s="5">
        <v>3490</v>
      </c>
      <c r="U1227" s="11">
        <v>7.5</v>
      </c>
      <c r="V1227" s="25">
        <f>IFERROR(TAB_OFICINAS[[#This Row],[Valor Unit]]*TAB_OFICINAS[[#This Row],[Qtd pçs Enviadas]]," ")</f>
        <v>1822.5</v>
      </c>
      <c r="W1227" s="26"/>
      <c r="X1227" s="17" t="s">
        <v>6251</v>
      </c>
      <c r="Y1227" s="27"/>
      <c r="Z1227" s="90" t="str">
        <f>IF(TAB_OFICINAS[[#This Row],[Qtd pçs Enviadas]]=TAB_OFICINAS[[#This Row],[Qtd pçs Retornadas ]],"Produção Finalizada",TAB_OFICINAS[[#This Row],[Qtd pçs Pendetente ]] &amp; " " &amp; "Pçs Pendente")</f>
        <v>243 Pçs Pendente</v>
      </c>
    </row>
    <row r="1228" spans="3:26" hidden="1">
      <c r="C1228" s="28" t="s">
        <v>7</v>
      </c>
      <c r="D1228" s="5">
        <v>5845</v>
      </c>
      <c r="E1228" s="5">
        <v>24575</v>
      </c>
      <c r="F1228" s="28" t="str">
        <f>IFERROR(VLOOKUP(TAB_OFICINAS[[#This Row],[Cliente]],LISTA_DE_CLIENTES[[Código]:[Nome Fantasia]],2,FALSE),"")</f>
        <v>EVELYN MAGALHÃES DEL BUSSO</v>
      </c>
      <c r="G1228" s="2" t="str">
        <f>IFERROR(VLOOKUP(TAB_OFICINAS[[#This Row],[Cliente]],LISTA_DE_CLIENTES[[Código]:[Nome Fantasia]],3,FALSE),"")</f>
        <v>EVELYN MAGALHÃES DEL</v>
      </c>
      <c r="H1228" s="51">
        <v>3105019629</v>
      </c>
      <c r="I1228" s="28" t="str">
        <f>IFERROR(VLOOKUP(TAB_OFICINAS[[#This Row],[Codigo Produto ]],_000___PEDIDOS_DE_CLIENTES[[Data.Column2]:[Descrição Produto]],2,FALSE)," ")</f>
        <v>TOALHA DE BANHO BRANCA C/ CAPUZ BABY - CORDONÊ C/ MONOGRAMA COR DO CORDONÊ ( ROSÊ ) - 0,70 X 0,90</v>
      </c>
      <c r="J1228" s="91">
        <v>1</v>
      </c>
      <c r="K1228" s="88">
        <v>46301</v>
      </c>
      <c r="L1228" s="9">
        <v>1</v>
      </c>
      <c r="M1228" s="6">
        <v>46302</v>
      </c>
      <c r="N1228" s="6">
        <v>46302</v>
      </c>
      <c r="O1228" s="23">
        <f>TAB_OFICINAS[[#This Row],[Data Retorno Produção]]-TAB_OFICINAS[[#This Row],[Data Prometida  Entrega]]</f>
        <v>0</v>
      </c>
      <c r="P1228" s="98" t="str">
        <f>IF(TAB_OFICINAS[[#This Row],[Dias Para Entrega]]&lt;=0,"Em dia","Dia de Atrasado")</f>
        <v>Em dia</v>
      </c>
      <c r="Q1228" s="24">
        <f>IFERROR(TAB_OFICINAS[[#This Row],[Qtd pçs Enviadas]]-TAB_OFICINAS[[#This Row],[Qtd pçs Retornadas ]],"N/D ")</f>
        <v>0</v>
      </c>
      <c r="R1228" s="24"/>
      <c r="S1228" s="5">
        <v>3474</v>
      </c>
      <c r="T1228" s="5">
        <v>60</v>
      </c>
      <c r="U1228" s="11">
        <v>12</v>
      </c>
      <c r="V1228" s="25">
        <f>IFERROR(TAB_OFICINAS[[#This Row],[Valor Unit]]*TAB_OFICINAS[[#This Row],[Qtd pçs Enviadas]]," ")</f>
        <v>12</v>
      </c>
      <c r="W1228" s="26">
        <v>46314</v>
      </c>
      <c r="X1228" s="17" t="s">
        <v>6251</v>
      </c>
      <c r="Y1228" s="27" t="s">
        <v>25309</v>
      </c>
      <c r="Z12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29" spans="3:26" hidden="1">
      <c r="C1229" s="28" t="s">
        <v>21197</v>
      </c>
      <c r="D1229" s="5">
        <v>5735</v>
      </c>
      <c r="E1229" s="5">
        <v>24271</v>
      </c>
      <c r="F1229" s="28" t="str">
        <f>IFERROR(VLOOKUP(TAB_OFICINAS[[#This Row],[Cliente]],LISTA_DE_CLIENTES[[Código]:[Nome Fantasia]],2,FALSE),"")</f>
        <v>OPERADORA HOTELEIRA RITZ LTDA</v>
      </c>
      <c r="G1229" s="2" t="str">
        <f>IFERROR(VLOOKUP(TAB_OFICINAS[[#This Row],[Cliente]],LISTA_DE_CLIENTES[[Código]:[Nome Fantasia]],3,FALSE),"")</f>
        <v>RITZ LTDA</v>
      </c>
      <c r="H1229" s="51">
        <v>2105161417</v>
      </c>
      <c r="I1229" s="28" t="str">
        <f>IFERROR(VLOOKUP(TAB_OFICINAS[[#This Row],[Codigo Produto ]],_000___PEDIDOS_DE_CLIENTES[[Data.Column2]:[Descrição Produto]],2,FALSE)," ")</f>
        <v>FRONHA 3 ABAS 5CM 300F MISTO CLASSIC 50 X 70</v>
      </c>
      <c r="J1229" s="91">
        <v>1029</v>
      </c>
      <c r="K1229" s="88">
        <v>46310</v>
      </c>
      <c r="M1229" s="6">
        <v>46318</v>
      </c>
      <c r="N1229" s="6">
        <f t="shared" ca="1" si="6"/>
        <v>46315</v>
      </c>
      <c r="O1229" s="23">
        <f ca="1">TAB_OFICINAS[[#This Row],[Data Retorno Produção]]-TAB_OFICINAS[[#This Row],[Data Prometida  Entrega]]</f>
        <v>-3</v>
      </c>
      <c r="P1229" s="98" t="str">
        <f ca="1">IF(TAB_OFICINAS[[#This Row],[Dias Para Entrega]]&lt;=0,"Em dia","Dia de Atrasado")</f>
        <v>Em dia</v>
      </c>
      <c r="Q1229" s="24">
        <f>IFERROR(TAB_OFICINAS[[#This Row],[Qtd pçs Enviadas]]-TAB_OFICINAS[[#This Row],[Qtd pçs Retornadas ]],"N/D ")</f>
        <v>1029</v>
      </c>
      <c r="R1229" s="24"/>
      <c r="S1229" s="5">
        <v>3493</v>
      </c>
      <c r="U1229" s="11">
        <v>4.9000000000000004</v>
      </c>
      <c r="V1229" s="25">
        <f>IFERROR(TAB_OFICINAS[[#This Row],[Valor Unit]]*TAB_OFICINAS[[#This Row],[Qtd pçs Enviadas]]," ")</f>
        <v>5042.1000000000004</v>
      </c>
      <c r="W1229" s="26"/>
      <c r="X1229" s="17" t="s">
        <v>6251</v>
      </c>
      <c r="Y1229" s="27"/>
      <c r="Z1229" s="90" t="str">
        <f>IF(TAB_OFICINAS[[#This Row],[Qtd pçs Enviadas]]=TAB_OFICINAS[[#This Row],[Qtd pçs Retornadas ]],"Produção Finalizada",TAB_OFICINAS[[#This Row],[Qtd pçs Pendetente ]] &amp; " " &amp; "Pçs Pendente")</f>
        <v>1029 Pçs Pendente</v>
      </c>
    </row>
    <row r="1230" spans="3:26" hidden="1">
      <c r="C1230" s="28" t="s">
        <v>3</v>
      </c>
      <c r="D1230" s="5">
        <v>5735</v>
      </c>
      <c r="E1230" s="5">
        <v>24271</v>
      </c>
      <c r="F1230" s="28" t="str">
        <f>IFERROR(VLOOKUP(TAB_OFICINAS[[#This Row],[Cliente]],LISTA_DE_CLIENTES[[Código]:[Nome Fantasia]],2,FALSE),"")</f>
        <v>OPERADORA HOTELEIRA RITZ LTDA</v>
      </c>
      <c r="G1230" s="2" t="str">
        <f>IFERROR(VLOOKUP(TAB_OFICINAS[[#This Row],[Cliente]],LISTA_DE_CLIENTES[[Código]:[Nome Fantasia]],3,FALSE),"")</f>
        <v>RITZ LTDA</v>
      </c>
      <c r="H1230" s="51">
        <v>2102861413</v>
      </c>
      <c r="I1230" s="28" t="str">
        <f>IFERROR(VLOOKUP(TAB_OFICINAS[[#This Row],[Codigo Produto ]],_000___PEDIDOS_DE_CLIENTES[[Data.Column2]:[Descrição Produto]],2,FALSE)," ")</f>
        <v>LENÇOL BAIXO BARRA ESTREITA 4 LADOS 300F MISTO 2,70 X 2,90</v>
      </c>
      <c r="J1230" s="91">
        <v>48</v>
      </c>
      <c r="K1230" s="88">
        <v>46310</v>
      </c>
      <c r="M1230" s="6">
        <v>46318</v>
      </c>
      <c r="N1230" s="6">
        <f t="shared" ca="1" si="6"/>
        <v>46315</v>
      </c>
      <c r="O1230" s="23">
        <f ca="1">TAB_OFICINAS[[#This Row],[Data Retorno Produção]]-TAB_OFICINAS[[#This Row],[Data Prometida  Entrega]]</f>
        <v>-3</v>
      </c>
      <c r="P1230" s="98" t="str">
        <f ca="1">IF(TAB_OFICINAS[[#This Row],[Dias Para Entrega]]&lt;=0,"Em dia","Dia de Atrasado")</f>
        <v>Em dia</v>
      </c>
      <c r="Q1230" s="24">
        <f>IFERROR(TAB_OFICINAS[[#This Row],[Qtd pçs Enviadas]]-TAB_OFICINAS[[#This Row],[Qtd pçs Retornadas ]],"N/D ")</f>
        <v>48</v>
      </c>
      <c r="R1230" s="24"/>
      <c r="S1230" s="5">
        <v>3494</v>
      </c>
      <c r="U1230" s="11">
        <v>7.5</v>
      </c>
      <c r="V1230" s="25">
        <f>IFERROR(TAB_OFICINAS[[#This Row],[Valor Unit]]*TAB_OFICINAS[[#This Row],[Qtd pçs Enviadas]]," ")</f>
        <v>360</v>
      </c>
      <c r="W1230" s="26"/>
      <c r="X1230" s="17" t="s">
        <v>6251</v>
      </c>
      <c r="Y1230" s="27"/>
      <c r="Z1230" s="90" t="str">
        <f>IF(TAB_OFICINAS[[#This Row],[Qtd pçs Enviadas]]=TAB_OFICINAS[[#This Row],[Qtd pçs Retornadas ]],"Produção Finalizada",TAB_OFICINAS[[#This Row],[Qtd pçs Pendetente ]] &amp; " " &amp; "Pçs Pendente")</f>
        <v>48 Pçs Pendente</v>
      </c>
    </row>
    <row r="1231" spans="3:26" hidden="1">
      <c r="C1231" s="28" t="s">
        <v>3</v>
      </c>
      <c r="D1231" s="5">
        <v>5735</v>
      </c>
      <c r="E1231" s="5">
        <v>24271</v>
      </c>
      <c r="F1231" s="28" t="str">
        <f>IFERROR(VLOOKUP(TAB_OFICINAS[[#This Row],[Cliente]],LISTA_DE_CLIENTES[[Código]:[Nome Fantasia]],2,FALSE),"")</f>
        <v>OPERADORA HOTELEIRA RITZ LTDA</v>
      </c>
      <c r="G1231" s="2" t="str">
        <f>IFERROR(VLOOKUP(TAB_OFICINAS[[#This Row],[Cliente]],LISTA_DE_CLIENTES[[Código]:[Nome Fantasia]],3,FALSE),"")</f>
        <v>RITZ LTDA</v>
      </c>
      <c r="H1231" s="51">
        <v>2102861412</v>
      </c>
      <c r="I1231" s="28" t="str">
        <f>IFERROR(VLOOKUP(TAB_OFICINAS[[#This Row],[Codigo Produto ]],_000___PEDIDOS_DE_CLIENTES[[Data.Column2]:[Descrição Produto]],2,FALSE)," ")</f>
        <v>LENÇOL BAIXO BARRA ESTREITA 4LADOS 300F MISTO 1,60 X 2,60</v>
      </c>
      <c r="J1231" s="91">
        <v>115</v>
      </c>
      <c r="K1231" s="88">
        <v>46310</v>
      </c>
      <c r="M1231" s="6">
        <v>46318</v>
      </c>
      <c r="N1231" s="6">
        <f t="shared" ca="1" si="6"/>
        <v>46315</v>
      </c>
      <c r="O1231" s="23">
        <f ca="1">TAB_OFICINAS[[#This Row],[Data Retorno Produção]]-TAB_OFICINAS[[#This Row],[Data Prometida  Entrega]]</f>
        <v>-3</v>
      </c>
      <c r="P1231" s="98" t="str">
        <f ca="1">IF(TAB_OFICINAS[[#This Row],[Dias Para Entrega]]&lt;=0,"Em dia","Dia de Atrasado")</f>
        <v>Em dia</v>
      </c>
      <c r="Q1231" s="24">
        <f>IFERROR(TAB_OFICINAS[[#This Row],[Qtd pçs Enviadas]]-TAB_OFICINAS[[#This Row],[Qtd pçs Retornadas ]],"N/D ")</f>
        <v>115</v>
      </c>
      <c r="R1231" s="24"/>
      <c r="S1231" s="5">
        <v>3494</v>
      </c>
      <c r="U1231" s="11">
        <v>6.5</v>
      </c>
      <c r="V1231" s="25">
        <f>IFERROR(TAB_OFICINAS[[#This Row],[Valor Unit]]*TAB_OFICINAS[[#This Row],[Qtd pçs Enviadas]]," ")</f>
        <v>747.5</v>
      </c>
      <c r="W1231" s="26"/>
      <c r="X1231" s="17" t="s">
        <v>6251</v>
      </c>
      <c r="Y1231" s="27"/>
      <c r="Z1231" s="90" t="str">
        <f>IF(TAB_OFICINAS[[#This Row],[Qtd pçs Enviadas]]=TAB_OFICINAS[[#This Row],[Qtd pçs Retornadas ]],"Produção Finalizada",TAB_OFICINAS[[#This Row],[Qtd pçs Pendetente ]] &amp; " " &amp; "Pçs Pendente")</f>
        <v>115 Pçs Pendente</v>
      </c>
    </row>
    <row r="1232" spans="3:26" hidden="1">
      <c r="C1232" s="28" t="s">
        <v>7</v>
      </c>
      <c r="D1232" s="5">
        <v>245</v>
      </c>
      <c r="E1232" s="5">
        <v>24210</v>
      </c>
      <c r="F1232" s="28" t="str">
        <f>IFERROR(VLOOKUP(TAB_OFICINAS[[#This Row],[Cliente]],LISTA_DE_CLIENTES[[Código]:[Nome Fantasia]],2,FALSE),"")</f>
        <v>MELIA BRASIL ADMINISTRACAO HOTELEIRA E COMERCIAL L</v>
      </c>
      <c r="G1232" s="2" t="str">
        <f>IFERROR(VLOOKUP(TAB_OFICINAS[[#This Row],[Cliente]],LISTA_DE_CLIENTES[[Código]:[Nome Fantasia]],3,FALSE),"")</f>
        <v>MELIA PAULISTA</v>
      </c>
      <c r="H1232" s="51">
        <v>92101041103</v>
      </c>
      <c r="I1232" s="28" t="str">
        <f>IFERROR(VLOOKUP(TAB_OFICINAS[[#This Row],[Codigo Produto ]],_000___PEDIDOS_DE_CLIENTES[[Data.Column2]:[Descrição Produto]],2,FALSE)," ")</f>
        <v>LENÇOL BARRA ESTREITA 4 LADOS - 230F MSITO - 2,80 X 3,00</v>
      </c>
      <c r="J1232" s="91">
        <v>193</v>
      </c>
      <c r="K1232" s="88">
        <v>46310</v>
      </c>
      <c r="M1232" s="6">
        <v>46315</v>
      </c>
      <c r="N1232" s="6">
        <f t="shared" ca="1" si="6"/>
        <v>46315</v>
      </c>
      <c r="O1232" s="23">
        <f ca="1">TAB_OFICINAS[[#This Row],[Data Retorno Produção]]-TAB_OFICINAS[[#This Row],[Data Prometida  Entrega]]</f>
        <v>0</v>
      </c>
      <c r="P1232" s="98" t="str">
        <f ca="1">IF(TAB_OFICINAS[[#This Row],[Dias Para Entrega]]&lt;=0,"Em dia","Dia de Atrasado")</f>
        <v>Em dia</v>
      </c>
      <c r="Q1232" s="24">
        <f>IFERROR(TAB_OFICINAS[[#This Row],[Qtd pçs Enviadas]]-TAB_OFICINAS[[#This Row],[Qtd pçs Retornadas ]],"N/D ")</f>
        <v>193</v>
      </c>
      <c r="R1232" s="24"/>
      <c r="S1232" s="5">
        <v>3497</v>
      </c>
      <c r="U1232" s="11">
        <v>8</v>
      </c>
      <c r="V1232" s="25">
        <f>IFERROR(TAB_OFICINAS[[#This Row],[Valor Unit]]*TAB_OFICINAS[[#This Row],[Qtd pçs Enviadas]]," ")</f>
        <v>1544</v>
      </c>
      <c r="W1232" s="26"/>
      <c r="X1232" s="17" t="s">
        <v>6251</v>
      </c>
      <c r="Y1232" s="27"/>
      <c r="Z1232" s="90" t="str">
        <f>IF(TAB_OFICINAS[[#This Row],[Qtd pçs Enviadas]]=TAB_OFICINAS[[#This Row],[Qtd pçs Retornadas ]],"Produção Finalizada",TAB_OFICINAS[[#This Row],[Qtd pçs Pendetente ]] &amp; " " &amp; "Pçs Pendente")</f>
        <v>193 Pçs Pendente</v>
      </c>
    </row>
    <row r="1233" spans="3:26" hidden="1">
      <c r="C1233" s="28" t="s">
        <v>16</v>
      </c>
      <c r="D1233" s="5">
        <v>5766</v>
      </c>
      <c r="E1233" s="5">
        <v>24593</v>
      </c>
      <c r="F1233" s="28" t="str">
        <f>IFERROR(VLOOKUP(TAB_OFICINAS[[#This Row],[Cliente]],LISTA_DE_CLIENTES[[Código]:[Nome Fantasia]],2,FALSE),"")</f>
        <v>AL BUZIOS HOTEL LTDA</v>
      </c>
      <c r="G1233" s="2" t="str">
        <f>IFERROR(VLOOKUP(TAB_OFICINAS[[#This Row],[Cliente]],LISTA_DE_CLIENTES[[Código]:[Nome Fantasia]],3,FALSE),"")</f>
        <v>AL BUZIOS HOTEL LTDA</v>
      </c>
      <c r="H1233" s="51">
        <v>92105308696</v>
      </c>
      <c r="I1233" s="28" t="str">
        <f>IFERROR(VLOOKUP(TAB_OFICINAS[[#This Row],[Codigo Produto ]],_000___PEDIDOS_DE_CLIENTES[[Data.Column2]:[Descrição Produto]],2,FALSE)," ")</f>
        <v xml:space="preserve"> </v>
      </c>
      <c r="J1233" s="91">
        <v>60</v>
      </c>
      <c r="K1233" s="88">
        <v>46311</v>
      </c>
      <c r="M1233" s="6">
        <v>46315</v>
      </c>
      <c r="N1233" s="6">
        <f t="shared" ca="1" si="6"/>
        <v>46315</v>
      </c>
      <c r="O1233" s="23">
        <f ca="1">TAB_OFICINAS[[#This Row],[Data Retorno Produção]]-TAB_OFICINAS[[#This Row],[Data Prometida  Entrega]]</f>
        <v>0</v>
      </c>
      <c r="P1233" s="98" t="str">
        <f ca="1">IF(TAB_OFICINAS[[#This Row],[Dias Para Entrega]]&lt;=0,"Em dia","Dia de Atrasado")</f>
        <v>Em dia</v>
      </c>
      <c r="Q1233" s="24">
        <f>IFERROR(TAB_OFICINAS[[#This Row],[Qtd pçs Enviadas]]-TAB_OFICINAS[[#This Row],[Qtd pçs Retornadas ]],"N/D ")</f>
        <v>60</v>
      </c>
      <c r="R1233" s="24"/>
      <c r="S1233" s="5">
        <v>3500</v>
      </c>
      <c r="U1233" s="11">
        <v>3.5</v>
      </c>
      <c r="V1233" s="25">
        <f>IFERROR(TAB_OFICINAS[[#This Row],[Valor Unit]]*TAB_OFICINAS[[#This Row],[Qtd pçs Enviadas]]," ")</f>
        <v>210</v>
      </c>
      <c r="W1233" s="26"/>
      <c r="X1233" s="17" t="s">
        <v>6251</v>
      </c>
      <c r="Y1233" s="27"/>
      <c r="Z1233" s="90" t="str">
        <f>IF(TAB_OFICINAS[[#This Row],[Qtd pçs Enviadas]]=TAB_OFICINAS[[#This Row],[Qtd pçs Retornadas ]],"Produção Finalizada",TAB_OFICINAS[[#This Row],[Qtd pçs Pendetente ]] &amp; " " &amp; "Pçs Pendente")</f>
        <v>60 Pçs Pendente</v>
      </c>
    </row>
    <row r="1234" spans="3:26" hidden="1">
      <c r="C1234" s="28" t="s">
        <v>15</v>
      </c>
      <c r="D1234" s="5">
        <v>5378</v>
      </c>
      <c r="E1234" s="5">
        <v>24613</v>
      </c>
      <c r="F1234" s="28" t="str">
        <f>IFERROR(VLOOKUP(TAB_OFICINAS[[#This Row],[Cliente]],LISTA_DE_CLIENTES[[Código]:[Nome Fantasia]],2,FALSE),"")</f>
        <v>ZIREH IMOVEIS E PARTICIPACOES LTDA</v>
      </c>
      <c r="G1234" s="2" t="str">
        <f>IFERROR(VLOOKUP(TAB_OFICINAS[[#This Row],[Cliente]],LISTA_DE_CLIENTES[[Código]:[Nome Fantasia]],3,FALSE),"")</f>
        <v>ZIREH IMOVEIS</v>
      </c>
      <c r="H1234" s="51" t="s">
        <v>21342</v>
      </c>
      <c r="I1234" s="28" t="str">
        <f>IFERROR(VLOOKUP(TAB_OFICINAS[[#This Row],[Codigo Produto ]],_000___PEDIDOS_DE_CLIENTES[[Data.Column2]:[Descrição Produto]],2,FALSE)," ")</f>
        <v xml:space="preserve"> </v>
      </c>
      <c r="J1234" s="91">
        <v>6</v>
      </c>
      <c r="K1234" s="88">
        <v>46311</v>
      </c>
      <c r="M1234" s="6">
        <v>46322</v>
      </c>
      <c r="N1234" s="6">
        <f t="shared" ca="1" si="6"/>
        <v>46315</v>
      </c>
      <c r="O1234" s="23">
        <f ca="1">TAB_OFICINAS[[#This Row],[Data Retorno Produção]]-TAB_OFICINAS[[#This Row],[Data Prometida  Entrega]]</f>
        <v>-7</v>
      </c>
      <c r="P1234" s="98" t="str">
        <f ca="1">IF(TAB_OFICINAS[[#This Row],[Dias Para Entrega]]&lt;=0,"Em dia","Dia de Atrasado")</f>
        <v>Em dia</v>
      </c>
      <c r="Q1234" s="24">
        <f>IFERROR(TAB_OFICINAS[[#This Row],[Qtd pçs Enviadas]]-TAB_OFICINAS[[#This Row],[Qtd pçs Retornadas ]],"N/D ")</f>
        <v>6</v>
      </c>
      <c r="R1234" s="24"/>
      <c r="S1234" s="5">
        <v>3501</v>
      </c>
      <c r="U1234" s="11">
        <v>3.6</v>
      </c>
      <c r="V1234" s="25">
        <f>IFERROR(TAB_OFICINAS[[#This Row],[Valor Unit]]*TAB_OFICINAS[[#This Row],[Qtd pçs Enviadas]]," ")</f>
        <v>21.6</v>
      </c>
      <c r="W1234" s="26"/>
      <c r="X1234" s="17" t="s">
        <v>6251</v>
      </c>
      <c r="Y1234" s="27" t="s">
        <v>23417</v>
      </c>
      <c r="Z1234" s="90" t="str">
        <f>IF(TAB_OFICINAS[[#This Row],[Qtd pçs Enviadas]]=TAB_OFICINAS[[#This Row],[Qtd pçs Retornadas ]],"Produção Finalizada",TAB_OFICINAS[[#This Row],[Qtd pçs Pendetente ]] &amp; " " &amp; "Pçs Pendente")</f>
        <v>6 Pçs Pendente</v>
      </c>
    </row>
    <row r="1235" spans="3:26" hidden="1">
      <c r="C1235" s="28" t="s">
        <v>15</v>
      </c>
      <c r="D1235" s="5">
        <v>5378</v>
      </c>
      <c r="E1235" s="5">
        <v>24613</v>
      </c>
      <c r="F1235" s="28" t="str">
        <f>IFERROR(VLOOKUP(TAB_OFICINAS[[#This Row],[Cliente]],LISTA_DE_CLIENTES[[Código]:[Nome Fantasia]],2,FALSE),"")</f>
        <v>ZIREH IMOVEIS E PARTICIPACOES LTDA</v>
      </c>
      <c r="G1235" s="2" t="str">
        <f>IFERROR(VLOOKUP(TAB_OFICINAS[[#This Row],[Cliente]],LISTA_DE_CLIENTES[[Código]:[Nome Fantasia]],3,FALSE),"")</f>
        <v>ZIREH IMOVEIS</v>
      </c>
      <c r="H1235" s="51">
        <v>3301099927</v>
      </c>
      <c r="I1235" s="28" t="str">
        <f>IFERROR(VLOOKUP(TAB_OFICINAS[[#This Row],[Codigo Produto ]],_000___PEDIDOS_DE_CLIENTES[[Data.Column2]:[Descrição Produto]],2,FALSE)," ")</f>
        <v xml:space="preserve"> </v>
      </c>
      <c r="J1235" s="91">
        <v>14</v>
      </c>
      <c r="K1235" s="88">
        <v>46311</v>
      </c>
      <c r="M1235" s="6">
        <v>46322</v>
      </c>
      <c r="N1235" s="6">
        <f t="shared" ca="1" si="6"/>
        <v>46315</v>
      </c>
      <c r="O1235" s="23">
        <f ca="1">TAB_OFICINAS[[#This Row],[Data Retorno Produção]]-TAB_OFICINAS[[#This Row],[Data Prometida  Entrega]]</f>
        <v>-7</v>
      </c>
      <c r="P1235" s="98" t="str">
        <f ca="1">IF(TAB_OFICINAS[[#This Row],[Dias Para Entrega]]&lt;=0,"Em dia","Dia de Atrasado")</f>
        <v>Em dia</v>
      </c>
      <c r="Q1235" s="24">
        <f>IFERROR(TAB_OFICINAS[[#This Row],[Qtd pçs Enviadas]]-TAB_OFICINAS[[#This Row],[Qtd pçs Retornadas ]],"N/D ")</f>
        <v>14</v>
      </c>
      <c r="R1235" s="24"/>
      <c r="S1235" s="5">
        <v>3501</v>
      </c>
      <c r="U1235" s="11">
        <v>3.6</v>
      </c>
      <c r="V1235" s="25">
        <f>IFERROR(TAB_OFICINAS[[#This Row],[Valor Unit]]*TAB_OFICINAS[[#This Row],[Qtd pçs Enviadas]]," ")</f>
        <v>50.4</v>
      </c>
      <c r="W1235" s="26"/>
      <c r="X1235" s="17" t="s">
        <v>6251</v>
      </c>
      <c r="Y1235" s="27" t="s">
        <v>23417</v>
      </c>
      <c r="Z1235" s="90" t="str">
        <f>IF(TAB_OFICINAS[[#This Row],[Qtd pçs Enviadas]]=TAB_OFICINAS[[#This Row],[Qtd pçs Retornadas ]],"Produção Finalizada",TAB_OFICINAS[[#This Row],[Qtd pçs Pendetente ]] &amp; " " &amp; "Pçs Pendente")</f>
        <v>14 Pçs Pendente</v>
      </c>
    </row>
    <row r="1236" spans="3:26" hidden="1">
      <c r="C1236" s="28" t="s">
        <v>15</v>
      </c>
      <c r="D1236" s="5">
        <v>5378</v>
      </c>
      <c r="E1236" s="5">
        <v>24613</v>
      </c>
      <c r="F1236" s="28" t="str">
        <f>IFERROR(VLOOKUP(TAB_OFICINAS[[#This Row],[Cliente]],LISTA_DE_CLIENTES[[Código]:[Nome Fantasia]],2,FALSE),"")</f>
        <v>ZIREH IMOVEIS E PARTICIPACOES LTDA</v>
      </c>
      <c r="G1236" s="2" t="str">
        <f>IFERROR(VLOOKUP(TAB_OFICINAS[[#This Row],[Cliente]],LISTA_DE_CLIENTES[[Código]:[Nome Fantasia]],3,FALSE),"")</f>
        <v>ZIREH IMOVEIS</v>
      </c>
      <c r="H1236" s="51">
        <v>330191163</v>
      </c>
      <c r="I1236" s="28" t="str">
        <f>IFERROR(VLOOKUP(TAB_OFICINAS[[#This Row],[Codigo Produto ]],_000___PEDIDOS_DE_CLIENTES[[Data.Column2]:[Descrição Produto]],2,FALSE)," ")</f>
        <v xml:space="preserve"> </v>
      </c>
      <c r="J1236" s="91">
        <v>14</v>
      </c>
      <c r="K1236" s="88">
        <v>46311</v>
      </c>
      <c r="M1236" s="6">
        <v>46322</v>
      </c>
      <c r="N1236" s="6">
        <f t="shared" ca="1" si="6"/>
        <v>46315</v>
      </c>
      <c r="O1236" s="23">
        <f ca="1">TAB_OFICINAS[[#This Row],[Data Retorno Produção]]-TAB_OFICINAS[[#This Row],[Data Prometida  Entrega]]</f>
        <v>-7</v>
      </c>
      <c r="P1236" s="98" t="str">
        <f ca="1">IF(TAB_OFICINAS[[#This Row],[Dias Para Entrega]]&lt;=0,"Em dia","Dia de Atrasado")</f>
        <v>Em dia</v>
      </c>
      <c r="Q1236" s="24">
        <f>IFERROR(TAB_OFICINAS[[#This Row],[Qtd pçs Enviadas]]-TAB_OFICINAS[[#This Row],[Qtd pçs Retornadas ]],"N/D ")</f>
        <v>14</v>
      </c>
      <c r="R1236" s="24"/>
      <c r="S1236" s="5">
        <v>3501</v>
      </c>
      <c r="U1236" s="11">
        <v>3.6</v>
      </c>
      <c r="V1236" s="25">
        <f>IFERROR(TAB_OFICINAS[[#This Row],[Valor Unit]]*TAB_OFICINAS[[#This Row],[Qtd pçs Enviadas]]," ")</f>
        <v>50.4</v>
      </c>
      <c r="W1236" s="26"/>
      <c r="X1236" s="17" t="s">
        <v>6251</v>
      </c>
      <c r="Y1236" s="27" t="s">
        <v>23417</v>
      </c>
      <c r="Z1236" s="90" t="str">
        <f>IF(TAB_OFICINAS[[#This Row],[Qtd pçs Enviadas]]=TAB_OFICINAS[[#This Row],[Qtd pçs Retornadas ]],"Produção Finalizada",TAB_OFICINAS[[#This Row],[Qtd pçs Pendetente ]] &amp; " " &amp; "Pçs Pendente")</f>
        <v>14 Pçs Pendente</v>
      </c>
    </row>
    <row r="1237" spans="3:26" hidden="1">
      <c r="C1237" s="28" t="s">
        <v>15</v>
      </c>
      <c r="D1237" s="5">
        <v>526</v>
      </c>
      <c r="E1237" s="5">
        <v>24492</v>
      </c>
      <c r="F1237" s="28" t="str">
        <f>IFERROR(VLOOKUP(TAB_OFICINAS[[#This Row],[Cliente]],LISTA_DE_CLIENTES[[Código]:[Nome Fantasia]],2,FALSE),"")</f>
        <v>ATMOSFERA GESTAO E HIGIENIZACAO DE TEXTEIS S.A.</v>
      </c>
      <c r="G1237" s="2" t="str">
        <f>IFERROR(VLOOKUP(TAB_OFICINAS[[#This Row],[Cliente]],LISTA_DE_CLIENTES[[Código]:[Nome Fantasia]],3,FALSE),"")</f>
        <v>ATMOSFERA ST BARBARA</v>
      </c>
      <c r="H1237" s="51">
        <v>92115472176</v>
      </c>
      <c r="I1237" s="28" t="str">
        <f>IFERROR(VLOOKUP(TAB_OFICINAS[[#This Row],[Codigo Produto ]],_000___PEDIDOS_DE_CLIENTES[[Data.Column2]:[Descrição Produto]],2,FALSE)," ")</f>
        <v>DUVET (CAPA) 230F MISTO C/ FESTONÊ "T" COR PERSA 07064 C/ LINHA DE IDENTIFICAÇÃO COR PRETA 2,85x2,55</v>
      </c>
      <c r="J1237" s="91">
        <v>51</v>
      </c>
      <c r="K1237" s="88">
        <v>46311</v>
      </c>
      <c r="M1237" s="6">
        <v>46322</v>
      </c>
      <c r="N1237" s="6">
        <f t="shared" ca="1" si="6"/>
        <v>46315</v>
      </c>
      <c r="O1237" s="23">
        <f ca="1">TAB_OFICINAS[[#This Row],[Data Retorno Produção]]-TAB_OFICINAS[[#This Row],[Data Prometida  Entrega]]</f>
        <v>-7</v>
      </c>
      <c r="P1237" s="98" t="str">
        <f ca="1">IF(TAB_OFICINAS[[#This Row],[Dias Para Entrega]]&lt;=0,"Em dia","Dia de Atrasado")</f>
        <v>Em dia</v>
      </c>
      <c r="Q1237" s="24">
        <f>IFERROR(TAB_OFICINAS[[#This Row],[Qtd pçs Enviadas]]-TAB_OFICINAS[[#This Row],[Qtd pçs Retornadas ]],"N/D ")</f>
        <v>51</v>
      </c>
      <c r="R1237" s="24"/>
      <c r="S1237" s="5">
        <v>3501</v>
      </c>
      <c r="U1237" s="11">
        <v>15</v>
      </c>
      <c r="V1237" s="25">
        <f>IFERROR(TAB_OFICINAS[[#This Row],[Valor Unit]]*TAB_OFICINAS[[#This Row],[Qtd pçs Enviadas]]," ")</f>
        <v>765</v>
      </c>
      <c r="W1237" s="26"/>
      <c r="X1237" s="17" t="s">
        <v>6251</v>
      </c>
      <c r="Y1237" s="27"/>
      <c r="Z1237" s="90" t="str">
        <f>IF(TAB_OFICINAS[[#This Row],[Qtd pçs Enviadas]]=TAB_OFICINAS[[#This Row],[Qtd pçs Retornadas ]],"Produção Finalizada",TAB_OFICINAS[[#This Row],[Qtd pçs Pendetente ]] &amp; " " &amp; "Pçs Pendente")</f>
        <v>51 Pçs Pendente</v>
      </c>
    </row>
    <row r="1238" spans="3:26" hidden="1">
      <c r="C1238" s="28" t="s">
        <v>15</v>
      </c>
      <c r="D1238" s="5">
        <v>526</v>
      </c>
      <c r="E1238" s="5">
        <v>24492</v>
      </c>
      <c r="F1238" s="28" t="str">
        <f>IFERROR(VLOOKUP(TAB_OFICINAS[[#This Row],[Cliente]],LISTA_DE_CLIENTES[[Código]:[Nome Fantasia]],2,FALSE),"")</f>
        <v>ATMOSFERA GESTAO E HIGIENIZACAO DE TEXTEIS S.A.</v>
      </c>
      <c r="G1238" s="2" t="str">
        <f>IFERROR(VLOOKUP(TAB_OFICINAS[[#This Row],[Cliente]],LISTA_DE_CLIENTES[[Código]:[Nome Fantasia]],3,FALSE),"")</f>
        <v>ATMOSFERA ST BARBARA</v>
      </c>
      <c r="H1238" s="51">
        <v>92104156036</v>
      </c>
      <c r="I1238" s="28" t="str">
        <f>IFERROR(VLOOKUP(TAB_OFICINAS[[#This Row],[Codigo Produto ]],_000___PEDIDOS_DE_CLIENTES[[Data.Column2]:[Descrição Produto]],2,FALSE)," ")</f>
        <v>FRONHA 2 ABAS 5cm - 230F MISTO C/ FESTONÊ T - 0,50 X 0,70</v>
      </c>
      <c r="J1238" s="91">
        <v>300</v>
      </c>
      <c r="K1238" s="88">
        <v>46311</v>
      </c>
      <c r="M1238" s="6">
        <v>46322</v>
      </c>
      <c r="N1238" s="6">
        <f t="shared" ca="1" si="6"/>
        <v>46315</v>
      </c>
      <c r="O1238" s="23">
        <f ca="1">TAB_OFICINAS[[#This Row],[Data Retorno Produção]]-TAB_OFICINAS[[#This Row],[Data Prometida  Entrega]]</f>
        <v>-7</v>
      </c>
      <c r="P1238" s="98" t="str">
        <f ca="1">IF(TAB_OFICINAS[[#This Row],[Dias Para Entrega]]&lt;=0,"Em dia","Dia de Atrasado")</f>
        <v>Em dia</v>
      </c>
      <c r="Q1238" s="24">
        <f>IFERROR(TAB_OFICINAS[[#This Row],[Qtd pçs Enviadas]]-TAB_OFICINAS[[#This Row],[Qtd pçs Retornadas ]],"N/D ")</f>
        <v>300</v>
      </c>
      <c r="R1238" s="24"/>
      <c r="S1238" s="5">
        <v>3501</v>
      </c>
      <c r="U1238" s="11">
        <v>15</v>
      </c>
      <c r="V1238" s="25">
        <f>IFERROR(TAB_OFICINAS[[#This Row],[Valor Unit]]*TAB_OFICINAS[[#This Row],[Qtd pçs Enviadas]]," ")</f>
        <v>4500</v>
      </c>
      <c r="W1238" s="26"/>
      <c r="X1238" s="17" t="s">
        <v>6251</v>
      </c>
      <c r="Y1238" s="27"/>
      <c r="Z1238" s="90" t="str">
        <f>IF(TAB_OFICINAS[[#This Row],[Qtd pçs Enviadas]]=TAB_OFICINAS[[#This Row],[Qtd pçs Retornadas ]],"Produção Finalizada",TAB_OFICINAS[[#This Row],[Qtd pçs Pendetente ]] &amp; " " &amp; "Pçs Pendente")</f>
        <v>300 Pçs Pendente</v>
      </c>
    </row>
    <row r="1239" spans="3:26" hidden="1">
      <c r="C1239" s="28" t="s">
        <v>15</v>
      </c>
      <c r="D1239" s="5">
        <v>526</v>
      </c>
      <c r="E1239" s="5">
        <v>24492</v>
      </c>
      <c r="F1239" s="28" t="str">
        <f>IFERROR(VLOOKUP(TAB_OFICINAS[[#This Row],[Cliente]],LISTA_DE_CLIENTES[[Código]:[Nome Fantasia]],2,FALSE),"")</f>
        <v>ATMOSFERA GESTAO E HIGIENIZACAO DE TEXTEIS S.A.</v>
      </c>
      <c r="G1239" s="2" t="str">
        <f>IFERROR(VLOOKUP(TAB_OFICINAS[[#This Row],[Cliente]],LISTA_DE_CLIENTES[[Código]:[Nome Fantasia]],3,FALSE),"")</f>
        <v>ATMOSFERA ST BARBARA</v>
      </c>
      <c r="H1239" s="51">
        <v>92102156032</v>
      </c>
      <c r="I1239" s="28" t="str">
        <f>IFERROR(VLOOKUP(TAB_OFICINAS[[#This Row],[Codigo Produto ]],_000___PEDIDOS_DE_CLIENTES[[Data.Column2]:[Descrição Produto]],2,FALSE)," ")</f>
        <v>LENÇOL CIMA  230F - FESTONE  " T  " COR PRESA 07064 - IDENTIFICAÇÃO LINHA  PRETA -  2,81 X 2,75</v>
      </c>
      <c r="J1239" s="91">
        <v>51</v>
      </c>
      <c r="K1239" s="88">
        <v>46311</v>
      </c>
      <c r="M1239" s="6">
        <v>46322</v>
      </c>
      <c r="N1239" s="6">
        <f t="shared" ca="1" si="6"/>
        <v>46315</v>
      </c>
      <c r="O1239" s="23">
        <f ca="1">TAB_OFICINAS[[#This Row],[Data Retorno Produção]]-TAB_OFICINAS[[#This Row],[Data Prometida  Entrega]]</f>
        <v>-7</v>
      </c>
      <c r="P1239" s="98" t="str">
        <f ca="1">IF(TAB_OFICINAS[[#This Row],[Dias Para Entrega]]&lt;=0,"Em dia","Dia de Atrasado")</f>
        <v>Em dia</v>
      </c>
      <c r="Q1239" s="24">
        <f>IFERROR(TAB_OFICINAS[[#This Row],[Qtd pçs Enviadas]]-TAB_OFICINAS[[#This Row],[Qtd pçs Retornadas ]],"N/D ")</f>
        <v>51</v>
      </c>
      <c r="R1239" s="24"/>
      <c r="S1239" s="5">
        <v>3501</v>
      </c>
      <c r="U1239" s="11">
        <v>15</v>
      </c>
      <c r="V1239" s="25">
        <f>IFERROR(TAB_OFICINAS[[#This Row],[Valor Unit]]*TAB_OFICINAS[[#This Row],[Qtd pçs Enviadas]]," ")</f>
        <v>765</v>
      </c>
      <c r="W1239" s="26"/>
      <c r="X1239" s="17" t="s">
        <v>6251</v>
      </c>
      <c r="Y1239" s="27"/>
      <c r="Z1239" s="90" t="str">
        <f>IF(TAB_OFICINAS[[#This Row],[Qtd pçs Enviadas]]=TAB_OFICINAS[[#This Row],[Qtd pçs Retornadas ]],"Produção Finalizada",TAB_OFICINAS[[#This Row],[Qtd pçs Pendetente ]] &amp; " " &amp; "Pçs Pendente")</f>
        <v>51 Pçs Pendente</v>
      </c>
    </row>
    <row r="1240" spans="3:26" hidden="1">
      <c r="F1240" s="28" t="str">
        <f>IFERROR(VLOOKUP(TAB_OFICINAS[[#This Row],[Cliente]],LISTA_DE_CLIENTES[[Código]:[Nome Fantasia]],2,FALSE),"")</f>
        <v/>
      </c>
      <c r="G1240" s="2" t="str">
        <f>IFERROR(VLOOKUP(TAB_OFICINAS[[#This Row],[Cliente]],LISTA_DE_CLIENTES[[Código]:[Nome Fantasia]],3,FALSE),"")</f>
        <v/>
      </c>
      <c r="H1240" s="51"/>
      <c r="I1240" s="28" t="str">
        <f>IFERROR(VLOOKUP(TAB_OFICINAS[[#This Row],[Codigo Produto ]],_000___PEDIDOS_DE_CLIENTES[[Data.Column2]:[Descrição Produto]],2,FALSE)," ")</f>
        <v xml:space="preserve"> </v>
      </c>
      <c r="J1240" s="91"/>
      <c r="K1240" s="88"/>
      <c r="N1240" s="6">
        <f t="shared" ca="1" si="6"/>
        <v>46315</v>
      </c>
      <c r="O1240" s="23">
        <f ca="1">TAB_OFICINAS[[#This Row],[Data Retorno Produção]]-TAB_OFICINAS[[#This Row],[Data Prometida  Entrega]]</f>
        <v>46315</v>
      </c>
      <c r="P1240" s="98" t="str">
        <f ca="1">IF(TAB_OFICINAS[[#This Row],[Dias Para Entrega]]&lt;=0,"Em dia","Dia de Atrasado")</f>
        <v>Dia de Atrasado</v>
      </c>
      <c r="Q1240" s="24">
        <f>IFERROR(TAB_OFICINAS[[#This Row],[Qtd pçs Enviadas]]-TAB_OFICINAS[[#This Row],[Qtd pçs Retornadas ]],"N/D ")</f>
        <v>0</v>
      </c>
      <c r="R1240" s="24"/>
      <c r="U1240" s="11"/>
      <c r="V1240" s="25">
        <f>IFERROR(TAB_OFICINAS[[#This Row],[Valor Unit]]*TAB_OFICINAS[[#This Row],[Qtd pçs Enviadas]]," ")</f>
        <v>0</v>
      </c>
      <c r="W1240" s="26"/>
      <c r="X1240" s="17" t="s">
        <v>6251</v>
      </c>
      <c r="Y1240" s="27"/>
      <c r="Z12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1" spans="3:26" hidden="1">
      <c r="F1241" s="28" t="str">
        <f>IFERROR(VLOOKUP(TAB_OFICINAS[[#This Row],[Cliente]],LISTA_DE_CLIENTES[[Código]:[Nome Fantasia]],2,FALSE),"")</f>
        <v/>
      </c>
      <c r="G1241" s="2" t="str">
        <f>IFERROR(VLOOKUP(TAB_OFICINAS[[#This Row],[Cliente]],LISTA_DE_CLIENTES[[Código]:[Nome Fantasia]],3,FALSE),"")</f>
        <v/>
      </c>
      <c r="H1241" s="51"/>
      <c r="I1241" s="28" t="str">
        <f>IFERROR(VLOOKUP(TAB_OFICINAS[[#This Row],[Codigo Produto ]],_000___PEDIDOS_DE_CLIENTES[[Data.Column2]:[Descrição Produto]],2,FALSE)," ")</f>
        <v xml:space="preserve"> </v>
      </c>
      <c r="J1241" s="91"/>
      <c r="K1241" s="88"/>
      <c r="N1241" s="6">
        <f t="shared" ca="1" si="6"/>
        <v>46315</v>
      </c>
      <c r="O1241" s="23">
        <f ca="1">TAB_OFICINAS[[#This Row],[Data Retorno Produção]]-TAB_OFICINAS[[#This Row],[Data Prometida  Entrega]]</f>
        <v>46315</v>
      </c>
      <c r="P1241" s="98" t="str">
        <f ca="1">IF(TAB_OFICINAS[[#This Row],[Dias Para Entrega]]&lt;=0,"Em dia","Dia de Atrasado")</f>
        <v>Dia de Atrasado</v>
      </c>
      <c r="Q1241" s="24">
        <f>IFERROR(TAB_OFICINAS[[#This Row],[Qtd pçs Enviadas]]-TAB_OFICINAS[[#This Row],[Qtd pçs Retornadas ]],"N/D ")</f>
        <v>0</v>
      </c>
      <c r="R1241" s="24"/>
      <c r="U1241" s="11"/>
      <c r="V1241" s="25">
        <f>IFERROR(TAB_OFICINAS[[#This Row],[Valor Unit]]*TAB_OFICINAS[[#This Row],[Qtd pçs Enviadas]]," ")</f>
        <v>0</v>
      </c>
      <c r="W1241" s="26"/>
      <c r="X1241" s="17" t="s">
        <v>6251</v>
      </c>
      <c r="Y1241" s="27"/>
      <c r="Z12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2" spans="3:26" hidden="1">
      <c r="F1242" s="28" t="str">
        <f>IFERROR(VLOOKUP(TAB_OFICINAS[[#This Row],[Cliente]],LISTA_DE_CLIENTES[[Código]:[Nome Fantasia]],2,FALSE),"")</f>
        <v/>
      </c>
      <c r="G1242" s="2" t="str">
        <f>IFERROR(VLOOKUP(TAB_OFICINAS[[#This Row],[Cliente]],LISTA_DE_CLIENTES[[Código]:[Nome Fantasia]],3,FALSE),"")</f>
        <v/>
      </c>
      <c r="H1242" s="51"/>
      <c r="I1242" s="28" t="str">
        <f>IFERROR(VLOOKUP(TAB_OFICINAS[[#This Row],[Codigo Produto ]],_000___PEDIDOS_DE_CLIENTES[[Data.Column2]:[Descrição Produto]],2,FALSE)," ")</f>
        <v xml:space="preserve"> </v>
      </c>
      <c r="J1242" s="91"/>
      <c r="K1242" s="88"/>
      <c r="N1242" s="6">
        <f t="shared" ca="1" si="6"/>
        <v>46315</v>
      </c>
      <c r="O1242" s="23">
        <f ca="1">TAB_OFICINAS[[#This Row],[Data Retorno Produção]]-TAB_OFICINAS[[#This Row],[Data Prometida  Entrega]]</f>
        <v>46315</v>
      </c>
      <c r="P1242" s="98" t="str">
        <f ca="1">IF(TAB_OFICINAS[[#This Row],[Dias Para Entrega]]&lt;=0,"Em dia","Dia de Atrasado")</f>
        <v>Dia de Atrasado</v>
      </c>
      <c r="Q1242" s="24">
        <f>IFERROR(TAB_OFICINAS[[#This Row],[Qtd pçs Enviadas]]-TAB_OFICINAS[[#This Row],[Qtd pçs Retornadas ]],"N/D ")</f>
        <v>0</v>
      </c>
      <c r="R1242" s="24"/>
      <c r="U1242" s="11"/>
      <c r="V1242" s="25">
        <f>IFERROR(TAB_OFICINAS[[#This Row],[Valor Unit]]*TAB_OFICINAS[[#This Row],[Qtd pçs Enviadas]]," ")</f>
        <v>0</v>
      </c>
      <c r="W1242" s="26"/>
      <c r="X1242" s="17" t="s">
        <v>6251</v>
      </c>
      <c r="Y1242" s="27"/>
      <c r="Z12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3" spans="3:26" hidden="1">
      <c r="F1243" s="28" t="str">
        <f>IFERROR(VLOOKUP(TAB_OFICINAS[[#This Row],[Cliente]],LISTA_DE_CLIENTES[[Código]:[Nome Fantasia]],2,FALSE),"")</f>
        <v/>
      </c>
      <c r="G1243" s="2" t="str">
        <f>IFERROR(VLOOKUP(TAB_OFICINAS[[#This Row],[Cliente]],LISTA_DE_CLIENTES[[Código]:[Nome Fantasia]],3,FALSE),"")</f>
        <v/>
      </c>
      <c r="H1243" s="51"/>
      <c r="I1243" s="28" t="str">
        <f>IFERROR(VLOOKUP(TAB_OFICINAS[[#This Row],[Codigo Produto ]],_000___PEDIDOS_DE_CLIENTES[[Data.Column2]:[Descrição Produto]],2,FALSE)," ")</f>
        <v xml:space="preserve"> </v>
      </c>
      <c r="J1243" s="91"/>
      <c r="K1243" s="88"/>
      <c r="N1243" s="6">
        <f t="shared" ca="1" si="6"/>
        <v>46315</v>
      </c>
      <c r="O1243" s="23">
        <f ca="1">TAB_OFICINAS[[#This Row],[Data Retorno Produção]]-TAB_OFICINAS[[#This Row],[Data Prometida  Entrega]]</f>
        <v>46315</v>
      </c>
      <c r="P1243" s="98" t="str">
        <f ca="1">IF(TAB_OFICINAS[[#This Row],[Dias Para Entrega]]&lt;=0,"Em dia","Dia de Atrasado")</f>
        <v>Dia de Atrasado</v>
      </c>
      <c r="Q1243" s="24">
        <f>IFERROR(TAB_OFICINAS[[#This Row],[Qtd pçs Enviadas]]-TAB_OFICINAS[[#This Row],[Qtd pçs Retornadas ]],"N/D ")</f>
        <v>0</v>
      </c>
      <c r="R1243" s="24"/>
      <c r="U1243" s="11"/>
      <c r="V1243" s="25">
        <f>IFERROR(TAB_OFICINAS[[#This Row],[Valor Unit]]*TAB_OFICINAS[[#This Row],[Qtd pçs Enviadas]]," ")</f>
        <v>0</v>
      </c>
      <c r="W1243" s="26"/>
      <c r="X1243" s="17" t="s">
        <v>6251</v>
      </c>
      <c r="Y1243" s="27"/>
      <c r="Z12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4" spans="3:26" hidden="1">
      <c r="F1244" s="28" t="str">
        <f>IFERROR(VLOOKUP(TAB_OFICINAS[[#This Row],[Cliente]],LISTA_DE_CLIENTES[[Código]:[Nome Fantasia]],2,FALSE),"")</f>
        <v/>
      </c>
      <c r="G1244" s="2" t="str">
        <f>IFERROR(VLOOKUP(TAB_OFICINAS[[#This Row],[Cliente]],LISTA_DE_CLIENTES[[Código]:[Nome Fantasia]],3,FALSE),"")</f>
        <v/>
      </c>
      <c r="H1244" s="51"/>
      <c r="I1244" s="28" t="str">
        <f>IFERROR(VLOOKUP(TAB_OFICINAS[[#This Row],[Codigo Produto ]],_000___PEDIDOS_DE_CLIENTES[[Data.Column2]:[Descrição Produto]],2,FALSE)," ")</f>
        <v xml:space="preserve"> </v>
      </c>
      <c r="J1244" s="91"/>
      <c r="K1244" s="88"/>
      <c r="N1244" s="6">
        <f t="shared" ca="1" si="6"/>
        <v>46315</v>
      </c>
      <c r="O1244" s="23">
        <f ca="1">TAB_OFICINAS[[#This Row],[Data Retorno Produção]]-TAB_OFICINAS[[#This Row],[Data Prometida  Entrega]]</f>
        <v>46315</v>
      </c>
      <c r="P1244" s="98" t="str">
        <f ca="1">IF(TAB_OFICINAS[[#This Row],[Dias Para Entrega]]&lt;=0,"Em dia","Dia de Atrasado")</f>
        <v>Dia de Atrasado</v>
      </c>
      <c r="Q1244" s="24">
        <f>IFERROR(TAB_OFICINAS[[#This Row],[Qtd pçs Enviadas]]-TAB_OFICINAS[[#This Row],[Qtd pçs Retornadas ]],"N/D ")</f>
        <v>0</v>
      </c>
      <c r="R1244" s="24"/>
      <c r="U1244" s="11"/>
      <c r="V1244" s="25">
        <f>IFERROR(TAB_OFICINAS[[#This Row],[Valor Unit]]*TAB_OFICINAS[[#This Row],[Qtd pçs Enviadas]]," ")</f>
        <v>0</v>
      </c>
      <c r="W1244" s="26"/>
      <c r="X1244" s="17" t="s">
        <v>6251</v>
      </c>
      <c r="Y1244" s="27"/>
      <c r="Z12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5" spans="3:26" hidden="1">
      <c r="F1245" s="28" t="str">
        <f>IFERROR(VLOOKUP(TAB_OFICINAS[[#This Row],[Cliente]],LISTA_DE_CLIENTES[[Código]:[Nome Fantasia]],2,FALSE),"")</f>
        <v/>
      </c>
      <c r="G1245" s="2" t="str">
        <f>IFERROR(VLOOKUP(TAB_OFICINAS[[#This Row],[Cliente]],LISTA_DE_CLIENTES[[Código]:[Nome Fantasia]],3,FALSE),"")</f>
        <v/>
      </c>
      <c r="H1245" s="51"/>
      <c r="I1245" s="28" t="str">
        <f>IFERROR(VLOOKUP(TAB_OFICINAS[[#This Row],[Codigo Produto ]],_000___PEDIDOS_DE_CLIENTES[[Data.Column2]:[Descrição Produto]],2,FALSE)," ")</f>
        <v xml:space="preserve"> </v>
      </c>
      <c r="J1245" s="91"/>
      <c r="K1245" s="88"/>
      <c r="N1245" s="6">
        <f t="shared" ca="1" si="6"/>
        <v>46315</v>
      </c>
      <c r="O1245" s="23">
        <f ca="1">TAB_OFICINAS[[#This Row],[Data Retorno Produção]]-TAB_OFICINAS[[#This Row],[Data Prometida  Entrega]]</f>
        <v>46315</v>
      </c>
      <c r="P1245" s="98" t="str">
        <f ca="1">IF(TAB_OFICINAS[[#This Row],[Dias Para Entrega]]&lt;=0,"Em dia","Dia de Atrasado")</f>
        <v>Dia de Atrasado</v>
      </c>
      <c r="Q1245" s="24">
        <f>IFERROR(TAB_OFICINAS[[#This Row],[Qtd pçs Enviadas]]-TAB_OFICINAS[[#This Row],[Qtd pçs Retornadas ]],"N/D ")</f>
        <v>0</v>
      </c>
      <c r="R1245" s="24"/>
      <c r="U1245" s="11"/>
      <c r="V1245" s="25">
        <f>IFERROR(TAB_OFICINAS[[#This Row],[Valor Unit]]*TAB_OFICINAS[[#This Row],[Qtd pçs Enviadas]]," ")</f>
        <v>0</v>
      </c>
      <c r="W1245" s="26"/>
      <c r="X1245" s="17" t="s">
        <v>6251</v>
      </c>
      <c r="Y1245" s="27"/>
      <c r="Z12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6" spans="3:26" hidden="1">
      <c r="F1246" s="28" t="str">
        <f>IFERROR(VLOOKUP(TAB_OFICINAS[[#This Row],[Cliente]],LISTA_DE_CLIENTES[[Código]:[Nome Fantasia]],2,FALSE),"")</f>
        <v/>
      </c>
      <c r="G1246" s="2" t="str">
        <f>IFERROR(VLOOKUP(TAB_OFICINAS[[#This Row],[Cliente]],LISTA_DE_CLIENTES[[Código]:[Nome Fantasia]],3,FALSE),"")</f>
        <v/>
      </c>
      <c r="H1246" s="51"/>
      <c r="I1246" s="28" t="str">
        <f>IFERROR(VLOOKUP(TAB_OFICINAS[[#This Row],[Codigo Produto ]],_000___PEDIDOS_DE_CLIENTES[[Data.Column2]:[Descrição Produto]],2,FALSE)," ")</f>
        <v xml:space="preserve"> </v>
      </c>
      <c r="J1246" s="91"/>
      <c r="K1246" s="88"/>
      <c r="N1246" s="6">
        <f t="shared" ca="1" si="6"/>
        <v>46315</v>
      </c>
      <c r="O1246" s="23">
        <f ca="1">TAB_OFICINAS[[#This Row],[Data Retorno Produção]]-TAB_OFICINAS[[#This Row],[Data Prometida  Entrega]]</f>
        <v>46315</v>
      </c>
      <c r="P1246" s="98" t="str">
        <f ca="1">IF(TAB_OFICINAS[[#This Row],[Dias Para Entrega]]&lt;=0,"Em dia","Dia de Atrasado")</f>
        <v>Dia de Atrasado</v>
      </c>
      <c r="Q1246" s="24">
        <f>IFERROR(TAB_OFICINAS[[#This Row],[Qtd pçs Enviadas]]-TAB_OFICINAS[[#This Row],[Qtd pçs Retornadas ]],"N/D ")</f>
        <v>0</v>
      </c>
      <c r="R1246" s="24"/>
      <c r="U1246" s="11"/>
      <c r="V1246" s="25">
        <f>IFERROR(TAB_OFICINAS[[#This Row],[Valor Unit]]*TAB_OFICINAS[[#This Row],[Qtd pçs Enviadas]]," ")</f>
        <v>0</v>
      </c>
      <c r="W1246" s="26"/>
      <c r="X1246" s="17" t="s">
        <v>6251</v>
      </c>
      <c r="Y1246" s="27"/>
      <c r="Z12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7" spans="3:26" hidden="1">
      <c r="F1247" s="28" t="str">
        <f>IFERROR(VLOOKUP(TAB_OFICINAS[[#This Row],[Cliente]],LISTA_DE_CLIENTES[[Código]:[Nome Fantasia]],2,FALSE),"")</f>
        <v/>
      </c>
      <c r="G1247" s="2" t="str">
        <f>IFERROR(VLOOKUP(TAB_OFICINAS[[#This Row],[Cliente]],LISTA_DE_CLIENTES[[Código]:[Nome Fantasia]],3,FALSE),"")</f>
        <v/>
      </c>
      <c r="H1247" s="51"/>
      <c r="I1247" s="28" t="str">
        <f>IFERROR(VLOOKUP(TAB_OFICINAS[[#This Row],[Codigo Produto ]],_000___PEDIDOS_DE_CLIENTES[[Data.Column2]:[Descrição Produto]],2,FALSE)," ")</f>
        <v xml:space="preserve"> </v>
      </c>
      <c r="J1247" s="91"/>
      <c r="K1247" s="88"/>
      <c r="N1247" s="6">
        <f t="shared" ca="1" si="6"/>
        <v>46315</v>
      </c>
      <c r="O1247" s="23">
        <f ca="1">TAB_OFICINAS[[#This Row],[Data Retorno Produção]]-TAB_OFICINAS[[#This Row],[Data Prometida  Entrega]]</f>
        <v>46315</v>
      </c>
      <c r="P1247" s="98" t="str">
        <f ca="1">IF(TAB_OFICINAS[[#This Row],[Dias Para Entrega]]&lt;=0,"Em dia","Dia de Atrasado")</f>
        <v>Dia de Atrasado</v>
      </c>
      <c r="Q1247" s="24">
        <f>IFERROR(TAB_OFICINAS[[#This Row],[Qtd pçs Enviadas]]-TAB_OFICINAS[[#This Row],[Qtd pçs Retornadas ]],"N/D ")</f>
        <v>0</v>
      </c>
      <c r="R1247" s="24"/>
      <c r="U1247" s="11"/>
      <c r="V1247" s="25">
        <f>IFERROR(TAB_OFICINAS[[#This Row],[Valor Unit]]*TAB_OFICINAS[[#This Row],[Qtd pçs Enviadas]]," ")</f>
        <v>0</v>
      </c>
      <c r="W1247" s="26"/>
      <c r="X1247" s="17" t="s">
        <v>6251</v>
      </c>
      <c r="Y1247" s="27"/>
      <c r="Z12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8" spans="3:26" hidden="1">
      <c r="F1248" s="28" t="str">
        <f>IFERROR(VLOOKUP(TAB_OFICINAS[[#This Row],[Cliente]],LISTA_DE_CLIENTES[[Código]:[Nome Fantasia]],2,FALSE),"")</f>
        <v/>
      </c>
      <c r="G1248" s="2" t="str">
        <f>IFERROR(VLOOKUP(TAB_OFICINAS[[#This Row],[Cliente]],LISTA_DE_CLIENTES[[Código]:[Nome Fantasia]],3,FALSE),"")</f>
        <v/>
      </c>
      <c r="H1248" s="51"/>
      <c r="I1248" s="28" t="str">
        <f>IFERROR(VLOOKUP(TAB_OFICINAS[[#This Row],[Codigo Produto ]],_000___PEDIDOS_DE_CLIENTES[[Data.Column2]:[Descrição Produto]],2,FALSE)," ")</f>
        <v xml:space="preserve"> </v>
      </c>
      <c r="J1248" s="91"/>
      <c r="K1248" s="88"/>
      <c r="N1248" s="6">
        <f t="shared" ca="1" si="6"/>
        <v>46315</v>
      </c>
      <c r="O1248" s="23">
        <f ca="1">TAB_OFICINAS[[#This Row],[Data Retorno Produção]]-TAB_OFICINAS[[#This Row],[Data Prometida  Entrega]]</f>
        <v>46315</v>
      </c>
      <c r="P1248" s="98" t="str">
        <f ca="1">IF(TAB_OFICINAS[[#This Row],[Dias Para Entrega]]&lt;=0,"Em dia","Dia de Atrasado")</f>
        <v>Dia de Atrasado</v>
      </c>
      <c r="Q1248" s="24">
        <f>IFERROR(TAB_OFICINAS[[#This Row],[Qtd pçs Enviadas]]-TAB_OFICINAS[[#This Row],[Qtd pçs Retornadas ]],"N/D ")</f>
        <v>0</v>
      </c>
      <c r="R1248" s="24"/>
      <c r="U1248" s="11"/>
      <c r="V1248" s="25">
        <f>IFERROR(TAB_OFICINAS[[#This Row],[Valor Unit]]*TAB_OFICINAS[[#This Row],[Qtd pçs Enviadas]]," ")</f>
        <v>0</v>
      </c>
      <c r="W1248" s="26"/>
      <c r="X1248" s="17" t="s">
        <v>6251</v>
      </c>
      <c r="Y1248" s="27"/>
      <c r="Z12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49" spans="6:26" hidden="1">
      <c r="F1249" s="28" t="str">
        <f>IFERROR(VLOOKUP(TAB_OFICINAS[[#This Row],[Cliente]],LISTA_DE_CLIENTES[[Código]:[Nome Fantasia]],2,FALSE),"")</f>
        <v/>
      </c>
      <c r="G1249" s="2" t="str">
        <f>IFERROR(VLOOKUP(TAB_OFICINAS[[#This Row],[Cliente]],LISTA_DE_CLIENTES[[Código]:[Nome Fantasia]],3,FALSE),"")</f>
        <v/>
      </c>
      <c r="H1249" s="51"/>
      <c r="I1249" s="28" t="str">
        <f>IFERROR(VLOOKUP(TAB_OFICINAS[[#This Row],[Codigo Produto ]],_000___PEDIDOS_DE_CLIENTES[[Data.Column2]:[Descrição Produto]],2,FALSE)," ")</f>
        <v xml:space="preserve"> </v>
      </c>
      <c r="J1249" s="91"/>
      <c r="K1249" s="88"/>
      <c r="N1249" s="6">
        <f t="shared" ca="1" si="6"/>
        <v>46315</v>
      </c>
      <c r="O1249" s="23">
        <f ca="1">TAB_OFICINAS[[#This Row],[Data Retorno Produção]]-TAB_OFICINAS[[#This Row],[Data Prometida  Entrega]]</f>
        <v>46315</v>
      </c>
      <c r="P1249" s="98" t="str">
        <f ca="1">IF(TAB_OFICINAS[[#This Row],[Dias Para Entrega]]&lt;=0,"Em dia","Dia de Atrasado")</f>
        <v>Dia de Atrasado</v>
      </c>
      <c r="Q1249" s="24">
        <f>IFERROR(TAB_OFICINAS[[#This Row],[Qtd pçs Enviadas]]-TAB_OFICINAS[[#This Row],[Qtd pçs Retornadas ]],"N/D ")</f>
        <v>0</v>
      </c>
      <c r="R1249" s="24"/>
      <c r="U1249" s="11"/>
      <c r="V1249" s="25">
        <f>IFERROR(TAB_OFICINAS[[#This Row],[Valor Unit]]*TAB_OFICINAS[[#This Row],[Qtd pçs Enviadas]]," ")</f>
        <v>0</v>
      </c>
      <c r="W1249" s="26"/>
      <c r="X1249" s="17" t="s">
        <v>6251</v>
      </c>
      <c r="Y1249" s="27"/>
      <c r="Z12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0" spans="6:26" hidden="1">
      <c r="F1250" s="28" t="str">
        <f>IFERROR(VLOOKUP(TAB_OFICINAS[[#This Row],[Cliente]],LISTA_DE_CLIENTES[[Código]:[Nome Fantasia]],2,FALSE),"")</f>
        <v/>
      </c>
      <c r="G1250" s="2" t="str">
        <f>IFERROR(VLOOKUP(TAB_OFICINAS[[#This Row],[Cliente]],LISTA_DE_CLIENTES[[Código]:[Nome Fantasia]],3,FALSE),"")</f>
        <v/>
      </c>
      <c r="H1250" s="51"/>
      <c r="I1250" s="28" t="str">
        <f>IFERROR(VLOOKUP(TAB_OFICINAS[[#This Row],[Codigo Produto ]],_000___PEDIDOS_DE_CLIENTES[[Data.Column2]:[Descrição Produto]],2,FALSE)," ")</f>
        <v xml:space="preserve"> </v>
      </c>
      <c r="J1250" s="91"/>
      <c r="K1250" s="88"/>
      <c r="N1250" s="6">
        <f t="shared" ca="1" si="6"/>
        <v>46315</v>
      </c>
      <c r="O1250" s="23">
        <f ca="1">TAB_OFICINAS[[#This Row],[Data Retorno Produção]]-TAB_OFICINAS[[#This Row],[Data Prometida  Entrega]]</f>
        <v>46315</v>
      </c>
      <c r="P1250" s="98" t="str">
        <f ca="1">IF(TAB_OFICINAS[[#This Row],[Dias Para Entrega]]&lt;=0,"Em dia","Dia de Atrasado")</f>
        <v>Dia de Atrasado</v>
      </c>
      <c r="Q1250" s="24">
        <f>IFERROR(TAB_OFICINAS[[#This Row],[Qtd pçs Enviadas]]-TAB_OFICINAS[[#This Row],[Qtd pçs Retornadas ]],"N/D ")</f>
        <v>0</v>
      </c>
      <c r="R1250" s="24"/>
      <c r="U1250" s="11"/>
      <c r="V1250" s="25">
        <f>IFERROR(TAB_OFICINAS[[#This Row],[Valor Unit]]*TAB_OFICINAS[[#This Row],[Qtd pçs Enviadas]]," ")</f>
        <v>0</v>
      </c>
      <c r="W1250" s="26"/>
      <c r="X1250" s="17" t="s">
        <v>6251</v>
      </c>
      <c r="Y1250" s="27"/>
      <c r="Z12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1" spans="6:26" hidden="1">
      <c r="F1251" s="28" t="str">
        <f>IFERROR(VLOOKUP(TAB_OFICINAS[[#This Row],[Cliente]],LISTA_DE_CLIENTES[[Código]:[Nome Fantasia]],2,FALSE),"")</f>
        <v/>
      </c>
      <c r="G1251" s="2" t="str">
        <f>IFERROR(VLOOKUP(TAB_OFICINAS[[#This Row],[Cliente]],LISTA_DE_CLIENTES[[Código]:[Nome Fantasia]],3,FALSE),"")</f>
        <v/>
      </c>
      <c r="H1251" s="51"/>
      <c r="I1251" s="28" t="str">
        <f>IFERROR(VLOOKUP(TAB_OFICINAS[[#This Row],[Codigo Produto ]],_000___PEDIDOS_DE_CLIENTES[[Data.Column2]:[Descrição Produto]],2,FALSE)," ")</f>
        <v xml:space="preserve"> </v>
      </c>
      <c r="J1251" s="91"/>
      <c r="K1251" s="88"/>
      <c r="N1251" s="6">
        <f t="shared" ca="1" si="6"/>
        <v>46315</v>
      </c>
      <c r="O1251" s="23">
        <f ca="1">TAB_OFICINAS[[#This Row],[Data Retorno Produção]]-TAB_OFICINAS[[#This Row],[Data Prometida  Entrega]]</f>
        <v>46315</v>
      </c>
      <c r="P1251" s="98" t="str">
        <f ca="1">IF(TAB_OFICINAS[[#This Row],[Dias Para Entrega]]&lt;=0,"Em dia","Dia de Atrasado")</f>
        <v>Dia de Atrasado</v>
      </c>
      <c r="Q1251" s="24">
        <f>IFERROR(TAB_OFICINAS[[#This Row],[Qtd pçs Enviadas]]-TAB_OFICINAS[[#This Row],[Qtd pçs Retornadas ]],"N/D ")</f>
        <v>0</v>
      </c>
      <c r="R1251" s="24"/>
      <c r="U1251" s="11"/>
      <c r="V1251" s="25">
        <f>IFERROR(TAB_OFICINAS[[#This Row],[Valor Unit]]*TAB_OFICINAS[[#This Row],[Qtd pçs Enviadas]]," ")</f>
        <v>0</v>
      </c>
      <c r="W1251" s="26"/>
      <c r="X1251" s="17" t="s">
        <v>6251</v>
      </c>
      <c r="Y1251" s="27"/>
      <c r="Z12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2" spans="6:26" hidden="1">
      <c r="F1252" s="28" t="str">
        <f>IFERROR(VLOOKUP(TAB_OFICINAS[[#This Row],[Cliente]],LISTA_DE_CLIENTES[[Código]:[Nome Fantasia]],2,FALSE),"")</f>
        <v/>
      </c>
      <c r="G1252" s="2" t="str">
        <f>IFERROR(VLOOKUP(TAB_OFICINAS[[#This Row],[Cliente]],LISTA_DE_CLIENTES[[Código]:[Nome Fantasia]],3,FALSE),"")</f>
        <v/>
      </c>
      <c r="H1252" s="51"/>
      <c r="I1252" s="28" t="str">
        <f>IFERROR(VLOOKUP(TAB_OFICINAS[[#This Row],[Codigo Produto ]],_000___PEDIDOS_DE_CLIENTES[[Data.Column2]:[Descrição Produto]],2,FALSE)," ")</f>
        <v xml:space="preserve"> </v>
      </c>
      <c r="J1252" s="91"/>
      <c r="K1252" s="88"/>
      <c r="N1252" s="6">
        <f t="shared" ref="N1252:N1315" ca="1" si="7">TODAY()</f>
        <v>46315</v>
      </c>
      <c r="O1252" s="23">
        <f ca="1">TAB_OFICINAS[[#This Row],[Data Retorno Produção]]-TAB_OFICINAS[[#This Row],[Data Prometida  Entrega]]</f>
        <v>46315</v>
      </c>
      <c r="P1252" s="98" t="str">
        <f ca="1">IF(TAB_OFICINAS[[#This Row],[Dias Para Entrega]]&lt;=0,"Em dia","Dia de Atrasado")</f>
        <v>Dia de Atrasado</v>
      </c>
      <c r="Q1252" s="24">
        <f>IFERROR(TAB_OFICINAS[[#This Row],[Qtd pçs Enviadas]]-TAB_OFICINAS[[#This Row],[Qtd pçs Retornadas ]],"N/D ")</f>
        <v>0</v>
      </c>
      <c r="R1252" s="24"/>
      <c r="U1252" s="11"/>
      <c r="V1252" s="25">
        <f>IFERROR(TAB_OFICINAS[[#This Row],[Valor Unit]]*TAB_OFICINAS[[#This Row],[Qtd pçs Enviadas]]," ")</f>
        <v>0</v>
      </c>
      <c r="W1252" s="26"/>
      <c r="X1252" s="17" t="s">
        <v>6251</v>
      </c>
      <c r="Y1252" s="27"/>
      <c r="Z12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3" spans="6:26" hidden="1">
      <c r="F1253" s="28" t="str">
        <f>IFERROR(VLOOKUP(TAB_OFICINAS[[#This Row],[Cliente]],LISTA_DE_CLIENTES[[Código]:[Nome Fantasia]],2,FALSE),"")</f>
        <v/>
      </c>
      <c r="G1253" s="2" t="str">
        <f>IFERROR(VLOOKUP(TAB_OFICINAS[[#This Row],[Cliente]],LISTA_DE_CLIENTES[[Código]:[Nome Fantasia]],3,FALSE),"")</f>
        <v/>
      </c>
      <c r="H1253" s="51"/>
      <c r="I1253" s="28" t="str">
        <f>IFERROR(VLOOKUP(TAB_OFICINAS[[#This Row],[Codigo Produto ]],_000___PEDIDOS_DE_CLIENTES[[Data.Column2]:[Descrição Produto]],2,FALSE)," ")</f>
        <v xml:space="preserve"> </v>
      </c>
      <c r="J1253" s="91"/>
      <c r="K1253" s="88"/>
      <c r="N1253" s="6">
        <f t="shared" ca="1" si="7"/>
        <v>46315</v>
      </c>
      <c r="O1253" s="23">
        <f ca="1">TAB_OFICINAS[[#This Row],[Data Retorno Produção]]-TAB_OFICINAS[[#This Row],[Data Prometida  Entrega]]</f>
        <v>46315</v>
      </c>
      <c r="P1253" s="98" t="str">
        <f ca="1">IF(TAB_OFICINAS[[#This Row],[Dias Para Entrega]]&lt;=0,"Em dia","Dia de Atrasado")</f>
        <v>Dia de Atrasado</v>
      </c>
      <c r="Q1253" s="24">
        <f>IFERROR(TAB_OFICINAS[[#This Row],[Qtd pçs Enviadas]]-TAB_OFICINAS[[#This Row],[Qtd pçs Retornadas ]],"N/D ")</f>
        <v>0</v>
      </c>
      <c r="R1253" s="24"/>
      <c r="U1253" s="11"/>
      <c r="V1253" s="25">
        <f>IFERROR(TAB_OFICINAS[[#This Row],[Valor Unit]]*TAB_OFICINAS[[#This Row],[Qtd pçs Enviadas]]," ")</f>
        <v>0</v>
      </c>
      <c r="W1253" s="26"/>
      <c r="X1253" s="17" t="s">
        <v>6251</v>
      </c>
      <c r="Y1253" s="27"/>
      <c r="Z12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4" spans="6:26" hidden="1">
      <c r="F1254" s="28" t="str">
        <f>IFERROR(VLOOKUP(TAB_OFICINAS[[#This Row],[Cliente]],LISTA_DE_CLIENTES[[Código]:[Nome Fantasia]],2,FALSE),"")</f>
        <v/>
      </c>
      <c r="G1254" s="2" t="str">
        <f>IFERROR(VLOOKUP(TAB_OFICINAS[[#This Row],[Cliente]],LISTA_DE_CLIENTES[[Código]:[Nome Fantasia]],3,FALSE),"")</f>
        <v/>
      </c>
      <c r="H1254" s="51"/>
      <c r="I1254" s="28" t="str">
        <f>IFERROR(VLOOKUP(TAB_OFICINAS[[#This Row],[Codigo Produto ]],_000___PEDIDOS_DE_CLIENTES[[Data.Column2]:[Descrição Produto]],2,FALSE)," ")</f>
        <v xml:space="preserve"> </v>
      </c>
      <c r="J1254" s="91"/>
      <c r="K1254" s="88"/>
      <c r="N1254" s="6">
        <f t="shared" ca="1" si="7"/>
        <v>46315</v>
      </c>
      <c r="O1254" s="23">
        <f ca="1">TAB_OFICINAS[[#This Row],[Data Retorno Produção]]-TAB_OFICINAS[[#This Row],[Data Prometida  Entrega]]</f>
        <v>46315</v>
      </c>
      <c r="P1254" s="98" t="str">
        <f ca="1">IF(TAB_OFICINAS[[#This Row],[Dias Para Entrega]]&lt;=0,"Em dia","Dia de Atrasado")</f>
        <v>Dia de Atrasado</v>
      </c>
      <c r="Q1254" s="24">
        <f>IFERROR(TAB_OFICINAS[[#This Row],[Qtd pçs Enviadas]]-TAB_OFICINAS[[#This Row],[Qtd pçs Retornadas ]],"N/D ")</f>
        <v>0</v>
      </c>
      <c r="R1254" s="24"/>
      <c r="U1254" s="11"/>
      <c r="V1254" s="25">
        <f>IFERROR(TAB_OFICINAS[[#This Row],[Valor Unit]]*TAB_OFICINAS[[#This Row],[Qtd pçs Enviadas]]," ")</f>
        <v>0</v>
      </c>
      <c r="W1254" s="26"/>
      <c r="X1254" s="17" t="s">
        <v>6251</v>
      </c>
      <c r="Y1254" s="27"/>
      <c r="Z12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5" spans="6:26" hidden="1">
      <c r="F1255" s="28" t="str">
        <f>IFERROR(VLOOKUP(TAB_OFICINAS[[#This Row],[Cliente]],LISTA_DE_CLIENTES[[Código]:[Nome Fantasia]],2,FALSE),"")</f>
        <v/>
      </c>
      <c r="G1255" s="2" t="str">
        <f>IFERROR(VLOOKUP(TAB_OFICINAS[[#This Row],[Cliente]],LISTA_DE_CLIENTES[[Código]:[Nome Fantasia]],3,FALSE),"")</f>
        <v/>
      </c>
      <c r="H1255" s="51"/>
      <c r="I1255" s="28" t="str">
        <f>IFERROR(VLOOKUP(TAB_OFICINAS[[#This Row],[Codigo Produto ]],_000___PEDIDOS_DE_CLIENTES[[Data.Column2]:[Descrição Produto]],2,FALSE)," ")</f>
        <v xml:space="preserve"> </v>
      </c>
      <c r="J1255" s="91"/>
      <c r="K1255" s="88"/>
      <c r="N1255" s="6">
        <f t="shared" ca="1" si="7"/>
        <v>46315</v>
      </c>
      <c r="O1255" s="23">
        <f ca="1">TAB_OFICINAS[[#This Row],[Data Retorno Produção]]-TAB_OFICINAS[[#This Row],[Data Prometida  Entrega]]</f>
        <v>46315</v>
      </c>
      <c r="P1255" s="98" t="str">
        <f ca="1">IF(TAB_OFICINAS[[#This Row],[Dias Para Entrega]]&lt;=0,"Em dia","Dia de Atrasado")</f>
        <v>Dia de Atrasado</v>
      </c>
      <c r="Q1255" s="24">
        <f>IFERROR(TAB_OFICINAS[[#This Row],[Qtd pçs Enviadas]]-TAB_OFICINAS[[#This Row],[Qtd pçs Retornadas ]],"N/D ")</f>
        <v>0</v>
      </c>
      <c r="R1255" s="24"/>
      <c r="U1255" s="11"/>
      <c r="V1255" s="25">
        <f>IFERROR(TAB_OFICINAS[[#This Row],[Valor Unit]]*TAB_OFICINAS[[#This Row],[Qtd pçs Enviadas]]," ")</f>
        <v>0</v>
      </c>
      <c r="W1255" s="26"/>
      <c r="Y1255" s="27"/>
      <c r="Z12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6" spans="6:26" hidden="1">
      <c r="F1256" s="28" t="str">
        <f>IFERROR(VLOOKUP(TAB_OFICINAS[[#This Row],[Cliente]],LISTA_DE_CLIENTES[[Código]:[Nome Fantasia]],2,FALSE),"")</f>
        <v/>
      </c>
      <c r="G1256" s="2" t="str">
        <f>IFERROR(VLOOKUP(TAB_OFICINAS[[#This Row],[Cliente]],LISTA_DE_CLIENTES[[Código]:[Nome Fantasia]],3,FALSE),"")</f>
        <v/>
      </c>
      <c r="H1256" s="51"/>
      <c r="I1256" s="28" t="str">
        <f>IFERROR(VLOOKUP(TAB_OFICINAS[[#This Row],[Codigo Produto ]],_000___PEDIDOS_DE_CLIENTES[[Data.Column2]:[Descrição Produto]],2,FALSE)," ")</f>
        <v xml:space="preserve"> </v>
      </c>
      <c r="J1256" s="91"/>
      <c r="K1256" s="88"/>
      <c r="N1256" s="6">
        <f t="shared" ca="1" si="7"/>
        <v>46315</v>
      </c>
      <c r="O1256" s="23">
        <f ca="1">TAB_OFICINAS[[#This Row],[Data Retorno Produção]]-TAB_OFICINAS[[#This Row],[Data Prometida  Entrega]]</f>
        <v>46315</v>
      </c>
      <c r="P1256" s="98" t="str">
        <f ca="1">IF(TAB_OFICINAS[[#This Row],[Dias Para Entrega]]&lt;=0,"Em dia","Dia de Atrasado")</f>
        <v>Dia de Atrasado</v>
      </c>
      <c r="Q1256" s="24">
        <f>IFERROR(TAB_OFICINAS[[#This Row],[Qtd pçs Enviadas]]-TAB_OFICINAS[[#This Row],[Qtd pçs Retornadas ]],"N/D ")</f>
        <v>0</v>
      </c>
      <c r="R1256" s="24"/>
      <c r="U1256" s="11"/>
      <c r="V1256" s="25">
        <f>IFERROR(TAB_OFICINAS[[#This Row],[Valor Unit]]*TAB_OFICINAS[[#This Row],[Qtd pçs Enviadas]]," ")</f>
        <v>0</v>
      </c>
      <c r="W1256" s="26"/>
      <c r="Y1256" s="27"/>
      <c r="Z12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7" spans="6:26" hidden="1">
      <c r="F1257" s="28" t="str">
        <f>IFERROR(VLOOKUP(TAB_OFICINAS[[#This Row],[Cliente]],LISTA_DE_CLIENTES[[Código]:[Nome Fantasia]],2,FALSE),"")</f>
        <v/>
      </c>
      <c r="G1257" s="2" t="str">
        <f>IFERROR(VLOOKUP(TAB_OFICINAS[[#This Row],[Cliente]],LISTA_DE_CLIENTES[[Código]:[Nome Fantasia]],3,FALSE),"")</f>
        <v/>
      </c>
      <c r="H1257" s="51"/>
      <c r="I1257" s="28" t="str">
        <f>IFERROR(VLOOKUP(TAB_OFICINAS[[#This Row],[Codigo Produto ]],_000___PEDIDOS_DE_CLIENTES[[Data.Column2]:[Descrição Produto]],2,FALSE)," ")</f>
        <v xml:space="preserve"> </v>
      </c>
      <c r="J1257" s="91"/>
      <c r="K1257" s="88"/>
      <c r="N1257" s="6">
        <f t="shared" ca="1" si="7"/>
        <v>46315</v>
      </c>
      <c r="O1257" s="23">
        <f ca="1">TAB_OFICINAS[[#This Row],[Data Retorno Produção]]-TAB_OFICINAS[[#This Row],[Data Prometida  Entrega]]</f>
        <v>46315</v>
      </c>
      <c r="P1257" s="98" t="str">
        <f ca="1">IF(TAB_OFICINAS[[#This Row],[Dias Para Entrega]]&lt;=0,"Em dia","Dia de Atrasado")</f>
        <v>Dia de Atrasado</v>
      </c>
      <c r="Q1257" s="24">
        <f>IFERROR(TAB_OFICINAS[[#This Row],[Qtd pçs Enviadas]]-TAB_OFICINAS[[#This Row],[Qtd pçs Retornadas ]],"N/D ")</f>
        <v>0</v>
      </c>
      <c r="R1257" s="24"/>
      <c r="U1257" s="11"/>
      <c r="V1257" s="25">
        <f>IFERROR(TAB_OFICINAS[[#This Row],[Valor Unit]]*TAB_OFICINAS[[#This Row],[Qtd pçs Enviadas]]," ")</f>
        <v>0</v>
      </c>
      <c r="W1257" s="26"/>
      <c r="Y1257" s="27"/>
      <c r="Z12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8" spans="6:26" hidden="1">
      <c r="F1258" s="28" t="str">
        <f>IFERROR(VLOOKUP(TAB_OFICINAS[[#This Row],[Cliente]],LISTA_DE_CLIENTES[[Código]:[Nome Fantasia]],2,FALSE),"")</f>
        <v/>
      </c>
      <c r="G1258" s="2" t="str">
        <f>IFERROR(VLOOKUP(TAB_OFICINAS[[#This Row],[Cliente]],LISTA_DE_CLIENTES[[Código]:[Nome Fantasia]],3,FALSE),"")</f>
        <v/>
      </c>
      <c r="H1258" s="51"/>
      <c r="I1258" s="28" t="str">
        <f>IFERROR(VLOOKUP(TAB_OFICINAS[[#This Row],[Codigo Produto ]],_000___PEDIDOS_DE_CLIENTES[[Data.Column2]:[Descrição Produto]],2,FALSE)," ")</f>
        <v xml:space="preserve"> </v>
      </c>
      <c r="J1258" s="91"/>
      <c r="K1258" s="88"/>
      <c r="N1258" s="6">
        <f t="shared" ca="1" si="7"/>
        <v>46315</v>
      </c>
      <c r="O1258" s="23">
        <f ca="1">TAB_OFICINAS[[#This Row],[Data Retorno Produção]]-TAB_OFICINAS[[#This Row],[Data Prometida  Entrega]]</f>
        <v>46315</v>
      </c>
      <c r="P1258" s="98" t="str">
        <f ca="1">IF(TAB_OFICINAS[[#This Row],[Dias Para Entrega]]&lt;=0,"Em dia","Dia de Atrasado")</f>
        <v>Dia de Atrasado</v>
      </c>
      <c r="Q1258" s="24">
        <f>IFERROR(TAB_OFICINAS[[#This Row],[Qtd pçs Enviadas]]-TAB_OFICINAS[[#This Row],[Qtd pçs Retornadas ]],"N/D ")</f>
        <v>0</v>
      </c>
      <c r="R1258" s="24"/>
      <c r="U1258" s="11"/>
      <c r="V1258" s="25">
        <f>IFERROR(TAB_OFICINAS[[#This Row],[Valor Unit]]*TAB_OFICINAS[[#This Row],[Qtd pçs Enviadas]]," ")</f>
        <v>0</v>
      </c>
      <c r="W1258" s="26"/>
      <c r="Y1258" s="27"/>
      <c r="Z12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59" spans="6:26" hidden="1">
      <c r="F1259" s="28" t="str">
        <f>IFERROR(VLOOKUP(TAB_OFICINAS[[#This Row],[Cliente]],LISTA_DE_CLIENTES[[Código]:[Nome Fantasia]],2,FALSE),"")</f>
        <v/>
      </c>
      <c r="G1259" s="2" t="str">
        <f>IFERROR(VLOOKUP(TAB_OFICINAS[[#This Row],[Cliente]],LISTA_DE_CLIENTES[[Código]:[Nome Fantasia]],3,FALSE),"")</f>
        <v/>
      </c>
      <c r="H1259" s="51"/>
      <c r="I1259" s="28" t="str">
        <f>IFERROR(VLOOKUP(TAB_OFICINAS[[#This Row],[Codigo Produto ]],_000___PEDIDOS_DE_CLIENTES[[Data.Column2]:[Descrição Produto]],2,FALSE)," ")</f>
        <v xml:space="preserve"> </v>
      </c>
      <c r="J1259" s="91"/>
      <c r="K1259" s="88"/>
      <c r="N1259" s="6">
        <f t="shared" ca="1" si="7"/>
        <v>46315</v>
      </c>
      <c r="O1259" s="23">
        <f ca="1">TAB_OFICINAS[[#This Row],[Data Retorno Produção]]-TAB_OFICINAS[[#This Row],[Data Prometida  Entrega]]</f>
        <v>46315</v>
      </c>
      <c r="P1259" s="98" t="str">
        <f ca="1">IF(TAB_OFICINAS[[#This Row],[Dias Para Entrega]]&lt;=0,"Em dia","Dia de Atrasado")</f>
        <v>Dia de Atrasado</v>
      </c>
      <c r="Q1259" s="24">
        <f>IFERROR(TAB_OFICINAS[[#This Row],[Qtd pçs Enviadas]]-TAB_OFICINAS[[#This Row],[Qtd pçs Retornadas ]],"N/D ")</f>
        <v>0</v>
      </c>
      <c r="R1259" s="24"/>
      <c r="U1259" s="11"/>
      <c r="V1259" s="25">
        <f>IFERROR(TAB_OFICINAS[[#This Row],[Valor Unit]]*TAB_OFICINAS[[#This Row],[Qtd pçs Enviadas]]," ")</f>
        <v>0</v>
      </c>
      <c r="W1259" s="26"/>
      <c r="Y1259" s="27"/>
      <c r="Z12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0" spans="6:26" hidden="1">
      <c r="F1260" s="28" t="str">
        <f>IFERROR(VLOOKUP(TAB_OFICINAS[[#This Row],[Cliente]],LISTA_DE_CLIENTES[[Código]:[Nome Fantasia]],2,FALSE),"")</f>
        <v/>
      </c>
      <c r="G1260" s="2" t="str">
        <f>IFERROR(VLOOKUP(TAB_OFICINAS[[#This Row],[Cliente]],LISTA_DE_CLIENTES[[Código]:[Nome Fantasia]],3,FALSE),"")</f>
        <v/>
      </c>
      <c r="H1260" s="51"/>
      <c r="I1260" s="28" t="str">
        <f>IFERROR(VLOOKUP(TAB_OFICINAS[[#This Row],[Codigo Produto ]],_000___PEDIDOS_DE_CLIENTES[[Data.Column2]:[Descrição Produto]],2,FALSE)," ")</f>
        <v xml:space="preserve"> </v>
      </c>
      <c r="J1260" s="91"/>
      <c r="K1260" s="88"/>
      <c r="N1260" s="6">
        <f t="shared" ca="1" si="7"/>
        <v>46315</v>
      </c>
      <c r="O1260" s="23">
        <f ca="1">TAB_OFICINAS[[#This Row],[Data Retorno Produção]]-TAB_OFICINAS[[#This Row],[Data Prometida  Entrega]]</f>
        <v>46315</v>
      </c>
      <c r="P1260" s="98" t="str">
        <f ca="1">IF(TAB_OFICINAS[[#This Row],[Dias Para Entrega]]&lt;=0,"Em dia","Dia de Atrasado")</f>
        <v>Dia de Atrasado</v>
      </c>
      <c r="Q1260" s="24">
        <f>IFERROR(TAB_OFICINAS[[#This Row],[Qtd pçs Enviadas]]-TAB_OFICINAS[[#This Row],[Qtd pçs Retornadas ]],"N/D ")</f>
        <v>0</v>
      </c>
      <c r="R1260" s="24"/>
      <c r="U1260" s="11"/>
      <c r="V1260" s="25">
        <f>IFERROR(TAB_OFICINAS[[#This Row],[Valor Unit]]*TAB_OFICINAS[[#This Row],[Qtd pçs Enviadas]]," ")</f>
        <v>0</v>
      </c>
      <c r="W1260" s="26"/>
      <c r="Y1260" s="27"/>
      <c r="Z12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1" spans="6:26" hidden="1">
      <c r="F1261" s="28" t="str">
        <f>IFERROR(VLOOKUP(TAB_OFICINAS[[#This Row],[Cliente]],LISTA_DE_CLIENTES[[Código]:[Nome Fantasia]],2,FALSE),"")</f>
        <v/>
      </c>
      <c r="G1261" s="2" t="str">
        <f>IFERROR(VLOOKUP(TAB_OFICINAS[[#This Row],[Cliente]],LISTA_DE_CLIENTES[[Código]:[Nome Fantasia]],3,FALSE),"")</f>
        <v/>
      </c>
      <c r="H1261" s="51"/>
      <c r="I1261" s="28" t="str">
        <f>IFERROR(VLOOKUP(TAB_OFICINAS[[#This Row],[Codigo Produto ]],_000___PEDIDOS_DE_CLIENTES[[Data.Column2]:[Descrição Produto]],2,FALSE)," ")</f>
        <v xml:space="preserve"> </v>
      </c>
      <c r="J1261" s="91"/>
      <c r="K1261" s="88"/>
      <c r="N1261" s="6">
        <f t="shared" ca="1" si="7"/>
        <v>46315</v>
      </c>
      <c r="O1261" s="23">
        <f ca="1">TAB_OFICINAS[[#This Row],[Data Retorno Produção]]-TAB_OFICINAS[[#This Row],[Data Prometida  Entrega]]</f>
        <v>46315</v>
      </c>
      <c r="P1261" s="98" t="str">
        <f ca="1">IF(TAB_OFICINAS[[#This Row],[Dias Para Entrega]]&lt;=0,"Em dia","Dia de Atrasado")</f>
        <v>Dia de Atrasado</v>
      </c>
      <c r="Q1261" s="24">
        <f>IFERROR(TAB_OFICINAS[[#This Row],[Qtd pçs Enviadas]]-TAB_OFICINAS[[#This Row],[Qtd pçs Retornadas ]],"N/D ")</f>
        <v>0</v>
      </c>
      <c r="R1261" s="24"/>
      <c r="U1261" s="11"/>
      <c r="V1261" s="25">
        <f>IFERROR(TAB_OFICINAS[[#This Row],[Valor Unit]]*TAB_OFICINAS[[#This Row],[Qtd pçs Enviadas]]," ")</f>
        <v>0</v>
      </c>
      <c r="W1261" s="26"/>
      <c r="Y1261" s="27"/>
      <c r="Z12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2" spans="6:26" hidden="1">
      <c r="F1262" s="28" t="str">
        <f>IFERROR(VLOOKUP(TAB_OFICINAS[[#This Row],[Cliente]],LISTA_DE_CLIENTES[[Código]:[Nome Fantasia]],2,FALSE),"")</f>
        <v/>
      </c>
      <c r="G1262" s="2" t="str">
        <f>IFERROR(VLOOKUP(TAB_OFICINAS[[#This Row],[Cliente]],LISTA_DE_CLIENTES[[Código]:[Nome Fantasia]],3,FALSE),"")</f>
        <v/>
      </c>
      <c r="H1262" s="51"/>
      <c r="I1262" s="28" t="str">
        <f>IFERROR(VLOOKUP(TAB_OFICINAS[[#This Row],[Codigo Produto ]],_000___PEDIDOS_DE_CLIENTES[[Data.Column2]:[Descrição Produto]],2,FALSE)," ")</f>
        <v xml:space="preserve"> </v>
      </c>
      <c r="J1262" s="91"/>
      <c r="K1262" s="88"/>
      <c r="N1262" s="6">
        <f t="shared" ca="1" si="7"/>
        <v>46315</v>
      </c>
      <c r="O1262" s="23">
        <f ca="1">TAB_OFICINAS[[#This Row],[Data Retorno Produção]]-TAB_OFICINAS[[#This Row],[Data Prometida  Entrega]]</f>
        <v>46315</v>
      </c>
      <c r="P1262" s="98" t="str">
        <f ca="1">IF(TAB_OFICINAS[[#This Row],[Dias Para Entrega]]&lt;=0,"Em dia","Dia de Atrasado")</f>
        <v>Dia de Atrasado</v>
      </c>
      <c r="Q1262" s="24">
        <f>IFERROR(TAB_OFICINAS[[#This Row],[Qtd pçs Enviadas]]-TAB_OFICINAS[[#This Row],[Qtd pçs Retornadas ]],"N/D ")</f>
        <v>0</v>
      </c>
      <c r="R1262" s="24"/>
      <c r="U1262" s="11"/>
      <c r="V1262" s="25">
        <f>IFERROR(TAB_OFICINAS[[#This Row],[Valor Unit]]*TAB_OFICINAS[[#This Row],[Qtd pçs Enviadas]]," ")</f>
        <v>0</v>
      </c>
      <c r="W1262" s="26"/>
      <c r="Y1262" s="27"/>
      <c r="Z12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3" spans="6:26" hidden="1">
      <c r="F1263" s="28" t="str">
        <f>IFERROR(VLOOKUP(TAB_OFICINAS[[#This Row],[Cliente]],LISTA_DE_CLIENTES[[Código]:[Nome Fantasia]],2,FALSE),"")</f>
        <v/>
      </c>
      <c r="G1263" s="2" t="str">
        <f>IFERROR(VLOOKUP(TAB_OFICINAS[[#This Row],[Cliente]],LISTA_DE_CLIENTES[[Código]:[Nome Fantasia]],3,FALSE),"")</f>
        <v/>
      </c>
      <c r="H1263" s="51"/>
      <c r="I1263" s="28" t="str">
        <f>IFERROR(VLOOKUP(TAB_OFICINAS[[#This Row],[Codigo Produto ]],_000___PEDIDOS_DE_CLIENTES[[Data.Column2]:[Descrição Produto]],2,FALSE)," ")</f>
        <v xml:space="preserve"> </v>
      </c>
      <c r="J1263" s="91"/>
      <c r="K1263" s="88"/>
      <c r="N1263" s="6">
        <f t="shared" ca="1" si="7"/>
        <v>46315</v>
      </c>
      <c r="O1263" s="23">
        <f ca="1">TAB_OFICINAS[[#This Row],[Data Retorno Produção]]-TAB_OFICINAS[[#This Row],[Data Prometida  Entrega]]</f>
        <v>46315</v>
      </c>
      <c r="P1263" s="98" t="str">
        <f ca="1">IF(TAB_OFICINAS[[#This Row],[Dias Para Entrega]]&lt;=0,"Em dia","Dia de Atrasado")</f>
        <v>Dia de Atrasado</v>
      </c>
      <c r="Q1263" s="24">
        <f>IFERROR(TAB_OFICINAS[[#This Row],[Qtd pçs Enviadas]]-TAB_OFICINAS[[#This Row],[Qtd pçs Retornadas ]],"N/D ")</f>
        <v>0</v>
      </c>
      <c r="R1263" s="24"/>
      <c r="U1263" s="11"/>
      <c r="V1263" s="25">
        <f>IFERROR(TAB_OFICINAS[[#This Row],[Valor Unit]]*TAB_OFICINAS[[#This Row],[Qtd pçs Enviadas]]," ")</f>
        <v>0</v>
      </c>
      <c r="W1263" s="26"/>
      <c r="Y1263" s="27"/>
      <c r="Z12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4" spans="6:26" hidden="1">
      <c r="F1264" s="28" t="str">
        <f>IFERROR(VLOOKUP(TAB_OFICINAS[[#This Row],[Cliente]],LISTA_DE_CLIENTES[[Código]:[Nome Fantasia]],2,FALSE),"")</f>
        <v/>
      </c>
      <c r="G1264" s="2" t="str">
        <f>IFERROR(VLOOKUP(TAB_OFICINAS[[#This Row],[Cliente]],LISTA_DE_CLIENTES[[Código]:[Nome Fantasia]],3,FALSE),"")</f>
        <v/>
      </c>
      <c r="H1264" s="51"/>
      <c r="I1264" s="28" t="str">
        <f>IFERROR(VLOOKUP(TAB_OFICINAS[[#This Row],[Codigo Produto ]],_000___PEDIDOS_DE_CLIENTES[[Data.Column2]:[Descrição Produto]],2,FALSE)," ")</f>
        <v xml:space="preserve"> </v>
      </c>
      <c r="J1264" s="91"/>
      <c r="K1264" s="88"/>
      <c r="N1264" s="6">
        <f t="shared" ca="1" si="7"/>
        <v>46315</v>
      </c>
      <c r="O1264" s="23">
        <f ca="1">TAB_OFICINAS[[#This Row],[Data Retorno Produção]]-TAB_OFICINAS[[#This Row],[Data Prometida  Entrega]]</f>
        <v>46315</v>
      </c>
      <c r="P1264" s="98" t="str">
        <f ca="1">IF(TAB_OFICINAS[[#This Row],[Dias Para Entrega]]&lt;=0,"Em dia","Dia de Atrasado")</f>
        <v>Dia de Atrasado</v>
      </c>
      <c r="Q1264" s="24">
        <f>IFERROR(TAB_OFICINAS[[#This Row],[Qtd pçs Enviadas]]-TAB_OFICINAS[[#This Row],[Qtd pçs Retornadas ]],"N/D ")</f>
        <v>0</v>
      </c>
      <c r="R1264" s="24"/>
      <c r="U1264" s="11"/>
      <c r="V1264" s="25">
        <f>IFERROR(TAB_OFICINAS[[#This Row],[Valor Unit]]*TAB_OFICINAS[[#This Row],[Qtd pçs Enviadas]]," ")</f>
        <v>0</v>
      </c>
      <c r="W1264" s="26"/>
      <c r="Y1264" s="27"/>
      <c r="Z126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5" spans="6:26" hidden="1">
      <c r="F1265" s="28" t="str">
        <f>IFERROR(VLOOKUP(TAB_OFICINAS[[#This Row],[Cliente]],LISTA_DE_CLIENTES[[Código]:[Nome Fantasia]],2,FALSE),"")</f>
        <v/>
      </c>
      <c r="G1265" s="2" t="str">
        <f>IFERROR(VLOOKUP(TAB_OFICINAS[[#This Row],[Cliente]],LISTA_DE_CLIENTES[[Código]:[Nome Fantasia]],3,FALSE),"")</f>
        <v/>
      </c>
      <c r="H1265" s="51"/>
      <c r="I1265" s="28" t="str">
        <f>IFERROR(VLOOKUP(TAB_OFICINAS[[#This Row],[Codigo Produto ]],_000___PEDIDOS_DE_CLIENTES[[Data.Column2]:[Descrição Produto]],2,FALSE)," ")</f>
        <v xml:space="preserve"> </v>
      </c>
      <c r="J1265" s="91"/>
      <c r="K1265" s="88"/>
      <c r="N1265" s="6">
        <f t="shared" ca="1" si="7"/>
        <v>46315</v>
      </c>
      <c r="O1265" s="23">
        <f ca="1">TAB_OFICINAS[[#This Row],[Data Retorno Produção]]-TAB_OFICINAS[[#This Row],[Data Prometida  Entrega]]</f>
        <v>46315</v>
      </c>
      <c r="P1265" s="98" t="str">
        <f ca="1">IF(TAB_OFICINAS[[#This Row],[Dias Para Entrega]]&lt;=0,"Em dia","Dia de Atrasado")</f>
        <v>Dia de Atrasado</v>
      </c>
      <c r="Q1265" s="24">
        <f>IFERROR(TAB_OFICINAS[[#This Row],[Qtd pçs Enviadas]]-TAB_OFICINAS[[#This Row],[Qtd pçs Retornadas ]],"N/D ")</f>
        <v>0</v>
      </c>
      <c r="R1265" s="24"/>
      <c r="U1265" s="11"/>
      <c r="V1265" s="25">
        <f>IFERROR(TAB_OFICINAS[[#This Row],[Valor Unit]]*TAB_OFICINAS[[#This Row],[Qtd pçs Enviadas]]," ")</f>
        <v>0</v>
      </c>
      <c r="W1265" s="26"/>
      <c r="Y1265" s="27"/>
      <c r="Z12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6" spans="6:26" hidden="1">
      <c r="F1266" s="28" t="str">
        <f>IFERROR(VLOOKUP(TAB_OFICINAS[[#This Row],[Cliente]],LISTA_DE_CLIENTES[[Código]:[Nome Fantasia]],2,FALSE),"")</f>
        <v/>
      </c>
      <c r="G1266" s="2" t="str">
        <f>IFERROR(VLOOKUP(TAB_OFICINAS[[#This Row],[Cliente]],LISTA_DE_CLIENTES[[Código]:[Nome Fantasia]],3,FALSE),"")</f>
        <v/>
      </c>
      <c r="H1266" s="51"/>
      <c r="I1266" s="28" t="str">
        <f>IFERROR(VLOOKUP(TAB_OFICINAS[[#This Row],[Codigo Produto ]],_000___PEDIDOS_DE_CLIENTES[[Data.Column2]:[Descrição Produto]],2,FALSE)," ")</f>
        <v xml:space="preserve"> </v>
      </c>
      <c r="J1266" s="91"/>
      <c r="K1266" s="88"/>
      <c r="N1266" s="6">
        <f t="shared" ca="1" si="7"/>
        <v>46315</v>
      </c>
      <c r="O1266" s="23">
        <f ca="1">TAB_OFICINAS[[#This Row],[Data Retorno Produção]]-TAB_OFICINAS[[#This Row],[Data Prometida  Entrega]]</f>
        <v>46315</v>
      </c>
      <c r="P1266" s="98" t="str">
        <f ca="1">IF(TAB_OFICINAS[[#This Row],[Dias Para Entrega]]&lt;=0,"Em dia","Dia de Atrasado")</f>
        <v>Dia de Atrasado</v>
      </c>
      <c r="Q1266" s="24">
        <f>IFERROR(TAB_OFICINAS[[#This Row],[Qtd pçs Enviadas]]-TAB_OFICINAS[[#This Row],[Qtd pçs Retornadas ]],"N/D ")</f>
        <v>0</v>
      </c>
      <c r="R1266" s="24"/>
      <c r="U1266" s="11"/>
      <c r="V1266" s="25">
        <f>IFERROR(TAB_OFICINAS[[#This Row],[Valor Unit]]*TAB_OFICINAS[[#This Row],[Qtd pçs Enviadas]]," ")</f>
        <v>0</v>
      </c>
      <c r="W1266" s="26"/>
      <c r="Y1266" s="27"/>
      <c r="Z12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7" spans="6:26" hidden="1">
      <c r="F1267" s="28" t="str">
        <f>IFERROR(VLOOKUP(TAB_OFICINAS[[#This Row],[Cliente]],LISTA_DE_CLIENTES[[Código]:[Nome Fantasia]],2,FALSE),"")</f>
        <v/>
      </c>
      <c r="G1267" s="2" t="str">
        <f>IFERROR(VLOOKUP(TAB_OFICINAS[[#This Row],[Cliente]],LISTA_DE_CLIENTES[[Código]:[Nome Fantasia]],3,FALSE),"")</f>
        <v/>
      </c>
      <c r="H1267" s="51"/>
      <c r="I1267" s="28" t="str">
        <f>IFERROR(VLOOKUP(TAB_OFICINAS[[#This Row],[Codigo Produto ]],_000___PEDIDOS_DE_CLIENTES[[Data.Column2]:[Descrição Produto]],2,FALSE)," ")</f>
        <v xml:space="preserve"> </v>
      </c>
      <c r="J1267" s="91"/>
      <c r="K1267" s="88"/>
      <c r="N1267" s="6">
        <f t="shared" ca="1" si="7"/>
        <v>46315</v>
      </c>
      <c r="O1267" s="23">
        <f ca="1">TAB_OFICINAS[[#This Row],[Data Retorno Produção]]-TAB_OFICINAS[[#This Row],[Data Prometida  Entrega]]</f>
        <v>46315</v>
      </c>
      <c r="P1267" s="98" t="str">
        <f ca="1">IF(TAB_OFICINAS[[#This Row],[Dias Para Entrega]]&lt;=0,"Em dia","Dia de Atrasado")</f>
        <v>Dia de Atrasado</v>
      </c>
      <c r="Q1267" s="24">
        <f>IFERROR(TAB_OFICINAS[[#This Row],[Qtd pçs Enviadas]]-TAB_OFICINAS[[#This Row],[Qtd pçs Retornadas ]],"N/D ")</f>
        <v>0</v>
      </c>
      <c r="R1267" s="24"/>
      <c r="U1267" s="11"/>
      <c r="V1267" s="25">
        <f>IFERROR(TAB_OFICINAS[[#This Row],[Valor Unit]]*TAB_OFICINAS[[#This Row],[Qtd pçs Enviadas]]," ")</f>
        <v>0</v>
      </c>
      <c r="W1267" s="26"/>
      <c r="Y1267" s="27"/>
      <c r="Z126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8" spans="6:26" hidden="1">
      <c r="F1268" s="28" t="str">
        <f>IFERROR(VLOOKUP(TAB_OFICINAS[[#This Row],[Cliente]],LISTA_DE_CLIENTES[[Código]:[Nome Fantasia]],2,FALSE),"")</f>
        <v/>
      </c>
      <c r="G1268" s="2" t="str">
        <f>IFERROR(VLOOKUP(TAB_OFICINAS[[#This Row],[Cliente]],LISTA_DE_CLIENTES[[Código]:[Nome Fantasia]],3,FALSE),"")</f>
        <v/>
      </c>
      <c r="H1268" s="51"/>
      <c r="I1268" s="28" t="str">
        <f>IFERROR(VLOOKUP(TAB_OFICINAS[[#This Row],[Codigo Produto ]],_000___PEDIDOS_DE_CLIENTES[[Data.Column2]:[Descrição Produto]],2,FALSE)," ")</f>
        <v xml:space="preserve"> </v>
      </c>
      <c r="J1268" s="91"/>
      <c r="K1268" s="88"/>
      <c r="N1268" s="6">
        <f t="shared" ca="1" si="7"/>
        <v>46315</v>
      </c>
      <c r="O1268" s="23">
        <f ca="1">TAB_OFICINAS[[#This Row],[Data Retorno Produção]]-TAB_OFICINAS[[#This Row],[Data Prometida  Entrega]]</f>
        <v>46315</v>
      </c>
      <c r="P1268" s="98" t="str">
        <f ca="1">IF(TAB_OFICINAS[[#This Row],[Dias Para Entrega]]&lt;=0,"Em dia","Dia de Atrasado")</f>
        <v>Dia de Atrasado</v>
      </c>
      <c r="Q1268" s="24">
        <f>IFERROR(TAB_OFICINAS[[#This Row],[Qtd pçs Enviadas]]-TAB_OFICINAS[[#This Row],[Qtd pçs Retornadas ]],"N/D ")</f>
        <v>0</v>
      </c>
      <c r="R1268" s="24"/>
      <c r="U1268" s="11"/>
      <c r="V1268" s="25">
        <f>IFERROR(TAB_OFICINAS[[#This Row],[Valor Unit]]*TAB_OFICINAS[[#This Row],[Qtd pçs Enviadas]]," ")</f>
        <v>0</v>
      </c>
      <c r="W1268" s="26"/>
      <c r="Y1268" s="27"/>
      <c r="Z126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69" spans="6:26" hidden="1">
      <c r="F1269" s="28" t="str">
        <f>IFERROR(VLOOKUP(TAB_OFICINAS[[#This Row],[Cliente]],LISTA_DE_CLIENTES[[Código]:[Nome Fantasia]],2,FALSE),"")</f>
        <v/>
      </c>
      <c r="G1269" s="2" t="str">
        <f>IFERROR(VLOOKUP(TAB_OFICINAS[[#This Row],[Cliente]],LISTA_DE_CLIENTES[[Código]:[Nome Fantasia]],3,FALSE),"")</f>
        <v/>
      </c>
      <c r="H1269" s="51"/>
      <c r="I1269" s="28" t="str">
        <f>IFERROR(VLOOKUP(TAB_OFICINAS[[#This Row],[Codigo Produto ]],_000___PEDIDOS_DE_CLIENTES[[Data.Column2]:[Descrição Produto]],2,FALSE)," ")</f>
        <v xml:space="preserve"> </v>
      </c>
      <c r="J1269" s="91"/>
      <c r="K1269" s="88"/>
      <c r="N1269" s="6">
        <f t="shared" ca="1" si="7"/>
        <v>46315</v>
      </c>
      <c r="O1269" s="23">
        <f ca="1">TAB_OFICINAS[[#This Row],[Data Retorno Produção]]-TAB_OFICINAS[[#This Row],[Data Prometida  Entrega]]</f>
        <v>46315</v>
      </c>
      <c r="P1269" s="98" t="str">
        <f ca="1">IF(TAB_OFICINAS[[#This Row],[Dias Para Entrega]]&lt;=0,"Em dia","Dia de Atrasado")</f>
        <v>Dia de Atrasado</v>
      </c>
      <c r="Q1269" s="24">
        <f>IFERROR(TAB_OFICINAS[[#This Row],[Qtd pçs Enviadas]]-TAB_OFICINAS[[#This Row],[Qtd pçs Retornadas ]],"N/D ")</f>
        <v>0</v>
      </c>
      <c r="R1269" s="24"/>
      <c r="U1269" s="11"/>
      <c r="V1269" s="25">
        <f>IFERROR(TAB_OFICINAS[[#This Row],[Valor Unit]]*TAB_OFICINAS[[#This Row],[Qtd pçs Enviadas]]," ")</f>
        <v>0</v>
      </c>
      <c r="W1269" s="26"/>
      <c r="Y1269" s="27"/>
      <c r="Z12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0" spans="6:26" hidden="1">
      <c r="F1270" s="28" t="str">
        <f>IFERROR(VLOOKUP(TAB_OFICINAS[[#This Row],[Cliente]],LISTA_DE_CLIENTES[[Código]:[Nome Fantasia]],2,FALSE),"")</f>
        <v/>
      </c>
      <c r="G1270" s="2" t="str">
        <f>IFERROR(VLOOKUP(TAB_OFICINAS[[#This Row],[Cliente]],LISTA_DE_CLIENTES[[Código]:[Nome Fantasia]],3,FALSE),"")</f>
        <v/>
      </c>
      <c r="H1270" s="51"/>
      <c r="I1270" s="28" t="str">
        <f>IFERROR(VLOOKUP(TAB_OFICINAS[[#This Row],[Codigo Produto ]],_000___PEDIDOS_DE_CLIENTES[[Data.Column2]:[Descrição Produto]],2,FALSE)," ")</f>
        <v xml:space="preserve"> </v>
      </c>
      <c r="J1270" s="91"/>
      <c r="K1270" s="88"/>
      <c r="N1270" s="6">
        <f t="shared" ca="1" si="7"/>
        <v>46315</v>
      </c>
      <c r="O1270" s="23">
        <f ca="1">TAB_OFICINAS[[#This Row],[Data Retorno Produção]]-TAB_OFICINAS[[#This Row],[Data Prometida  Entrega]]</f>
        <v>46315</v>
      </c>
      <c r="P1270" s="98" t="str">
        <f ca="1">IF(TAB_OFICINAS[[#This Row],[Dias Para Entrega]]&lt;=0,"Em dia","Dia de Atrasado")</f>
        <v>Dia de Atrasado</v>
      </c>
      <c r="Q1270" s="24">
        <f>IFERROR(TAB_OFICINAS[[#This Row],[Qtd pçs Enviadas]]-TAB_OFICINAS[[#This Row],[Qtd pçs Retornadas ]],"N/D ")</f>
        <v>0</v>
      </c>
      <c r="R1270" s="24"/>
      <c r="U1270" s="11"/>
      <c r="V1270" s="25">
        <f>IFERROR(TAB_OFICINAS[[#This Row],[Valor Unit]]*TAB_OFICINAS[[#This Row],[Qtd pçs Enviadas]]," ")</f>
        <v>0</v>
      </c>
      <c r="W1270" s="26"/>
      <c r="Y1270" s="27"/>
      <c r="Z12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1" spans="6:26" hidden="1">
      <c r="F1271" s="28" t="str">
        <f>IFERROR(VLOOKUP(TAB_OFICINAS[[#This Row],[Cliente]],LISTA_DE_CLIENTES[[Código]:[Nome Fantasia]],2,FALSE),"")</f>
        <v/>
      </c>
      <c r="G1271" s="2" t="str">
        <f>IFERROR(VLOOKUP(TAB_OFICINAS[[#This Row],[Cliente]],LISTA_DE_CLIENTES[[Código]:[Nome Fantasia]],3,FALSE),"")</f>
        <v/>
      </c>
      <c r="H1271" s="51"/>
      <c r="I1271" s="28" t="str">
        <f>IFERROR(VLOOKUP(TAB_OFICINAS[[#This Row],[Codigo Produto ]],_000___PEDIDOS_DE_CLIENTES[[Data.Column2]:[Descrição Produto]],2,FALSE)," ")</f>
        <v xml:space="preserve"> </v>
      </c>
      <c r="J1271" s="91"/>
      <c r="K1271" s="88"/>
      <c r="N1271" s="6">
        <f t="shared" ca="1" si="7"/>
        <v>46315</v>
      </c>
      <c r="O1271" s="23">
        <f ca="1">TAB_OFICINAS[[#This Row],[Data Retorno Produção]]-TAB_OFICINAS[[#This Row],[Data Prometida  Entrega]]</f>
        <v>46315</v>
      </c>
      <c r="P1271" s="98" t="str">
        <f ca="1">IF(TAB_OFICINAS[[#This Row],[Dias Para Entrega]]&lt;=0,"Em dia","Dia de Atrasado")</f>
        <v>Dia de Atrasado</v>
      </c>
      <c r="Q1271" s="24">
        <f>IFERROR(TAB_OFICINAS[[#This Row],[Qtd pçs Enviadas]]-TAB_OFICINAS[[#This Row],[Qtd pçs Retornadas ]],"N/D ")</f>
        <v>0</v>
      </c>
      <c r="R1271" s="24"/>
      <c r="U1271" s="11"/>
      <c r="V1271" s="25">
        <f>IFERROR(TAB_OFICINAS[[#This Row],[Valor Unit]]*TAB_OFICINAS[[#This Row],[Qtd pçs Enviadas]]," ")</f>
        <v>0</v>
      </c>
      <c r="W1271" s="26"/>
      <c r="Y1271" s="27"/>
      <c r="Z12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2" spans="6:26" hidden="1">
      <c r="F1272" s="28" t="str">
        <f>IFERROR(VLOOKUP(TAB_OFICINAS[[#This Row],[Cliente]],LISTA_DE_CLIENTES[[Código]:[Nome Fantasia]],2,FALSE),"")</f>
        <v/>
      </c>
      <c r="G1272" s="2" t="str">
        <f>IFERROR(VLOOKUP(TAB_OFICINAS[[#This Row],[Cliente]],LISTA_DE_CLIENTES[[Código]:[Nome Fantasia]],3,FALSE),"")</f>
        <v/>
      </c>
      <c r="H1272" s="51"/>
      <c r="I1272" s="28" t="str">
        <f>IFERROR(VLOOKUP(TAB_OFICINAS[[#This Row],[Codigo Produto ]],_000___PEDIDOS_DE_CLIENTES[[Data.Column2]:[Descrição Produto]],2,FALSE)," ")</f>
        <v xml:space="preserve"> </v>
      </c>
      <c r="J1272" s="91"/>
      <c r="K1272" s="88"/>
      <c r="N1272" s="6">
        <f t="shared" ca="1" si="7"/>
        <v>46315</v>
      </c>
      <c r="O1272" s="23">
        <f ca="1">TAB_OFICINAS[[#This Row],[Data Retorno Produção]]-TAB_OFICINAS[[#This Row],[Data Prometida  Entrega]]</f>
        <v>46315</v>
      </c>
      <c r="P1272" s="98" t="str">
        <f ca="1">IF(TAB_OFICINAS[[#This Row],[Dias Para Entrega]]&lt;=0,"Em dia","Dia de Atrasado")</f>
        <v>Dia de Atrasado</v>
      </c>
      <c r="Q1272" s="24">
        <f>IFERROR(TAB_OFICINAS[[#This Row],[Qtd pçs Enviadas]]-TAB_OFICINAS[[#This Row],[Qtd pçs Retornadas ]],"N/D ")</f>
        <v>0</v>
      </c>
      <c r="R1272" s="24"/>
      <c r="U1272" s="11"/>
      <c r="V1272" s="25">
        <f>IFERROR(TAB_OFICINAS[[#This Row],[Valor Unit]]*TAB_OFICINAS[[#This Row],[Qtd pçs Enviadas]]," ")</f>
        <v>0</v>
      </c>
      <c r="W1272" s="26"/>
      <c r="Y1272" s="27"/>
      <c r="Z12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3" spans="6:26" hidden="1">
      <c r="F1273" s="28" t="str">
        <f>IFERROR(VLOOKUP(TAB_OFICINAS[[#This Row],[Cliente]],LISTA_DE_CLIENTES[[Código]:[Nome Fantasia]],2,FALSE),"")</f>
        <v/>
      </c>
      <c r="G1273" s="2" t="str">
        <f>IFERROR(VLOOKUP(TAB_OFICINAS[[#This Row],[Cliente]],LISTA_DE_CLIENTES[[Código]:[Nome Fantasia]],3,FALSE),"")</f>
        <v/>
      </c>
      <c r="H1273" s="51"/>
      <c r="I1273" s="28" t="str">
        <f>IFERROR(VLOOKUP(TAB_OFICINAS[[#This Row],[Codigo Produto ]],_000___PEDIDOS_DE_CLIENTES[[Data.Column2]:[Descrição Produto]],2,FALSE)," ")</f>
        <v xml:space="preserve"> </v>
      </c>
      <c r="J1273" s="91"/>
      <c r="K1273" s="88"/>
      <c r="N1273" s="6">
        <f t="shared" ca="1" si="7"/>
        <v>46315</v>
      </c>
      <c r="O1273" s="23">
        <f ca="1">TAB_OFICINAS[[#This Row],[Data Retorno Produção]]-TAB_OFICINAS[[#This Row],[Data Prometida  Entrega]]</f>
        <v>46315</v>
      </c>
      <c r="P1273" s="98" t="str">
        <f ca="1">IF(TAB_OFICINAS[[#This Row],[Dias Para Entrega]]&lt;=0,"Em dia","Dia de Atrasado")</f>
        <v>Dia de Atrasado</v>
      </c>
      <c r="Q1273" s="24">
        <f>IFERROR(TAB_OFICINAS[[#This Row],[Qtd pçs Enviadas]]-TAB_OFICINAS[[#This Row],[Qtd pçs Retornadas ]],"N/D ")</f>
        <v>0</v>
      </c>
      <c r="R1273" s="24"/>
      <c r="U1273" s="11"/>
      <c r="V1273" s="25">
        <f>IFERROR(TAB_OFICINAS[[#This Row],[Valor Unit]]*TAB_OFICINAS[[#This Row],[Qtd pçs Enviadas]]," ")</f>
        <v>0</v>
      </c>
      <c r="W1273" s="26"/>
      <c r="Y1273" s="27"/>
      <c r="Z12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4" spans="6:26" hidden="1">
      <c r="F1274" s="28" t="str">
        <f>IFERROR(VLOOKUP(TAB_OFICINAS[[#This Row],[Cliente]],LISTA_DE_CLIENTES[[Código]:[Nome Fantasia]],2,FALSE),"")</f>
        <v/>
      </c>
      <c r="G1274" s="2" t="str">
        <f>IFERROR(VLOOKUP(TAB_OFICINAS[[#This Row],[Cliente]],LISTA_DE_CLIENTES[[Código]:[Nome Fantasia]],3,FALSE),"")</f>
        <v/>
      </c>
      <c r="H1274" s="51"/>
      <c r="I1274" s="28" t="str">
        <f>IFERROR(VLOOKUP(TAB_OFICINAS[[#This Row],[Codigo Produto ]],_000___PEDIDOS_DE_CLIENTES[[Data.Column2]:[Descrição Produto]],2,FALSE)," ")</f>
        <v xml:space="preserve"> </v>
      </c>
      <c r="J1274" s="91"/>
      <c r="K1274" s="88"/>
      <c r="N1274" s="6">
        <f t="shared" ca="1" si="7"/>
        <v>46315</v>
      </c>
      <c r="O1274" s="23">
        <f ca="1">TAB_OFICINAS[[#This Row],[Data Retorno Produção]]-TAB_OFICINAS[[#This Row],[Data Prometida  Entrega]]</f>
        <v>46315</v>
      </c>
      <c r="P1274" s="98" t="str">
        <f ca="1">IF(TAB_OFICINAS[[#This Row],[Dias Para Entrega]]&lt;=0,"Em dia","Dia de Atrasado")</f>
        <v>Dia de Atrasado</v>
      </c>
      <c r="Q1274" s="24">
        <f>IFERROR(TAB_OFICINAS[[#This Row],[Qtd pçs Enviadas]]-TAB_OFICINAS[[#This Row],[Qtd pçs Retornadas ]],"N/D ")</f>
        <v>0</v>
      </c>
      <c r="R1274" s="24"/>
      <c r="U1274" s="11"/>
      <c r="V1274" s="25">
        <f>IFERROR(TAB_OFICINAS[[#This Row],[Valor Unit]]*TAB_OFICINAS[[#This Row],[Qtd pçs Enviadas]]," ")</f>
        <v>0</v>
      </c>
      <c r="W1274" s="26"/>
      <c r="Y1274" s="27"/>
      <c r="Z12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5" spans="6:26" hidden="1">
      <c r="F1275" s="28" t="str">
        <f>IFERROR(VLOOKUP(TAB_OFICINAS[[#This Row],[Cliente]],LISTA_DE_CLIENTES[[Código]:[Nome Fantasia]],2,FALSE),"")</f>
        <v/>
      </c>
      <c r="G1275" s="2" t="str">
        <f>IFERROR(VLOOKUP(TAB_OFICINAS[[#This Row],[Cliente]],LISTA_DE_CLIENTES[[Código]:[Nome Fantasia]],3,FALSE),"")</f>
        <v/>
      </c>
      <c r="H1275" s="51"/>
      <c r="I1275" s="28" t="str">
        <f>IFERROR(VLOOKUP(TAB_OFICINAS[[#This Row],[Codigo Produto ]],_000___PEDIDOS_DE_CLIENTES[[Data.Column2]:[Descrição Produto]],2,FALSE)," ")</f>
        <v xml:space="preserve"> </v>
      </c>
      <c r="J1275" s="91"/>
      <c r="K1275" s="88"/>
      <c r="N1275" s="6">
        <f t="shared" ca="1" si="7"/>
        <v>46315</v>
      </c>
      <c r="O1275" s="23">
        <f ca="1">TAB_OFICINAS[[#This Row],[Data Retorno Produção]]-TAB_OFICINAS[[#This Row],[Data Prometida  Entrega]]</f>
        <v>46315</v>
      </c>
      <c r="P1275" s="98" t="str">
        <f ca="1">IF(TAB_OFICINAS[[#This Row],[Dias Para Entrega]]&lt;=0,"Em dia","Dia de Atrasado")</f>
        <v>Dia de Atrasado</v>
      </c>
      <c r="Q1275" s="24">
        <f>IFERROR(TAB_OFICINAS[[#This Row],[Qtd pçs Enviadas]]-TAB_OFICINAS[[#This Row],[Qtd pçs Retornadas ]],"N/D ")</f>
        <v>0</v>
      </c>
      <c r="R1275" s="24"/>
      <c r="U1275" s="11"/>
      <c r="V1275" s="25">
        <f>IFERROR(TAB_OFICINAS[[#This Row],[Valor Unit]]*TAB_OFICINAS[[#This Row],[Qtd pçs Enviadas]]," ")</f>
        <v>0</v>
      </c>
      <c r="W1275" s="26"/>
      <c r="Y1275" s="27"/>
      <c r="Z12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6" spans="6:26" hidden="1">
      <c r="F1276" s="28" t="str">
        <f>IFERROR(VLOOKUP(TAB_OFICINAS[[#This Row],[Cliente]],LISTA_DE_CLIENTES[[Código]:[Nome Fantasia]],2,FALSE),"")</f>
        <v/>
      </c>
      <c r="G1276" s="2" t="str">
        <f>IFERROR(VLOOKUP(TAB_OFICINAS[[#This Row],[Cliente]],LISTA_DE_CLIENTES[[Código]:[Nome Fantasia]],3,FALSE),"")</f>
        <v/>
      </c>
      <c r="H1276" s="51"/>
      <c r="I1276" s="28" t="str">
        <f>IFERROR(VLOOKUP(TAB_OFICINAS[[#This Row],[Codigo Produto ]],_000___PEDIDOS_DE_CLIENTES[[Data.Column2]:[Descrição Produto]],2,FALSE)," ")</f>
        <v xml:space="preserve"> </v>
      </c>
      <c r="J1276" s="91"/>
      <c r="K1276" s="88"/>
      <c r="N1276" s="6">
        <f t="shared" ca="1" si="7"/>
        <v>46315</v>
      </c>
      <c r="O1276" s="23">
        <f ca="1">TAB_OFICINAS[[#This Row],[Data Retorno Produção]]-TAB_OFICINAS[[#This Row],[Data Prometida  Entrega]]</f>
        <v>46315</v>
      </c>
      <c r="P1276" s="98" t="str">
        <f ca="1">IF(TAB_OFICINAS[[#This Row],[Dias Para Entrega]]&lt;=0,"Em dia","Dia de Atrasado")</f>
        <v>Dia de Atrasado</v>
      </c>
      <c r="Q1276" s="24">
        <f>IFERROR(TAB_OFICINAS[[#This Row],[Qtd pçs Enviadas]]-TAB_OFICINAS[[#This Row],[Qtd pçs Retornadas ]],"N/D ")</f>
        <v>0</v>
      </c>
      <c r="R1276" s="24"/>
      <c r="U1276" s="11"/>
      <c r="V1276" s="25">
        <f>IFERROR(TAB_OFICINAS[[#This Row],[Valor Unit]]*TAB_OFICINAS[[#This Row],[Qtd pçs Enviadas]]," ")</f>
        <v>0</v>
      </c>
      <c r="W1276" s="26"/>
      <c r="Y1276" s="27"/>
      <c r="Z12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7" spans="6:26" hidden="1">
      <c r="F1277" s="28" t="str">
        <f>IFERROR(VLOOKUP(TAB_OFICINAS[[#This Row],[Cliente]],LISTA_DE_CLIENTES[[Código]:[Nome Fantasia]],2,FALSE),"")</f>
        <v/>
      </c>
      <c r="G1277" s="2" t="str">
        <f>IFERROR(VLOOKUP(TAB_OFICINAS[[#This Row],[Cliente]],LISTA_DE_CLIENTES[[Código]:[Nome Fantasia]],3,FALSE),"")</f>
        <v/>
      </c>
      <c r="H1277" s="51"/>
      <c r="I1277" s="28" t="str">
        <f>IFERROR(VLOOKUP(TAB_OFICINAS[[#This Row],[Codigo Produto ]],_000___PEDIDOS_DE_CLIENTES[[Data.Column2]:[Descrição Produto]],2,FALSE)," ")</f>
        <v xml:space="preserve"> </v>
      </c>
      <c r="J1277" s="91"/>
      <c r="K1277" s="88"/>
      <c r="N1277" s="6">
        <f t="shared" ca="1" si="7"/>
        <v>46315</v>
      </c>
      <c r="O1277" s="23">
        <f ca="1">TAB_OFICINAS[[#This Row],[Data Retorno Produção]]-TAB_OFICINAS[[#This Row],[Data Prometida  Entrega]]</f>
        <v>46315</v>
      </c>
      <c r="P1277" s="98" t="str">
        <f ca="1">IF(TAB_OFICINAS[[#This Row],[Dias Para Entrega]]&lt;=0,"Em dia","Dia de Atrasado")</f>
        <v>Dia de Atrasado</v>
      </c>
      <c r="Q1277" s="24">
        <f>IFERROR(TAB_OFICINAS[[#This Row],[Qtd pçs Enviadas]]-TAB_OFICINAS[[#This Row],[Qtd pçs Retornadas ]],"N/D ")</f>
        <v>0</v>
      </c>
      <c r="R1277" s="24"/>
      <c r="U1277" s="11"/>
      <c r="V1277" s="25">
        <f>IFERROR(TAB_OFICINAS[[#This Row],[Valor Unit]]*TAB_OFICINAS[[#This Row],[Qtd pçs Enviadas]]," ")</f>
        <v>0</v>
      </c>
      <c r="W1277" s="26"/>
      <c r="Y1277" s="27"/>
      <c r="Z12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8" spans="6:26" hidden="1">
      <c r="F1278" s="28" t="str">
        <f>IFERROR(VLOOKUP(TAB_OFICINAS[[#This Row],[Cliente]],LISTA_DE_CLIENTES[[Código]:[Nome Fantasia]],2,FALSE),"")</f>
        <v/>
      </c>
      <c r="G1278" s="2" t="str">
        <f>IFERROR(VLOOKUP(TAB_OFICINAS[[#This Row],[Cliente]],LISTA_DE_CLIENTES[[Código]:[Nome Fantasia]],3,FALSE),"")</f>
        <v/>
      </c>
      <c r="H1278" s="51"/>
      <c r="I1278" s="28" t="str">
        <f>IFERROR(VLOOKUP(TAB_OFICINAS[[#This Row],[Codigo Produto ]],_000___PEDIDOS_DE_CLIENTES[[Data.Column2]:[Descrição Produto]],2,FALSE)," ")</f>
        <v xml:space="preserve"> </v>
      </c>
      <c r="J1278" s="91"/>
      <c r="K1278" s="88"/>
      <c r="N1278" s="6">
        <f t="shared" ca="1" si="7"/>
        <v>46315</v>
      </c>
      <c r="O1278" s="23">
        <f ca="1">TAB_OFICINAS[[#This Row],[Data Retorno Produção]]-TAB_OFICINAS[[#This Row],[Data Prometida  Entrega]]</f>
        <v>46315</v>
      </c>
      <c r="P1278" s="98" t="str">
        <f ca="1">IF(TAB_OFICINAS[[#This Row],[Dias Para Entrega]]&lt;=0,"Em dia","Dia de Atrasado")</f>
        <v>Dia de Atrasado</v>
      </c>
      <c r="Q1278" s="24">
        <f>IFERROR(TAB_OFICINAS[[#This Row],[Qtd pçs Enviadas]]-TAB_OFICINAS[[#This Row],[Qtd pçs Retornadas ]],"N/D ")</f>
        <v>0</v>
      </c>
      <c r="R1278" s="24"/>
      <c r="U1278" s="11"/>
      <c r="V1278" s="25">
        <f>IFERROR(TAB_OFICINAS[[#This Row],[Valor Unit]]*TAB_OFICINAS[[#This Row],[Qtd pçs Enviadas]]," ")</f>
        <v>0</v>
      </c>
      <c r="W1278" s="26"/>
      <c r="Y1278" s="27"/>
      <c r="Z12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79" spans="6:26" hidden="1">
      <c r="F1279" s="28" t="str">
        <f>IFERROR(VLOOKUP(TAB_OFICINAS[[#This Row],[Cliente]],LISTA_DE_CLIENTES[[Código]:[Nome Fantasia]],2,FALSE),"")</f>
        <v/>
      </c>
      <c r="G1279" s="2" t="str">
        <f>IFERROR(VLOOKUP(TAB_OFICINAS[[#This Row],[Cliente]],LISTA_DE_CLIENTES[[Código]:[Nome Fantasia]],3,FALSE),"")</f>
        <v/>
      </c>
      <c r="H1279" s="51"/>
      <c r="I1279" s="28" t="str">
        <f>IFERROR(VLOOKUP(TAB_OFICINAS[[#This Row],[Codigo Produto ]],_000___PEDIDOS_DE_CLIENTES[[Data.Column2]:[Descrição Produto]],2,FALSE)," ")</f>
        <v xml:space="preserve"> </v>
      </c>
      <c r="J1279" s="91"/>
      <c r="K1279" s="88"/>
      <c r="N1279" s="6">
        <f t="shared" ca="1" si="7"/>
        <v>46315</v>
      </c>
      <c r="O1279" s="23">
        <f ca="1">TAB_OFICINAS[[#This Row],[Data Retorno Produção]]-TAB_OFICINAS[[#This Row],[Data Prometida  Entrega]]</f>
        <v>46315</v>
      </c>
      <c r="P1279" s="98" t="str">
        <f ca="1">IF(TAB_OFICINAS[[#This Row],[Dias Para Entrega]]&lt;=0,"Em dia","Dia de Atrasado")</f>
        <v>Dia de Atrasado</v>
      </c>
      <c r="Q1279" s="24">
        <f>IFERROR(TAB_OFICINAS[[#This Row],[Qtd pçs Enviadas]]-TAB_OFICINAS[[#This Row],[Qtd pçs Retornadas ]],"N/D ")</f>
        <v>0</v>
      </c>
      <c r="R1279" s="24"/>
      <c r="U1279" s="11"/>
      <c r="V1279" s="25">
        <f>IFERROR(TAB_OFICINAS[[#This Row],[Valor Unit]]*TAB_OFICINAS[[#This Row],[Qtd pçs Enviadas]]," ")</f>
        <v>0</v>
      </c>
      <c r="W1279" s="26"/>
      <c r="Y1279" s="27"/>
      <c r="Z12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0" spans="6:26" hidden="1">
      <c r="F1280" s="28" t="str">
        <f>IFERROR(VLOOKUP(TAB_OFICINAS[[#This Row],[Cliente]],LISTA_DE_CLIENTES[[Código]:[Nome Fantasia]],2,FALSE),"")</f>
        <v/>
      </c>
      <c r="G1280" s="2" t="str">
        <f>IFERROR(VLOOKUP(TAB_OFICINAS[[#This Row],[Cliente]],LISTA_DE_CLIENTES[[Código]:[Nome Fantasia]],3,FALSE),"")</f>
        <v/>
      </c>
      <c r="H1280" s="51"/>
      <c r="I1280" s="28" t="str">
        <f>IFERROR(VLOOKUP(TAB_OFICINAS[[#This Row],[Codigo Produto ]],_000___PEDIDOS_DE_CLIENTES[[Data.Column2]:[Descrição Produto]],2,FALSE)," ")</f>
        <v xml:space="preserve"> </v>
      </c>
      <c r="J1280" s="91"/>
      <c r="K1280" s="88"/>
      <c r="N1280" s="6">
        <f t="shared" ca="1" si="7"/>
        <v>46315</v>
      </c>
      <c r="O1280" s="23">
        <f ca="1">TAB_OFICINAS[[#This Row],[Data Retorno Produção]]-TAB_OFICINAS[[#This Row],[Data Prometida  Entrega]]</f>
        <v>46315</v>
      </c>
      <c r="P1280" s="98" t="str">
        <f ca="1">IF(TAB_OFICINAS[[#This Row],[Dias Para Entrega]]&lt;=0,"Em dia","Dia de Atrasado")</f>
        <v>Dia de Atrasado</v>
      </c>
      <c r="Q1280" s="24">
        <f>IFERROR(TAB_OFICINAS[[#This Row],[Qtd pçs Enviadas]]-TAB_OFICINAS[[#This Row],[Qtd pçs Retornadas ]],"N/D ")</f>
        <v>0</v>
      </c>
      <c r="R1280" s="24"/>
      <c r="U1280" s="11"/>
      <c r="V1280" s="25">
        <f>IFERROR(TAB_OFICINAS[[#This Row],[Valor Unit]]*TAB_OFICINAS[[#This Row],[Qtd pçs Enviadas]]," ")</f>
        <v>0</v>
      </c>
      <c r="W1280" s="26"/>
      <c r="Y1280" s="27"/>
      <c r="Z12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1" spans="6:26" hidden="1">
      <c r="F1281" s="28" t="str">
        <f>IFERROR(VLOOKUP(TAB_OFICINAS[[#This Row],[Cliente]],LISTA_DE_CLIENTES[[Código]:[Nome Fantasia]],2,FALSE),"")</f>
        <v/>
      </c>
      <c r="G1281" s="2" t="str">
        <f>IFERROR(VLOOKUP(TAB_OFICINAS[[#This Row],[Cliente]],LISTA_DE_CLIENTES[[Código]:[Nome Fantasia]],3,FALSE),"")</f>
        <v/>
      </c>
      <c r="H1281" s="51"/>
      <c r="I1281" s="28" t="str">
        <f>IFERROR(VLOOKUP(TAB_OFICINAS[[#This Row],[Codigo Produto ]],_000___PEDIDOS_DE_CLIENTES[[Data.Column2]:[Descrição Produto]],2,FALSE)," ")</f>
        <v xml:space="preserve"> </v>
      </c>
      <c r="J1281" s="91"/>
      <c r="K1281" s="88"/>
      <c r="N1281" s="6">
        <f t="shared" ca="1" si="7"/>
        <v>46315</v>
      </c>
      <c r="O1281" s="23">
        <f ca="1">TAB_OFICINAS[[#This Row],[Data Retorno Produção]]-TAB_OFICINAS[[#This Row],[Data Prometida  Entrega]]</f>
        <v>46315</v>
      </c>
      <c r="P1281" s="98" t="str">
        <f ca="1">IF(TAB_OFICINAS[[#This Row],[Dias Para Entrega]]&lt;=0,"Em dia","Dia de Atrasado")</f>
        <v>Dia de Atrasado</v>
      </c>
      <c r="Q1281" s="24">
        <f>IFERROR(TAB_OFICINAS[[#This Row],[Qtd pçs Enviadas]]-TAB_OFICINAS[[#This Row],[Qtd pçs Retornadas ]],"N/D ")</f>
        <v>0</v>
      </c>
      <c r="R1281" s="24"/>
      <c r="U1281" s="11"/>
      <c r="V1281" s="25">
        <f>IFERROR(TAB_OFICINAS[[#This Row],[Valor Unit]]*TAB_OFICINAS[[#This Row],[Qtd pçs Enviadas]]," ")</f>
        <v>0</v>
      </c>
      <c r="W1281" s="26"/>
      <c r="Y1281" s="27"/>
      <c r="Z12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2" spans="6:26" hidden="1">
      <c r="F1282" s="28" t="str">
        <f>IFERROR(VLOOKUP(TAB_OFICINAS[[#This Row],[Cliente]],LISTA_DE_CLIENTES[[Código]:[Nome Fantasia]],2,FALSE),"")</f>
        <v/>
      </c>
      <c r="G1282" s="2" t="str">
        <f>IFERROR(VLOOKUP(TAB_OFICINAS[[#This Row],[Cliente]],LISTA_DE_CLIENTES[[Código]:[Nome Fantasia]],3,FALSE),"")</f>
        <v/>
      </c>
      <c r="H1282" s="51"/>
      <c r="I1282" s="28" t="str">
        <f>IFERROR(VLOOKUP(TAB_OFICINAS[[#This Row],[Codigo Produto ]],_000___PEDIDOS_DE_CLIENTES[[Data.Column2]:[Descrição Produto]],2,FALSE)," ")</f>
        <v xml:space="preserve"> </v>
      </c>
      <c r="J1282" s="91"/>
      <c r="K1282" s="88"/>
      <c r="N1282" s="6">
        <f t="shared" ca="1" si="7"/>
        <v>46315</v>
      </c>
      <c r="O1282" s="23">
        <f ca="1">TAB_OFICINAS[[#This Row],[Data Retorno Produção]]-TAB_OFICINAS[[#This Row],[Data Prometida  Entrega]]</f>
        <v>46315</v>
      </c>
      <c r="P1282" s="98" t="str">
        <f ca="1">IF(TAB_OFICINAS[[#This Row],[Dias Para Entrega]]&lt;=0,"Em dia","Dia de Atrasado")</f>
        <v>Dia de Atrasado</v>
      </c>
      <c r="Q1282" s="24">
        <f>IFERROR(TAB_OFICINAS[[#This Row],[Qtd pçs Enviadas]]-TAB_OFICINAS[[#This Row],[Qtd pçs Retornadas ]],"N/D ")</f>
        <v>0</v>
      </c>
      <c r="R1282" s="24"/>
      <c r="U1282" s="11"/>
      <c r="V1282" s="25">
        <f>IFERROR(TAB_OFICINAS[[#This Row],[Valor Unit]]*TAB_OFICINAS[[#This Row],[Qtd pçs Enviadas]]," ")</f>
        <v>0</v>
      </c>
      <c r="W1282" s="26"/>
      <c r="Y1282" s="27"/>
      <c r="Z12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3" spans="6:26" hidden="1">
      <c r="F1283" s="28" t="str">
        <f>IFERROR(VLOOKUP(TAB_OFICINAS[[#This Row],[Cliente]],LISTA_DE_CLIENTES[[Código]:[Nome Fantasia]],2,FALSE),"")</f>
        <v/>
      </c>
      <c r="G1283" s="2" t="str">
        <f>IFERROR(VLOOKUP(TAB_OFICINAS[[#This Row],[Cliente]],LISTA_DE_CLIENTES[[Código]:[Nome Fantasia]],3,FALSE),"")</f>
        <v/>
      </c>
      <c r="H1283" s="51"/>
      <c r="I1283" s="28" t="str">
        <f>IFERROR(VLOOKUP(TAB_OFICINAS[[#This Row],[Codigo Produto ]],_000___PEDIDOS_DE_CLIENTES[[Data.Column2]:[Descrição Produto]],2,FALSE)," ")</f>
        <v xml:space="preserve"> </v>
      </c>
      <c r="J1283" s="91"/>
      <c r="K1283" s="88"/>
      <c r="N1283" s="6">
        <f t="shared" ca="1" si="7"/>
        <v>46315</v>
      </c>
      <c r="O1283" s="23">
        <f ca="1">TAB_OFICINAS[[#This Row],[Data Retorno Produção]]-TAB_OFICINAS[[#This Row],[Data Prometida  Entrega]]</f>
        <v>46315</v>
      </c>
      <c r="P1283" s="98" t="str">
        <f ca="1">IF(TAB_OFICINAS[[#This Row],[Dias Para Entrega]]&lt;=0,"Em dia","Dia de Atrasado")</f>
        <v>Dia de Atrasado</v>
      </c>
      <c r="Q1283" s="24">
        <f>IFERROR(TAB_OFICINAS[[#This Row],[Qtd pçs Enviadas]]-TAB_OFICINAS[[#This Row],[Qtd pçs Retornadas ]],"N/D ")</f>
        <v>0</v>
      </c>
      <c r="R1283" s="24"/>
      <c r="U1283" s="11"/>
      <c r="V1283" s="25">
        <f>IFERROR(TAB_OFICINAS[[#This Row],[Valor Unit]]*TAB_OFICINAS[[#This Row],[Qtd pçs Enviadas]]," ")</f>
        <v>0</v>
      </c>
      <c r="W1283" s="26"/>
      <c r="Y1283" s="27"/>
      <c r="Z12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4" spans="6:26" hidden="1">
      <c r="F1284" s="28" t="str">
        <f>IFERROR(VLOOKUP(TAB_OFICINAS[[#This Row],[Cliente]],LISTA_DE_CLIENTES[[Código]:[Nome Fantasia]],2,FALSE),"")</f>
        <v/>
      </c>
      <c r="G1284" s="2" t="str">
        <f>IFERROR(VLOOKUP(TAB_OFICINAS[[#This Row],[Cliente]],LISTA_DE_CLIENTES[[Código]:[Nome Fantasia]],3,FALSE),"")</f>
        <v/>
      </c>
      <c r="H1284" s="51"/>
      <c r="I1284" s="28" t="str">
        <f>IFERROR(VLOOKUP(TAB_OFICINAS[[#This Row],[Codigo Produto ]],_000___PEDIDOS_DE_CLIENTES[[Data.Column2]:[Descrição Produto]],2,FALSE)," ")</f>
        <v xml:space="preserve"> </v>
      </c>
      <c r="J1284" s="91"/>
      <c r="K1284" s="88"/>
      <c r="N1284" s="6">
        <f t="shared" ca="1" si="7"/>
        <v>46315</v>
      </c>
      <c r="O1284" s="23">
        <f ca="1">TAB_OFICINAS[[#This Row],[Data Retorno Produção]]-TAB_OFICINAS[[#This Row],[Data Prometida  Entrega]]</f>
        <v>46315</v>
      </c>
      <c r="P1284" s="98" t="str">
        <f ca="1">IF(TAB_OFICINAS[[#This Row],[Dias Para Entrega]]&lt;=0,"Em dia","Dia de Atrasado")</f>
        <v>Dia de Atrasado</v>
      </c>
      <c r="Q1284" s="24">
        <f>IFERROR(TAB_OFICINAS[[#This Row],[Qtd pçs Enviadas]]-TAB_OFICINAS[[#This Row],[Qtd pçs Retornadas ]],"N/D ")</f>
        <v>0</v>
      </c>
      <c r="R1284" s="24"/>
      <c r="U1284" s="11"/>
      <c r="V1284" s="25">
        <f>IFERROR(TAB_OFICINAS[[#This Row],[Valor Unit]]*TAB_OFICINAS[[#This Row],[Qtd pçs Enviadas]]," ")</f>
        <v>0</v>
      </c>
      <c r="W1284" s="26"/>
      <c r="Y1284" s="27"/>
      <c r="Z12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5" spans="6:26" hidden="1">
      <c r="F1285" s="28" t="str">
        <f>IFERROR(VLOOKUP(TAB_OFICINAS[[#This Row],[Cliente]],LISTA_DE_CLIENTES[[Código]:[Nome Fantasia]],2,FALSE),"")</f>
        <v/>
      </c>
      <c r="G1285" s="2" t="str">
        <f>IFERROR(VLOOKUP(TAB_OFICINAS[[#This Row],[Cliente]],LISTA_DE_CLIENTES[[Código]:[Nome Fantasia]],3,FALSE),"")</f>
        <v/>
      </c>
      <c r="H1285" s="51"/>
      <c r="I1285" s="28" t="str">
        <f>IFERROR(VLOOKUP(TAB_OFICINAS[[#This Row],[Codigo Produto ]],_000___PEDIDOS_DE_CLIENTES[[Data.Column2]:[Descrição Produto]],2,FALSE)," ")</f>
        <v xml:space="preserve"> </v>
      </c>
      <c r="J1285" s="91"/>
      <c r="K1285" s="88"/>
      <c r="N1285" s="6">
        <f t="shared" ca="1" si="7"/>
        <v>46315</v>
      </c>
      <c r="O1285" s="23">
        <f ca="1">TAB_OFICINAS[[#This Row],[Data Retorno Produção]]-TAB_OFICINAS[[#This Row],[Data Prometida  Entrega]]</f>
        <v>46315</v>
      </c>
      <c r="P1285" s="98" t="str">
        <f ca="1">IF(TAB_OFICINAS[[#This Row],[Dias Para Entrega]]&lt;=0,"Em dia","Dia de Atrasado")</f>
        <v>Dia de Atrasado</v>
      </c>
      <c r="Q1285" s="24">
        <f>IFERROR(TAB_OFICINAS[[#This Row],[Qtd pçs Enviadas]]-TAB_OFICINAS[[#This Row],[Qtd pçs Retornadas ]],"N/D ")</f>
        <v>0</v>
      </c>
      <c r="R1285" s="24"/>
      <c r="U1285" s="11"/>
      <c r="V1285" s="25">
        <f>IFERROR(TAB_OFICINAS[[#This Row],[Valor Unit]]*TAB_OFICINAS[[#This Row],[Qtd pçs Enviadas]]," ")</f>
        <v>0</v>
      </c>
      <c r="W1285" s="26"/>
      <c r="Y1285" s="27"/>
      <c r="Z12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6" spans="6:26" hidden="1">
      <c r="F1286" s="28" t="str">
        <f>IFERROR(VLOOKUP(TAB_OFICINAS[[#This Row],[Cliente]],LISTA_DE_CLIENTES[[Código]:[Nome Fantasia]],2,FALSE),"")</f>
        <v/>
      </c>
      <c r="G1286" s="2" t="str">
        <f>IFERROR(VLOOKUP(TAB_OFICINAS[[#This Row],[Cliente]],LISTA_DE_CLIENTES[[Código]:[Nome Fantasia]],3,FALSE),"")</f>
        <v/>
      </c>
      <c r="H1286" s="51"/>
      <c r="I1286" s="28" t="str">
        <f>IFERROR(VLOOKUP(TAB_OFICINAS[[#This Row],[Codigo Produto ]],_000___PEDIDOS_DE_CLIENTES[[Data.Column2]:[Descrição Produto]],2,FALSE)," ")</f>
        <v xml:space="preserve"> </v>
      </c>
      <c r="J1286" s="91"/>
      <c r="K1286" s="88"/>
      <c r="N1286" s="6">
        <f t="shared" ca="1" si="7"/>
        <v>46315</v>
      </c>
      <c r="O1286" s="23">
        <f ca="1">TAB_OFICINAS[[#This Row],[Data Retorno Produção]]-TAB_OFICINAS[[#This Row],[Data Prometida  Entrega]]</f>
        <v>46315</v>
      </c>
      <c r="P1286" s="98" t="str">
        <f ca="1">IF(TAB_OFICINAS[[#This Row],[Dias Para Entrega]]&lt;=0,"Em dia","Dia de Atrasado")</f>
        <v>Dia de Atrasado</v>
      </c>
      <c r="Q1286" s="24">
        <f>IFERROR(TAB_OFICINAS[[#This Row],[Qtd pçs Enviadas]]-TAB_OFICINAS[[#This Row],[Qtd pçs Retornadas ]],"N/D ")</f>
        <v>0</v>
      </c>
      <c r="R1286" s="24"/>
      <c r="U1286" s="11"/>
      <c r="V1286" s="25">
        <f>IFERROR(TAB_OFICINAS[[#This Row],[Valor Unit]]*TAB_OFICINAS[[#This Row],[Qtd pçs Enviadas]]," ")</f>
        <v>0</v>
      </c>
      <c r="W1286" s="26"/>
      <c r="Y1286" s="27"/>
      <c r="Z12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7" spans="6:26" hidden="1">
      <c r="F1287" s="28" t="str">
        <f>IFERROR(VLOOKUP(TAB_OFICINAS[[#This Row],[Cliente]],LISTA_DE_CLIENTES[[Código]:[Nome Fantasia]],2,FALSE),"")</f>
        <v/>
      </c>
      <c r="G1287" s="2" t="str">
        <f>IFERROR(VLOOKUP(TAB_OFICINAS[[#This Row],[Cliente]],LISTA_DE_CLIENTES[[Código]:[Nome Fantasia]],3,FALSE),"")</f>
        <v/>
      </c>
      <c r="H1287" s="51"/>
      <c r="I1287" s="28" t="str">
        <f>IFERROR(VLOOKUP(TAB_OFICINAS[[#This Row],[Codigo Produto ]],_000___PEDIDOS_DE_CLIENTES[[Data.Column2]:[Descrição Produto]],2,FALSE)," ")</f>
        <v xml:space="preserve"> </v>
      </c>
      <c r="J1287" s="91"/>
      <c r="K1287" s="88"/>
      <c r="N1287" s="6">
        <f t="shared" ca="1" si="7"/>
        <v>46315</v>
      </c>
      <c r="O1287" s="23">
        <f ca="1">TAB_OFICINAS[[#This Row],[Data Retorno Produção]]-TAB_OFICINAS[[#This Row],[Data Prometida  Entrega]]</f>
        <v>46315</v>
      </c>
      <c r="P1287" s="98" t="str">
        <f ca="1">IF(TAB_OFICINAS[[#This Row],[Dias Para Entrega]]&lt;=0,"Em dia","Dia de Atrasado")</f>
        <v>Dia de Atrasado</v>
      </c>
      <c r="Q1287" s="24">
        <f>IFERROR(TAB_OFICINAS[[#This Row],[Qtd pçs Enviadas]]-TAB_OFICINAS[[#This Row],[Qtd pçs Retornadas ]],"N/D ")</f>
        <v>0</v>
      </c>
      <c r="R1287" s="24"/>
      <c r="U1287" s="11"/>
      <c r="V1287" s="25">
        <f>IFERROR(TAB_OFICINAS[[#This Row],[Valor Unit]]*TAB_OFICINAS[[#This Row],[Qtd pçs Enviadas]]," ")</f>
        <v>0</v>
      </c>
      <c r="W1287" s="26"/>
      <c r="Y1287" s="27"/>
      <c r="Z12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8" spans="6:26" hidden="1">
      <c r="F1288" s="28" t="str">
        <f>IFERROR(VLOOKUP(TAB_OFICINAS[[#This Row],[Cliente]],LISTA_DE_CLIENTES[[Código]:[Nome Fantasia]],2,FALSE),"")</f>
        <v/>
      </c>
      <c r="G1288" s="2" t="str">
        <f>IFERROR(VLOOKUP(TAB_OFICINAS[[#This Row],[Cliente]],LISTA_DE_CLIENTES[[Código]:[Nome Fantasia]],3,FALSE),"")</f>
        <v/>
      </c>
      <c r="H1288" s="51"/>
      <c r="I1288" s="28" t="str">
        <f>IFERROR(VLOOKUP(TAB_OFICINAS[[#This Row],[Codigo Produto ]],_000___PEDIDOS_DE_CLIENTES[[Data.Column2]:[Descrição Produto]],2,FALSE)," ")</f>
        <v xml:space="preserve"> </v>
      </c>
      <c r="J1288" s="91"/>
      <c r="K1288" s="88"/>
      <c r="N1288" s="6">
        <f t="shared" ca="1" si="7"/>
        <v>46315</v>
      </c>
      <c r="O1288" s="23">
        <f ca="1">TAB_OFICINAS[[#This Row],[Data Retorno Produção]]-TAB_OFICINAS[[#This Row],[Data Prometida  Entrega]]</f>
        <v>46315</v>
      </c>
      <c r="P1288" s="98" t="str">
        <f ca="1">IF(TAB_OFICINAS[[#This Row],[Dias Para Entrega]]&lt;=0,"Em dia","Dia de Atrasado")</f>
        <v>Dia de Atrasado</v>
      </c>
      <c r="Q1288" s="24">
        <f>IFERROR(TAB_OFICINAS[[#This Row],[Qtd pçs Enviadas]]-TAB_OFICINAS[[#This Row],[Qtd pçs Retornadas ]],"N/D ")</f>
        <v>0</v>
      </c>
      <c r="R1288" s="24"/>
      <c r="U1288" s="11"/>
      <c r="V1288" s="25">
        <f>IFERROR(TAB_OFICINAS[[#This Row],[Valor Unit]]*TAB_OFICINAS[[#This Row],[Qtd pçs Enviadas]]," ")</f>
        <v>0</v>
      </c>
      <c r="W1288" s="26"/>
      <c r="Y1288" s="27"/>
      <c r="Z12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89" spans="6:26" hidden="1">
      <c r="F1289" s="28" t="str">
        <f>IFERROR(VLOOKUP(TAB_OFICINAS[[#This Row],[Cliente]],LISTA_DE_CLIENTES[[Código]:[Nome Fantasia]],2,FALSE),"")</f>
        <v/>
      </c>
      <c r="G1289" s="2" t="str">
        <f>IFERROR(VLOOKUP(TAB_OFICINAS[[#This Row],[Cliente]],LISTA_DE_CLIENTES[[Código]:[Nome Fantasia]],3,FALSE),"")</f>
        <v/>
      </c>
      <c r="H1289" s="51"/>
      <c r="I1289" s="28" t="str">
        <f>IFERROR(VLOOKUP(TAB_OFICINAS[[#This Row],[Codigo Produto ]],_000___PEDIDOS_DE_CLIENTES[[Data.Column2]:[Descrição Produto]],2,FALSE)," ")</f>
        <v xml:space="preserve"> </v>
      </c>
      <c r="J1289" s="91"/>
      <c r="K1289" s="88"/>
      <c r="N1289" s="6">
        <f t="shared" ca="1" si="7"/>
        <v>46315</v>
      </c>
      <c r="O1289" s="23">
        <f ca="1">TAB_OFICINAS[[#This Row],[Data Retorno Produção]]-TAB_OFICINAS[[#This Row],[Data Prometida  Entrega]]</f>
        <v>46315</v>
      </c>
      <c r="P1289" s="98" t="str">
        <f ca="1">IF(TAB_OFICINAS[[#This Row],[Dias Para Entrega]]&lt;=0,"Em dia","Dia de Atrasado")</f>
        <v>Dia de Atrasado</v>
      </c>
      <c r="Q1289" s="24">
        <f>IFERROR(TAB_OFICINAS[[#This Row],[Qtd pçs Enviadas]]-TAB_OFICINAS[[#This Row],[Qtd pçs Retornadas ]],"N/D ")</f>
        <v>0</v>
      </c>
      <c r="R1289" s="24"/>
      <c r="U1289" s="11"/>
      <c r="V1289" s="25">
        <f>IFERROR(TAB_OFICINAS[[#This Row],[Valor Unit]]*TAB_OFICINAS[[#This Row],[Qtd pçs Enviadas]]," ")</f>
        <v>0</v>
      </c>
      <c r="W1289" s="26"/>
      <c r="Y1289" s="27"/>
      <c r="Z12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0" spans="6:26" hidden="1">
      <c r="F1290" s="28" t="str">
        <f>IFERROR(VLOOKUP(TAB_OFICINAS[[#This Row],[Cliente]],LISTA_DE_CLIENTES[[Código]:[Nome Fantasia]],2,FALSE),"")</f>
        <v/>
      </c>
      <c r="G1290" s="2" t="str">
        <f>IFERROR(VLOOKUP(TAB_OFICINAS[[#This Row],[Cliente]],LISTA_DE_CLIENTES[[Código]:[Nome Fantasia]],3,FALSE),"")</f>
        <v/>
      </c>
      <c r="H1290" s="51"/>
      <c r="I1290" s="28" t="str">
        <f>IFERROR(VLOOKUP(TAB_OFICINAS[[#This Row],[Codigo Produto ]],_000___PEDIDOS_DE_CLIENTES[[Data.Column2]:[Descrição Produto]],2,FALSE)," ")</f>
        <v xml:space="preserve"> </v>
      </c>
      <c r="J1290" s="91"/>
      <c r="K1290" s="88"/>
      <c r="N1290" s="6">
        <f t="shared" ca="1" si="7"/>
        <v>46315</v>
      </c>
      <c r="O1290" s="23">
        <f ca="1">TAB_OFICINAS[[#This Row],[Data Retorno Produção]]-TAB_OFICINAS[[#This Row],[Data Prometida  Entrega]]</f>
        <v>46315</v>
      </c>
      <c r="P1290" s="98" t="str">
        <f ca="1">IF(TAB_OFICINAS[[#This Row],[Dias Para Entrega]]&lt;=0,"Em dia","Dia de Atrasado")</f>
        <v>Dia de Atrasado</v>
      </c>
      <c r="Q1290" s="24">
        <f>IFERROR(TAB_OFICINAS[[#This Row],[Qtd pçs Enviadas]]-TAB_OFICINAS[[#This Row],[Qtd pçs Retornadas ]],"N/D ")</f>
        <v>0</v>
      </c>
      <c r="R1290" s="24"/>
      <c r="U1290" s="11"/>
      <c r="V1290" s="25">
        <f>IFERROR(TAB_OFICINAS[[#This Row],[Valor Unit]]*TAB_OFICINAS[[#This Row],[Qtd pçs Enviadas]]," ")</f>
        <v>0</v>
      </c>
      <c r="W1290" s="26"/>
      <c r="Y1290" s="27"/>
      <c r="Z129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1" spans="6:26" hidden="1">
      <c r="F1291" s="28" t="str">
        <f>IFERROR(VLOOKUP(TAB_OFICINAS[[#This Row],[Cliente]],LISTA_DE_CLIENTES[[Código]:[Nome Fantasia]],2,FALSE),"")</f>
        <v/>
      </c>
      <c r="G1291" s="2" t="str">
        <f>IFERROR(VLOOKUP(TAB_OFICINAS[[#This Row],[Cliente]],LISTA_DE_CLIENTES[[Código]:[Nome Fantasia]],3,FALSE),"")</f>
        <v/>
      </c>
      <c r="H1291" s="51"/>
      <c r="I1291" s="28" t="str">
        <f>IFERROR(VLOOKUP(TAB_OFICINAS[[#This Row],[Codigo Produto ]],_000___PEDIDOS_DE_CLIENTES[[Data.Column2]:[Descrição Produto]],2,FALSE)," ")</f>
        <v xml:space="preserve"> </v>
      </c>
      <c r="J1291" s="91"/>
      <c r="K1291" s="88"/>
      <c r="N1291" s="6">
        <f t="shared" ca="1" si="7"/>
        <v>46315</v>
      </c>
      <c r="O1291" s="23">
        <f ca="1">TAB_OFICINAS[[#This Row],[Data Retorno Produção]]-TAB_OFICINAS[[#This Row],[Data Prometida  Entrega]]</f>
        <v>46315</v>
      </c>
      <c r="P1291" s="98" t="str">
        <f ca="1">IF(TAB_OFICINAS[[#This Row],[Dias Para Entrega]]&lt;=0,"Em dia","Dia de Atrasado")</f>
        <v>Dia de Atrasado</v>
      </c>
      <c r="Q1291" s="24">
        <f>IFERROR(TAB_OFICINAS[[#This Row],[Qtd pçs Enviadas]]-TAB_OFICINAS[[#This Row],[Qtd pçs Retornadas ]],"N/D ")</f>
        <v>0</v>
      </c>
      <c r="R1291" s="24"/>
      <c r="U1291" s="11"/>
      <c r="V1291" s="25">
        <f>IFERROR(TAB_OFICINAS[[#This Row],[Valor Unit]]*TAB_OFICINAS[[#This Row],[Qtd pçs Enviadas]]," ")</f>
        <v>0</v>
      </c>
      <c r="W1291" s="26"/>
      <c r="Y1291" s="27"/>
      <c r="Z12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2" spans="6:26" hidden="1">
      <c r="F1292" s="28" t="str">
        <f>IFERROR(VLOOKUP(TAB_OFICINAS[[#This Row],[Cliente]],LISTA_DE_CLIENTES[[Código]:[Nome Fantasia]],2,FALSE),"")</f>
        <v/>
      </c>
      <c r="G1292" s="2" t="str">
        <f>IFERROR(VLOOKUP(TAB_OFICINAS[[#This Row],[Cliente]],LISTA_DE_CLIENTES[[Código]:[Nome Fantasia]],3,FALSE),"")</f>
        <v/>
      </c>
      <c r="H1292" s="51"/>
      <c r="I1292" s="28" t="str">
        <f>IFERROR(VLOOKUP(TAB_OFICINAS[[#This Row],[Codigo Produto ]],_000___PEDIDOS_DE_CLIENTES[[Data.Column2]:[Descrição Produto]],2,FALSE)," ")</f>
        <v xml:space="preserve"> </v>
      </c>
      <c r="J1292" s="91"/>
      <c r="K1292" s="88"/>
      <c r="N1292" s="6">
        <f t="shared" ca="1" si="7"/>
        <v>46315</v>
      </c>
      <c r="O1292" s="23">
        <f ca="1">TAB_OFICINAS[[#This Row],[Data Retorno Produção]]-TAB_OFICINAS[[#This Row],[Data Prometida  Entrega]]</f>
        <v>46315</v>
      </c>
      <c r="P1292" s="98" t="str">
        <f ca="1">IF(TAB_OFICINAS[[#This Row],[Dias Para Entrega]]&lt;=0,"Em dia","Dia de Atrasado")</f>
        <v>Dia de Atrasado</v>
      </c>
      <c r="Q1292" s="24">
        <f>IFERROR(TAB_OFICINAS[[#This Row],[Qtd pçs Enviadas]]-TAB_OFICINAS[[#This Row],[Qtd pçs Retornadas ]],"N/D ")</f>
        <v>0</v>
      </c>
      <c r="R1292" s="24"/>
      <c r="U1292" s="11"/>
      <c r="V1292" s="25">
        <f>IFERROR(TAB_OFICINAS[[#This Row],[Valor Unit]]*TAB_OFICINAS[[#This Row],[Qtd pçs Enviadas]]," ")</f>
        <v>0</v>
      </c>
      <c r="W1292" s="26"/>
      <c r="Y1292" s="27"/>
      <c r="Z12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3" spans="6:26" hidden="1">
      <c r="F1293" s="28" t="str">
        <f>IFERROR(VLOOKUP(TAB_OFICINAS[[#This Row],[Cliente]],LISTA_DE_CLIENTES[[Código]:[Nome Fantasia]],2,FALSE),"")</f>
        <v/>
      </c>
      <c r="G1293" s="2" t="str">
        <f>IFERROR(VLOOKUP(TAB_OFICINAS[[#This Row],[Cliente]],LISTA_DE_CLIENTES[[Código]:[Nome Fantasia]],3,FALSE),"")</f>
        <v/>
      </c>
      <c r="H1293" s="51"/>
      <c r="I1293" s="28" t="str">
        <f>IFERROR(VLOOKUP(TAB_OFICINAS[[#This Row],[Codigo Produto ]],_000___PEDIDOS_DE_CLIENTES[[Data.Column2]:[Descrição Produto]],2,FALSE)," ")</f>
        <v xml:space="preserve"> </v>
      </c>
      <c r="J1293" s="91"/>
      <c r="K1293" s="88"/>
      <c r="N1293" s="6">
        <f t="shared" ca="1" si="7"/>
        <v>46315</v>
      </c>
      <c r="O1293" s="23">
        <f ca="1">TAB_OFICINAS[[#This Row],[Data Retorno Produção]]-TAB_OFICINAS[[#This Row],[Data Prometida  Entrega]]</f>
        <v>46315</v>
      </c>
      <c r="P1293" s="98" t="str">
        <f ca="1">IF(TAB_OFICINAS[[#This Row],[Dias Para Entrega]]&lt;=0,"Em dia","Dia de Atrasado")</f>
        <v>Dia de Atrasado</v>
      </c>
      <c r="Q1293" s="24">
        <f>IFERROR(TAB_OFICINAS[[#This Row],[Qtd pçs Enviadas]]-TAB_OFICINAS[[#This Row],[Qtd pçs Retornadas ]],"N/D ")</f>
        <v>0</v>
      </c>
      <c r="R1293" s="24"/>
      <c r="U1293" s="11"/>
      <c r="V1293" s="25">
        <f>IFERROR(TAB_OFICINAS[[#This Row],[Valor Unit]]*TAB_OFICINAS[[#This Row],[Qtd pçs Enviadas]]," ")</f>
        <v>0</v>
      </c>
      <c r="W1293" s="26"/>
      <c r="Y1293" s="27"/>
      <c r="Z12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4" spans="6:26" hidden="1">
      <c r="F1294" s="28" t="str">
        <f>IFERROR(VLOOKUP(TAB_OFICINAS[[#This Row],[Cliente]],LISTA_DE_CLIENTES[[Código]:[Nome Fantasia]],2,FALSE),"")</f>
        <v/>
      </c>
      <c r="G1294" s="2" t="str">
        <f>IFERROR(VLOOKUP(TAB_OFICINAS[[#This Row],[Cliente]],LISTA_DE_CLIENTES[[Código]:[Nome Fantasia]],3,FALSE),"")</f>
        <v/>
      </c>
      <c r="H1294" s="51"/>
      <c r="I1294" s="28" t="str">
        <f>IFERROR(VLOOKUP(TAB_OFICINAS[[#This Row],[Codigo Produto ]],_000___PEDIDOS_DE_CLIENTES[[Data.Column2]:[Descrição Produto]],2,FALSE)," ")</f>
        <v xml:space="preserve"> </v>
      </c>
      <c r="J1294" s="91"/>
      <c r="K1294" s="88"/>
      <c r="N1294" s="6">
        <f t="shared" ca="1" si="7"/>
        <v>46315</v>
      </c>
      <c r="O1294" s="23">
        <f ca="1">TAB_OFICINAS[[#This Row],[Data Retorno Produção]]-TAB_OFICINAS[[#This Row],[Data Prometida  Entrega]]</f>
        <v>46315</v>
      </c>
      <c r="P1294" s="98" t="str">
        <f ca="1">IF(TAB_OFICINAS[[#This Row],[Dias Para Entrega]]&lt;=0,"Em dia","Dia de Atrasado")</f>
        <v>Dia de Atrasado</v>
      </c>
      <c r="Q1294" s="24">
        <f>IFERROR(TAB_OFICINAS[[#This Row],[Qtd pçs Enviadas]]-TAB_OFICINAS[[#This Row],[Qtd pçs Retornadas ]],"N/D ")</f>
        <v>0</v>
      </c>
      <c r="R1294" s="24"/>
      <c r="U1294" s="11"/>
      <c r="V1294" s="25">
        <f>IFERROR(TAB_OFICINAS[[#This Row],[Valor Unit]]*TAB_OFICINAS[[#This Row],[Qtd pçs Enviadas]]," ")</f>
        <v>0</v>
      </c>
      <c r="W1294" s="26"/>
      <c r="Y1294" s="27"/>
      <c r="Z12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5" spans="6:26" hidden="1">
      <c r="F1295" s="28" t="str">
        <f>IFERROR(VLOOKUP(TAB_OFICINAS[[#This Row],[Cliente]],LISTA_DE_CLIENTES[[Código]:[Nome Fantasia]],2,FALSE),"")</f>
        <v/>
      </c>
      <c r="G1295" s="2" t="str">
        <f>IFERROR(VLOOKUP(TAB_OFICINAS[[#This Row],[Cliente]],LISTA_DE_CLIENTES[[Código]:[Nome Fantasia]],3,FALSE),"")</f>
        <v/>
      </c>
      <c r="H1295" s="51"/>
      <c r="I1295" s="28" t="str">
        <f>IFERROR(VLOOKUP(TAB_OFICINAS[[#This Row],[Codigo Produto ]],_000___PEDIDOS_DE_CLIENTES[[Data.Column2]:[Descrição Produto]],2,FALSE)," ")</f>
        <v xml:space="preserve"> </v>
      </c>
      <c r="J1295" s="91"/>
      <c r="K1295" s="88"/>
      <c r="N1295" s="6">
        <f t="shared" ca="1" si="7"/>
        <v>46315</v>
      </c>
      <c r="O1295" s="23">
        <f ca="1">TAB_OFICINAS[[#This Row],[Data Retorno Produção]]-TAB_OFICINAS[[#This Row],[Data Prometida  Entrega]]</f>
        <v>46315</v>
      </c>
      <c r="P1295" s="98" t="str">
        <f ca="1">IF(TAB_OFICINAS[[#This Row],[Dias Para Entrega]]&lt;=0,"Em dia","Dia de Atrasado")</f>
        <v>Dia de Atrasado</v>
      </c>
      <c r="Q1295" s="24">
        <f>IFERROR(TAB_OFICINAS[[#This Row],[Qtd pçs Enviadas]]-TAB_OFICINAS[[#This Row],[Qtd pçs Retornadas ]],"N/D ")</f>
        <v>0</v>
      </c>
      <c r="R1295" s="24"/>
      <c r="U1295" s="11"/>
      <c r="V1295" s="25">
        <f>IFERROR(TAB_OFICINAS[[#This Row],[Valor Unit]]*TAB_OFICINAS[[#This Row],[Qtd pçs Enviadas]]," ")</f>
        <v>0</v>
      </c>
      <c r="W1295" s="26"/>
      <c r="Y1295" s="27"/>
      <c r="Z129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6" spans="6:26" hidden="1">
      <c r="F1296" s="28" t="str">
        <f>IFERROR(VLOOKUP(TAB_OFICINAS[[#This Row],[Cliente]],LISTA_DE_CLIENTES[[Código]:[Nome Fantasia]],2,FALSE),"")</f>
        <v/>
      </c>
      <c r="G1296" s="2" t="str">
        <f>IFERROR(VLOOKUP(TAB_OFICINAS[[#This Row],[Cliente]],LISTA_DE_CLIENTES[[Código]:[Nome Fantasia]],3,FALSE),"")</f>
        <v/>
      </c>
      <c r="H1296" s="51"/>
      <c r="I1296" s="28" t="str">
        <f>IFERROR(VLOOKUP(TAB_OFICINAS[[#This Row],[Codigo Produto ]],_000___PEDIDOS_DE_CLIENTES[[Data.Column2]:[Descrição Produto]],2,FALSE)," ")</f>
        <v xml:space="preserve"> </v>
      </c>
      <c r="J1296" s="91"/>
      <c r="K1296" s="88"/>
      <c r="N1296" s="6">
        <f t="shared" ca="1" si="7"/>
        <v>46315</v>
      </c>
      <c r="O1296" s="23">
        <f ca="1">TAB_OFICINAS[[#This Row],[Data Retorno Produção]]-TAB_OFICINAS[[#This Row],[Data Prometida  Entrega]]</f>
        <v>46315</v>
      </c>
      <c r="P1296" s="98" t="str">
        <f ca="1">IF(TAB_OFICINAS[[#This Row],[Dias Para Entrega]]&lt;=0,"Em dia","Dia de Atrasado")</f>
        <v>Dia de Atrasado</v>
      </c>
      <c r="Q1296" s="24">
        <f>IFERROR(TAB_OFICINAS[[#This Row],[Qtd pçs Enviadas]]-TAB_OFICINAS[[#This Row],[Qtd pçs Retornadas ]],"N/D ")</f>
        <v>0</v>
      </c>
      <c r="R1296" s="24"/>
      <c r="U1296" s="11"/>
      <c r="V1296" s="25">
        <f>IFERROR(TAB_OFICINAS[[#This Row],[Valor Unit]]*TAB_OFICINAS[[#This Row],[Qtd pçs Enviadas]]," ")</f>
        <v>0</v>
      </c>
      <c r="W1296" s="26"/>
      <c r="Y1296" s="27"/>
      <c r="Z129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7" spans="6:26" hidden="1">
      <c r="F1297" s="28" t="str">
        <f>IFERROR(VLOOKUP(TAB_OFICINAS[[#This Row],[Cliente]],LISTA_DE_CLIENTES[[Código]:[Nome Fantasia]],2,FALSE),"")</f>
        <v/>
      </c>
      <c r="G1297" s="2" t="str">
        <f>IFERROR(VLOOKUP(TAB_OFICINAS[[#This Row],[Cliente]],LISTA_DE_CLIENTES[[Código]:[Nome Fantasia]],3,FALSE),"")</f>
        <v/>
      </c>
      <c r="H1297" s="51"/>
      <c r="I1297" s="28" t="str">
        <f>IFERROR(VLOOKUP(TAB_OFICINAS[[#This Row],[Codigo Produto ]],_000___PEDIDOS_DE_CLIENTES[[Data.Column2]:[Descrição Produto]],2,FALSE)," ")</f>
        <v xml:space="preserve"> </v>
      </c>
      <c r="J1297" s="91"/>
      <c r="K1297" s="88"/>
      <c r="N1297" s="6">
        <f t="shared" ca="1" si="7"/>
        <v>46315</v>
      </c>
      <c r="O1297" s="23">
        <f ca="1">TAB_OFICINAS[[#This Row],[Data Retorno Produção]]-TAB_OFICINAS[[#This Row],[Data Prometida  Entrega]]</f>
        <v>46315</v>
      </c>
      <c r="P1297" s="98" t="str">
        <f ca="1">IF(TAB_OFICINAS[[#This Row],[Dias Para Entrega]]&lt;=0,"Em dia","Dia de Atrasado")</f>
        <v>Dia de Atrasado</v>
      </c>
      <c r="Q1297" s="24">
        <f>IFERROR(TAB_OFICINAS[[#This Row],[Qtd pçs Enviadas]]-TAB_OFICINAS[[#This Row],[Qtd pçs Retornadas ]],"N/D ")</f>
        <v>0</v>
      </c>
      <c r="R1297" s="24"/>
      <c r="U1297" s="11"/>
      <c r="V1297" s="25">
        <f>IFERROR(TAB_OFICINAS[[#This Row],[Valor Unit]]*TAB_OFICINAS[[#This Row],[Qtd pçs Enviadas]]," ")</f>
        <v>0</v>
      </c>
      <c r="W1297" s="26"/>
      <c r="Y1297" s="27"/>
      <c r="Z129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8" spans="6:26" hidden="1">
      <c r="F1298" s="28" t="str">
        <f>IFERROR(VLOOKUP(TAB_OFICINAS[[#This Row],[Cliente]],LISTA_DE_CLIENTES[[Código]:[Nome Fantasia]],2,FALSE),"")</f>
        <v/>
      </c>
      <c r="G1298" s="2" t="str">
        <f>IFERROR(VLOOKUP(TAB_OFICINAS[[#This Row],[Cliente]],LISTA_DE_CLIENTES[[Código]:[Nome Fantasia]],3,FALSE),"")</f>
        <v/>
      </c>
      <c r="H1298" s="51"/>
      <c r="I1298" s="28" t="str">
        <f>IFERROR(VLOOKUP(TAB_OFICINAS[[#This Row],[Codigo Produto ]],_000___PEDIDOS_DE_CLIENTES[[Data.Column2]:[Descrição Produto]],2,FALSE)," ")</f>
        <v xml:space="preserve"> </v>
      </c>
      <c r="J1298" s="91"/>
      <c r="K1298" s="88"/>
      <c r="N1298" s="6">
        <f t="shared" ca="1" si="7"/>
        <v>46315</v>
      </c>
      <c r="O1298" s="23">
        <f ca="1">TAB_OFICINAS[[#This Row],[Data Retorno Produção]]-TAB_OFICINAS[[#This Row],[Data Prometida  Entrega]]</f>
        <v>46315</v>
      </c>
      <c r="P1298" s="98" t="str">
        <f ca="1">IF(TAB_OFICINAS[[#This Row],[Dias Para Entrega]]&lt;=0,"Em dia","Dia de Atrasado")</f>
        <v>Dia de Atrasado</v>
      </c>
      <c r="Q1298" s="24">
        <f>IFERROR(TAB_OFICINAS[[#This Row],[Qtd pçs Enviadas]]-TAB_OFICINAS[[#This Row],[Qtd pçs Retornadas ]],"N/D ")</f>
        <v>0</v>
      </c>
      <c r="R1298" s="24"/>
      <c r="U1298" s="11"/>
      <c r="V1298" s="25">
        <f>IFERROR(TAB_OFICINAS[[#This Row],[Valor Unit]]*TAB_OFICINAS[[#This Row],[Qtd pçs Enviadas]]," ")</f>
        <v>0</v>
      </c>
      <c r="W1298" s="26"/>
      <c r="Y1298" s="27"/>
      <c r="Z129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299" spans="6:26" hidden="1">
      <c r="F1299" s="28" t="str">
        <f>IFERROR(VLOOKUP(TAB_OFICINAS[[#This Row],[Cliente]],LISTA_DE_CLIENTES[[Código]:[Nome Fantasia]],2,FALSE),"")</f>
        <v/>
      </c>
      <c r="G1299" s="2" t="str">
        <f>IFERROR(VLOOKUP(TAB_OFICINAS[[#This Row],[Cliente]],LISTA_DE_CLIENTES[[Código]:[Nome Fantasia]],3,FALSE),"")</f>
        <v/>
      </c>
      <c r="H1299" s="51"/>
      <c r="I1299" s="28" t="str">
        <f>IFERROR(VLOOKUP(TAB_OFICINAS[[#This Row],[Codigo Produto ]],_000___PEDIDOS_DE_CLIENTES[[Data.Column2]:[Descrição Produto]],2,FALSE)," ")</f>
        <v xml:space="preserve"> </v>
      </c>
      <c r="J1299" s="91"/>
      <c r="K1299" s="88"/>
      <c r="N1299" s="6">
        <f t="shared" ca="1" si="7"/>
        <v>46315</v>
      </c>
      <c r="O1299" s="23">
        <f ca="1">TAB_OFICINAS[[#This Row],[Data Retorno Produção]]-TAB_OFICINAS[[#This Row],[Data Prometida  Entrega]]</f>
        <v>46315</v>
      </c>
      <c r="P1299" s="98" t="str">
        <f ca="1">IF(TAB_OFICINAS[[#This Row],[Dias Para Entrega]]&lt;=0,"Em dia","Dia de Atrasado")</f>
        <v>Dia de Atrasado</v>
      </c>
      <c r="Q1299" s="24">
        <f>IFERROR(TAB_OFICINAS[[#This Row],[Qtd pçs Enviadas]]-TAB_OFICINAS[[#This Row],[Qtd pçs Retornadas ]],"N/D ")</f>
        <v>0</v>
      </c>
      <c r="R1299" s="24"/>
      <c r="U1299" s="11"/>
      <c r="V1299" s="25">
        <f>IFERROR(TAB_OFICINAS[[#This Row],[Valor Unit]]*TAB_OFICINAS[[#This Row],[Qtd pçs Enviadas]]," ")</f>
        <v>0</v>
      </c>
      <c r="W1299" s="26"/>
      <c r="Y1299" s="27"/>
      <c r="Z129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0" spans="6:26" hidden="1">
      <c r="F1300" s="28" t="str">
        <f>IFERROR(VLOOKUP(TAB_OFICINAS[[#This Row],[Cliente]],LISTA_DE_CLIENTES[[Código]:[Nome Fantasia]],2,FALSE),"")</f>
        <v/>
      </c>
      <c r="G1300" s="2" t="str">
        <f>IFERROR(VLOOKUP(TAB_OFICINAS[[#This Row],[Cliente]],LISTA_DE_CLIENTES[[Código]:[Nome Fantasia]],3,FALSE),"")</f>
        <v/>
      </c>
      <c r="H1300" s="51"/>
      <c r="I1300" s="28" t="str">
        <f>IFERROR(VLOOKUP(TAB_OFICINAS[[#This Row],[Codigo Produto ]],_000___PEDIDOS_DE_CLIENTES[[Data.Column2]:[Descrição Produto]],2,FALSE)," ")</f>
        <v xml:space="preserve"> </v>
      </c>
      <c r="J1300" s="91"/>
      <c r="K1300" s="88"/>
      <c r="N1300" s="6">
        <f t="shared" ca="1" si="7"/>
        <v>46315</v>
      </c>
      <c r="O1300" s="23">
        <f ca="1">TAB_OFICINAS[[#This Row],[Data Retorno Produção]]-TAB_OFICINAS[[#This Row],[Data Prometida  Entrega]]</f>
        <v>46315</v>
      </c>
      <c r="P1300" s="98" t="str">
        <f ca="1">IF(TAB_OFICINAS[[#This Row],[Dias Para Entrega]]&lt;=0,"Em dia","Dia de Atrasado")</f>
        <v>Dia de Atrasado</v>
      </c>
      <c r="Q1300" s="24">
        <f>IFERROR(TAB_OFICINAS[[#This Row],[Qtd pçs Enviadas]]-TAB_OFICINAS[[#This Row],[Qtd pçs Retornadas ]],"N/D ")</f>
        <v>0</v>
      </c>
      <c r="R1300" s="24"/>
      <c r="U1300" s="11"/>
      <c r="V1300" s="25">
        <f>IFERROR(TAB_OFICINAS[[#This Row],[Valor Unit]]*TAB_OFICINAS[[#This Row],[Qtd pçs Enviadas]]," ")</f>
        <v>0</v>
      </c>
      <c r="W1300" s="26"/>
      <c r="Y1300" s="27"/>
      <c r="Z13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1" spans="6:26" hidden="1">
      <c r="F1301" s="28" t="str">
        <f>IFERROR(VLOOKUP(TAB_OFICINAS[[#This Row],[Cliente]],LISTA_DE_CLIENTES[[Código]:[Nome Fantasia]],2,FALSE),"")</f>
        <v/>
      </c>
      <c r="G1301" s="2" t="str">
        <f>IFERROR(VLOOKUP(TAB_OFICINAS[[#This Row],[Cliente]],LISTA_DE_CLIENTES[[Código]:[Nome Fantasia]],3,FALSE),"")</f>
        <v/>
      </c>
      <c r="H1301" s="51"/>
      <c r="I1301" s="28" t="str">
        <f>IFERROR(VLOOKUP(TAB_OFICINAS[[#This Row],[Codigo Produto ]],_000___PEDIDOS_DE_CLIENTES[[Data.Column2]:[Descrição Produto]],2,FALSE)," ")</f>
        <v xml:space="preserve"> </v>
      </c>
      <c r="J1301" s="91"/>
      <c r="K1301" s="88"/>
      <c r="N1301" s="6">
        <f t="shared" ca="1" si="7"/>
        <v>46315</v>
      </c>
      <c r="O1301" s="23">
        <f ca="1">TAB_OFICINAS[[#This Row],[Data Retorno Produção]]-TAB_OFICINAS[[#This Row],[Data Prometida  Entrega]]</f>
        <v>46315</v>
      </c>
      <c r="P1301" s="98" t="str">
        <f ca="1">IF(TAB_OFICINAS[[#This Row],[Dias Para Entrega]]&lt;=0,"Em dia","Dia de Atrasado")</f>
        <v>Dia de Atrasado</v>
      </c>
      <c r="Q1301" s="24">
        <f>IFERROR(TAB_OFICINAS[[#This Row],[Qtd pçs Enviadas]]-TAB_OFICINAS[[#This Row],[Qtd pçs Retornadas ]],"N/D ")</f>
        <v>0</v>
      </c>
      <c r="R1301" s="24"/>
      <c r="U1301" s="11"/>
      <c r="V1301" s="25">
        <f>IFERROR(TAB_OFICINAS[[#This Row],[Valor Unit]]*TAB_OFICINAS[[#This Row],[Qtd pçs Enviadas]]," ")</f>
        <v>0</v>
      </c>
      <c r="W1301" s="26"/>
      <c r="Y1301" s="27"/>
      <c r="Z13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2" spans="6:26" hidden="1">
      <c r="F1302" s="28" t="str">
        <f>IFERROR(VLOOKUP(TAB_OFICINAS[[#This Row],[Cliente]],LISTA_DE_CLIENTES[[Código]:[Nome Fantasia]],2,FALSE),"")</f>
        <v/>
      </c>
      <c r="G1302" s="2" t="str">
        <f>IFERROR(VLOOKUP(TAB_OFICINAS[[#This Row],[Cliente]],LISTA_DE_CLIENTES[[Código]:[Nome Fantasia]],3,FALSE),"")</f>
        <v/>
      </c>
      <c r="H1302" s="51"/>
      <c r="I1302" s="28" t="str">
        <f>IFERROR(VLOOKUP(TAB_OFICINAS[[#This Row],[Codigo Produto ]],_000___PEDIDOS_DE_CLIENTES[[Data.Column2]:[Descrição Produto]],2,FALSE)," ")</f>
        <v xml:space="preserve"> </v>
      </c>
      <c r="J1302" s="91"/>
      <c r="K1302" s="88"/>
      <c r="N1302" s="6">
        <f t="shared" ca="1" si="7"/>
        <v>46315</v>
      </c>
      <c r="O1302" s="23">
        <f ca="1">TAB_OFICINAS[[#This Row],[Data Retorno Produção]]-TAB_OFICINAS[[#This Row],[Data Prometida  Entrega]]</f>
        <v>46315</v>
      </c>
      <c r="P1302" s="98" t="str">
        <f ca="1">IF(TAB_OFICINAS[[#This Row],[Dias Para Entrega]]&lt;=0,"Em dia","Dia de Atrasado")</f>
        <v>Dia de Atrasado</v>
      </c>
      <c r="Q1302" s="24">
        <f>IFERROR(TAB_OFICINAS[[#This Row],[Qtd pçs Enviadas]]-TAB_OFICINAS[[#This Row],[Qtd pçs Retornadas ]],"N/D ")</f>
        <v>0</v>
      </c>
      <c r="R1302" s="24"/>
      <c r="U1302" s="11"/>
      <c r="V1302" s="25">
        <f>IFERROR(TAB_OFICINAS[[#This Row],[Valor Unit]]*TAB_OFICINAS[[#This Row],[Qtd pçs Enviadas]]," ")</f>
        <v>0</v>
      </c>
      <c r="W1302" s="26"/>
      <c r="Y1302" s="27"/>
      <c r="Z130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3" spans="6:26" hidden="1">
      <c r="F1303" s="28" t="str">
        <f>IFERROR(VLOOKUP(TAB_OFICINAS[[#This Row],[Cliente]],LISTA_DE_CLIENTES[[Código]:[Nome Fantasia]],2,FALSE),"")</f>
        <v/>
      </c>
      <c r="G1303" s="2" t="str">
        <f>IFERROR(VLOOKUP(TAB_OFICINAS[[#This Row],[Cliente]],LISTA_DE_CLIENTES[[Código]:[Nome Fantasia]],3,FALSE),"")</f>
        <v/>
      </c>
      <c r="H1303" s="51"/>
      <c r="I1303" s="28" t="str">
        <f>IFERROR(VLOOKUP(TAB_OFICINAS[[#This Row],[Codigo Produto ]],_000___PEDIDOS_DE_CLIENTES[[Data.Column2]:[Descrição Produto]],2,FALSE)," ")</f>
        <v xml:space="preserve"> </v>
      </c>
      <c r="J1303" s="91"/>
      <c r="K1303" s="88"/>
      <c r="N1303" s="6">
        <f t="shared" ca="1" si="7"/>
        <v>46315</v>
      </c>
      <c r="O1303" s="23">
        <f ca="1">TAB_OFICINAS[[#This Row],[Data Retorno Produção]]-TAB_OFICINAS[[#This Row],[Data Prometida  Entrega]]</f>
        <v>46315</v>
      </c>
      <c r="P1303" s="98" t="str">
        <f ca="1">IF(TAB_OFICINAS[[#This Row],[Dias Para Entrega]]&lt;=0,"Em dia","Dia de Atrasado")</f>
        <v>Dia de Atrasado</v>
      </c>
      <c r="Q1303" s="24">
        <f>IFERROR(TAB_OFICINAS[[#This Row],[Qtd pçs Enviadas]]-TAB_OFICINAS[[#This Row],[Qtd pçs Retornadas ]],"N/D ")</f>
        <v>0</v>
      </c>
      <c r="R1303" s="24"/>
      <c r="U1303" s="11"/>
      <c r="V1303" s="25">
        <f>IFERROR(TAB_OFICINAS[[#This Row],[Valor Unit]]*TAB_OFICINAS[[#This Row],[Qtd pçs Enviadas]]," ")</f>
        <v>0</v>
      </c>
      <c r="W1303" s="26"/>
      <c r="Y1303" s="27"/>
      <c r="Z13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4" spans="6:26" hidden="1">
      <c r="F1304" s="28" t="str">
        <f>IFERROR(VLOOKUP(TAB_OFICINAS[[#This Row],[Cliente]],LISTA_DE_CLIENTES[[Código]:[Nome Fantasia]],2,FALSE),"")</f>
        <v/>
      </c>
      <c r="G1304" s="2" t="str">
        <f>IFERROR(VLOOKUP(TAB_OFICINAS[[#This Row],[Cliente]],LISTA_DE_CLIENTES[[Código]:[Nome Fantasia]],3,FALSE),"")</f>
        <v/>
      </c>
      <c r="H1304" s="51"/>
      <c r="I1304" s="28" t="str">
        <f>IFERROR(VLOOKUP(TAB_OFICINAS[[#This Row],[Codigo Produto ]],_000___PEDIDOS_DE_CLIENTES[[Data.Column2]:[Descrição Produto]],2,FALSE)," ")</f>
        <v xml:space="preserve"> </v>
      </c>
      <c r="J1304" s="91"/>
      <c r="K1304" s="88"/>
      <c r="N1304" s="6">
        <f t="shared" ca="1" si="7"/>
        <v>46315</v>
      </c>
      <c r="O1304" s="23">
        <f ca="1">TAB_OFICINAS[[#This Row],[Data Retorno Produção]]-TAB_OFICINAS[[#This Row],[Data Prometida  Entrega]]</f>
        <v>46315</v>
      </c>
      <c r="P1304" s="98" t="str">
        <f ca="1">IF(TAB_OFICINAS[[#This Row],[Dias Para Entrega]]&lt;=0,"Em dia","Dia de Atrasado")</f>
        <v>Dia de Atrasado</v>
      </c>
      <c r="Q1304" s="24">
        <f>IFERROR(TAB_OFICINAS[[#This Row],[Qtd pçs Enviadas]]-TAB_OFICINAS[[#This Row],[Qtd pçs Retornadas ]],"N/D ")</f>
        <v>0</v>
      </c>
      <c r="R1304" s="24"/>
      <c r="U1304" s="11"/>
      <c r="V1304" s="25">
        <f>IFERROR(TAB_OFICINAS[[#This Row],[Valor Unit]]*TAB_OFICINAS[[#This Row],[Qtd pçs Enviadas]]," ")</f>
        <v>0</v>
      </c>
      <c r="W1304" s="26"/>
      <c r="Y1304" s="27"/>
      <c r="Z130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5" spans="6:26" hidden="1">
      <c r="F1305" s="28" t="str">
        <f>IFERROR(VLOOKUP(TAB_OFICINAS[[#This Row],[Cliente]],LISTA_DE_CLIENTES[[Código]:[Nome Fantasia]],2,FALSE),"")</f>
        <v/>
      </c>
      <c r="G1305" s="2" t="str">
        <f>IFERROR(VLOOKUP(TAB_OFICINAS[[#This Row],[Cliente]],LISTA_DE_CLIENTES[[Código]:[Nome Fantasia]],3,FALSE),"")</f>
        <v/>
      </c>
      <c r="H1305" s="51"/>
      <c r="I1305" s="28" t="str">
        <f>IFERROR(VLOOKUP(TAB_OFICINAS[[#This Row],[Codigo Produto ]],_000___PEDIDOS_DE_CLIENTES[[Data.Column2]:[Descrição Produto]],2,FALSE)," ")</f>
        <v xml:space="preserve"> </v>
      </c>
      <c r="J1305" s="91"/>
      <c r="K1305" s="88"/>
      <c r="N1305" s="6">
        <f t="shared" ca="1" si="7"/>
        <v>46315</v>
      </c>
      <c r="O1305" s="23">
        <f ca="1">TAB_OFICINAS[[#This Row],[Data Retorno Produção]]-TAB_OFICINAS[[#This Row],[Data Prometida  Entrega]]</f>
        <v>46315</v>
      </c>
      <c r="P1305" s="98" t="str">
        <f ca="1">IF(TAB_OFICINAS[[#This Row],[Dias Para Entrega]]&lt;=0,"Em dia","Dia de Atrasado")</f>
        <v>Dia de Atrasado</v>
      </c>
      <c r="Q1305" s="24">
        <f>IFERROR(TAB_OFICINAS[[#This Row],[Qtd pçs Enviadas]]-TAB_OFICINAS[[#This Row],[Qtd pçs Retornadas ]],"N/D ")</f>
        <v>0</v>
      </c>
      <c r="R1305" s="24"/>
      <c r="U1305" s="11"/>
      <c r="V1305" s="25">
        <f>IFERROR(TAB_OFICINAS[[#This Row],[Valor Unit]]*TAB_OFICINAS[[#This Row],[Qtd pçs Enviadas]]," ")</f>
        <v>0</v>
      </c>
      <c r="W1305" s="26"/>
      <c r="Y1305" s="27"/>
      <c r="Z130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6" spans="6:26" hidden="1">
      <c r="F1306" s="28" t="str">
        <f>IFERROR(VLOOKUP(TAB_OFICINAS[[#This Row],[Cliente]],LISTA_DE_CLIENTES[[Código]:[Nome Fantasia]],2,FALSE),"")</f>
        <v/>
      </c>
      <c r="G1306" s="2" t="str">
        <f>IFERROR(VLOOKUP(TAB_OFICINAS[[#This Row],[Cliente]],LISTA_DE_CLIENTES[[Código]:[Nome Fantasia]],3,FALSE),"")</f>
        <v/>
      </c>
      <c r="H1306" s="51"/>
      <c r="I1306" s="28" t="str">
        <f>IFERROR(VLOOKUP(TAB_OFICINAS[[#This Row],[Codigo Produto ]],_000___PEDIDOS_DE_CLIENTES[[Data.Column2]:[Descrição Produto]],2,FALSE)," ")</f>
        <v xml:space="preserve"> </v>
      </c>
      <c r="J1306" s="91"/>
      <c r="K1306" s="88"/>
      <c r="N1306" s="6">
        <f t="shared" ca="1" si="7"/>
        <v>46315</v>
      </c>
      <c r="O1306" s="23">
        <f ca="1">TAB_OFICINAS[[#This Row],[Data Retorno Produção]]-TAB_OFICINAS[[#This Row],[Data Prometida  Entrega]]</f>
        <v>46315</v>
      </c>
      <c r="P1306" s="98" t="str">
        <f ca="1">IF(TAB_OFICINAS[[#This Row],[Dias Para Entrega]]&lt;=0,"Em dia","Dia de Atrasado")</f>
        <v>Dia de Atrasado</v>
      </c>
      <c r="Q1306" s="24">
        <f>IFERROR(TAB_OFICINAS[[#This Row],[Qtd pçs Enviadas]]-TAB_OFICINAS[[#This Row],[Qtd pçs Retornadas ]],"N/D ")</f>
        <v>0</v>
      </c>
      <c r="R1306" s="24"/>
      <c r="U1306" s="11"/>
      <c r="V1306" s="25">
        <f>IFERROR(TAB_OFICINAS[[#This Row],[Valor Unit]]*TAB_OFICINAS[[#This Row],[Qtd pçs Enviadas]]," ")</f>
        <v>0</v>
      </c>
      <c r="W1306" s="26"/>
      <c r="Y1306" s="27"/>
      <c r="Z13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7" spans="6:26" hidden="1">
      <c r="F1307" s="28" t="str">
        <f>IFERROR(VLOOKUP(TAB_OFICINAS[[#This Row],[Cliente]],LISTA_DE_CLIENTES[[Código]:[Nome Fantasia]],2,FALSE),"")</f>
        <v/>
      </c>
      <c r="G1307" s="2" t="str">
        <f>IFERROR(VLOOKUP(TAB_OFICINAS[[#This Row],[Cliente]],LISTA_DE_CLIENTES[[Código]:[Nome Fantasia]],3,FALSE),"")</f>
        <v/>
      </c>
      <c r="H1307" s="51"/>
      <c r="I1307" s="28" t="str">
        <f>IFERROR(VLOOKUP(TAB_OFICINAS[[#This Row],[Codigo Produto ]],_000___PEDIDOS_DE_CLIENTES[[Data.Column2]:[Descrição Produto]],2,FALSE)," ")</f>
        <v xml:space="preserve"> </v>
      </c>
      <c r="J1307" s="91"/>
      <c r="K1307" s="88"/>
      <c r="N1307" s="6">
        <f t="shared" ca="1" si="7"/>
        <v>46315</v>
      </c>
      <c r="O1307" s="23">
        <f ca="1">TAB_OFICINAS[[#This Row],[Data Retorno Produção]]-TAB_OFICINAS[[#This Row],[Data Prometida  Entrega]]</f>
        <v>46315</v>
      </c>
      <c r="P1307" s="98" t="str">
        <f ca="1">IF(TAB_OFICINAS[[#This Row],[Dias Para Entrega]]&lt;=0,"Em dia","Dia de Atrasado")</f>
        <v>Dia de Atrasado</v>
      </c>
      <c r="Q1307" s="24">
        <f>IFERROR(TAB_OFICINAS[[#This Row],[Qtd pçs Enviadas]]-TAB_OFICINAS[[#This Row],[Qtd pçs Retornadas ]],"N/D ")</f>
        <v>0</v>
      </c>
      <c r="R1307" s="24"/>
      <c r="U1307" s="11"/>
      <c r="V1307" s="25">
        <f>IFERROR(TAB_OFICINAS[[#This Row],[Valor Unit]]*TAB_OFICINAS[[#This Row],[Qtd pçs Enviadas]]," ")</f>
        <v>0</v>
      </c>
      <c r="W1307" s="26"/>
      <c r="Y1307" s="27"/>
      <c r="Z13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8" spans="6:26" hidden="1">
      <c r="F1308" s="28" t="str">
        <f>IFERROR(VLOOKUP(TAB_OFICINAS[[#This Row],[Cliente]],LISTA_DE_CLIENTES[[Código]:[Nome Fantasia]],2,FALSE),"")</f>
        <v/>
      </c>
      <c r="G1308" s="2" t="str">
        <f>IFERROR(VLOOKUP(TAB_OFICINAS[[#This Row],[Cliente]],LISTA_DE_CLIENTES[[Código]:[Nome Fantasia]],3,FALSE),"")</f>
        <v/>
      </c>
      <c r="H1308" s="51"/>
      <c r="I1308" s="28" t="str">
        <f>IFERROR(VLOOKUP(TAB_OFICINAS[[#This Row],[Codigo Produto ]],_000___PEDIDOS_DE_CLIENTES[[Data.Column2]:[Descrição Produto]],2,FALSE)," ")</f>
        <v xml:space="preserve"> </v>
      </c>
      <c r="J1308" s="91"/>
      <c r="K1308" s="88"/>
      <c r="N1308" s="6">
        <f t="shared" ca="1" si="7"/>
        <v>46315</v>
      </c>
      <c r="O1308" s="23">
        <f ca="1">TAB_OFICINAS[[#This Row],[Data Retorno Produção]]-TAB_OFICINAS[[#This Row],[Data Prometida  Entrega]]</f>
        <v>46315</v>
      </c>
      <c r="P1308" s="98" t="str">
        <f ca="1">IF(TAB_OFICINAS[[#This Row],[Dias Para Entrega]]&lt;=0,"Em dia","Dia de Atrasado")</f>
        <v>Dia de Atrasado</v>
      </c>
      <c r="Q1308" s="24">
        <f>IFERROR(TAB_OFICINAS[[#This Row],[Qtd pçs Enviadas]]-TAB_OFICINAS[[#This Row],[Qtd pçs Retornadas ]],"N/D ")</f>
        <v>0</v>
      </c>
      <c r="R1308" s="24"/>
      <c r="U1308" s="11"/>
      <c r="V1308" s="25">
        <f>IFERROR(TAB_OFICINAS[[#This Row],[Valor Unit]]*TAB_OFICINAS[[#This Row],[Qtd pçs Enviadas]]," ")</f>
        <v>0</v>
      </c>
      <c r="W1308" s="26"/>
      <c r="Y1308" s="27"/>
      <c r="Z13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09" spans="6:26" hidden="1">
      <c r="F1309" s="28" t="str">
        <f>IFERROR(VLOOKUP(TAB_OFICINAS[[#This Row],[Cliente]],LISTA_DE_CLIENTES[[Código]:[Nome Fantasia]],2,FALSE),"")</f>
        <v/>
      </c>
      <c r="G1309" s="2" t="str">
        <f>IFERROR(VLOOKUP(TAB_OFICINAS[[#This Row],[Cliente]],LISTA_DE_CLIENTES[[Código]:[Nome Fantasia]],3,FALSE),"")</f>
        <v/>
      </c>
      <c r="H1309" s="51"/>
      <c r="I1309" s="28" t="str">
        <f>IFERROR(VLOOKUP(TAB_OFICINAS[[#This Row],[Codigo Produto ]],_000___PEDIDOS_DE_CLIENTES[[Data.Column2]:[Descrição Produto]],2,FALSE)," ")</f>
        <v xml:space="preserve"> </v>
      </c>
      <c r="J1309" s="91"/>
      <c r="K1309" s="88"/>
      <c r="N1309" s="6">
        <f t="shared" ca="1" si="7"/>
        <v>46315</v>
      </c>
      <c r="O1309" s="23">
        <f ca="1">TAB_OFICINAS[[#This Row],[Data Retorno Produção]]-TAB_OFICINAS[[#This Row],[Data Prometida  Entrega]]</f>
        <v>46315</v>
      </c>
      <c r="P1309" s="98" t="str">
        <f ca="1">IF(TAB_OFICINAS[[#This Row],[Dias Para Entrega]]&lt;=0,"Em dia","Dia de Atrasado")</f>
        <v>Dia de Atrasado</v>
      </c>
      <c r="Q1309" s="24">
        <f>IFERROR(TAB_OFICINAS[[#This Row],[Qtd pçs Enviadas]]-TAB_OFICINAS[[#This Row],[Qtd pçs Retornadas ]],"N/D ")</f>
        <v>0</v>
      </c>
      <c r="R1309" s="24"/>
      <c r="U1309" s="11"/>
      <c r="V1309" s="25">
        <f>IFERROR(TAB_OFICINAS[[#This Row],[Valor Unit]]*TAB_OFICINAS[[#This Row],[Qtd pçs Enviadas]]," ")</f>
        <v>0</v>
      </c>
      <c r="W1309" s="26"/>
      <c r="Y1309" s="27"/>
      <c r="Z13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0" spans="6:26" hidden="1">
      <c r="F1310" s="28" t="str">
        <f>IFERROR(VLOOKUP(TAB_OFICINAS[[#This Row],[Cliente]],LISTA_DE_CLIENTES[[Código]:[Nome Fantasia]],2,FALSE),"")</f>
        <v/>
      </c>
      <c r="G1310" s="2" t="str">
        <f>IFERROR(VLOOKUP(TAB_OFICINAS[[#This Row],[Cliente]],LISTA_DE_CLIENTES[[Código]:[Nome Fantasia]],3,FALSE),"")</f>
        <v/>
      </c>
      <c r="H1310" s="51"/>
      <c r="I1310" s="28" t="str">
        <f>IFERROR(VLOOKUP(TAB_OFICINAS[[#This Row],[Codigo Produto ]],_000___PEDIDOS_DE_CLIENTES[[Data.Column2]:[Descrição Produto]],2,FALSE)," ")</f>
        <v xml:space="preserve"> </v>
      </c>
      <c r="J1310" s="91"/>
      <c r="K1310" s="88"/>
      <c r="N1310" s="6">
        <f t="shared" ca="1" si="7"/>
        <v>46315</v>
      </c>
      <c r="O1310" s="23">
        <f ca="1">TAB_OFICINAS[[#This Row],[Data Retorno Produção]]-TAB_OFICINAS[[#This Row],[Data Prometida  Entrega]]</f>
        <v>46315</v>
      </c>
      <c r="P1310" s="98" t="str">
        <f ca="1">IF(TAB_OFICINAS[[#This Row],[Dias Para Entrega]]&lt;=0,"Em dia","Dia de Atrasado")</f>
        <v>Dia de Atrasado</v>
      </c>
      <c r="Q1310" s="24">
        <f>IFERROR(TAB_OFICINAS[[#This Row],[Qtd pçs Enviadas]]-TAB_OFICINAS[[#This Row],[Qtd pçs Retornadas ]],"N/D ")</f>
        <v>0</v>
      </c>
      <c r="R1310" s="24"/>
      <c r="U1310" s="11"/>
      <c r="V1310" s="25">
        <f>IFERROR(TAB_OFICINAS[[#This Row],[Valor Unit]]*TAB_OFICINAS[[#This Row],[Qtd pçs Enviadas]]," ")</f>
        <v>0</v>
      </c>
      <c r="W1310" s="26"/>
      <c r="Y1310" s="27"/>
      <c r="Z13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1" spans="6:26" hidden="1">
      <c r="F1311" s="28" t="str">
        <f>IFERROR(VLOOKUP(TAB_OFICINAS[[#This Row],[Cliente]],LISTA_DE_CLIENTES[[Código]:[Nome Fantasia]],2,FALSE),"")</f>
        <v/>
      </c>
      <c r="G1311" s="2" t="str">
        <f>IFERROR(VLOOKUP(TAB_OFICINAS[[#This Row],[Cliente]],LISTA_DE_CLIENTES[[Código]:[Nome Fantasia]],3,FALSE),"")</f>
        <v/>
      </c>
      <c r="H1311" s="51"/>
      <c r="I1311" s="28" t="str">
        <f>IFERROR(VLOOKUP(TAB_OFICINAS[[#This Row],[Codigo Produto ]],_000___PEDIDOS_DE_CLIENTES[[Data.Column2]:[Descrição Produto]],2,FALSE)," ")</f>
        <v xml:space="preserve"> </v>
      </c>
      <c r="J1311" s="91"/>
      <c r="K1311" s="88"/>
      <c r="N1311" s="6">
        <f t="shared" ca="1" si="7"/>
        <v>46315</v>
      </c>
      <c r="O1311" s="23">
        <f ca="1">TAB_OFICINAS[[#This Row],[Data Retorno Produção]]-TAB_OFICINAS[[#This Row],[Data Prometida  Entrega]]</f>
        <v>46315</v>
      </c>
      <c r="P1311" s="98" t="str">
        <f ca="1">IF(TAB_OFICINAS[[#This Row],[Dias Para Entrega]]&lt;=0,"Em dia","Dia de Atrasado")</f>
        <v>Dia de Atrasado</v>
      </c>
      <c r="Q1311" s="24">
        <f>IFERROR(TAB_OFICINAS[[#This Row],[Qtd pçs Enviadas]]-TAB_OFICINAS[[#This Row],[Qtd pçs Retornadas ]],"N/D ")</f>
        <v>0</v>
      </c>
      <c r="R1311" s="24"/>
      <c r="U1311" s="11"/>
      <c r="V1311" s="25">
        <f>IFERROR(TAB_OFICINAS[[#This Row],[Valor Unit]]*TAB_OFICINAS[[#This Row],[Qtd pçs Enviadas]]," ")</f>
        <v>0</v>
      </c>
      <c r="W1311" s="26"/>
      <c r="Y1311" s="27"/>
      <c r="Z13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2" spans="6:26" hidden="1">
      <c r="F1312" s="28" t="str">
        <f>IFERROR(VLOOKUP(TAB_OFICINAS[[#This Row],[Cliente]],LISTA_DE_CLIENTES[[Código]:[Nome Fantasia]],2,FALSE),"")</f>
        <v/>
      </c>
      <c r="G1312" s="2" t="str">
        <f>IFERROR(VLOOKUP(TAB_OFICINAS[[#This Row],[Cliente]],LISTA_DE_CLIENTES[[Código]:[Nome Fantasia]],3,FALSE),"")</f>
        <v/>
      </c>
      <c r="H1312" s="51"/>
      <c r="I1312" s="28" t="str">
        <f>IFERROR(VLOOKUP(TAB_OFICINAS[[#This Row],[Codigo Produto ]],_000___PEDIDOS_DE_CLIENTES[[Data.Column2]:[Descrição Produto]],2,FALSE)," ")</f>
        <v xml:space="preserve"> </v>
      </c>
      <c r="J1312" s="91"/>
      <c r="K1312" s="88"/>
      <c r="N1312" s="6">
        <f t="shared" ca="1" si="7"/>
        <v>46315</v>
      </c>
      <c r="O1312" s="23">
        <f ca="1">TAB_OFICINAS[[#This Row],[Data Retorno Produção]]-TAB_OFICINAS[[#This Row],[Data Prometida  Entrega]]</f>
        <v>46315</v>
      </c>
      <c r="P1312" s="98" t="str">
        <f ca="1">IF(TAB_OFICINAS[[#This Row],[Dias Para Entrega]]&lt;=0,"Em dia","Dia de Atrasado")</f>
        <v>Dia de Atrasado</v>
      </c>
      <c r="Q1312" s="24">
        <f>IFERROR(TAB_OFICINAS[[#This Row],[Qtd pçs Enviadas]]-TAB_OFICINAS[[#This Row],[Qtd pçs Retornadas ]],"N/D ")</f>
        <v>0</v>
      </c>
      <c r="R1312" s="24"/>
      <c r="U1312" s="11"/>
      <c r="V1312" s="25">
        <f>IFERROR(TAB_OFICINAS[[#This Row],[Valor Unit]]*TAB_OFICINAS[[#This Row],[Qtd pçs Enviadas]]," ")</f>
        <v>0</v>
      </c>
      <c r="W1312" s="26"/>
      <c r="Y1312" s="27"/>
      <c r="Z131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3" spans="6:26" hidden="1">
      <c r="F1313" s="28" t="str">
        <f>IFERROR(VLOOKUP(TAB_OFICINAS[[#This Row],[Cliente]],LISTA_DE_CLIENTES[[Código]:[Nome Fantasia]],2,FALSE),"")</f>
        <v/>
      </c>
      <c r="G1313" s="2" t="str">
        <f>IFERROR(VLOOKUP(TAB_OFICINAS[[#This Row],[Cliente]],LISTA_DE_CLIENTES[[Código]:[Nome Fantasia]],3,FALSE),"")</f>
        <v/>
      </c>
      <c r="H1313" s="51"/>
      <c r="I1313" s="28" t="str">
        <f>IFERROR(VLOOKUP(TAB_OFICINAS[[#This Row],[Codigo Produto ]],_000___PEDIDOS_DE_CLIENTES[[Data.Column2]:[Descrição Produto]],2,FALSE)," ")</f>
        <v xml:space="preserve"> </v>
      </c>
      <c r="J1313" s="91"/>
      <c r="K1313" s="88"/>
      <c r="N1313" s="6">
        <f t="shared" ca="1" si="7"/>
        <v>46315</v>
      </c>
      <c r="O1313" s="23">
        <f ca="1">TAB_OFICINAS[[#This Row],[Data Retorno Produção]]-TAB_OFICINAS[[#This Row],[Data Prometida  Entrega]]</f>
        <v>46315</v>
      </c>
      <c r="P1313" s="98" t="str">
        <f ca="1">IF(TAB_OFICINAS[[#This Row],[Dias Para Entrega]]&lt;=0,"Em dia","Dia de Atrasado")</f>
        <v>Dia de Atrasado</v>
      </c>
      <c r="Q1313" s="24">
        <f>IFERROR(TAB_OFICINAS[[#This Row],[Qtd pçs Enviadas]]-TAB_OFICINAS[[#This Row],[Qtd pçs Retornadas ]],"N/D ")</f>
        <v>0</v>
      </c>
      <c r="R1313" s="24"/>
      <c r="U1313" s="11"/>
      <c r="V1313" s="25">
        <f>IFERROR(TAB_OFICINAS[[#This Row],[Valor Unit]]*TAB_OFICINAS[[#This Row],[Qtd pçs Enviadas]]," ")</f>
        <v>0</v>
      </c>
      <c r="W1313" s="26"/>
      <c r="Y1313" s="27"/>
      <c r="Z13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4" spans="6:26" hidden="1">
      <c r="F1314" s="28" t="str">
        <f>IFERROR(VLOOKUP(TAB_OFICINAS[[#This Row],[Cliente]],LISTA_DE_CLIENTES[[Código]:[Nome Fantasia]],2,FALSE),"")</f>
        <v/>
      </c>
      <c r="G1314" s="2" t="str">
        <f>IFERROR(VLOOKUP(TAB_OFICINAS[[#This Row],[Cliente]],LISTA_DE_CLIENTES[[Código]:[Nome Fantasia]],3,FALSE),"")</f>
        <v/>
      </c>
      <c r="H1314" s="51"/>
      <c r="I1314" s="28" t="str">
        <f>IFERROR(VLOOKUP(TAB_OFICINAS[[#This Row],[Codigo Produto ]],_000___PEDIDOS_DE_CLIENTES[[Data.Column2]:[Descrição Produto]],2,FALSE)," ")</f>
        <v xml:space="preserve"> </v>
      </c>
      <c r="J1314" s="91"/>
      <c r="K1314" s="88"/>
      <c r="N1314" s="6">
        <f t="shared" ca="1" si="7"/>
        <v>46315</v>
      </c>
      <c r="O1314" s="23">
        <f ca="1">TAB_OFICINAS[[#This Row],[Data Retorno Produção]]-TAB_OFICINAS[[#This Row],[Data Prometida  Entrega]]</f>
        <v>46315</v>
      </c>
      <c r="P1314" s="98" t="str">
        <f ca="1">IF(TAB_OFICINAS[[#This Row],[Dias Para Entrega]]&lt;=0,"Em dia","Dia de Atrasado")</f>
        <v>Dia de Atrasado</v>
      </c>
      <c r="Q1314" s="24">
        <f>IFERROR(TAB_OFICINAS[[#This Row],[Qtd pçs Enviadas]]-TAB_OFICINAS[[#This Row],[Qtd pçs Retornadas ]],"N/D ")</f>
        <v>0</v>
      </c>
      <c r="R1314" s="24"/>
      <c r="U1314" s="11"/>
      <c r="V1314" s="25">
        <f>IFERROR(TAB_OFICINAS[[#This Row],[Valor Unit]]*TAB_OFICINAS[[#This Row],[Qtd pçs Enviadas]]," ")</f>
        <v>0</v>
      </c>
      <c r="W1314" s="26"/>
      <c r="Y1314" s="27"/>
      <c r="Z13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5" spans="6:26" hidden="1">
      <c r="F1315" s="28" t="str">
        <f>IFERROR(VLOOKUP(TAB_OFICINAS[[#This Row],[Cliente]],LISTA_DE_CLIENTES[[Código]:[Nome Fantasia]],2,FALSE),"")</f>
        <v/>
      </c>
      <c r="G1315" s="2" t="str">
        <f>IFERROR(VLOOKUP(TAB_OFICINAS[[#This Row],[Cliente]],LISTA_DE_CLIENTES[[Código]:[Nome Fantasia]],3,FALSE),"")</f>
        <v/>
      </c>
      <c r="H1315" s="51"/>
      <c r="I1315" s="28" t="str">
        <f>IFERROR(VLOOKUP(TAB_OFICINAS[[#This Row],[Codigo Produto ]],_000___PEDIDOS_DE_CLIENTES[[Data.Column2]:[Descrição Produto]],2,FALSE)," ")</f>
        <v xml:space="preserve"> </v>
      </c>
      <c r="J1315" s="91"/>
      <c r="K1315" s="88"/>
      <c r="N1315" s="6">
        <f t="shared" ca="1" si="7"/>
        <v>46315</v>
      </c>
      <c r="O1315" s="23">
        <f ca="1">TAB_OFICINAS[[#This Row],[Data Retorno Produção]]-TAB_OFICINAS[[#This Row],[Data Prometida  Entrega]]</f>
        <v>46315</v>
      </c>
      <c r="P1315" s="98" t="str">
        <f ca="1">IF(TAB_OFICINAS[[#This Row],[Dias Para Entrega]]&lt;=0,"Em dia","Dia de Atrasado")</f>
        <v>Dia de Atrasado</v>
      </c>
      <c r="Q1315" s="24">
        <f>IFERROR(TAB_OFICINAS[[#This Row],[Qtd pçs Enviadas]]-TAB_OFICINAS[[#This Row],[Qtd pçs Retornadas ]],"N/D ")</f>
        <v>0</v>
      </c>
      <c r="R1315" s="24"/>
      <c r="U1315" s="11"/>
      <c r="V1315" s="25">
        <f>IFERROR(TAB_OFICINAS[[#This Row],[Valor Unit]]*TAB_OFICINAS[[#This Row],[Qtd pçs Enviadas]]," ")</f>
        <v>0</v>
      </c>
      <c r="W1315" s="26"/>
      <c r="Y1315" s="27"/>
      <c r="Z13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6" spans="6:26" hidden="1">
      <c r="F1316" s="28" t="str">
        <f>IFERROR(VLOOKUP(TAB_OFICINAS[[#This Row],[Cliente]],LISTA_DE_CLIENTES[[Código]:[Nome Fantasia]],2,FALSE),"")</f>
        <v/>
      </c>
      <c r="G1316" s="2" t="str">
        <f>IFERROR(VLOOKUP(TAB_OFICINAS[[#This Row],[Cliente]],LISTA_DE_CLIENTES[[Código]:[Nome Fantasia]],3,FALSE),"")</f>
        <v/>
      </c>
      <c r="H1316" s="51"/>
      <c r="I1316" s="28" t="str">
        <f>IFERROR(VLOOKUP(TAB_OFICINAS[[#This Row],[Codigo Produto ]],_000___PEDIDOS_DE_CLIENTES[[Data.Column2]:[Descrição Produto]],2,FALSE)," ")</f>
        <v xml:space="preserve"> </v>
      </c>
      <c r="J1316" s="91"/>
      <c r="K1316" s="88"/>
      <c r="N1316" s="6">
        <f t="shared" ref="N1316:N1362" ca="1" si="8">TODAY()</f>
        <v>46315</v>
      </c>
      <c r="O1316" s="23">
        <f ca="1">TAB_OFICINAS[[#This Row],[Data Retorno Produção]]-TAB_OFICINAS[[#This Row],[Data Prometida  Entrega]]</f>
        <v>46315</v>
      </c>
      <c r="P1316" s="98" t="str">
        <f ca="1">IF(TAB_OFICINAS[[#This Row],[Dias Para Entrega]]&lt;=0,"Em dia","Dia de Atrasado")</f>
        <v>Dia de Atrasado</v>
      </c>
      <c r="Q1316" s="24">
        <f>IFERROR(TAB_OFICINAS[[#This Row],[Qtd pçs Enviadas]]-TAB_OFICINAS[[#This Row],[Qtd pçs Retornadas ]],"N/D ")</f>
        <v>0</v>
      </c>
      <c r="R1316" s="24"/>
      <c r="U1316" s="11"/>
      <c r="V1316" s="25">
        <f>IFERROR(TAB_OFICINAS[[#This Row],[Valor Unit]]*TAB_OFICINAS[[#This Row],[Qtd pçs Enviadas]]," ")</f>
        <v>0</v>
      </c>
      <c r="W1316" s="26"/>
      <c r="Y1316" s="27"/>
      <c r="Z13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7" spans="6:26" hidden="1">
      <c r="F1317" s="28" t="str">
        <f>IFERROR(VLOOKUP(TAB_OFICINAS[[#This Row],[Cliente]],LISTA_DE_CLIENTES[[Código]:[Nome Fantasia]],2,FALSE),"")</f>
        <v/>
      </c>
      <c r="G1317" s="2" t="str">
        <f>IFERROR(VLOOKUP(TAB_OFICINAS[[#This Row],[Cliente]],LISTA_DE_CLIENTES[[Código]:[Nome Fantasia]],3,FALSE),"")</f>
        <v/>
      </c>
      <c r="H1317" s="51"/>
      <c r="I1317" s="28" t="str">
        <f>IFERROR(VLOOKUP(TAB_OFICINAS[[#This Row],[Codigo Produto ]],_000___PEDIDOS_DE_CLIENTES[[Data.Column2]:[Descrição Produto]],2,FALSE)," ")</f>
        <v xml:space="preserve"> </v>
      </c>
      <c r="J1317" s="91"/>
      <c r="K1317" s="88"/>
      <c r="N1317" s="6">
        <f t="shared" ca="1" si="8"/>
        <v>46315</v>
      </c>
      <c r="O1317" s="23">
        <f ca="1">TAB_OFICINAS[[#This Row],[Data Retorno Produção]]-TAB_OFICINAS[[#This Row],[Data Prometida  Entrega]]</f>
        <v>46315</v>
      </c>
      <c r="P1317" s="98" t="str">
        <f ca="1">IF(TAB_OFICINAS[[#This Row],[Dias Para Entrega]]&lt;=0,"Em dia","Dia de Atrasado")</f>
        <v>Dia de Atrasado</v>
      </c>
      <c r="Q1317" s="24">
        <f>IFERROR(TAB_OFICINAS[[#This Row],[Qtd pçs Enviadas]]-TAB_OFICINAS[[#This Row],[Qtd pçs Retornadas ]],"N/D ")</f>
        <v>0</v>
      </c>
      <c r="R1317" s="24"/>
      <c r="U1317" s="11"/>
      <c r="V1317" s="25">
        <f>IFERROR(TAB_OFICINAS[[#This Row],[Valor Unit]]*TAB_OFICINAS[[#This Row],[Qtd pçs Enviadas]]," ")</f>
        <v>0</v>
      </c>
      <c r="W1317" s="26"/>
      <c r="Y1317" s="27"/>
      <c r="Z13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8" spans="6:26" hidden="1">
      <c r="F1318" s="28" t="str">
        <f>IFERROR(VLOOKUP(TAB_OFICINAS[[#This Row],[Cliente]],LISTA_DE_CLIENTES[[Código]:[Nome Fantasia]],2,FALSE),"")</f>
        <v/>
      </c>
      <c r="G1318" s="2" t="str">
        <f>IFERROR(VLOOKUP(TAB_OFICINAS[[#This Row],[Cliente]],LISTA_DE_CLIENTES[[Código]:[Nome Fantasia]],3,FALSE),"")</f>
        <v/>
      </c>
      <c r="H1318" s="51"/>
      <c r="I1318" s="28" t="str">
        <f>IFERROR(VLOOKUP(TAB_OFICINAS[[#This Row],[Codigo Produto ]],_000___PEDIDOS_DE_CLIENTES[[Data.Column2]:[Descrição Produto]],2,FALSE)," ")</f>
        <v xml:space="preserve"> </v>
      </c>
      <c r="J1318" s="91"/>
      <c r="K1318" s="88"/>
      <c r="N1318" s="6">
        <f t="shared" ca="1" si="8"/>
        <v>46315</v>
      </c>
      <c r="O1318" s="23">
        <f ca="1">TAB_OFICINAS[[#This Row],[Data Retorno Produção]]-TAB_OFICINAS[[#This Row],[Data Prometida  Entrega]]</f>
        <v>46315</v>
      </c>
      <c r="P1318" s="98" t="str">
        <f ca="1">IF(TAB_OFICINAS[[#This Row],[Dias Para Entrega]]&lt;=0,"Em dia","Dia de Atrasado")</f>
        <v>Dia de Atrasado</v>
      </c>
      <c r="Q1318" s="24">
        <f>IFERROR(TAB_OFICINAS[[#This Row],[Qtd pçs Enviadas]]-TAB_OFICINAS[[#This Row],[Qtd pçs Retornadas ]],"N/D ")</f>
        <v>0</v>
      </c>
      <c r="R1318" s="24"/>
      <c r="U1318" s="11"/>
      <c r="V1318" s="25">
        <f>IFERROR(TAB_OFICINAS[[#This Row],[Valor Unit]]*TAB_OFICINAS[[#This Row],[Qtd pçs Enviadas]]," ")</f>
        <v>0</v>
      </c>
      <c r="W1318" s="26"/>
      <c r="Y1318" s="27"/>
      <c r="Z13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19" spans="6:26" hidden="1">
      <c r="F1319" s="28" t="str">
        <f>IFERROR(VLOOKUP(TAB_OFICINAS[[#This Row],[Cliente]],LISTA_DE_CLIENTES[[Código]:[Nome Fantasia]],2,FALSE),"")</f>
        <v/>
      </c>
      <c r="G1319" s="2" t="str">
        <f>IFERROR(VLOOKUP(TAB_OFICINAS[[#This Row],[Cliente]],LISTA_DE_CLIENTES[[Código]:[Nome Fantasia]],3,FALSE),"")</f>
        <v/>
      </c>
      <c r="H1319" s="51"/>
      <c r="I1319" s="28" t="str">
        <f>IFERROR(VLOOKUP(TAB_OFICINAS[[#This Row],[Codigo Produto ]],_000___PEDIDOS_DE_CLIENTES[[Data.Column2]:[Descrição Produto]],2,FALSE)," ")</f>
        <v xml:space="preserve"> </v>
      </c>
      <c r="J1319" s="91"/>
      <c r="K1319" s="88"/>
      <c r="N1319" s="6">
        <f t="shared" ca="1" si="8"/>
        <v>46315</v>
      </c>
      <c r="O1319" s="23">
        <f ca="1">TAB_OFICINAS[[#This Row],[Data Retorno Produção]]-TAB_OFICINAS[[#This Row],[Data Prometida  Entrega]]</f>
        <v>46315</v>
      </c>
      <c r="P1319" s="98" t="str">
        <f ca="1">IF(TAB_OFICINAS[[#This Row],[Dias Para Entrega]]&lt;=0,"Em dia","Dia de Atrasado")</f>
        <v>Dia de Atrasado</v>
      </c>
      <c r="Q1319" s="24">
        <f>IFERROR(TAB_OFICINAS[[#This Row],[Qtd pçs Enviadas]]-TAB_OFICINAS[[#This Row],[Qtd pçs Retornadas ]],"N/D ")</f>
        <v>0</v>
      </c>
      <c r="R1319" s="24"/>
      <c r="U1319" s="11"/>
      <c r="V1319" s="25">
        <f>IFERROR(TAB_OFICINAS[[#This Row],[Valor Unit]]*TAB_OFICINAS[[#This Row],[Qtd pçs Enviadas]]," ")</f>
        <v>0</v>
      </c>
      <c r="W1319" s="26"/>
      <c r="Y1319" s="27"/>
      <c r="Z13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0" spans="6:26" hidden="1">
      <c r="F1320" s="28" t="str">
        <f>IFERROR(VLOOKUP(TAB_OFICINAS[[#This Row],[Cliente]],LISTA_DE_CLIENTES[[Código]:[Nome Fantasia]],2,FALSE),"")</f>
        <v/>
      </c>
      <c r="G1320" s="2" t="str">
        <f>IFERROR(VLOOKUP(TAB_OFICINAS[[#This Row],[Cliente]],LISTA_DE_CLIENTES[[Código]:[Nome Fantasia]],3,FALSE),"")</f>
        <v/>
      </c>
      <c r="H1320" s="51"/>
      <c r="I1320" s="28" t="str">
        <f>IFERROR(VLOOKUP(TAB_OFICINAS[[#This Row],[Codigo Produto ]],_000___PEDIDOS_DE_CLIENTES[[Data.Column2]:[Descrição Produto]],2,FALSE)," ")</f>
        <v xml:space="preserve"> </v>
      </c>
      <c r="J1320" s="91"/>
      <c r="K1320" s="88"/>
      <c r="N1320" s="6">
        <f t="shared" ca="1" si="8"/>
        <v>46315</v>
      </c>
      <c r="O1320" s="23">
        <f ca="1">TAB_OFICINAS[[#This Row],[Data Retorno Produção]]-TAB_OFICINAS[[#This Row],[Data Prometida  Entrega]]</f>
        <v>46315</v>
      </c>
      <c r="P1320" s="98" t="str">
        <f ca="1">IF(TAB_OFICINAS[[#This Row],[Dias Para Entrega]]&lt;=0,"Em dia","Dia de Atrasado")</f>
        <v>Dia de Atrasado</v>
      </c>
      <c r="Q1320" s="24">
        <f>IFERROR(TAB_OFICINAS[[#This Row],[Qtd pçs Enviadas]]-TAB_OFICINAS[[#This Row],[Qtd pçs Retornadas ]],"N/D ")</f>
        <v>0</v>
      </c>
      <c r="R1320" s="24"/>
      <c r="U1320" s="11"/>
      <c r="V1320" s="25">
        <f>IFERROR(TAB_OFICINAS[[#This Row],[Valor Unit]]*TAB_OFICINAS[[#This Row],[Qtd pçs Enviadas]]," ")</f>
        <v>0</v>
      </c>
      <c r="W1320" s="26"/>
      <c r="Y1320" s="27"/>
      <c r="Z13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1" spans="6:26" hidden="1">
      <c r="F1321" s="28" t="str">
        <f>IFERROR(VLOOKUP(TAB_OFICINAS[[#This Row],[Cliente]],LISTA_DE_CLIENTES[[Código]:[Nome Fantasia]],2,FALSE),"")</f>
        <v/>
      </c>
      <c r="G1321" s="2" t="str">
        <f>IFERROR(VLOOKUP(TAB_OFICINAS[[#This Row],[Cliente]],LISTA_DE_CLIENTES[[Código]:[Nome Fantasia]],3,FALSE),"")</f>
        <v/>
      </c>
      <c r="H1321" s="51"/>
      <c r="I1321" s="28" t="str">
        <f>IFERROR(VLOOKUP(TAB_OFICINAS[[#This Row],[Codigo Produto ]],_000___PEDIDOS_DE_CLIENTES[[Data.Column2]:[Descrição Produto]],2,FALSE)," ")</f>
        <v xml:space="preserve"> </v>
      </c>
      <c r="J1321" s="91"/>
      <c r="K1321" s="88"/>
      <c r="N1321" s="6">
        <f t="shared" ca="1" si="8"/>
        <v>46315</v>
      </c>
      <c r="O1321" s="23">
        <f ca="1">TAB_OFICINAS[[#This Row],[Data Retorno Produção]]-TAB_OFICINAS[[#This Row],[Data Prometida  Entrega]]</f>
        <v>46315</v>
      </c>
      <c r="P1321" s="98" t="str">
        <f ca="1">IF(TAB_OFICINAS[[#This Row],[Dias Para Entrega]]&lt;=0,"Em dia","Dia de Atrasado")</f>
        <v>Dia de Atrasado</v>
      </c>
      <c r="Q1321" s="24">
        <f>IFERROR(TAB_OFICINAS[[#This Row],[Qtd pçs Enviadas]]-TAB_OFICINAS[[#This Row],[Qtd pçs Retornadas ]],"N/D ")</f>
        <v>0</v>
      </c>
      <c r="R1321" s="24"/>
      <c r="U1321" s="11"/>
      <c r="V1321" s="25">
        <f>IFERROR(TAB_OFICINAS[[#This Row],[Valor Unit]]*TAB_OFICINAS[[#This Row],[Qtd pçs Enviadas]]," ")</f>
        <v>0</v>
      </c>
      <c r="W1321" s="26"/>
      <c r="Y1321" s="27"/>
      <c r="Z13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2" spans="6:26" hidden="1">
      <c r="F1322" s="28" t="str">
        <f>IFERROR(VLOOKUP(TAB_OFICINAS[[#This Row],[Cliente]],LISTA_DE_CLIENTES[[Código]:[Nome Fantasia]],2,FALSE),"")</f>
        <v/>
      </c>
      <c r="G1322" s="2" t="str">
        <f>IFERROR(VLOOKUP(TAB_OFICINAS[[#This Row],[Cliente]],LISTA_DE_CLIENTES[[Código]:[Nome Fantasia]],3,FALSE),"")</f>
        <v/>
      </c>
      <c r="H1322" s="51"/>
      <c r="I1322" s="28" t="str">
        <f>IFERROR(VLOOKUP(TAB_OFICINAS[[#This Row],[Codigo Produto ]],_000___PEDIDOS_DE_CLIENTES[[Data.Column2]:[Descrição Produto]],2,FALSE)," ")</f>
        <v xml:space="preserve"> </v>
      </c>
      <c r="J1322" s="91"/>
      <c r="K1322" s="88"/>
      <c r="N1322" s="6">
        <f t="shared" ca="1" si="8"/>
        <v>46315</v>
      </c>
      <c r="O1322" s="23">
        <f ca="1">TAB_OFICINAS[[#This Row],[Data Retorno Produção]]-TAB_OFICINAS[[#This Row],[Data Prometida  Entrega]]</f>
        <v>46315</v>
      </c>
      <c r="P1322" s="98" t="str">
        <f ca="1">IF(TAB_OFICINAS[[#This Row],[Dias Para Entrega]]&lt;=0,"Em dia","Dia de Atrasado")</f>
        <v>Dia de Atrasado</v>
      </c>
      <c r="Q1322" s="24">
        <f>IFERROR(TAB_OFICINAS[[#This Row],[Qtd pçs Enviadas]]-TAB_OFICINAS[[#This Row],[Qtd pçs Retornadas ]],"N/D ")</f>
        <v>0</v>
      </c>
      <c r="R1322" s="24"/>
      <c r="U1322" s="11"/>
      <c r="V1322" s="25">
        <f>IFERROR(TAB_OFICINAS[[#This Row],[Valor Unit]]*TAB_OFICINAS[[#This Row],[Qtd pçs Enviadas]]," ")</f>
        <v>0</v>
      </c>
      <c r="W1322" s="26"/>
      <c r="Y1322" s="27"/>
      <c r="Z13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3" spans="6:26" hidden="1">
      <c r="F1323" s="28" t="str">
        <f>IFERROR(VLOOKUP(TAB_OFICINAS[[#This Row],[Cliente]],LISTA_DE_CLIENTES[[Código]:[Nome Fantasia]],2,FALSE),"")</f>
        <v/>
      </c>
      <c r="G1323" s="2" t="str">
        <f>IFERROR(VLOOKUP(TAB_OFICINAS[[#This Row],[Cliente]],LISTA_DE_CLIENTES[[Código]:[Nome Fantasia]],3,FALSE),"")</f>
        <v/>
      </c>
      <c r="H1323" s="51"/>
      <c r="I1323" s="28" t="str">
        <f>IFERROR(VLOOKUP(TAB_OFICINAS[[#This Row],[Codigo Produto ]],_000___PEDIDOS_DE_CLIENTES[[Data.Column2]:[Descrição Produto]],2,FALSE)," ")</f>
        <v xml:space="preserve"> </v>
      </c>
      <c r="J1323" s="91"/>
      <c r="K1323" s="88"/>
      <c r="N1323" s="6">
        <f t="shared" ca="1" si="8"/>
        <v>46315</v>
      </c>
      <c r="O1323" s="23">
        <f ca="1">TAB_OFICINAS[[#This Row],[Data Retorno Produção]]-TAB_OFICINAS[[#This Row],[Data Prometida  Entrega]]</f>
        <v>46315</v>
      </c>
      <c r="P1323" s="98" t="str">
        <f ca="1">IF(TAB_OFICINAS[[#This Row],[Dias Para Entrega]]&lt;=0,"Em dia","Dia de Atrasado")</f>
        <v>Dia de Atrasado</v>
      </c>
      <c r="Q1323" s="24">
        <f>IFERROR(TAB_OFICINAS[[#This Row],[Qtd pçs Enviadas]]-TAB_OFICINAS[[#This Row],[Qtd pçs Retornadas ]],"N/D ")</f>
        <v>0</v>
      </c>
      <c r="R1323" s="24"/>
      <c r="U1323" s="11"/>
      <c r="V1323" s="25">
        <f>IFERROR(TAB_OFICINAS[[#This Row],[Valor Unit]]*TAB_OFICINAS[[#This Row],[Qtd pçs Enviadas]]," ")</f>
        <v>0</v>
      </c>
      <c r="W1323" s="26"/>
      <c r="Y1323" s="27"/>
      <c r="Z13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4" spans="6:26" hidden="1">
      <c r="F1324" s="28" t="str">
        <f>IFERROR(VLOOKUP(TAB_OFICINAS[[#This Row],[Cliente]],LISTA_DE_CLIENTES[[Código]:[Nome Fantasia]],2,FALSE),"")</f>
        <v/>
      </c>
      <c r="G1324" s="2" t="str">
        <f>IFERROR(VLOOKUP(TAB_OFICINAS[[#This Row],[Cliente]],LISTA_DE_CLIENTES[[Código]:[Nome Fantasia]],3,FALSE),"")</f>
        <v/>
      </c>
      <c r="H1324" s="51"/>
      <c r="I1324" s="28" t="str">
        <f>IFERROR(VLOOKUP(TAB_OFICINAS[[#This Row],[Codigo Produto ]],_000___PEDIDOS_DE_CLIENTES[[Data.Column2]:[Descrição Produto]],2,FALSE)," ")</f>
        <v xml:space="preserve"> </v>
      </c>
      <c r="J1324" s="91"/>
      <c r="K1324" s="88"/>
      <c r="N1324" s="6">
        <f t="shared" ca="1" si="8"/>
        <v>46315</v>
      </c>
      <c r="O1324" s="23">
        <f ca="1">TAB_OFICINAS[[#This Row],[Data Retorno Produção]]-TAB_OFICINAS[[#This Row],[Data Prometida  Entrega]]</f>
        <v>46315</v>
      </c>
      <c r="P1324" s="98" t="str">
        <f ca="1">IF(TAB_OFICINAS[[#This Row],[Dias Para Entrega]]&lt;=0,"Em dia","Dia de Atrasado")</f>
        <v>Dia de Atrasado</v>
      </c>
      <c r="Q1324" s="24">
        <f>IFERROR(TAB_OFICINAS[[#This Row],[Qtd pçs Enviadas]]-TAB_OFICINAS[[#This Row],[Qtd pçs Retornadas ]],"N/D ")</f>
        <v>0</v>
      </c>
      <c r="R1324" s="24"/>
      <c r="U1324" s="11"/>
      <c r="V1324" s="25">
        <f>IFERROR(TAB_OFICINAS[[#This Row],[Valor Unit]]*TAB_OFICINAS[[#This Row],[Qtd pçs Enviadas]]," ")</f>
        <v>0</v>
      </c>
      <c r="W1324" s="26"/>
      <c r="Y1324" s="27"/>
      <c r="Z13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5" spans="6:26" hidden="1">
      <c r="F1325" s="28" t="str">
        <f>IFERROR(VLOOKUP(TAB_OFICINAS[[#This Row],[Cliente]],LISTA_DE_CLIENTES[[Código]:[Nome Fantasia]],2,FALSE),"")</f>
        <v/>
      </c>
      <c r="G1325" s="2" t="str">
        <f>IFERROR(VLOOKUP(TAB_OFICINAS[[#This Row],[Cliente]],LISTA_DE_CLIENTES[[Código]:[Nome Fantasia]],3,FALSE),"")</f>
        <v/>
      </c>
      <c r="H1325" s="51"/>
      <c r="I1325" s="28" t="str">
        <f>IFERROR(VLOOKUP(TAB_OFICINAS[[#This Row],[Codigo Produto ]],_000___PEDIDOS_DE_CLIENTES[[Data.Column2]:[Descrição Produto]],2,FALSE)," ")</f>
        <v xml:space="preserve"> </v>
      </c>
      <c r="J1325" s="91"/>
      <c r="K1325" s="88"/>
      <c r="N1325" s="6">
        <f t="shared" ca="1" si="8"/>
        <v>46315</v>
      </c>
      <c r="O1325" s="23">
        <f ca="1">TAB_OFICINAS[[#This Row],[Data Retorno Produção]]-TAB_OFICINAS[[#This Row],[Data Prometida  Entrega]]</f>
        <v>46315</v>
      </c>
      <c r="P1325" s="98" t="str">
        <f ca="1">IF(TAB_OFICINAS[[#This Row],[Dias Para Entrega]]&lt;=0,"Em dia","Dia de Atrasado")</f>
        <v>Dia de Atrasado</v>
      </c>
      <c r="Q1325" s="24">
        <f>IFERROR(TAB_OFICINAS[[#This Row],[Qtd pçs Enviadas]]-TAB_OFICINAS[[#This Row],[Qtd pçs Retornadas ]],"N/D ")</f>
        <v>0</v>
      </c>
      <c r="R1325" s="24"/>
      <c r="U1325" s="11"/>
      <c r="V1325" s="25">
        <f>IFERROR(TAB_OFICINAS[[#This Row],[Valor Unit]]*TAB_OFICINAS[[#This Row],[Qtd pçs Enviadas]]," ")</f>
        <v>0</v>
      </c>
      <c r="W1325" s="26"/>
      <c r="Y1325" s="27"/>
      <c r="Z13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6" spans="6:26" hidden="1">
      <c r="F1326" s="28" t="str">
        <f>IFERROR(VLOOKUP(TAB_OFICINAS[[#This Row],[Cliente]],LISTA_DE_CLIENTES[[Código]:[Nome Fantasia]],2,FALSE),"")</f>
        <v/>
      </c>
      <c r="G1326" s="2" t="str">
        <f>IFERROR(VLOOKUP(TAB_OFICINAS[[#This Row],[Cliente]],LISTA_DE_CLIENTES[[Código]:[Nome Fantasia]],3,FALSE),"")</f>
        <v/>
      </c>
      <c r="H1326" s="51"/>
      <c r="I1326" s="28" t="str">
        <f>IFERROR(VLOOKUP(TAB_OFICINAS[[#This Row],[Codigo Produto ]],_000___PEDIDOS_DE_CLIENTES[[Data.Column2]:[Descrição Produto]],2,FALSE)," ")</f>
        <v xml:space="preserve"> </v>
      </c>
      <c r="J1326" s="91"/>
      <c r="K1326" s="88"/>
      <c r="N1326" s="6">
        <f t="shared" ca="1" si="8"/>
        <v>46315</v>
      </c>
      <c r="O1326" s="23">
        <f ca="1">TAB_OFICINAS[[#This Row],[Data Retorno Produção]]-TAB_OFICINAS[[#This Row],[Data Prometida  Entrega]]</f>
        <v>46315</v>
      </c>
      <c r="P1326" s="98" t="str">
        <f ca="1">IF(TAB_OFICINAS[[#This Row],[Dias Para Entrega]]&lt;=0,"Em dia","Dia de Atrasado")</f>
        <v>Dia de Atrasado</v>
      </c>
      <c r="Q1326" s="24">
        <f>IFERROR(TAB_OFICINAS[[#This Row],[Qtd pçs Enviadas]]-TAB_OFICINAS[[#This Row],[Qtd pçs Retornadas ]],"N/D ")</f>
        <v>0</v>
      </c>
      <c r="R1326" s="24"/>
      <c r="U1326" s="11"/>
      <c r="V1326" s="25">
        <f>IFERROR(TAB_OFICINAS[[#This Row],[Valor Unit]]*TAB_OFICINAS[[#This Row],[Qtd pçs Enviadas]]," ")</f>
        <v>0</v>
      </c>
      <c r="W1326" s="26"/>
      <c r="Y1326" s="27"/>
      <c r="Z13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7" spans="6:26" hidden="1">
      <c r="F1327" s="28" t="str">
        <f>IFERROR(VLOOKUP(TAB_OFICINAS[[#This Row],[Cliente]],LISTA_DE_CLIENTES[[Código]:[Nome Fantasia]],2,FALSE),"")</f>
        <v/>
      </c>
      <c r="G1327" s="2" t="str">
        <f>IFERROR(VLOOKUP(TAB_OFICINAS[[#This Row],[Cliente]],LISTA_DE_CLIENTES[[Código]:[Nome Fantasia]],3,FALSE),"")</f>
        <v/>
      </c>
      <c r="H1327" s="51"/>
      <c r="I1327" s="28" t="str">
        <f>IFERROR(VLOOKUP(TAB_OFICINAS[[#This Row],[Codigo Produto ]],_000___PEDIDOS_DE_CLIENTES[[Data.Column2]:[Descrição Produto]],2,FALSE)," ")</f>
        <v xml:space="preserve"> </v>
      </c>
      <c r="J1327" s="91"/>
      <c r="K1327" s="88"/>
      <c r="N1327" s="6">
        <f t="shared" ca="1" si="8"/>
        <v>46315</v>
      </c>
      <c r="O1327" s="23">
        <f ca="1">TAB_OFICINAS[[#This Row],[Data Retorno Produção]]-TAB_OFICINAS[[#This Row],[Data Prometida  Entrega]]</f>
        <v>46315</v>
      </c>
      <c r="P1327" s="98" t="str">
        <f ca="1">IF(TAB_OFICINAS[[#This Row],[Dias Para Entrega]]&lt;=0,"Em dia","Dia de Atrasado")</f>
        <v>Dia de Atrasado</v>
      </c>
      <c r="Q1327" s="24">
        <f>IFERROR(TAB_OFICINAS[[#This Row],[Qtd pçs Enviadas]]-TAB_OFICINAS[[#This Row],[Qtd pçs Retornadas ]],"N/D ")</f>
        <v>0</v>
      </c>
      <c r="R1327" s="24"/>
      <c r="U1327" s="11"/>
      <c r="V1327" s="25">
        <f>IFERROR(TAB_OFICINAS[[#This Row],[Valor Unit]]*TAB_OFICINAS[[#This Row],[Qtd pçs Enviadas]]," ")</f>
        <v>0</v>
      </c>
      <c r="W1327" s="26"/>
      <c r="Y1327" s="27"/>
      <c r="Z13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8" spans="6:26" hidden="1">
      <c r="F1328" s="28" t="str">
        <f>IFERROR(VLOOKUP(TAB_OFICINAS[[#This Row],[Cliente]],LISTA_DE_CLIENTES[[Código]:[Nome Fantasia]],2,FALSE),"")</f>
        <v/>
      </c>
      <c r="G1328" s="2" t="str">
        <f>IFERROR(VLOOKUP(TAB_OFICINAS[[#This Row],[Cliente]],LISTA_DE_CLIENTES[[Código]:[Nome Fantasia]],3,FALSE),"")</f>
        <v/>
      </c>
      <c r="H1328" s="51"/>
      <c r="I1328" s="28" t="str">
        <f>IFERROR(VLOOKUP(TAB_OFICINAS[[#This Row],[Codigo Produto ]],_000___PEDIDOS_DE_CLIENTES[[Data.Column2]:[Descrição Produto]],2,FALSE)," ")</f>
        <v xml:space="preserve"> </v>
      </c>
      <c r="J1328" s="91"/>
      <c r="K1328" s="88"/>
      <c r="N1328" s="6">
        <f t="shared" ca="1" si="8"/>
        <v>46315</v>
      </c>
      <c r="O1328" s="23">
        <f ca="1">TAB_OFICINAS[[#This Row],[Data Retorno Produção]]-TAB_OFICINAS[[#This Row],[Data Prometida  Entrega]]</f>
        <v>46315</v>
      </c>
      <c r="P1328" s="98" t="str">
        <f ca="1">IF(TAB_OFICINAS[[#This Row],[Dias Para Entrega]]&lt;=0,"Em dia","Dia de Atrasado")</f>
        <v>Dia de Atrasado</v>
      </c>
      <c r="Q1328" s="24">
        <f>IFERROR(TAB_OFICINAS[[#This Row],[Qtd pçs Enviadas]]-TAB_OFICINAS[[#This Row],[Qtd pçs Retornadas ]],"N/D ")</f>
        <v>0</v>
      </c>
      <c r="R1328" s="24"/>
      <c r="U1328" s="11"/>
      <c r="V1328" s="25">
        <f>IFERROR(TAB_OFICINAS[[#This Row],[Valor Unit]]*TAB_OFICINAS[[#This Row],[Qtd pçs Enviadas]]," ")</f>
        <v>0</v>
      </c>
      <c r="W1328" s="26"/>
      <c r="Y1328" s="27"/>
      <c r="Z13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29" spans="6:26" hidden="1">
      <c r="F1329" s="28" t="str">
        <f>IFERROR(VLOOKUP(TAB_OFICINAS[[#This Row],[Cliente]],LISTA_DE_CLIENTES[[Código]:[Nome Fantasia]],2,FALSE),"")</f>
        <v/>
      </c>
      <c r="G1329" s="2" t="str">
        <f>IFERROR(VLOOKUP(TAB_OFICINAS[[#This Row],[Cliente]],LISTA_DE_CLIENTES[[Código]:[Nome Fantasia]],3,FALSE),"")</f>
        <v/>
      </c>
      <c r="H1329" s="51"/>
      <c r="I1329" s="28" t="str">
        <f>IFERROR(VLOOKUP(TAB_OFICINAS[[#This Row],[Codigo Produto ]],_000___PEDIDOS_DE_CLIENTES[[Data.Column2]:[Descrição Produto]],2,FALSE)," ")</f>
        <v xml:space="preserve"> </v>
      </c>
      <c r="J1329" s="91"/>
      <c r="K1329" s="88"/>
      <c r="N1329" s="6">
        <f t="shared" ca="1" si="8"/>
        <v>46315</v>
      </c>
      <c r="O1329" s="23">
        <f ca="1">TAB_OFICINAS[[#This Row],[Data Retorno Produção]]-TAB_OFICINAS[[#This Row],[Data Prometida  Entrega]]</f>
        <v>46315</v>
      </c>
      <c r="P1329" s="98" t="str">
        <f ca="1">IF(TAB_OFICINAS[[#This Row],[Dias Para Entrega]]&lt;=0,"Em dia","Dia de Atrasado")</f>
        <v>Dia de Atrasado</v>
      </c>
      <c r="Q1329" s="24">
        <f>IFERROR(TAB_OFICINAS[[#This Row],[Qtd pçs Enviadas]]-TAB_OFICINAS[[#This Row],[Qtd pçs Retornadas ]],"N/D ")</f>
        <v>0</v>
      </c>
      <c r="R1329" s="24"/>
      <c r="U1329" s="11"/>
      <c r="V1329" s="25">
        <f>IFERROR(TAB_OFICINAS[[#This Row],[Valor Unit]]*TAB_OFICINAS[[#This Row],[Qtd pçs Enviadas]]," ")</f>
        <v>0</v>
      </c>
      <c r="W1329" s="26"/>
      <c r="Y1329" s="27"/>
      <c r="Z13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0" spans="6:26" hidden="1">
      <c r="F1330" s="28" t="str">
        <f>IFERROR(VLOOKUP(TAB_OFICINAS[[#This Row],[Cliente]],LISTA_DE_CLIENTES[[Código]:[Nome Fantasia]],2,FALSE),"")</f>
        <v/>
      </c>
      <c r="G1330" s="2" t="str">
        <f>IFERROR(VLOOKUP(TAB_OFICINAS[[#This Row],[Cliente]],LISTA_DE_CLIENTES[[Código]:[Nome Fantasia]],3,FALSE),"")</f>
        <v/>
      </c>
      <c r="H1330" s="51"/>
      <c r="I1330" s="28" t="str">
        <f>IFERROR(VLOOKUP(TAB_OFICINAS[[#This Row],[Codigo Produto ]],_000___PEDIDOS_DE_CLIENTES[[Data.Column2]:[Descrição Produto]],2,FALSE)," ")</f>
        <v xml:space="preserve"> </v>
      </c>
      <c r="J1330" s="91"/>
      <c r="K1330" s="88"/>
      <c r="N1330" s="6">
        <f t="shared" ca="1" si="8"/>
        <v>46315</v>
      </c>
      <c r="O1330" s="23">
        <f ca="1">TAB_OFICINAS[[#This Row],[Data Retorno Produção]]-TAB_OFICINAS[[#This Row],[Data Prometida  Entrega]]</f>
        <v>46315</v>
      </c>
      <c r="P1330" s="98" t="str">
        <f ca="1">IF(TAB_OFICINAS[[#This Row],[Dias Para Entrega]]&lt;=0,"Em dia","Dia de Atrasado")</f>
        <v>Dia de Atrasado</v>
      </c>
      <c r="Q1330" s="24">
        <f>IFERROR(TAB_OFICINAS[[#This Row],[Qtd pçs Enviadas]]-TAB_OFICINAS[[#This Row],[Qtd pçs Retornadas ]],"N/D ")</f>
        <v>0</v>
      </c>
      <c r="R1330" s="24"/>
      <c r="U1330" s="11"/>
      <c r="V1330" s="25">
        <f>IFERROR(TAB_OFICINAS[[#This Row],[Valor Unit]]*TAB_OFICINAS[[#This Row],[Qtd pçs Enviadas]]," ")</f>
        <v>0</v>
      </c>
      <c r="W1330" s="26"/>
      <c r="Y1330" s="27"/>
      <c r="Z13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1" spans="6:26" hidden="1">
      <c r="F1331" s="28" t="str">
        <f>IFERROR(VLOOKUP(TAB_OFICINAS[[#This Row],[Cliente]],LISTA_DE_CLIENTES[[Código]:[Nome Fantasia]],2,FALSE),"")</f>
        <v/>
      </c>
      <c r="G1331" s="2" t="str">
        <f>IFERROR(VLOOKUP(TAB_OFICINAS[[#This Row],[Cliente]],LISTA_DE_CLIENTES[[Código]:[Nome Fantasia]],3,FALSE),"")</f>
        <v/>
      </c>
      <c r="H1331" s="51"/>
      <c r="I1331" s="28" t="str">
        <f>IFERROR(VLOOKUP(TAB_OFICINAS[[#This Row],[Codigo Produto ]],_000___PEDIDOS_DE_CLIENTES[[Data.Column2]:[Descrição Produto]],2,FALSE)," ")</f>
        <v xml:space="preserve"> </v>
      </c>
      <c r="J1331" s="91"/>
      <c r="K1331" s="88"/>
      <c r="N1331" s="6">
        <f t="shared" ca="1" si="8"/>
        <v>46315</v>
      </c>
      <c r="O1331" s="23">
        <f ca="1">TAB_OFICINAS[[#This Row],[Data Retorno Produção]]-TAB_OFICINAS[[#This Row],[Data Prometida  Entrega]]</f>
        <v>46315</v>
      </c>
      <c r="P1331" s="98" t="str">
        <f ca="1">IF(TAB_OFICINAS[[#This Row],[Dias Para Entrega]]&lt;=0,"Em dia","Dia de Atrasado")</f>
        <v>Dia de Atrasado</v>
      </c>
      <c r="Q1331" s="24">
        <f>IFERROR(TAB_OFICINAS[[#This Row],[Qtd pçs Enviadas]]-TAB_OFICINAS[[#This Row],[Qtd pçs Retornadas ]],"N/D ")</f>
        <v>0</v>
      </c>
      <c r="R1331" s="24"/>
      <c r="U1331" s="11"/>
      <c r="V1331" s="25">
        <f>IFERROR(TAB_OFICINAS[[#This Row],[Valor Unit]]*TAB_OFICINAS[[#This Row],[Qtd pçs Enviadas]]," ")</f>
        <v>0</v>
      </c>
      <c r="W1331" s="26"/>
      <c r="Y1331" s="27"/>
      <c r="Z13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2" spans="6:26" hidden="1">
      <c r="F1332" s="28" t="str">
        <f>IFERROR(VLOOKUP(TAB_OFICINAS[[#This Row],[Cliente]],LISTA_DE_CLIENTES[[Código]:[Nome Fantasia]],2,FALSE),"")</f>
        <v/>
      </c>
      <c r="G1332" s="2" t="str">
        <f>IFERROR(VLOOKUP(TAB_OFICINAS[[#This Row],[Cliente]],LISTA_DE_CLIENTES[[Código]:[Nome Fantasia]],3,FALSE),"")</f>
        <v/>
      </c>
      <c r="H1332" s="51"/>
      <c r="I1332" s="28" t="str">
        <f>IFERROR(VLOOKUP(TAB_OFICINAS[[#This Row],[Codigo Produto ]],_000___PEDIDOS_DE_CLIENTES[[Data.Column2]:[Descrição Produto]],2,FALSE)," ")</f>
        <v xml:space="preserve"> </v>
      </c>
      <c r="J1332" s="91"/>
      <c r="K1332" s="88"/>
      <c r="N1332" s="6">
        <f t="shared" ca="1" si="8"/>
        <v>46315</v>
      </c>
      <c r="O1332" s="23">
        <f ca="1">TAB_OFICINAS[[#This Row],[Data Retorno Produção]]-TAB_OFICINAS[[#This Row],[Data Prometida  Entrega]]</f>
        <v>46315</v>
      </c>
      <c r="P1332" s="98" t="str">
        <f ca="1">IF(TAB_OFICINAS[[#This Row],[Dias Para Entrega]]&lt;=0,"Em dia","Dia de Atrasado")</f>
        <v>Dia de Atrasado</v>
      </c>
      <c r="Q1332" s="24">
        <f>IFERROR(TAB_OFICINAS[[#This Row],[Qtd pçs Enviadas]]-TAB_OFICINAS[[#This Row],[Qtd pçs Retornadas ]],"N/D ")</f>
        <v>0</v>
      </c>
      <c r="R1332" s="24"/>
      <c r="U1332" s="11"/>
      <c r="V1332" s="25">
        <f>IFERROR(TAB_OFICINAS[[#This Row],[Valor Unit]]*TAB_OFICINAS[[#This Row],[Qtd pçs Enviadas]]," ")</f>
        <v>0</v>
      </c>
      <c r="W1332" s="26"/>
      <c r="Y1332" s="27"/>
      <c r="Z13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3" spans="6:26" hidden="1">
      <c r="F1333" s="28" t="str">
        <f>IFERROR(VLOOKUP(TAB_OFICINAS[[#This Row],[Cliente]],LISTA_DE_CLIENTES[[Código]:[Nome Fantasia]],2,FALSE),"")</f>
        <v/>
      </c>
      <c r="G1333" s="2" t="str">
        <f>IFERROR(VLOOKUP(TAB_OFICINAS[[#This Row],[Cliente]],LISTA_DE_CLIENTES[[Código]:[Nome Fantasia]],3,FALSE),"")</f>
        <v/>
      </c>
      <c r="H1333" s="51"/>
      <c r="I1333" s="28" t="str">
        <f>IFERROR(VLOOKUP(TAB_OFICINAS[[#This Row],[Codigo Produto ]],_000___PEDIDOS_DE_CLIENTES[[Data.Column2]:[Descrição Produto]],2,FALSE)," ")</f>
        <v xml:space="preserve"> </v>
      </c>
      <c r="J1333" s="91"/>
      <c r="K1333" s="88"/>
      <c r="N1333" s="6">
        <f t="shared" ca="1" si="8"/>
        <v>46315</v>
      </c>
      <c r="O1333" s="23">
        <f ca="1">TAB_OFICINAS[[#This Row],[Data Retorno Produção]]-TAB_OFICINAS[[#This Row],[Data Prometida  Entrega]]</f>
        <v>46315</v>
      </c>
      <c r="P1333" s="98" t="str">
        <f ca="1">IF(TAB_OFICINAS[[#This Row],[Dias Para Entrega]]&lt;=0,"Em dia","Dia de Atrasado")</f>
        <v>Dia de Atrasado</v>
      </c>
      <c r="Q1333" s="24">
        <f>IFERROR(TAB_OFICINAS[[#This Row],[Qtd pçs Enviadas]]-TAB_OFICINAS[[#This Row],[Qtd pçs Retornadas ]],"N/D ")</f>
        <v>0</v>
      </c>
      <c r="R1333" s="24"/>
      <c r="U1333" s="11"/>
      <c r="V1333" s="25">
        <f>IFERROR(TAB_OFICINAS[[#This Row],[Valor Unit]]*TAB_OFICINAS[[#This Row],[Qtd pçs Enviadas]]," ")</f>
        <v>0</v>
      </c>
      <c r="W1333" s="26"/>
      <c r="Y1333" s="27"/>
      <c r="Z133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4" spans="6:26" hidden="1">
      <c r="F1334" s="28" t="str">
        <f>IFERROR(VLOOKUP(TAB_OFICINAS[[#This Row],[Cliente]],LISTA_DE_CLIENTES[[Código]:[Nome Fantasia]],2,FALSE),"")</f>
        <v/>
      </c>
      <c r="G1334" s="2" t="str">
        <f>IFERROR(VLOOKUP(TAB_OFICINAS[[#This Row],[Cliente]],LISTA_DE_CLIENTES[[Código]:[Nome Fantasia]],3,FALSE),"")</f>
        <v/>
      </c>
      <c r="H1334" s="51"/>
      <c r="I1334" s="28" t="str">
        <f>IFERROR(VLOOKUP(TAB_OFICINAS[[#This Row],[Codigo Produto ]],_000___PEDIDOS_DE_CLIENTES[[Data.Column2]:[Descrição Produto]],2,FALSE)," ")</f>
        <v xml:space="preserve"> </v>
      </c>
      <c r="J1334" s="91"/>
      <c r="K1334" s="88"/>
      <c r="N1334" s="6">
        <f t="shared" ca="1" si="8"/>
        <v>46315</v>
      </c>
      <c r="O1334" s="23">
        <f ca="1">TAB_OFICINAS[[#This Row],[Data Retorno Produção]]-TAB_OFICINAS[[#This Row],[Data Prometida  Entrega]]</f>
        <v>46315</v>
      </c>
      <c r="P1334" s="98" t="str">
        <f ca="1">IF(TAB_OFICINAS[[#This Row],[Dias Para Entrega]]&lt;=0,"Em dia","Dia de Atrasado")</f>
        <v>Dia de Atrasado</v>
      </c>
      <c r="Q1334" s="24">
        <f>IFERROR(TAB_OFICINAS[[#This Row],[Qtd pçs Enviadas]]-TAB_OFICINAS[[#This Row],[Qtd pçs Retornadas ]],"N/D ")</f>
        <v>0</v>
      </c>
      <c r="R1334" s="24"/>
      <c r="U1334" s="11"/>
      <c r="V1334" s="25">
        <f>IFERROR(TAB_OFICINAS[[#This Row],[Valor Unit]]*TAB_OFICINAS[[#This Row],[Qtd pçs Enviadas]]," ")</f>
        <v>0</v>
      </c>
      <c r="W1334" s="26"/>
      <c r="Y1334" s="27"/>
      <c r="Z133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5" spans="6:26" hidden="1">
      <c r="F1335" s="28" t="str">
        <f>IFERROR(VLOOKUP(TAB_OFICINAS[[#This Row],[Cliente]],LISTA_DE_CLIENTES[[Código]:[Nome Fantasia]],2,FALSE),"")</f>
        <v/>
      </c>
      <c r="G1335" s="2" t="str">
        <f>IFERROR(VLOOKUP(TAB_OFICINAS[[#This Row],[Cliente]],LISTA_DE_CLIENTES[[Código]:[Nome Fantasia]],3,FALSE),"")</f>
        <v/>
      </c>
      <c r="H1335" s="51"/>
      <c r="I1335" s="28" t="str">
        <f>IFERROR(VLOOKUP(TAB_OFICINAS[[#This Row],[Codigo Produto ]],_000___PEDIDOS_DE_CLIENTES[[Data.Column2]:[Descrição Produto]],2,FALSE)," ")</f>
        <v xml:space="preserve"> </v>
      </c>
      <c r="J1335" s="91"/>
      <c r="K1335" s="88"/>
      <c r="N1335" s="6">
        <f t="shared" ca="1" si="8"/>
        <v>46315</v>
      </c>
      <c r="O1335" s="23">
        <f ca="1">TAB_OFICINAS[[#This Row],[Data Retorno Produção]]-TAB_OFICINAS[[#This Row],[Data Prometida  Entrega]]</f>
        <v>46315</v>
      </c>
      <c r="P1335" s="98" t="str">
        <f ca="1">IF(TAB_OFICINAS[[#This Row],[Dias Para Entrega]]&lt;=0,"Em dia","Dia de Atrasado")</f>
        <v>Dia de Atrasado</v>
      </c>
      <c r="Q1335" s="24">
        <f>IFERROR(TAB_OFICINAS[[#This Row],[Qtd pçs Enviadas]]-TAB_OFICINAS[[#This Row],[Qtd pçs Retornadas ]],"N/D ")</f>
        <v>0</v>
      </c>
      <c r="R1335" s="24"/>
      <c r="U1335" s="11"/>
      <c r="V1335" s="25">
        <f>IFERROR(TAB_OFICINAS[[#This Row],[Valor Unit]]*TAB_OFICINAS[[#This Row],[Qtd pçs Enviadas]]," ")</f>
        <v>0</v>
      </c>
      <c r="W1335" s="26"/>
      <c r="Y1335" s="27"/>
      <c r="Z13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6" spans="6:26" hidden="1">
      <c r="F1336" s="28" t="str">
        <f>IFERROR(VLOOKUP(TAB_OFICINAS[[#This Row],[Cliente]],LISTA_DE_CLIENTES[[Código]:[Nome Fantasia]],2,FALSE),"")</f>
        <v/>
      </c>
      <c r="G1336" s="2" t="str">
        <f>IFERROR(VLOOKUP(TAB_OFICINAS[[#This Row],[Cliente]],LISTA_DE_CLIENTES[[Código]:[Nome Fantasia]],3,FALSE),"")</f>
        <v/>
      </c>
      <c r="H1336" s="51"/>
      <c r="I1336" s="28" t="str">
        <f>IFERROR(VLOOKUP(TAB_OFICINAS[[#This Row],[Codigo Produto ]],_000___PEDIDOS_DE_CLIENTES[[Data.Column2]:[Descrição Produto]],2,FALSE)," ")</f>
        <v xml:space="preserve"> </v>
      </c>
      <c r="J1336" s="91"/>
      <c r="K1336" s="88"/>
      <c r="N1336" s="6">
        <f t="shared" ca="1" si="8"/>
        <v>46315</v>
      </c>
      <c r="O1336" s="23">
        <f ca="1">TAB_OFICINAS[[#This Row],[Data Retorno Produção]]-TAB_OFICINAS[[#This Row],[Data Prometida  Entrega]]</f>
        <v>46315</v>
      </c>
      <c r="P1336" s="98" t="str">
        <f ca="1">IF(TAB_OFICINAS[[#This Row],[Dias Para Entrega]]&lt;=0,"Em dia","Dia de Atrasado")</f>
        <v>Dia de Atrasado</v>
      </c>
      <c r="Q1336" s="24">
        <f>IFERROR(TAB_OFICINAS[[#This Row],[Qtd pçs Enviadas]]-TAB_OFICINAS[[#This Row],[Qtd pçs Retornadas ]],"N/D ")</f>
        <v>0</v>
      </c>
      <c r="R1336" s="24"/>
      <c r="U1336" s="11"/>
      <c r="V1336" s="25">
        <f>IFERROR(TAB_OFICINAS[[#This Row],[Valor Unit]]*TAB_OFICINAS[[#This Row],[Qtd pçs Enviadas]]," ")</f>
        <v>0</v>
      </c>
      <c r="W1336" s="26"/>
      <c r="Y1336" s="27"/>
      <c r="Z13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7" spans="6:26" hidden="1">
      <c r="F1337" s="28" t="str">
        <f>IFERROR(VLOOKUP(TAB_OFICINAS[[#This Row],[Cliente]],LISTA_DE_CLIENTES[[Código]:[Nome Fantasia]],2,FALSE),"")</f>
        <v/>
      </c>
      <c r="G1337" s="2" t="str">
        <f>IFERROR(VLOOKUP(TAB_OFICINAS[[#This Row],[Cliente]],LISTA_DE_CLIENTES[[Código]:[Nome Fantasia]],3,FALSE),"")</f>
        <v/>
      </c>
      <c r="H1337" s="51"/>
      <c r="I1337" s="28" t="str">
        <f>IFERROR(VLOOKUP(TAB_OFICINAS[[#This Row],[Codigo Produto ]],_000___PEDIDOS_DE_CLIENTES[[Data.Column2]:[Descrição Produto]],2,FALSE)," ")</f>
        <v xml:space="preserve"> </v>
      </c>
      <c r="J1337" s="91"/>
      <c r="K1337" s="88"/>
      <c r="N1337" s="6">
        <f t="shared" ca="1" si="8"/>
        <v>46315</v>
      </c>
      <c r="O1337" s="23">
        <f ca="1">TAB_OFICINAS[[#This Row],[Data Retorno Produção]]-TAB_OFICINAS[[#This Row],[Data Prometida  Entrega]]</f>
        <v>46315</v>
      </c>
      <c r="P1337" s="98" t="str">
        <f ca="1">IF(TAB_OFICINAS[[#This Row],[Dias Para Entrega]]&lt;=0,"Em dia","Dia de Atrasado")</f>
        <v>Dia de Atrasado</v>
      </c>
      <c r="Q1337" s="24">
        <f>IFERROR(TAB_OFICINAS[[#This Row],[Qtd pçs Enviadas]]-TAB_OFICINAS[[#This Row],[Qtd pçs Retornadas ]],"N/D ")</f>
        <v>0</v>
      </c>
      <c r="R1337" s="24"/>
      <c r="U1337" s="11"/>
      <c r="V1337" s="25">
        <f>IFERROR(TAB_OFICINAS[[#This Row],[Valor Unit]]*TAB_OFICINAS[[#This Row],[Qtd pçs Enviadas]]," ")</f>
        <v>0</v>
      </c>
      <c r="W1337" s="26"/>
      <c r="Y1337" s="27"/>
      <c r="Z13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8" spans="6:26" hidden="1">
      <c r="F1338" s="28" t="str">
        <f>IFERROR(VLOOKUP(TAB_OFICINAS[[#This Row],[Cliente]],LISTA_DE_CLIENTES[[Código]:[Nome Fantasia]],2,FALSE),"")</f>
        <v/>
      </c>
      <c r="G1338" s="2" t="str">
        <f>IFERROR(VLOOKUP(TAB_OFICINAS[[#This Row],[Cliente]],LISTA_DE_CLIENTES[[Código]:[Nome Fantasia]],3,FALSE),"")</f>
        <v/>
      </c>
      <c r="H1338" s="51"/>
      <c r="I1338" s="28" t="str">
        <f>IFERROR(VLOOKUP(TAB_OFICINAS[[#This Row],[Codigo Produto ]],_000___PEDIDOS_DE_CLIENTES[[Data.Column2]:[Descrição Produto]],2,FALSE)," ")</f>
        <v xml:space="preserve"> </v>
      </c>
      <c r="J1338" s="91"/>
      <c r="K1338" s="88"/>
      <c r="N1338" s="6">
        <f t="shared" ca="1" si="8"/>
        <v>46315</v>
      </c>
      <c r="O1338" s="23">
        <f ca="1">TAB_OFICINAS[[#This Row],[Data Retorno Produção]]-TAB_OFICINAS[[#This Row],[Data Prometida  Entrega]]</f>
        <v>46315</v>
      </c>
      <c r="P1338" s="98" t="str">
        <f ca="1">IF(TAB_OFICINAS[[#This Row],[Dias Para Entrega]]&lt;=0,"Em dia","Dia de Atrasado")</f>
        <v>Dia de Atrasado</v>
      </c>
      <c r="Q1338" s="24">
        <f>IFERROR(TAB_OFICINAS[[#This Row],[Qtd pçs Enviadas]]-TAB_OFICINAS[[#This Row],[Qtd pçs Retornadas ]],"N/D ")</f>
        <v>0</v>
      </c>
      <c r="R1338" s="24"/>
      <c r="U1338" s="11"/>
      <c r="V1338" s="25">
        <f>IFERROR(TAB_OFICINAS[[#This Row],[Valor Unit]]*TAB_OFICINAS[[#This Row],[Qtd pçs Enviadas]]," ")</f>
        <v>0</v>
      </c>
      <c r="W1338" s="26"/>
      <c r="Y1338" s="27"/>
      <c r="Z133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39" spans="6:26" hidden="1">
      <c r="F1339" s="28" t="str">
        <f>IFERROR(VLOOKUP(TAB_OFICINAS[[#This Row],[Cliente]],LISTA_DE_CLIENTES[[Código]:[Nome Fantasia]],2,FALSE),"")</f>
        <v/>
      </c>
      <c r="G1339" s="2" t="str">
        <f>IFERROR(VLOOKUP(TAB_OFICINAS[[#This Row],[Cliente]],LISTA_DE_CLIENTES[[Código]:[Nome Fantasia]],3,FALSE),"")</f>
        <v/>
      </c>
      <c r="H1339" s="51"/>
      <c r="I1339" s="28" t="str">
        <f>IFERROR(VLOOKUP(TAB_OFICINAS[[#This Row],[Codigo Produto ]],_000___PEDIDOS_DE_CLIENTES[[Data.Column2]:[Descrição Produto]],2,FALSE)," ")</f>
        <v xml:space="preserve"> </v>
      </c>
      <c r="J1339" s="91"/>
      <c r="K1339" s="88"/>
      <c r="N1339" s="6">
        <f t="shared" ca="1" si="8"/>
        <v>46315</v>
      </c>
      <c r="O1339" s="23">
        <f ca="1">TAB_OFICINAS[[#This Row],[Data Retorno Produção]]-TAB_OFICINAS[[#This Row],[Data Prometida  Entrega]]</f>
        <v>46315</v>
      </c>
      <c r="P1339" s="98" t="str">
        <f ca="1">IF(TAB_OFICINAS[[#This Row],[Dias Para Entrega]]&lt;=0,"Em dia","Dia de Atrasado")</f>
        <v>Dia de Atrasado</v>
      </c>
      <c r="Q1339" s="24">
        <f>IFERROR(TAB_OFICINAS[[#This Row],[Qtd pçs Enviadas]]-TAB_OFICINAS[[#This Row],[Qtd pçs Retornadas ]],"N/D ")</f>
        <v>0</v>
      </c>
      <c r="R1339" s="24"/>
      <c r="U1339" s="11"/>
      <c r="V1339" s="25">
        <f>IFERROR(TAB_OFICINAS[[#This Row],[Valor Unit]]*TAB_OFICINAS[[#This Row],[Qtd pçs Enviadas]]," ")</f>
        <v>0</v>
      </c>
      <c r="W1339" s="26"/>
      <c r="Y1339" s="27"/>
      <c r="Z133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0" spans="6:26" hidden="1">
      <c r="F1340" s="28" t="str">
        <f>IFERROR(VLOOKUP(TAB_OFICINAS[[#This Row],[Cliente]],LISTA_DE_CLIENTES[[Código]:[Nome Fantasia]],2,FALSE),"")</f>
        <v/>
      </c>
      <c r="G1340" s="2" t="str">
        <f>IFERROR(VLOOKUP(TAB_OFICINAS[[#This Row],[Cliente]],LISTA_DE_CLIENTES[[Código]:[Nome Fantasia]],3,FALSE),"")</f>
        <v/>
      </c>
      <c r="H1340" s="51"/>
      <c r="I1340" s="28" t="str">
        <f>IFERROR(VLOOKUP(TAB_OFICINAS[[#This Row],[Codigo Produto ]],_000___PEDIDOS_DE_CLIENTES[[Data.Column2]:[Descrição Produto]],2,FALSE)," ")</f>
        <v xml:space="preserve"> </v>
      </c>
      <c r="J1340" s="91"/>
      <c r="K1340" s="88"/>
      <c r="N1340" s="6">
        <f t="shared" ca="1" si="8"/>
        <v>46315</v>
      </c>
      <c r="O1340" s="23">
        <f ca="1">TAB_OFICINAS[[#This Row],[Data Retorno Produção]]-TAB_OFICINAS[[#This Row],[Data Prometida  Entrega]]</f>
        <v>46315</v>
      </c>
      <c r="P1340" s="98" t="str">
        <f ca="1">IF(TAB_OFICINAS[[#This Row],[Dias Para Entrega]]&lt;=0,"Em dia","Dia de Atrasado")</f>
        <v>Dia de Atrasado</v>
      </c>
      <c r="Q1340" s="24">
        <f>IFERROR(TAB_OFICINAS[[#This Row],[Qtd pçs Enviadas]]-TAB_OFICINAS[[#This Row],[Qtd pçs Retornadas ]],"N/D ")</f>
        <v>0</v>
      </c>
      <c r="R1340" s="24"/>
      <c r="U1340" s="11"/>
      <c r="V1340" s="25">
        <f>IFERROR(TAB_OFICINAS[[#This Row],[Valor Unit]]*TAB_OFICINAS[[#This Row],[Qtd pçs Enviadas]]," ")</f>
        <v>0</v>
      </c>
      <c r="W1340" s="26"/>
      <c r="Y1340" s="27"/>
      <c r="Z13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1" spans="6:26" hidden="1">
      <c r="F1341" s="28" t="str">
        <f>IFERROR(VLOOKUP(TAB_OFICINAS[[#This Row],[Cliente]],LISTA_DE_CLIENTES[[Código]:[Nome Fantasia]],2,FALSE),"")</f>
        <v/>
      </c>
      <c r="G1341" s="2" t="str">
        <f>IFERROR(VLOOKUP(TAB_OFICINAS[[#This Row],[Cliente]],LISTA_DE_CLIENTES[[Código]:[Nome Fantasia]],3,FALSE),"")</f>
        <v/>
      </c>
      <c r="H1341" s="51"/>
      <c r="I1341" s="28" t="str">
        <f>IFERROR(VLOOKUP(TAB_OFICINAS[[#This Row],[Codigo Produto ]],_000___PEDIDOS_DE_CLIENTES[[Data.Column2]:[Descrição Produto]],2,FALSE)," ")</f>
        <v xml:space="preserve"> </v>
      </c>
      <c r="J1341" s="91"/>
      <c r="K1341" s="88"/>
      <c r="N1341" s="6">
        <f t="shared" ca="1" si="8"/>
        <v>46315</v>
      </c>
      <c r="O1341" s="23">
        <f ca="1">TAB_OFICINAS[[#This Row],[Data Retorno Produção]]-TAB_OFICINAS[[#This Row],[Data Prometida  Entrega]]</f>
        <v>46315</v>
      </c>
      <c r="P1341" s="98" t="str">
        <f ca="1">IF(TAB_OFICINAS[[#This Row],[Dias Para Entrega]]&lt;=0,"Em dia","Dia de Atrasado")</f>
        <v>Dia de Atrasado</v>
      </c>
      <c r="Q1341" s="24">
        <f>IFERROR(TAB_OFICINAS[[#This Row],[Qtd pçs Enviadas]]-TAB_OFICINAS[[#This Row],[Qtd pçs Retornadas ]],"N/D ")</f>
        <v>0</v>
      </c>
      <c r="R1341" s="24"/>
      <c r="U1341" s="11"/>
      <c r="V1341" s="25">
        <f>IFERROR(TAB_OFICINAS[[#This Row],[Valor Unit]]*TAB_OFICINAS[[#This Row],[Qtd pçs Enviadas]]," ")</f>
        <v>0</v>
      </c>
      <c r="W1341" s="26"/>
      <c r="Y1341" s="27"/>
      <c r="Z13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2" spans="6:26" hidden="1">
      <c r="F1342" s="28" t="str">
        <f>IFERROR(VLOOKUP(TAB_OFICINAS[[#This Row],[Cliente]],LISTA_DE_CLIENTES[[Código]:[Nome Fantasia]],2,FALSE),"")</f>
        <v/>
      </c>
      <c r="G1342" s="2" t="str">
        <f>IFERROR(VLOOKUP(TAB_OFICINAS[[#This Row],[Cliente]],LISTA_DE_CLIENTES[[Código]:[Nome Fantasia]],3,FALSE),"")</f>
        <v/>
      </c>
      <c r="H1342" s="51"/>
      <c r="I1342" s="28" t="str">
        <f>IFERROR(VLOOKUP(TAB_OFICINAS[[#This Row],[Codigo Produto ]],_000___PEDIDOS_DE_CLIENTES[[Data.Column2]:[Descrição Produto]],2,FALSE)," ")</f>
        <v xml:space="preserve"> </v>
      </c>
      <c r="J1342" s="91"/>
      <c r="K1342" s="88"/>
      <c r="N1342" s="6">
        <f t="shared" ca="1" si="8"/>
        <v>46315</v>
      </c>
      <c r="O1342" s="23">
        <f ca="1">TAB_OFICINAS[[#This Row],[Data Retorno Produção]]-TAB_OFICINAS[[#This Row],[Data Prometida  Entrega]]</f>
        <v>46315</v>
      </c>
      <c r="P1342" s="98" t="str">
        <f ca="1">IF(TAB_OFICINAS[[#This Row],[Dias Para Entrega]]&lt;=0,"Em dia","Dia de Atrasado")</f>
        <v>Dia de Atrasado</v>
      </c>
      <c r="Q1342" s="24">
        <f>IFERROR(TAB_OFICINAS[[#This Row],[Qtd pçs Enviadas]]-TAB_OFICINAS[[#This Row],[Qtd pçs Retornadas ]],"N/D ")</f>
        <v>0</v>
      </c>
      <c r="R1342" s="24"/>
      <c r="U1342" s="11"/>
      <c r="V1342" s="25">
        <f>IFERROR(TAB_OFICINAS[[#This Row],[Valor Unit]]*TAB_OFICINAS[[#This Row],[Qtd pçs Enviadas]]," ")</f>
        <v>0</v>
      </c>
      <c r="W1342" s="26"/>
      <c r="Y1342" s="27"/>
      <c r="Z13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3" spans="6:26" hidden="1">
      <c r="F1343" s="28" t="str">
        <f>IFERROR(VLOOKUP(TAB_OFICINAS[[#This Row],[Cliente]],LISTA_DE_CLIENTES[[Código]:[Nome Fantasia]],2,FALSE),"")</f>
        <v/>
      </c>
      <c r="G1343" s="2" t="str">
        <f>IFERROR(VLOOKUP(TAB_OFICINAS[[#This Row],[Cliente]],LISTA_DE_CLIENTES[[Código]:[Nome Fantasia]],3,FALSE),"")</f>
        <v/>
      </c>
      <c r="H1343" s="51"/>
      <c r="I1343" s="28" t="str">
        <f>IFERROR(VLOOKUP(TAB_OFICINAS[[#This Row],[Codigo Produto ]],_000___PEDIDOS_DE_CLIENTES[[Data.Column2]:[Descrição Produto]],2,FALSE)," ")</f>
        <v xml:space="preserve"> </v>
      </c>
      <c r="J1343" s="91"/>
      <c r="K1343" s="88"/>
      <c r="N1343" s="6">
        <f t="shared" ca="1" si="8"/>
        <v>46315</v>
      </c>
      <c r="O1343" s="23">
        <f ca="1">TAB_OFICINAS[[#This Row],[Data Retorno Produção]]-TAB_OFICINAS[[#This Row],[Data Prometida  Entrega]]</f>
        <v>46315</v>
      </c>
      <c r="P1343" s="98" t="str">
        <f ca="1">IF(TAB_OFICINAS[[#This Row],[Dias Para Entrega]]&lt;=0,"Em dia","Dia de Atrasado")</f>
        <v>Dia de Atrasado</v>
      </c>
      <c r="Q1343" s="24">
        <f>IFERROR(TAB_OFICINAS[[#This Row],[Qtd pçs Enviadas]]-TAB_OFICINAS[[#This Row],[Qtd pçs Retornadas ]],"N/D ")</f>
        <v>0</v>
      </c>
      <c r="R1343" s="24"/>
      <c r="U1343" s="11"/>
      <c r="V1343" s="25">
        <f>IFERROR(TAB_OFICINAS[[#This Row],[Valor Unit]]*TAB_OFICINAS[[#This Row],[Qtd pçs Enviadas]]," ")</f>
        <v>0</v>
      </c>
      <c r="W1343" s="26"/>
      <c r="Y1343" s="27"/>
      <c r="Z13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4" spans="6:26" hidden="1">
      <c r="F1344" s="28" t="str">
        <f>IFERROR(VLOOKUP(TAB_OFICINAS[[#This Row],[Cliente]],LISTA_DE_CLIENTES[[Código]:[Nome Fantasia]],2,FALSE),"")</f>
        <v/>
      </c>
      <c r="G1344" s="2" t="str">
        <f>IFERROR(VLOOKUP(TAB_OFICINAS[[#This Row],[Cliente]],LISTA_DE_CLIENTES[[Código]:[Nome Fantasia]],3,FALSE),"")</f>
        <v/>
      </c>
      <c r="H1344" s="51"/>
      <c r="I1344" s="28" t="str">
        <f>IFERROR(VLOOKUP(TAB_OFICINAS[[#This Row],[Codigo Produto ]],_000___PEDIDOS_DE_CLIENTES[[Data.Column2]:[Descrição Produto]],2,FALSE)," ")</f>
        <v xml:space="preserve"> </v>
      </c>
      <c r="J1344" s="91"/>
      <c r="K1344" s="88"/>
      <c r="N1344" s="6">
        <f t="shared" ca="1" si="8"/>
        <v>46315</v>
      </c>
      <c r="O1344" s="23">
        <f ca="1">TAB_OFICINAS[[#This Row],[Data Retorno Produção]]-TAB_OFICINAS[[#This Row],[Data Prometida  Entrega]]</f>
        <v>46315</v>
      </c>
      <c r="P1344" s="98" t="str">
        <f ca="1">IF(TAB_OFICINAS[[#This Row],[Dias Para Entrega]]&lt;=0,"Em dia","Dia de Atrasado")</f>
        <v>Dia de Atrasado</v>
      </c>
      <c r="Q1344" s="24">
        <f>IFERROR(TAB_OFICINAS[[#This Row],[Qtd pçs Enviadas]]-TAB_OFICINAS[[#This Row],[Qtd pçs Retornadas ]],"N/D ")</f>
        <v>0</v>
      </c>
      <c r="R1344" s="24"/>
      <c r="U1344" s="11"/>
      <c r="V1344" s="25">
        <f>IFERROR(TAB_OFICINAS[[#This Row],[Valor Unit]]*TAB_OFICINAS[[#This Row],[Qtd pçs Enviadas]]," ")</f>
        <v>0</v>
      </c>
      <c r="W1344" s="26"/>
      <c r="Y1344" s="27"/>
      <c r="Z13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5" spans="6:26" hidden="1">
      <c r="F1345" s="28" t="str">
        <f>IFERROR(VLOOKUP(TAB_OFICINAS[[#This Row],[Cliente]],LISTA_DE_CLIENTES[[Código]:[Nome Fantasia]],2,FALSE),"")</f>
        <v/>
      </c>
      <c r="G1345" s="2" t="str">
        <f>IFERROR(VLOOKUP(TAB_OFICINAS[[#This Row],[Cliente]],LISTA_DE_CLIENTES[[Código]:[Nome Fantasia]],3,FALSE),"")</f>
        <v/>
      </c>
      <c r="H1345" s="51"/>
      <c r="I1345" s="28" t="str">
        <f>IFERROR(VLOOKUP(TAB_OFICINAS[[#This Row],[Codigo Produto ]],_000___PEDIDOS_DE_CLIENTES[[Data.Column2]:[Descrição Produto]],2,FALSE)," ")</f>
        <v xml:space="preserve"> </v>
      </c>
      <c r="J1345" s="91"/>
      <c r="K1345" s="88"/>
      <c r="N1345" s="6">
        <f t="shared" ca="1" si="8"/>
        <v>46315</v>
      </c>
      <c r="O1345" s="23">
        <f ca="1">TAB_OFICINAS[[#This Row],[Data Retorno Produção]]-TAB_OFICINAS[[#This Row],[Data Prometida  Entrega]]</f>
        <v>46315</v>
      </c>
      <c r="P1345" s="98" t="str">
        <f ca="1">IF(TAB_OFICINAS[[#This Row],[Dias Para Entrega]]&lt;=0,"Em dia","Dia de Atrasado")</f>
        <v>Dia de Atrasado</v>
      </c>
      <c r="Q1345" s="24">
        <f>IFERROR(TAB_OFICINAS[[#This Row],[Qtd pçs Enviadas]]-TAB_OFICINAS[[#This Row],[Qtd pçs Retornadas ]],"N/D ")</f>
        <v>0</v>
      </c>
      <c r="R1345" s="24"/>
      <c r="U1345" s="11"/>
      <c r="V1345" s="25">
        <f>IFERROR(TAB_OFICINAS[[#This Row],[Valor Unit]]*TAB_OFICINAS[[#This Row],[Qtd pçs Enviadas]]," ")</f>
        <v>0</v>
      </c>
      <c r="W1345" s="26"/>
      <c r="Y1345" s="27"/>
      <c r="Z13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6" spans="6:26" hidden="1">
      <c r="F1346" s="28" t="str">
        <f>IFERROR(VLOOKUP(TAB_OFICINAS[[#This Row],[Cliente]],LISTA_DE_CLIENTES[[Código]:[Nome Fantasia]],2,FALSE),"")</f>
        <v/>
      </c>
      <c r="G1346" s="2" t="str">
        <f>IFERROR(VLOOKUP(TAB_OFICINAS[[#This Row],[Cliente]],LISTA_DE_CLIENTES[[Código]:[Nome Fantasia]],3,FALSE),"")</f>
        <v/>
      </c>
      <c r="H1346" s="51"/>
      <c r="I1346" s="28" t="str">
        <f>IFERROR(VLOOKUP(TAB_OFICINAS[[#This Row],[Codigo Produto ]],_000___PEDIDOS_DE_CLIENTES[[Data.Column2]:[Descrição Produto]],2,FALSE)," ")</f>
        <v xml:space="preserve"> </v>
      </c>
      <c r="J1346" s="91"/>
      <c r="K1346" s="88"/>
      <c r="N1346" s="6">
        <f t="shared" ca="1" si="8"/>
        <v>46315</v>
      </c>
      <c r="O1346" s="23">
        <f ca="1">TAB_OFICINAS[[#This Row],[Data Retorno Produção]]-TAB_OFICINAS[[#This Row],[Data Prometida  Entrega]]</f>
        <v>46315</v>
      </c>
      <c r="P1346" s="98" t="str">
        <f ca="1">IF(TAB_OFICINAS[[#This Row],[Dias Para Entrega]]&lt;=0,"Em dia","Dia de Atrasado")</f>
        <v>Dia de Atrasado</v>
      </c>
      <c r="Q1346" s="24">
        <f>IFERROR(TAB_OFICINAS[[#This Row],[Qtd pçs Enviadas]]-TAB_OFICINAS[[#This Row],[Qtd pçs Retornadas ]],"N/D ")</f>
        <v>0</v>
      </c>
      <c r="R1346" s="24"/>
      <c r="U1346" s="11"/>
      <c r="V1346" s="25">
        <f>IFERROR(TAB_OFICINAS[[#This Row],[Valor Unit]]*TAB_OFICINAS[[#This Row],[Qtd pçs Enviadas]]," ")</f>
        <v>0</v>
      </c>
      <c r="W1346" s="26"/>
      <c r="Y1346" s="27"/>
      <c r="Z13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7" spans="6:26" hidden="1">
      <c r="F1347" s="28" t="str">
        <f>IFERROR(VLOOKUP(TAB_OFICINAS[[#This Row],[Cliente]],LISTA_DE_CLIENTES[[Código]:[Nome Fantasia]],2,FALSE),"")</f>
        <v/>
      </c>
      <c r="G1347" s="2" t="str">
        <f>IFERROR(VLOOKUP(TAB_OFICINAS[[#This Row],[Cliente]],LISTA_DE_CLIENTES[[Código]:[Nome Fantasia]],3,FALSE),"")</f>
        <v/>
      </c>
      <c r="H1347" s="51"/>
      <c r="I1347" s="28" t="str">
        <f>IFERROR(VLOOKUP(TAB_OFICINAS[[#This Row],[Codigo Produto ]],_000___PEDIDOS_DE_CLIENTES[[Data.Column2]:[Descrição Produto]],2,FALSE)," ")</f>
        <v xml:space="preserve"> </v>
      </c>
      <c r="J1347" s="91"/>
      <c r="K1347" s="88"/>
      <c r="N1347" s="6">
        <f t="shared" ca="1" si="8"/>
        <v>46315</v>
      </c>
      <c r="O1347" s="23">
        <f ca="1">TAB_OFICINAS[[#This Row],[Data Retorno Produção]]-TAB_OFICINAS[[#This Row],[Data Prometida  Entrega]]</f>
        <v>46315</v>
      </c>
      <c r="P1347" s="98" t="str">
        <f ca="1">IF(TAB_OFICINAS[[#This Row],[Dias Para Entrega]]&lt;=0,"Em dia","Dia de Atrasado")</f>
        <v>Dia de Atrasado</v>
      </c>
      <c r="Q1347" s="24">
        <f>IFERROR(TAB_OFICINAS[[#This Row],[Qtd pçs Enviadas]]-TAB_OFICINAS[[#This Row],[Qtd pçs Retornadas ]],"N/D ")</f>
        <v>0</v>
      </c>
      <c r="R1347" s="24"/>
      <c r="U1347" s="11"/>
      <c r="V1347" s="25">
        <f>IFERROR(TAB_OFICINAS[[#This Row],[Valor Unit]]*TAB_OFICINAS[[#This Row],[Qtd pçs Enviadas]]," ")</f>
        <v>0</v>
      </c>
      <c r="W1347" s="26"/>
      <c r="Y1347" s="27"/>
      <c r="Z13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8" spans="6:26" hidden="1">
      <c r="F1348" s="28" t="str">
        <f>IFERROR(VLOOKUP(TAB_OFICINAS[[#This Row],[Cliente]],LISTA_DE_CLIENTES[[Código]:[Nome Fantasia]],2,FALSE),"")</f>
        <v/>
      </c>
      <c r="G1348" s="2" t="str">
        <f>IFERROR(VLOOKUP(TAB_OFICINAS[[#This Row],[Cliente]],LISTA_DE_CLIENTES[[Código]:[Nome Fantasia]],3,FALSE),"")</f>
        <v/>
      </c>
      <c r="H1348" s="51"/>
      <c r="I1348" s="28" t="str">
        <f>IFERROR(VLOOKUP(TAB_OFICINAS[[#This Row],[Codigo Produto ]],_000___PEDIDOS_DE_CLIENTES[[Data.Column2]:[Descrição Produto]],2,FALSE)," ")</f>
        <v xml:space="preserve"> </v>
      </c>
      <c r="J1348" s="91"/>
      <c r="K1348" s="88"/>
      <c r="N1348" s="6">
        <f t="shared" ca="1" si="8"/>
        <v>46315</v>
      </c>
      <c r="O1348" s="23">
        <f ca="1">TAB_OFICINAS[[#This Row],[Data Retorno Produção]]-TAB_OFICINAS[[#This Row],[Data Prometida  Entrega]]</f>
        <v>46315</v>
      </c>
      <c r="P1348" s="98" t="str">
        <f ca="1">IF(TAB_OFICINAS[[#This Row],[Dias Para Entrega]]&lt;=0,"Em dia","Dia de Atrasado")</f>
        <v>Dia de Atrasado</v>
      </c>
      <c r="Q1348" s="24">
        <f>IFERROR(TAB_OFICINAS[[#This Row],[Qtd pçs Enviadas]]-TAB_OFICINAS[[#This Row],[Qtd pçs Retornadas ]],"N/D ")</f>
        <v>0</v>
      </c>
      <c r="R1348" s="24"/>
      <c r="U1348" s="11"/>
      <c r="V1348" s="25">
        <f>IFERROR(TAB_OFICINAS[[#This Row],[Valor Unit]]*TAB_OFICINAS[[#This Row],[Qtd pçs Enviadas]]," ")</f>
        <v>0</v>
      </c>
      <c r="W1348" s="26"/>
      <c r="Y1348" s="27"/>
      <c r="Z13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49" spans="6:26" hidden="1">
      <c r="F1349" s="28" t="str">
        <f>IFERROR(VLOOKUP(TAB_OFICINAS[[#This Row],[Cliente]],LISTA_DE_CLIENTES[[Código]:[Nome Fantasia]],2,FALSE),"")</f>
        <v/>
      </c>
      <c r="G1349" s="2" t="str">
        <f>IFERROR(VLOOKUP(TAB_OFICINAS[[#This Row],[Cliente]],LISTA_DE_CLIENTES[[Código]:[Nome Fantasia]],3,FALSE),"")</f>
        <v/>
      </c>
      <c r="H1349" s="51"/>
      <c r="I1349" s="28" t="str">
        <f>IFERROR(VLOOKUP(TAB_OFICINAS[[#This Row],[Codigo Produto ]],_000___PEDIDOS_DE_CLIENTES[[Data.Column2]:[Descrição Produto]],2,FALSE)," ")</f>
        <v xml:space="preserve"> </v>
      </c>
      <c r="J1349" s="91"/>
      <c r="K1349" s="88"/>
      <c r="N1349" s="6">
        <f t="shared" ca="1" si="8"/>
        <v>46315</v>
      </c>
      <c r="O1349" s="23">
        <f ca="1">TAB_OFICINAS[[#This Row],[Data Retorno Produção]]-TAB_OFICINAS[[#This Row],[Data Prometida  Entrega]]</f>
        <v>46315</v>
      </c>
      <c r="P1349" s="98" t="str">
        <f ca="1">IF(TAB_OFICINAS[[#This Row],[Dias Para Entrega]]&lt;=0,"Em dia","Dia de Atrasado")</f>
        <v>Dia de Atrasado</v>
      </c>
      <c r="Q1349" s="24">
        <f>IFERROR(TAB_OFICINAS[[#This Row],[Qtd pçs Enviadas]]-TAB_OFICINAS[[#This Row],[Qtd pçs Retornadas ]],"N/D ")</f>
        <v>0</v>
      </c>
      <c r="R1349" s="24"/>
      <c r="U1349" s="11"/>
      <c r="V1349" s="25">
        <f>IFERROR(TAB_OFICINAS[[#This Row],[Valor Unit]]*TAB_OFICINAS[[#This Row],[Qtd pçs Enviadas]]," ")</f>
        <v>0</v>
      </c>
      <c r="W1349" s="26"/>
      <c r="Y1349" s="27"/>
      <c r="Z13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0" spans="6:26" hidden="1">
      <c r="F1350" s="28" t="str">
        <f>IFERROR(VLOOKUP(TAB_OFICINAS[[#This Row],[Cliente]],LISTA_DE_CLIENTES[[Código]:[Nome Fantasia]],2,FALSE),"")</f>
        <v/>
      </c>
      <c r="G1350" s="2" t="str">
        <f>IFERROR(VLOOKUP(TAB_OFICINAS[[#This Row],[Cliente]],LISTA_DE_CLIENTES[[Código]:[Nome Fantasia]],3,FALSE),"")</f>
        <v/>
      </c>
      <c r="H1350" s="51"/>
      <c r="I1350" s="28" t="str">
        <f>IFERROR(VLOOKUP(TAB_OFICINAS[[#This Row],[Codigo Produto ]],_000___PEDIDOS_DE_CLIENTES[[Data.Column2]:[Descrição Produto]],2,FALSE)," ")</f>
        <v xml:space="preserve"> </v>
      </c>
      <c r="J1350" s="91"/>
      <c r="K1350" s="88"/>
      <c r="N1350" s="6">
        <f t="shared" ca="1" si="8"/>
        <v>46315</v>
      </c>
      <c r="O1350" s="23">
        <f ca="1">TAB_OFICINAS[[#This Row],[Data Retorno Produção]]-TAB_OFICINAS[[#This Row],[Data Prometida  Entrega]]</f>
        <v>46315</v>
      </c>
      <c r="P1350" s="98" t="str">
        <f ca="1">IF(TAB_OFICINAS[[#This Row],[Dias Para Entrega]]&lt;=0,"Em dia","Dia de Atrasado")</f>
        <v>Dia de Atrasado</v>
      </c>
      <c r="Q1350" s="24">
        <f>IFERROR(TAB_OFICINAS[[#This Row],[Qtd pçs Enviadas]]-TAB_OFICINAS[[#This Row],[Qtd pçs Retornadas ]],"N/D ")</f>
        <v>0</v>
      </c>
      <c r="R1350" s="24"/>
      <c r="U1350" s="11"/>
      <c r="V1350" s="25">
        <f>IFERROR(TAB_OFICINAS[[#This Row],[Valor Unit]]*TAB_OFICINAS[[#This Row],[Qtd pçs Enviadas]]," ")</f>
        <v>0</v>
      </c>
      <c r="W1350" s="26"/>
      <c r="Y1350" s="27"/>
      <c r="Z13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1" spans="6:26" hidden="1">
      <c r="F1351" s="28" t="str">
        <f>IFERROR(VLOOKUP(TAB_OFICINAS[[#This Row],[Cliente]],LISTA_DE_CLIENTES[[Código]:[Nome Fantasia]],2,FALSE),"")</f>
        <v/>
      </c>
      <c r="G1351" s="2" t="str">
        <f>IFERROR(VLOOKUP(TAB_OFICINAS[[#This Row],[Cliente]],LISTA_DE_CLIENTES[[Código]:[Nome Fantasia]],3,FALSE),"")</f>
        <v/>
      </c>
      <c r="H1351" s="51"/>
      <c r="I1351" s="28" t="str">
        <f>IFERROR(VLOOKUP(TAB_OFICINAS[[#This Row],[Codigo Produto ]],_000___PEDIDOS_DE_CLIENTES[[Data.Column2]:[Descrição Produto]],2,FALSE)," ")</f>
        <v xml:space="preserve"> </v>
      </c>
      <c r="J1351" s="91"/>
      <c r="K1351" s="88"/>
      <c r="N1351" s="6">
        <f t="shared" ca="1" si="8"/>
        <v>46315</v>
      </c>
      <c r="O1351" s="23">
        <f ca="1">TAB_OFICINAS[[#This Row],[Data Retorno Produção]]-TAB_OFICINAS[[#This Row],[Data Prometida  Entrega]]</f>
        <v>46315</v>
      </c>
      <c r="P1351" s="98" t="str">
        <f ca="1">IF(TAB_OFICINAS[[#This Row],[Dias Para Entrega]]&lt;=0,"Em dia","Dia de Atrasado")</f>
        <v>Dia de Atrasado</v>
      </c>
      <c r="Q1351" s="24">
        <f>IFERROR(TAB_OFICINAS[[#This Row],[Qtd pçs Enviadas]]-TAB_OFICINAS[[#This Row],[Qtd pçs Retornadas ]],"N/D ")</f>
        <v>0</v>
      </c>
      <c r="R1351" s="24"/>
      <c r="U1351" s="11"/>
      <c r="V1351" s="25">
        <f>IFERROR(TAB_OFICINAS[[#This Row],[Valor Unit]]*TAB_OFICINAS[[#This Row],[Qtd pçs Enviadas]]," ")</f>
        <v>0</v>
      </c>
      <c r="W1351" s="26"/>
      <c r="Y1351" s="27"/>
      <c r="Z13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2" spans="6:26" hidden="1">
      <c r="F1352" s="28" t="str">
        <f>IFERROR(VLOOKUP(TAB_OFICINAS[[#This Row],[Cliente]],LISTA_DE_CLIENTES[[Código]:[Nome Fantasia]],2,FALSE),"")</f>
        <v/>
      </c>
      <c r="G1352" s="2" t="str">
        <f>IFERROR(VLOOKUP(TAB_OFICINAS[[#This Row],[Cliente]],LISTA_DE_CLIENTES[[Código]:[Nome Fantasia]],3,FALSE),"")</f>
        <v/>
      </c>
      <c r="H1352" s="51"/>
      <c r="I1352" s="28" t="str">
        <f>IFERROR(VLOOKUP(TAB_OFICINAS[[#This Row],[Codigo Produto ]],_000___PEDIDOS_DE_CLIENTES[[Data.Column2]:[Descrição Produto]],2,FALSE)," ")</f>
        <v xml:space="preserve"> </v>
      </c>
      <c r="J1352" s="91"/>
      <c r="K1352" s="88"/>
      <c r="N1352" s="6">
        <f t="shared" ca="1" si="8"/>
        <v>46315</v>
      </c>
      <c r="O1352" s="23">
        <f ca="1">TAB_OFICINAS[[#This Row],[Data Retorno Produção]]-TAB_OFICINAS[[#This Row],[Data Prometida  Entrega]]</f>
        <v>46315</v>
      </c>
      <c r="P1352" s="98" t="str">
        <f ca="1">IF(TAB_OFICINAS[[#This Row],[Dias Para Entrega]]&lt;=0,"Em dia","Dia de Atrasado")</f>
        <v>Dia de Atrasado</v>
      </c>
      <c r="Q1352" s="24">
        <f>IFERROR(TAB_OFICINAS[[#This Row],[Qtd pçs Enviadas]]-TAB_OFICINAS[[#This Row],[Qtd pçs Retornadas ]],"N/D ")</f>
        <v>0</v>
      </c>
      <c r="R1352" s="24"/>
      <c r="U1352" s="11"/>
      <c r="V1352" s="25">
        <f>IFERROR(TAB_OFICINAS[[#This Row],[Valor Unit]]*TAB_OFICINAS[[#This Row],[Qtd pçs Enviadas]]," ")</f>
        <v>0</v>
      </c>
      <c r="W1352" s="26"/>
      <c r="Y1352" s="27"/>
      <c r="Z13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3" spans="6:26" hidden="1">
      <c r="F1353" s="28" t="str">
        <f>IFERROR(VLOOKUP(TAB_OFICINAS[[#This Row],[Cliente]],LISTA_DE_CLIENTES[[Código]:[Nome Fantasia]],2,FALSE),"")</f>
        <v/>
      </c>
      <c r="G1353" s="2" t="str">
        <f>IFERROR(VLOOKUP(TAB_OFICINAS[[#This Row],[Cliente]],LISTA_DE_CLIENTES[[Código]:[Nome Fantasia]],3,FALSE),"")</f>
        <v/>
      </c>
      <c r="H1353" s="51"/>
      <c r="I1353" s="28" t="str">
        <f>IFERROR(VLOOKUP(TAB_OFICINAS[[#This Row],[Codigo Produto ]],_000___PEDIDOS_DE_CLIENTES[[Data.Column2]:[Descrição Produto]],2,FALSE)," ")</f>
        <v xml:space="preserve"> </v>
      </c>
      <c r="J1353" s="91"/>
      <c r="K1353" s="88"/>
      <c r="N1353" s="6">
        <f t="shared" ca="1" si="8"/>
        <v>46315</v>
      </c>
      <c r="O1353" s="23">
        <f ca="1">TAB_OFICINAS[[#This Row],[Data Retorno Produção]]-TAB_OFICINAS[[#This Row],[Data Prometida  Entrega]]</f>
        <v>46315</v>
      </c>
      <c r="P1353" s="98" t="str">
        <f ca="1">IF(TAB_OFICINAS[[#This Row],[Dias Para Entrega]]&lt;=0,"Em dia","Dia de Atrasado")</f>
        <v>Dia de Atrasado</v>
      </c>
      <c r="Q1353" s="24">
        <f>IFERROR(TAB_OFICINAS[[#This Row],[Qtd pçs Enviadas]]-TAB_OFICINAS[[#This Row],[Qtd pçs Retornadas ]],"N/D ")</f>
        <v>0</v>
      </c>
      <c r="R1353" s="24"/>
      <c r="U1353" s="11"/>
      <c r="V1353" s="25">
        <f>IFERROR(TAB_OFICINAS[[#This Row],[Valor Unit]]*TAB_OFICINAS[[#This Row],[Qtd pçs Enviadas]]," ")</f>
        <v>0</v>
      </c>
      <c r="W1353" s="26"/>
      <c r="Y1353" s="27"/>
      <c r="Z13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4" spans="6:26" hidden="1">
      <c r="F1354" s="28" t="str">
        <f>IFERROR(VLOOKUP(TAB_OFICINAS[[#This Row],[Cliente]],LISTA_DE_CLIENTES[[Código]:[Nome Fantasia]],2,FALSE),"")</f>
        <v/>
      </c>
      <c r="G1354" s="2" t="str">
        <f>IFERROR(VLOOKUP(TAB_OFICINAS[[#This Row],[Cliente]],LISTA_DE_CLIENTES[[Código]:[Nome Fantasia]],3,FALSE),"")</f>
        <v/>
      </c>
      <c r="H1354" s="51"/>
      <c r="I1354" s="28" t="str">
        <f>IFERROR(VLOOKUP(TAB_OFICINAS[[#This Row],[Codigo Produto ]],_000___PEDIDOS_DE_CLIENTES[[Data.Column2]:[Descrição Produto]],2,FALSE)," ")</f>
        <v xml:space="preserve"> </v>
      </c>
      <c r="J1354" s="91"/>
      <c r="K1354" s="88"/>
      <c r="N1354" s="6">
        <f t="shared" ca="1" si="8"/>
        <v>46315</v>
      </c>
      <c r="O1354" s="23">
        <f ca="1">TAB_OFICINAS[[#This Row],[Data Retorno Produção]]-TAB_OFICINAS[[#This Row],[Data Prometida  Entrega]]</f>
        <v>46315</v>
      </c>
      <c r="P1354" s="98" t="str">
        <f ca="1">IF(TAB_OFICINAS[[#This Row],[Dias Para Entrega]]&lt;=0,"Em dia","Dia de Atrasado")</f>
        <v>Dia de Atrasado</v>
      </c>
      <c r="Q1354" s="24">
        <f>IFERROR(TAB_OFICINAS[[#This Row],[Qtd pçs Enviadas]]-TAB_OFICINAS[[#This Row],[Qtd pçs Retornadas ]],"N/D ")</f>
        <v>0</v>
      </c>
      <c r="R1354" s="24"/>
      <c r="U1354" s="11"/>
      <c r="V1354" s="25">
        <f>IFERROR(TAB_OFICINAS[[#This Row],[Valor Unit]]*TAB_OFICINAS[[#This Row],[Qtd pçs Enviadas]]," ")</f>
        <v>0</v>
      </c>
      <c r="W1354" s="26"/>
      <c r="Y1354" s="27"/>
      <c r="Z13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5" spans="6:26" hidden="1">
      <c r="F1355" s="28" t="str">
        <f>IFERROR(VLOOKUP(TAB_OFICINAS[[#This Row],[Cliente]],LISTA_DE_CLIENTES[[Código]:[Nome Fantasia]],2,FALSE),"")</f>
        <v/>
      </c>
      <c r="G1355" s="2" t="str">
        <f>IFERROR(VLOOKUP(TAB_OFICINAS[[#This Row],[Cliente]],LISTA_DE_CLIENTES[[Código]:[Nome Fantasia]],3,FALSE),"")</f>
        <v/>
      </c>
      <c r="H1355" s="51"/>
      <c r="I1355" s="28" t="str">
        <f>IFERROR(VLOOKUP(TAB_OFICINAS[[#This Row],[Codigo Produto ]],_000___PEDIDOS_DE_CLIENTES[[Data.Column2]:[Descrição Produto]],2,FALSE)," ")</f>
        <v xml:space="preserve"> </v>
      </c>
      <c r="J1355" s="91"/>
      <c r="K1355" s="88"/>
      <c r="N1355" s="6">
        <f t="shared" ca="1" si="8"/>
        <v>46315</v>
      </c>
      <c r="O1355" s="23">
        <f ca="1">TAB_OFICINAS[[#This Row],[Data Retorno Produção]]-TAB_OFICINAS[[#This Row],[Data Prometida  Entrega]]</f>
        <v>46315</v>
      </c>
      <c r="P1355" s="98" t="str">
        <f ca="1">IF(TAB_OFICINAS[[#This Row],[Dias Para Entrega]]&lt;=0,"Em dia","Dia de Atrasado")</f>
        <v>Dia de Atrasado</v>
      </c>
      <c r="Q1355" s="24">
        <f>IFERROR(TAB_OFICINAS[[#This Row],[Qtd pçs Enviadas]]-TAB_OFICINAS[[#This Row],[Qtd pçs Retornadas ]],"N/D ")</f>
        <v>0</v>
      </c>
      <c r="R1355" s="24"/>
      <c r="U1355" s="11"/>
      <c r="V1355" s="25">
        <f>IFERROR(TAB_OFICINAS[[#This Row],[Valor Unit]]*TAB_OFICINAS[[#This Row],[Qtd pçs Enviadas]]," ")</f>
        <v>0</v>
      </c>
      <c r="W1355" s="26"/>
      <c r="Y1355" s="27"/>
      <c r="Z13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6" spans="6:26" hidden="1">
      <c r="F1356" s="28" t="str">
        <f>IFERROR(VLOOKUP(TAB_OFICINAS[[#This Row],[Cliente]],LISTA_DE_CLIENTES[[Código]:[Nome Fantasia]],2,FALSE),"")</f>
        <v/>
      </c>
      <c r="G1356" s="2" t="str">
        <f>IFERROR(VLOOKUP(TAB_OFICINAS[[#This Row],[Cliente]],LISTA_DE_CLIENTES[[Código]:[Nome Fantasia]],3,FALSE),"")</f>
        <v/>
      </c>
      <c r="H1356" s="51"/>
      <c r="I1356" s="28" t="str">
        <f>IFERROR(VLOOKUP(TAB_OFICINAS[[#This Row],[Codigo Produto ]],_000___PEDIDOS_DE_CLIENTES[[Data.Column2]:[Descrição Produto]],2,FALSE)," ")</f>
        <v xml:space="preserve"> </v>
      </c>
      <c r="J1356" s="91"/>
      <c r="K1356" s="88"/>
      <c r="N1356" s="6">
        <f t="shared" ca="1" si="8"/>
        <v>46315</v>
      </c>
      <c r="O1356" s="23">
        <f ca="1">TAB_OFICINAS[[#This Row],[Data Retorno Produção]]-TAB_OFICINAS[[#This Row],[Data Prometida  Entrega]]</f>
        <v>46315</v>
      </c>
      <c r="P1356" s="98" t="str">
        <f ca="1">IF(TAB_OFICINAS[[#This Row],[Dias Para Entrega]]&lt;=0,"Em dia","Dia de Atrasado")</f>
        <v>Dia de Atrasado</v>
      </c>
      <c r="Q1356" s="24">
        <f>IFERROR(TAB_OFICINAS[[#This Row],[Qtd pçs Enviadas]]-TAB_OFICINAS[[#This Row],[Qtd pçs Retornadas ]],"N/D ")</f>
        <v>0</v>
      </c>
      <c r="R1356" s="24"/>
      <c r="U1356" s="11"/>
      <c r="V1356" s="25">
        <f>IFERROR(TAB_OFICINAS[[#This Row],[Valor Unit]]*TAB_OFICINAS[[#This Row],[Qtd pçs Enviadas]]," ")</f>
        <v>0</v>
      </c>
      <c r="W1356" s="26"/>
      <c r="Y1356" s="27"/>
      <c r="Z13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7" spans="6:26" hidden="1">
      <c r="F1357" s="28" t="str">
        <f>IFERROR(VLOOKUP(TAB_OFICINAS[[#This Row],[Cliente]],LISTA_DE_CLIENTES[[Código]:[Nome Fantasia]],2,FALSE),"")</f>
        <v/>
      </c>
      <c r="G1357" s="2" t="str">
        <f>IFERROR(VLOOKUP(TAB_OFICINAS[[#This Row],[Cliente]],LISTA_DE_CLIENTES[[Código]:[Nome Fantasia]],3,FALSE),"")</f>
        <v/>
      </c>
      <c r="H1357" s="51"/>
      <c r="I1357" s="28" t="str">
        <f>IFERROR(VLOOKUP(TAB_OFICINAS[[#This Row],[Codigo Produto ]],_000___PEDIDOS_DE_CLIENTES[[Data.Column2]:[Descrição Produto]],2,FALSE)," ")</f>
        <v xml:space="preserve"> </v>
      </c>
      <c r="J1357" s="91"/>
      <c r="K1357" s="88"/>
      <c r="N1357" s="6">
        <f t="shared" ca="1" si="8"/>
        <v>46315</v>
      </c>
      <c r="O1357" s="23">
        <f ca="1">TAB_OFICINAS[[#This Row],[Data Retorno Produção]]-TAB_OFICINAS[[#This Row],[Data Prometida  Entrega]]</f>
        <v>46315</v>
      </c>
      <c r="P1357" s="98" t="str">
        <f ca="1">IF(TAB_OFICINAS[[#This Row],[Dias Para Entrega]]&lt;=0,"Em dia","Dia de Atrasado")</f>
        <v>Dia de Atrasado</v>
      </c>
      <c r="Q1357" s="24">
        <f>IFERROR(TAB_OFICINAS[[#This Row],[Qtd pçs Enviadas]]-TAB_OFICINAS[[#This Row],[Qtd pçs Retornadas ]],"N/D ")</f>
        <v>0</v>
      </c>
      <c r="R1357" s="24"/>
      <c r="U1357" s="11"/>
      <c r="V1357" s="25">
        <f>IFERROR(TAB_OFICINAS[[#This Row],[Valor Unit]]*TAB_OFICINAS[[#This Row],[Qtd pçs Enviadas]]," ")</f>
        <v>0</v>
      </c>
      <c r="W1357" s="26"/>
      <c r="Y1357" s="27"/>
      <c r="Z13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8" spans="6:26" hidden="1">
      <c r="F1358" s="28" t="str">
        <f>IFERROR(VLOOKUP(TAB_OFICINAS[[#This Row],[Cliente]],LISTA_DE_CLIENTES[[Código]:[Nome Fantasia]],2,FALSE),"")</f>
        <v/>
      </c>
      <c r="G1358" s="2" t="str">
        <f>IFERROR(VLOOKUP(TAB_OFICINAS[[#This Row],[Cliente]],LISTA_DE_CLIENTES[[Código]:[Nome Fantasia]],3,FALSE),"")</f>
        <v/>
      </c>
      <c r="H1358" s="51"/>
      <c r="I1358" s="28" t="str">
        <f>IFERROR(VLOOKUP(TAB_OFICINAS[[#This Row],[Codigo Produto ]],_000___PEDIDOS_DE_CLIENTES[[Data.Column2]:[Descrição Produto]],2,FALSE)," ")</f>
        <v xml:space="preserve"> </v>
      </c>
      <c r="J1358" s="91"/>
      <c r="K1358" s="88"/>
      <c r="N1358" s="6">
        <f t="shared" ca="1" si="8"/>
        <v>46315</v>
      </c>
      <c r="O1358" s="23">
        <f ca="1">TAB_OFICINAS[[#This Row],[Data Retorno Produção]]-TAB_OFICINAS[[#This Row],[Data Prometida  Entrega]]</f>
        <v>46315</v>
      </c>
      <c r="P1358" s="98" t="str">
        <f ca="1">IF(TAB_OFICINAS[[#This Row],[Dias Para Entrega]]&lt;=0,"Em dia","Dia de Atrasado")</f>
        <v>Dia de Atrasado</v>
      </c>
      <c r="Q1358" s="24">
        <f>IFERROR(TAB_OFICINAS[[#This Row],[Qtd pçs Enviadas]]-TAB_OFICINAS[[#This Row],[Qtd pçs Retornadas ]],"N/D ")</f>
        <v>0</v>
      </c>
      <c r="R1358" s="24"/>
      <c r="U1358" s="11"/>
      <c r="V1358" s="25">
        <f>IFERROR(TAB_OFICINAS[[#This Row],[Valor Unit]]*TAB_OFICINAS[[#This Row],[Qtd pçs Enviadas]]," ")</f>
        <v>0</v>
      </c>
      <c r="W1358" s="26"/>
      <c r="Y1358" s="27"/>
      <c r="Z13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59" spans="6:26" hidden="1">
      <c r="F1359" s="28" t="str">
        <f>IFERROR(VLOOKUP(TAB_OFICINAS[[#This Row],[Cliente]],LISTA_DE_CLIENTES[[Código]:[Nome Fantasia]],2,FALSE),"")</f>
        <v/>
      </c>
      <c r="G1359" s="2" t="str">
        <f>IFERROR(VLOOKUP(TAB_OFICINAS[[#This Row],[Cliente]],LISTA_DE_CLIENTES[[Código]:[Nome Fantasia]],3,FALSE),"")</f>
        <v/>
      </c>
      <c r="H1359" s="51"/>
      <c r="I1359" s="28" t="str">
        <f>IFERROR(VLOOKUP(TAB_OFICINAS[[#This Row],[Codigo Produto ]],_000___PEDIDOS_DE_CLIENTES[[Data.Column2]:[Descrição Produto]],2,FALSE)," ")</f>
        <v xml:space="preserve"> </v>
      </c>
      <c r="J1359" s="91"/>
      <c r="K1359" s="88"/>
      <c r="N1359" s="6">
        <f t="shared" ca="1" si="8"/>
        <v>46315</v>
      </c>
      <c r="O1359" s="23">
        <f ca="1">TAB_OFICINAS[[#This Row],[Data Retorno Produção]]-TAB_OFICINAS[[#This Row],[Data Prometida  Entrega]]</f>
        <v>46315</v>
      </c>
      <c r="P1359" s="98" t="str">
        <f ca="1">IF(TAB_OFICINAS[[#This Row],[Dias Para Entrega]]&lt;=0,"Em dia","Dia de Atrasado")</f>
        <v>Dia de Atrasado</v>
      </c>
      <c r="Q1359" s="24">
        <f>IFERROR(TAB_OFICINAS[[#This Row],[Qtd pçs Enviadas]]-TAB_OFICINAS[[#This Row],[Qtd pçs Retornadas ]],"N/D ")</f>
        <v>0</v>
      </c>
      <c r="R1359" s="24"/>
      <c r="U1359" s="11"/>
      <c r="V1359" s="25">
        <f>IFERROR(TAB_OFICINAS[[#This Row],[Valor Unit]]*TAB_OFICINAS[[#This Row],[Qtd pçs Enviadas]]," ")</f>
        <v>0</v>
      </c>
      <c r="W1359" s="26"/>
      <c r="Y1359" s="27"/>
      <c r="Z13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0" spans="6:26" hidden="1">
      <c r="F1360" s="28" t="str">
        <f>IFERROR(VLOOKUP(TAB_OFICINAS[[#This Row],[Cliente]],LISTA_DE_CLIENTES[[Código]:[Nome Fantasia]],2,FALSE),"")</f>
        <v/>
      </c>
      <c r="G1360" s="2" t="str">
        <f>IFERROR(VLOOKUP(TAB_OFICINAS[[#This Row],[Cliente]],LISTA_DE_CLIENTES[[Código]:[Nome Fantasia]],3,FALSE),"")</f>
        <v/>
      </c>
      <c r="H1360" s="51"/>
      <c r="I1360" s="28" t="str">
        <f>IFERROR(VLOOKUP(TAB_OFICINAS[[#This Row],[Codigo Produto ]],_000___PEDIDOS_DE_CLIENTES[[Data.Column2]:[Descrição Produto]],2,FALSE)," ")</f>
        <v xml:space="preserve"> </v>
      </c>
      <c r="J1360" s="91"/>
      <c r="K1360" s="88"/>
      <c r="N1360" s="6">
        <f t="shared" ca="1" si="8"/>
        <v>46315</v>
      </c>
      <c r="O1360" s="23">
        <f ca="1">TAB_OFICINAS[[#This Row],[Data Retorno Produção]]-TAB_OFICINAS[[#This Row],[Data Prometida  Entrega]]</f>
        <v>46315</v>
      </c>
      <c r="P1360" s="98" t="str">
        <f ca="1">IF(TAB_OFICINAS[[#This Row],[Dias Para Entrega]]&lt;=0,"Em dia","Dia de Atrasado")</f>
        <v>Dia de Atrasado</v>
      </c>
      <c r="Q1360" s="24">
        <f>IFERROR(TAB_OFICINAS[[#This Row],[Qtd pçs Enviadas]]-TAB_OFICINAS[[#This Row],[Qtd pçs Retornadas ]],"N/D ")</f>
        <v>0</v>
      </c>
      <c r="R1360" s="24"/>
      <c r="U1360" s="11"/>
      <c r="V1360" s="25">
        <f>IFERROR(TAB_OFICINAS[[#This Row],[Valor Unit]]*TAB_OFICINAS[[#This Row],[Qtd pçs Enviadas]]," ")</f>
        <v>0</v>
      </c>
      <c r="W1360" s="26"/>
      <c r="Y1360" s="27"/>
      <c r="Z13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1" spans="6:26" hidden="1">
      <c r="F1361" s="28" t="str">
        <f>IFERROR(VLOOKUP(TAB_OFICINAS[[#This Row],[Cliente]],LISTA_DE_CLIENTES[[Código]:[Nome Fantasia]],2,FALSE),"")</f>
        <v/>
      </c>
      <c r="G1361" s="2" t="str">
        <f>IFERROR(VLOOKUP(TAB_OFICINAS[[#This Row],[Cliente]],LISTA_DE_CLIENTES[[Código]:[Nome Fantasia]],3,FALSE),"")</f>
        <v/>
      </c>
      <c r="H1361" s="51"/>
      <c r="I1361" s="28" t="str">
        <f>IFERROR(VLOOKUP(TAB_OFICINAS[[#This Row],[Codigo Produto ]],_000___PEDIDOS_DE_CLIENTES[[Data.Column2]:[Descrição Produto]],2,FALSE)," ")</f>
        <v xml:space="preserve"> </v>
      </c>
      <c r="J1361" s="91"/>
      <c r="K1361" s="88"/>
      <c r="N1361" s="6">
        <f t="shared" ca="1" si="8"/>
        <v>46315</v>
      </c>
      <c r="O1361" s="23">
        <f ca="1">TAB_OFICINAS[[#This Row],[Data Retorno Produção]]-TAB_OFICINAS[[#This Row],[Data Prometida  Entrega]]</f>
        <v>46315</v>
      </c>
      <c r="P1361" s="98" t="str">
        <f ca="1">IF(TAB_OFICINAS[[#This Row],[Dias Para Entrega]]&lt;=0,"Em dia","Dia de Atrasado")</f>
        <v>Dia de Atrasado</v>
      </c>
      <c r="Q1361" s="24">
        <f>IFERROR(TAB_OFICINAS[[#This Row],[Qtd pçs Enviadas]]-TAB_OFICINAS[[#This Row],[Qtd pçs Retornadas ]],"N/D ")</f>
        <v>0</v>
      </c>
      <c r="R1361" s="24"/>
      <c r="U1361" s="11"/>
      <c r="V1361" s="25">
        <f>IFERROR(TAB_OFICINAS[[#This Row],[Valor Unit]]*TAB_OFICINAS[[#This Row],[Qtd pçs Enviadas]]," ")</f>
        <v>0</v>
      </c>
      <c r="W1361" s="26"/>
      <c r="Y1361" s="27"/>
      <c r="Z13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2" spans="6:26" hidden="1">
      <c r="F1362" s="28" t="str">
        <f>IFERROR(VLOOKUP(TAB_OFICINAS[[#This Row],[Cliente]],LISTA_DE_CLIENTES[[Código]:[Nome Fantasia]],2,FALSE),"")</f>
        <v/>
      </c>
      <c r="G1362" s="2" t="str">
        <f>IFERROR(VLOOKUP(TAB_OFICINAS[[#This Row],[Cliente]],LISTA_DE_CLIENTES[[Código]:[Nome Fantasia]],3,FALSE),"")</f>
        <v/>
      </c>
      <c r="H1362" s="51"/>
      <c r="I1362" s="28" t="str">
        <f>IFERROR(VLOOKUP(TAB_OFICINAS[[#This Row],[Codigo Produto ]],_000___PEDIDOS_DE_CLIENTES[[Data.Column2]:[Descrição Produto]],2,FALSE)," ")</f>
        <v xml:space="preserve"> </v>
      </c>
      <c r="J1362" s="91"/>
      <c r="K1362" s="88"/>
      <c r="N1362" s="6">
        <f t="shared" ca="1" si="8"/>
        <v>46315</v>
      </c>
      <c r="O1362" s="23">
        <f ca="1">TAB_OFICINAS[[#This Row],[Data Retorno Produção]]-TAB_OFICINAS[[#This Row],[Data Prometida  Entrega]]</f>
        <v>46315</v>
      </c>
      <c r="P1362" s="98" t="str">
        <f ca="1">IF(TAB_OFICINAS[[#This Row],[Dias Para Entrega]]&lt;=0,"Em dia","Dia de Atrasado")</f>
        <v>Dia de Atrasado</v>
      </c>
      <c r="Q1362" s="24">
        <f>IFERROR(TAB_OFICINAS[[#This Row],[Qtd pçs Enviadas]]-TAB_OFICINAS[[#This Row],[Qtd pçs Retornadas ]],"N/D ")</f>
        <v>0</v>
      </c>
      <c r="R1362" s="24"/>
      <c r="U1362" s="11"/>
      <c r="V1362" s="25">
        <f>IFERROR(TAB_OFICINAS[[#This Row],[Valor Unit]]*TAB_OFICINAS[[#This Row],[Qtd pçs Enviadas]]," ")</f>
        <v>0</v>
      </c>
      <c r="W1362" s="26"/>
      <c r="Y1362" s="27"/>
      <c r="Z13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3" spans="6:26" hidden="1">
      <c r="F1363" s="28" t="str">
        <f>IFERROR(VLOOKUP(TAB_OFICINAS[[#This Row],[Cliente]],LISTA_DE_CLIENTES[[Código]:[Nome Fantasia]],2,FALSE),"")</f>
        <v/>
      </c>
      <c r="G1363" s="2" t="str">
        <f>IFERROR(VLOOKUP(TAB_OFICINAS[[#This Row],[Cliente]],LISTA_DE_CLIENTES[[Código]:[Nome Fantasia]],3,FALSE),"")</f>
        <v/>
      </c>
      <c r="H1363" s="51"/>
      <c r="J1363" s="91"/>
      <c r="K1363" s="88"/>
      <c r="O1363" s="23">
        <f>TAB_OFICINAS[[#This Row],[Data Retorno Produção]]-TAB_OFICINAS[[#This Row],[Data Prometida  Entrega]]</f>
        <v>0</v>
      </c>
      <c r="P1363" s="98" t="str">
        <f>IF(TAB_OFICINAS[[#This Row],[Dias Para Entrega]]&lt;=0,"Em dia","Dia de Atrasado")</f>
        <v>Em dia</v>
      </c>
      <c r="Q1363" s="24">
        <f>IFERROR(TAB_OFICINAS[[#This Row],[Qtd pçs Enviadas]]-TAB_OFICINAS[[#This Row],[Qtd pçs Retornadas ]],"N/D ")</f>
        <v>0</v>
      </c>
      <c r="R1363" s="24"/>
      <c r="U1363" s="11"/>
      <c r="V1363" s="25">
        <f>IFERROR(TAB_OFICINAS[[#This Row],[Valor Unit]]*TAB_OFICINAS[[#This Row],[Qtd pçs Enviadas]]," ")</f>
        <v>0</v>
      </c>
      <c r="W1363" s="26"/>
      <c r="Y1363" s="27"/>
      <c r="Z13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4" spans="6:26" hidden="1">
      <c r="F1364" s="28" t="str">
        <f>IFERROR(VLOOKUP(TAB_OFICINAS[[#This Row],[Cliente]],LISTA_DE_CLIENTES[[Código]:[Nome Fantasia]],2,FALSE),"")</f>
        <v/>
      </c>
      <c r="G1364" s="2" t="str">
        <f>IFERROR(VLOOKUP(TAB_OFICINAS[[#This Row],[Cliente]],LISTA_DE_CLIENTES[[Código]:[Nome Fantasia]],3,FALSE),"")</f>
        <v/>
      </c>
      <c r="H1364" s="123"/>
      <c r="J1364" s="91"/>
      <c r="K1364" s="88"/>
      <c r="L1364" s="9" t="s">
        <v>23441</v>
      </c>
      <c r="O1364" s="23">
        <f>TAB_OFICINAS[[#This Row],[Data Retorno Produção]]-TAB_OFICINAS[[#This Row],[Data Prometida  Entrega]]</f>
        <v>0</v>
      </c>
      <c r="P1364" s="98" t="str">
        <f>IF(TAB_OFICINAS[[#This Row],[Dias Para Entrega]]&lt;=0,"Em dia","Dia de Atrasado")</f>
        <v>Em dia</v>
      </c>
      <c r="Q1364" s="24" t="str">
        <f>IFERROR(TAB_OFICINAS[[#This Row],[Qtd pçs Enviadas]]-TAB_OFICINAS[[#This Row],[Qtd pçs Retornadas ]],"N/D ")</f>
        <v xml:space="preserve">N/D </v>
      </c>
      <c r="R1364" s="24"/>
      <c r="U1364" s="11"/>
      <c r="V1364" s="25">
        <f>IFERROR(TAB_OFICINAS[[#This Row],[Valor Unit]]*TAB_OFICINAS[[#This Row],[Qtd pçs Enviadas]]," ")</f>
        <v>0</v>
      </c>
      <c r="W1364" s="26"/>
      <c r="Y1364" s="27"/>
      <c r="Z1364" s="90" t="str">
        <f>IF(TAB_OFICINAS[[#This Row],[Qtd pçs Enviadas]]=TAB_OFICINAS[[#This Row],[Qtd pçs Retornadas ]],"Produção Finalizada",TAB_OFICINAS[[#This Row],[Qtd pçs Pendetente ]] &amp; " " &amp; "Pçs Pendente")</f>
        <v>N/D  Pçs Pendente</v>
      </c>
    </row>
    <row r="1365" spans="6:26" hidden="1">
      <c r="F1365" s="28" t="str">
        <f>IFERROR(VLOOKUP(TAB_OFICINAS[[#This Row],[Cliente]],LISTA_DE_CLIENTES[[Código]:[Nome Fantasia]],2,FALSE),"")</f>
        <v/>
      </c>
      <c r="G1365" s="2" t="str">
        <f>IFERROR(VLOOKUP(TAB_OFICINAS[[#This Row],[Cliente]],LISTA_DE_CLIENTES[[Código]:[Nome Fantasia]],3,FALSE),"")</f>
        <v/>
      </c>
      <c r="H1365" s="123"/>
      <c r="J1365" s="91"/>
      <c r="K1365" s="88"/>
      <c r="O1365" s="23">
        <f>TAB_OFICINAS[[#This Row],[Data Retorno Produção]]-TAB_OFICINAS[[#This Row],[Data Prometida  Entrega]]</f>
        <v>0</v>
      </c>
      <c r="P1365" s="98" t="str">
        <f>IF(TAB_OFICINAS[[#This Row],[Dias Para Entrega]]&lt;=0,"Em dia","Dia de Atrasado")</f>
        <v>Em dia</v>
      </c>
      <c r="Q1365" s="24">
        <f>IFERROR(TAB_OFICINAS[[#This Row],[Qtd pçs Enviadas]]-TAB_OFICINAS[[#This Row],[Qtd pçs Retornadas ]],"N/D ")</f>
        <v>0</v>
      </c>
      <c r="R1365" s="24"/>
      <c r="U1365" s="11"/>
      <c r="V1365" s="25">
        <f>IFERROR(TAB_OFICINAS[[#This Row],[Valor Unit]]*TAB_OFICINAS[[#This Row],[Qtd pçs Enviadas]]," ")</f>
        <v>0</v>
      </c>
      <c r="W1365" s="26"/>
      <c r="Y1365" s="27"/>
      <c r="Z13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6" spans="6:26" hidden="1">
      <c r="F1366" s="28" t="str">
        <f>IFERROR(VLOOKUP(TAB_OFICINAS[[#This Row],[Cliente]],LISTA_DE_CLIENTES[[Código]:[Nome Fantasia]],2,FALSE),"")</f>
        <v/>
      </c>
      <c r="G1366" s="2" t="str">
        <f>IFERROR(VLOOKUP(TAB_OFICINAS[[#This Row],[Cliente]],LISTA_DE_CLIENTES[[Código]:[Nome Fantasia]],3,FALSE),"")</f>
        <v/>
      </c>
      <c r="H1366" s="123"/>
      <c r="J1366" s="91"/>
      <c r="K1366" s="88"/>
      <c r="O1366" s="23">
        <f>TAB_OFICINAS[[#This Row],[Data Retorno Produção]]-TAB_OFICINAS[[#This Row],[Data Prometida  Entrega]]</f>
        <v>0</v>
      </c>
      <c r="P1366" s="98" t="str">
        <f>IF(TAB_OFICINAS[[#This Row],[Dias Para Entrega]]&lt;=0,"Em dia","Dia de Atrasado")</f>
        <v>Em dia</v>
      </c>
      <c r="Q1366" s="24">
        <f>IFERROR(TAB_OFICINAS[[#This Row],[Qtd pçs Enviadas]]-TAB_OFICINAS[[#This Row],[Qtd pçs Retornadas ]],"N/D ")</f>
        <v>0</v>
      </c>
      <c r="R1366" s="24"/>
      <c r="U1366" s="11"/>
      <c r="V1366" s="25">
        <f>IFERROR(TAB_OFICINAS[[#This Row],[Valor Unit]]*TAB_OFICINAS[[#This Row],[Qtd pçs Enviadas]]," ")</f>
        <v>0</v>
      </c>
      <c r="W1366" s="26"/>
      <c r="Y1366" s="27"/>
      <c r="Z13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7" spans="6:26" hidden="1">
      <c r="F1367" s="28" t="str">
        <f>IFERROR(VLOOKUP(TAB_OFICINAS[[#This Row],[Cliente]],LISTA_DE_CLIENTES[[Código]:[Nome Fantasia]],2,FALSE),"")</f>
        <v/>
      </c>
      <c r="G1367" s="2" t="str">
        <f>IFERROR(VLOOKUP(TAB_OFICINAS[[#This Row],[Cliente]],LISTA_DE_CLIENTES[[Código]:[Nome Fantasia]],3,FALSE),"")</f>
        <v/>
      </c>
      <c r="H1367" s="123"/>
      <c r="J1367" s="91"/>
      <c r="K1367" s="88"/>
      <c r="O1367" s="23">
        <f>TAB_OFICINAS[[#This Row],[Data Retorno Produção]]-TAB_OFICINAS[[#This Row],[Data Prometida  Entrega]]</f>
        <v>0</v>
      </c>
      <c r="P1367" s="98" t="str">
        <f>IF(TAB_OFICINAS[[#This Row],[Dias Para Entrega]]&lt;=0,"Em dia","Dia de Atrasado")</f>
        <v>Em dia</v>
      </c>
      <c r="Q1367" s="24">
        <f>IFERROR(TAB_OFICINAS[[#This Row],[Qtd pçs Enviadas]]-TAB_OFICINAS[[#This Row],[Qtd pçs Retornadas ]],"N/D ")</f>
        <v>0</v>
      </c>
      <c r="R1367" s="24"/>
      <c r="U1367" s="11"/>
      <c r="V1367" s="25">
        <f>IFERROR(TAB_OFICINAS[[#This Row],[Valor Unit]]*TAB_OFICINAS[[#This Row],[Qtd pçs Enviadas]]," ")</f>
        <v>0</v>
      </c>
      <c r="W1367" s="26"/>
      <c r="Y1367" s="27"/>
      <c r="Z136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8" spans="6:26" hidden="1">
      <c r="F1368" s="28" t="str">
        <f>IFERROR(VLOOKUP(TAB_OFICINAS[[#This Row],[Cliente]],LISTA_DE_CLIENTES[[Código]:[Nome Fantasia]],2,FALSE),"")</f>
        <v/>
      </c>
      <c r="G1368" s="2" t="str">
        <f>IFERROR(VLOOKUP(TAB_OFICINAS[[#This Row],[Cliente]],LISTA_DE_CLIENTES[[Código]:[Nome Fantasia]],3,FALSE),"")</f>
        <v/>
      </c>
      <c r="H1368" s="123"/>
      <c r="J1368" s="91"/>
      <c r="K1368" s="88"/>
      <c r="O1368" s="23">
        <f>TAB_OFICINAS[[#This Row],[Data Retorno Produção]]-TAB_OFICINAS[[#This Row],[Data Prometida  Entrega]]</f>
        <v>0</v>
      </c>
      <c r="P1368" s="98" t="str">
        <f>IF(TAB_OFICINAS[[#This Row],[Dias Para Entrega]]&lt;=0,"Em dia","Dia de Atrasado")</f>
        <v>Em dia</v>
      </c>
      <c r="Q1368" s="24">
        <f>IFERROR(TAB_OFICINAS[[#This Row],[Qtd pçs Enviadas]]-TAB_OFICINAS[[#This Row],[Qtd pçs Retornadas ]],"N/D ")</f>
        <v>0</v>
      </c>
      <c r="R1368" s="24"/>
      <c r="U1368" s="11"/>
      <c r="V1368" s="25">
        <f>IFERROR(TAB_OFICINAS[[#This Row],[Valor Unit]]*TAB_OFICINAS[[#This Row],[Qtd pçs Enviadas]]," ")</f>
        <v>0</v>
      </c>
      <c r="W1368" s="26"/>
      <c r="Y1368" s="27"/>
      <c r="Z136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69" spans="6:26" hidden="1">
      <c r="F1369" s="28" t="str">
        <f>IFERROR(VLOOKUP(TAB_OFICINAS[[#This Row],[Cliente]],LISTA_DE_CLIENTES[[Código]:[Nome Fantasia]],2,FALSE),"")</f>
        <v/>
      </c>
      <c r="G1369" s="2" t="str">
        <f>IFERROR(VLOOKUP(TAB_OFICINAS[[#This Row],[Cliente]],LISTA_DE_CLIENTES[[Código]:[Nome Fantasia]],3,FALSE),"")</f>
        <v/>
      </c>
      <c r="H1369" s="123"/>
      <c r="J1369" s="91"/>
      <c r="K1369" s="88"/>
      <c r="O1369" s="23">
        <f>TAB_OFICINAS[[#This Row],[Data Retorno Produção]]-TAB_OFICINAS[[#This Row],[Data Prometida  Entrega]]</f>
        <v>0</v>
      </c>
      <c r="P1369" s="98" t="str">
        <f>IF(TAB_OFICINAS[[#This Row],[Dias Para Entrega]]&lt;=0,"Em dia","Dia de Atrasado")</f>
        <v>Em dia</v>
      </c>
      <c r="Q1369" s="24">
        <f>IFERROR(TAB_OFICINAS[[#This Row],[Qtd pçs Enviadas]]-TAB_OFICINAS[[#This Row],[Qtd pçs Retornadas ]],"N/D ")</f>
        <v>0</v>
      </c>
      <c r="R1369" s="24"/>
      <c r="U1369" s="11"/>
      <c r="V1369" s="25">
        <f>IFERROR(TAB_OFICINAS[[#This Row],[Valor Unit]]*TAB_OFICINAS[[#This Row],[Qtd pçs Enviadas]]," ")</f>
        <v>0</v>
      </c>
      <c r="W1369" s="26"/>
      <c r="Y1369" s="27"/>
      <c r="Z13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0" spans="6:26" hidden="1">
      <c r="F1370" s="28" t="str">
        <f>IFERROR(VLOOKUP(TAB_OFICINAS[[#This Row],[Cliente]],LISTA_DE_CLIENTES[[Código]:[Nome Fantasia]],2,FALSE),"")</f>
        <v/>
      </c>
      <c r="G1370" s="2" t="str">
        <f>IFERROR(VLOOKUP(TAB_OFICINAS[[#This Row],[Cliente]],LISTA_DE_CLIENTES[[Código]:[Nome Fantasia]],3,FALSE),"")</f>
        <v/>
      </c>
      <c r="H1370" s="123"/>
      <c r="J1370" s="91"/>
      <c r="K1370" s="88"/>
      <c r="O1370" s="23">
        <f>TAB_OFICINAS[[#This Row],[Data Retorno Produção]]-TAB_OFICINAS[[#This Row],[Data Prometida  Entrega]]</f>
        <v>0</v>
      </c>
      <c r="P1370" s="98" t="str">
        <f>IF(TAB_OFICINAS[[#This Row],[Dias Para Entrega]]&lt;=0,"Em dia","Dia de Atrasado")</f>
        <v>Em dia</v>
      </c>
      <c r="Q1370" s="24">
        <f>IFERROR(TAB_OFICINAS[[#This Row],[Qtd pçs Enviadas]]-TAB_OFICINAS[[#This Row],[Qtd pçs Retornadas ]],"N/D ")</f>
        <v>0</v>
      </c>
      <c r="R1370" s="24"/>
      <c r="U1370" s="11"/>
      <c r="V1370" s="25">
        <f>IFERROR(TAB_OFICINAS[[#This Row],[Valor Unit]]*TAB_OFICINAS[[#This Row],[Qtd pçs Enviadas]]," ")</f>
        <v>0</v>
      </c>
      <c r="W1370" s="26"/>
      <c r="Y1370" s="27"/>
      <c r="Z13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1" spans="6:26" hidden="1">
      <c r="F1371" s="28" t="s">
        <v>21395</v>
      </c>
      <c r="G1371" s="2" t="str">
        <f>IFERROR(VLOOKUP(TAB_OFICINAS[[#This Row],[Cliente]],LISTA_DE_CLIENTES[[Código]:[Nome Fantasia]],3,FALSE),"")</f>
        <v/>
      </c>
      <c r="H1371" s="123"/>
      <c r="J1371" s="91"/>
      <c r="K1371" s="88"/>
      <c r="O1371" s="23">
        <f>TAB_OFICINAS[[#This Row],[Data Retorno Produção]]-TAB_OFICINAS[[#This Row],[Data Prometida  Entrega]]</f>
        <v>0</v>
      </c>
      <c r="P1371" s="98" t="str">
        <f>IF(TAB_OFICINAS[[#This Row],[Dias Para Entrega]]&lt;=0,"Em dia","Dia de Atrasado")</f>
        <v>Em dia</v>
      </c>
      <c r="Q1371" s="24">
        <f>IFERROR(TAB_OFICINAS[[#This Row],[Qtd pçs Enviadas]]-TAB_OFICINAS[[#This Row],[Qtd pçs Retornadas ]],"N/D ")</f>
        <v>0</v>
      </c>
      <c r="R1371" s="24"/>
      <c r="U1371" s="11"/>
      <c r="V1371" s="25">
        <f>IFERROR(TAB_OFICINAS[[#This Row],[Valor Unit]]*TAB_OFICINAS[[#This Row],[Qtd pçs Enviadas]]," ")</f>
        <v>0</v>
      </c>
      <c r="W1371" s="26"/>
      <c r="Y1371" s="27"/>
      <c r="Z13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2" spans="6:26" hidden="1">
      <c r="F1372" s="28" t="str">
        <f>IFERROR(VLOOKUP(TAB_OFICINAS[[#This Row],[Cliente]],LISTA_DE_CLIENTES[[Código]:[Nome Fantasia]],2,FALSE),"")</f>
        <v/>
      </c>
      <c r="G1372" s="2" t="str">
        <f>IFERROR(VLOOKUP(TAB_OFICINAS[[#This Row],[Cliente]],LISTA_DE_CLIENTES[[Código]:[Nome Fantasia]],3,FALSE),"")</f>
        <v/>
      </c>
      <c r="H1372" s="123"/>
      <c r="J1372" s="91"/>
      <c r="K1372" s="88"/>
      <c r="O1372" s="23">
        <f>TAB_OFICINAS[[#This Row],[Data Retorno Produção]]-TAB_OFICINAS[[#This Row],[Data Prometida  Entrega]]</f>
        <v>0</v>
      </c>
      <c r="P1372" s="98" t="str">
        <f>IF(TAB_OFICINAS[[#This Row],[Dias Para Entrega]]&lt;=0,"Em dia","Dia de Atrasado")</f>
        <v>Em dia</v>
      </c>
      <c r="Q1372" s="24">
        <f>IFERROR(TAB_OFICINAS[[#This Row],[Qtd pçs Enviadas]]-TAB_OFICINAS[[#This Row],[Qtd pçs Retornadas ]],"N/D ")</f>
        <v>0</v>
      </c>
      <c r="R1372" s="24"/>
      <c r="U1372" s="11"/>
      <c r="V1372" s="25">
        <f>IFERROR(TAB_OFICINAS[[#This Row],[Valor Unit]]*TAB_OFICINAS[[#This Row],[Qtd pçs Enviadas]]," ")</f>
        <v>0</v>
      </c>
      <c r="W1372" s="26"/>
      <c r="Y1372" s="27"/>
      <c r="Z13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3" spans="6:26" hidden="1">
      <c r="F1373" s="28" t="str">
        <f>IFERROR(VLOOKUP(TAB_OFICINAS[[#This Row],[Cliente]],LISTA_DE_CLIENTES[[Código]:[Nome Fantasia]],2,FALSE),"")</f>
        <v/>
      </c>
      <c r="G1373" s="2" t="str">
        <f>IFERROR(VLOOKUP(TAB_OFICINAS[[#This Row],[Cliente]],LISTA_DE_CLIENTES[[Código]:[Nome Fantasia]],3,FALSE),"")</f>
        <v/>
      </c>
      <c r="H1373" s="123"/>
      <c r="J1373" s="91"/>
      <c r="K1373" s="88"/>
      <c r="O1373" s="23">
        <f>TAB_OFICINAS[[#This Row],[Data Retorno Produção]]-TAB_OFICINAS[[#This Row],[Data Prometida  Entrega]]</f>
        <v>0</v>
      </c>
      <c r="P1373" s="98" t="str">
        <f>IF(TAB_OFICINAS[[#This Row],[Dias Para Entrega]]&lt;=0,"Em dia","Dia de Atrasado")</f>
        <v>Em dia</v>
      </c>
      <c r="Q1373" s="24">
        <f>IFERROR(TAB_OFICINAS[[#This Row],[Qtd pçs Enviadas]]-TAB_OFICINAS[[#This Row],[Qtd pçs Retornadas ]],"N/D ")</f>
        <v>0</v>
      </c>
      <c r="R1373" s="24"/>
      <c r="U1373" s="11"/>
      <c r="V1373" s="25">
        <f>IFERROR(TAB_OFICINAS[[#This Row],[Valor Unit]]*TAB_OFICINAS[[#This Row],[Qtd pçs Enviadas]]," ")</f>
        <v>0</v>
      </c>
      <c r="W1373" s="26"/>
      <c r="Y1373" s="27"/>
      <c r="Z13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4" spans="6:26" hidden="1">
      <c r="F1374" s="28" t="str">
        <f>IFERROR(VLOOKUP(TAB_OFICINAS[[#This Row],[Cliente]],LISTA_DE_CLIENTES[[Código]:[Nome Fantasia]],2,FALSE),"")</f>
        <v/>
      </c>
      <c r="G1374" s="2" t="str">
        <f>IFERROR(VLOOKUP(TAB_OFICINAS[[#This Row],[Cliente]],LISTA_DE_CLIENTES[[Código]:[Nome Fantasia]],3,FALSE),"")</f>
        <v/>
      </c>
      <c r="H1374" s="123"/>
      <c r="J1374" s="91"/>
      <c r="K1374" s="88"/>
      <c r="O1374" s="23">
        <f>TAB_OFICINAS[[#This Row],[Data Retorno Produção]]-TAB_OFICINAS[[#This Row],[Data Prometida  Entrega]]</f>
        <v>0</v>
      </c>
      <c r="P1374" s="98" t="str">
        <f>IF(TAB_OFICINAS[[#This Row],[Dias Para Entrega]]&lt;=0,"Em dia","Dia de Atrasado")</f>
        <v>Em dia</v>
      </c>
      <c r="Q1374" s="24">
        <f>IFERROR(TAB_OFICINAS[[#This Row],[Qtd pçs Enviadas]]-TAB_OFICINAS[[#This Row],[Qtd pçs Retornadas ]],"N/D ")</f>
        <v>0</v>
      </c>
      <c r="R1374" s="24"/>
      <c r="U1374" s="11"/>
      <c r="V1374" s="25">
        <f>IFERROR(TAB_OFICINAS[[#This Row],[Valor Unit]]*TAB_OFICINAS[[#This Row],[Qtd pçs Enviadas]]," ")</f>
        <v>0</v>
      </c>
      <c r="W1374" s="26"/>
      <c r="Y1374" s="27"/>
      <c r="Z13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5" spans="6:26" hidden="1">
      <c r="F1375" s="28" t="str">
        <f>IFERROR(VLOOKUP(TAB_OFICINAS[[#This Row],[Cliente]],LISTA_DE_CLIENTES[[Código]:[Nome Fantasia]],2,FALSE),"")</f>
        <v/>
      </c>
      <c r="G1375" s="2" t="str">
        <f>IFERROR(VLOOKUP(TAB_OFICINAS[[#This Row],[Cliente]],LISTA_DE_CLIENTES[[Código]:[Nome Fantasia]],3,FALSE),"")</f>
        <v/>
      </c>
      <c r="H1375" s="123"/>
      <c r="J1375" s="91"/>
      <c r="K1375" s="88"/>
      <c r="O1375" s="23">
        <f>TAB_OFICINAS[[#This Row],[Data Retorno Produção]]-TAB_OFICINAS[[#This Row],[Data Prometida  Entrega]]</f>
        <v>0</v>
      </c>
      <c r="P1375" s="98" t="str">
        <f>IF(TAB_OFICINAS[[#This Row],[Dias Para Entrega]]&lt;=0,"Em dia","Dia de Atrasado")</f>
        <v>Em dia</v>
      </c>
      <c r="Q1375" s="24">
        <f>IFERROR(TAB_OFICINAS[[#This Row],[Qtd pçs Enviadas]]-TAB_OFICINAS[[#This Row],[Qtd pçs Retornadas ]],"N/D ")</f>
        <v>0</v>
      </c>
      <c r="R1375" s="24"/>
      <c r="U1375" s="11"/>
      <c r="V1375" s="25">
        <f>IFERROR(TAB_OFICINAS[[#This Row],[Valor Unit]]*TAB_OFICINAS[[#This Row],[Qtd pçs Enviadas]]," ")</f>
        <v>0</v>
      </c>
      <c r="W1375" s="26"/>
      <c r="Y1375" s="27"/>
      <c r="Z13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6" spans="6:26" hidden="1">
      <c r="F1376" s="28" t="str">
        <f>IFERROR(VLOOKUP(TAB_OFICINAS[[#This Row],[Cliente]],LISTA_DE_CLIENTES[[Código]:[Nome Fantasia]],2,FALSE),"")</f>
        <v/>
      </c>
      <c r="G1376" s="2" t="str">
        <f>IFERROR(VLOOKUP(TAB_OFICINAS[[#This Row],[Cliente]],LISTA_DE_CLIENTES[[Código]:[Nome Fantasia]],3,FALSE),"")</f>
        <v/>
      </c>
      <c r="H1376" s="123"/>
      <c r="J1376" s="91"/>
      <c r="K1376" s="88"/>
      <c r="O1376" s="23">
        <f>TAB_OFICINAS[[#This Row],[Data Retorno Produção]]-TAB_OFICINAS[[#This Row],[Data Prometida  Entrega]]</f>
        <v>0</v>
      </c>
      <c r="P1376" s="98" t="str">
        <f>IF(TAB_OFICINAS[[#This Row],[Dias Para Entrega]]&lt;=0,"Em dia","Dia de Atrasado")</f>
        <v>Em dia</v>
      </c>
      <c r="Q1376" s="24">
        <f>IFERROR(TAB_OFICINAS[[#This Row],[Qtd pçs Enviadas]]-TAB_OFICINAS[[#This Row],[Qtd pçs Retornadas ]],"N/D ")</f>
        <v>0</v>
      </c>
      <c r="R1376" s="24"/>
      <c r="U1376" s="11"/>
      <c r="V1376" s="25">
        <f>IFERROR(TAB_OFICINAS[[#This Row],[Valor Unit]]*TAB_OFICINAS[[#This Row],[Qtd pçs Enviadas]]," ")</f>
        <v>0</v>
      </c>
      <c r="W1376" s="26"/>
      <c r="Y1376" s="27"/>
      <c r="Z13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7" spans="6:26" hidden="1">
      <c r="F1377" s="28" t="str">
        <f>IFERROR(VLOOKUP(TAB_OFICINAS[[#This Row],[Cliente]],LISTA_DE_CLIENTES[[Código]:[Nome Fantasia]],2,FALSE),"")</f>
        <v/>
      </c>
      <c r="G1377" s="2" t="str">
        <f>IFERROR(VLOOKUP(TAB_OFICINAS[[#This Row],[Cliente]],LISTA_DE_CLIENTES[[Código]:[Nome Fantasia]],3,FALSE),"")</f>
        <v/>
      </c>
      <c r="H1377" s="123"/>
      <c r="J1377" s="91"/>
      <c r="K1377" s="88"/>
      <c r="O1377" s="23">
        <f>TAB_OFICINAS[[#This Row],[Data Retorno Produção]]-TAB_OFICINAS[[#This Row],[Data Prometida  Entrega]]</f>
        <v>0</v>
      </c>
      <c r="P1377" s="98" t="str">
        <f>IF(TAB_OFICINAS[[#This Row],[Dias Para Entrega]]&lt;=0,"Em dia","Dia de Atrasado")</f>
        <v>Em dia</v>
      </c>
      <c r="Q1377" s="24">
        <f>IFERROR(TAB_OFICINAS[[#This Row],[Qtd pçs Enviadas]]-TAB_OFICINAS[[#This Row],[Qtd pçs Retornadas ]],"N/D ")</f>
        <v>0</v>
      </c>
      <c r="R1377" s="24"/>
      <c r="U1377" s="11"/>
      <c r="V1377" s="25">
        <f>IFERROR(TAB_OFICINAS[[#This Row],[Valor Unit]]*TAB_OFICINAS[[#This Row],[Qtd pçs Enviadas]]," ")</f>
        <v>0</v>
      </c>
      <c r="W1377" s="26"/>
      <c r="Y1377" s="27"/>
      <c r="Z13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8" spans="6:26" hidden="1">
      <c r="F1378" s="28" t="str">
        <f>IFERROR(VLOOKUP(TAB_OFICINAS[[#This Row],[Cliente]],LISTA_DE_CLIENTES[[Código]:[Nome Fantasia]],2,FALSE),"")</f>
        <v/>
      </c>
      <c r="G1378" s="2" t="str">
        <f>IFERROR(VLOOKUP(TAB_OFICINAS[[#This Row],[Cliente]],LISTA_DE_CLIENTES[[Código]:[Nome Fantasia]],3,FALSE),"")</f>
        <v/>
      </c>
      <c r="H1378" s="123"/>
      <c r="J1378" s="91"/>
      <c r="K1378" s="88"/>
      <c r="O1378" s="23">
        <f>TAB_OFICINAS[[#This Row],[Data Retorno Produção]]-TAB_OFICINAS[[#This Row],[Data Prometida  Entrega]]</f>
        <v>0</v>
      </c>
      <c r="P1378" s="98" t="str">
        <f>IF(TAB_OFICINAS[[#This Row],[Dias Para Entrega]]&lt;=0,"Em dia","Dia de Atrasado")</f>
        <v>Em dia</v>
      </c>
      <c r="Q1378" s="24">
        <f>IFERROR(TAB_OFICINAS[[#This Row],[Qtd pçs Enviadas]]-TAB_OFICINAS[[#This Row],[Qtd pçs Retornadas ]],"N/D ")</f>
        <v>0</v>
      </c>
      <c r="R1378" s="24"/>
      <c r="U1378" s="11"/>
      <c r="V1378" s="25">
        <f>IFERROR(TAB_OFICINAS[[#This Row],[Valor Unit]]*TAB_OFICINAS[[#This Row],[Qtd pçs Enviadas]]," ")</f>
        <v>0</v>
      </c>
      <c r="W1378" s="26"/>
      <c r="Y1378" s="27"/>
      <c r="Z13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79" spans="6:26" hidden="1">
      <c r="F1379" s="28" t="str">
        <f>IFERROR(VLOOKUP(TAB_OFICINAS[[#This Row],[Cliente]],LISTA_DE_CLIENTES[[Código]:[Nome Fantasia]],2,FALSE),"")</f>
        <v/>
      </c>
      <c r="G1379" s="2" t="str">
        <f>IFERROR(VLOOKUP(TAB_OFICINAS[[#This Row],[Cliente]],LISTA_DE_CLIENTES[[Código]:[Nome Fantasia]],3,FALSE),"")</f>
        <v/>
      </c>
      <c r="H1379" s="123"/>
      <c r="J1379" s="91"/>
      <c r="K1379" s="88"/>
      <c r="O1379" s="23">
        <f>TAB_OFICINAS[[#This Row],[Data Retorno Produção]]-TAB_OFICINAS[[#This Row],[Data Prometida  Entrega]]</f>
        <v>0</v>
      </c>
      <c r="P1379" s="98" t="str">
        <f>IF(TAB_OFICINAS[[#This Row],[Dias Para Entrega]]&lt;=0,"Em dia","Dia de Atrasado")</f>
        <v>Em dia</v>
      </c>
      <c r="Q1379" s="24">
        <f>IFERROR(TAB_OFICINAS[[#This Row],[Qtd pçs Enviadas]]-TAB_OFICINAS[[#This Row],[Qtd pçs Retornadas ]],"N/D ")</f>
        <v>0</v>
      </c>
      <c r="R1379" s="24"/>
      <c r="U1379" s="11"/>
      <c r="V1379" s="25">
        <f>IFERROR(TAB_OFICINAS[[#This Row],[Valor Unit]]*TAB_OFICINAS[[#This Row],[Qtd pçs Enviadas]]," ")</f>
        <v>0</v>
      </c>
      <c r="W1379" s="26"/>
      <c r="Y1379" s="27"/>
      <c r="Z13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0" spans="6:26" hidden="1">
      <c r="F1380" s="28" t="str">
        <f>IFERROR(VLOOKUP(TAB_OFICINAS[[#This Row],[Cliente]],LISTA_DE_CLIENTES[[Código]:[Nome Fantasia]],2,FALSE),"")</f>
        <v/>
      </c>
      <c r="G1380" s="2" t="str">
        <f>IFERROR(VLOOKUP(TAB_OFICINAS[[#This Row],[Cliente]],LISTA_DE_CLIENTES[[Código]:[Nome Fantasia]],3,FALSE),"")</f>
        <v/>
      </c>
      <c r="H1380" s="123"/>
      <c r="J1380" s="91"/>
      <c r="K1380" s="88"/>
      <c r="O1380" s="23">
        <f>TAB_OFICINAS[[#This Row],[Data Retorno Produção]]-TAB_OFICINAS[[#This Row],[Data Prometida  Entrega]]</f>
        <v>0</v>
      </c>
      <c r="P1380" s="98" t="str">
        <f>IF(TAB_OFICINAS[[#This Row],[Dias Para Entrega]]&lt;=0,"Em dia","Dia de Atrasado")</f>
        <v>Em dia</v>
      </c>
      <c r="Q1380" s="24">
        <f>IFERROR(TAB_OFICINAS[[#This Row],[Qtd pçs Enviadas]]-TAB_OFICINAS[[#This Row],[Qtd pçs Retornadas ]],"N/D ")</f>
        <v>0</v>
      </c>
      <c r="R1380" s="24"/>
      <c r="U1380" s="11"/>
      <c r="V1380" s="25">
        <f>IFERROR(TAB_OFICINAS[[#This Row],[Valor Unit]]*TAB_OFICINAS[[#This Row],[Qtd pçs Enviadas]]," ")</f>
        <v>0</v>
      </c>
      <c r="W1380" s="26"/>
      <c r="Y1380" s="27"/>
      <c r="Z13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1" spans="6:26" hidden="1">
      <c r="F1381" s="28" t="str">
        <f>IFERROR(VLOOKUP(TAB_OFICINAS[[#This Row],[Cliente]],LISTA_DE_CLIENTES[[Código]:[Nome Fantasia]],2,FALSE),"")</f>
        <v/>
      </c>
      <c r="G1381" s="2" t="str">
        <f>IFERROR(VLOOKUP(TAB_OFICINAS[[#This Row],[Cliente]],LISTA_DE_CLIENTES[[Código]:[Nome Fantasia]],3,FALSE),"")</f>
        <v/>
      </c>
      <c r="H1381" s="123"/>
      <c r="J1381" s="91"/>
      <c r="K1381" s="88"/>
      <c r="O1381" s="23">
        <f>TAB_OFICINAS[[#This Row],[Data Retorno Produção]]-TAB_OFICINAS[[#This Row],[Data Prometida  Entrega]]</f>
        <v>0</v>
      </c>
      <c r="P1381" s="98" t="str">
        <f>IF(TAB_OFICINAS[[#This Row],[Dias Para Entrega]]&lt;=0,"Em dia","Dia de Atrasado")</f>
        <v>Em dia</v>
      </c>
      <c r="Q1381" s="24">
        <f>IFERROR(TAB_OFICINAS[[#This Row],[Qtd pçs Enviadas]]-TAB_OFICINAS[[#This Row],[Qtd pçs Retornadas ]],"N/D ")</f>
        <v>0</v>
      </c>
      <c r="R1381" s="24"/>
      <c r="U1381" s="11"/>
      <c r="V1381" s="25">
        <f>IFERROR(TAB_OFICINAS[[#This Row],[Valor Unit]]*TAB_OFICINAS[[#This Row],[Qtd pçs Enviadas]]," ")</f>
        <v>0</v>
      </c>
      <c r="W1381" s="26"/>
      <c r="Y1381" s="27"/>
      <c r="Z13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2" spans="6:26" hidden="1">
      <c r="F1382" s="28" t="str">
        <f>IFERROR(VLOOKUP(TAB_OFICINAS[[#This Row],[Cliente]],LISTA_DE_CLIENTES[[Código]:[Nome Fantasia]],2,FALSE),"")</f>
        <v/>
      </c>
      <c r="G1382" s="2" t="str">
        <f>IFERROR(VLOOKUP(TAB_OFICINAS[[#This Row],[Cliente]],LISTA_DE_CLIENTES[[Código]:[Nome Fantasia]],3,FALSE),"")</f>
        <v/>
      </c>
      <c r="H1382" s="123"/>
      <c r="I1382" s="28" t="s">
        <v>21395</v>
      </c>
      <c r="J1382" s="91"/>
      <c r="K1382" s="88"/>
      <c r="O1382" s="23">
        <f>TAB_OFICINAS[[#This Row],[Data Retorno Produção]]-TAB_OFICINAS[[#This Row],[Data Prometida  Entrega]]</f>
        <v>0</v>
      </c>
      <c r="P1382" s="98" t="str">
        <f>IF(TAB_OFICINAS[[#This Row],[Dias Para Entrega]]&lt;=0,"Em dia","Dia de Atrasado")</f>
        <v>Em dia</v>
      </c>
      <c r="Q1382" s="24">
        <f>IFERROR(TAB_OFICINAS[[#This Row],[Qtd pçs Enviadas]]-TAB_OFICINAS[[#This Row],[Qtd pçs Retornadas ]],"N/D ")</f>
        <v>0</v>
      </c>
      <c r="R1382" s="24"/>
      <c r="U1382" s="11"/>
      <c r="V1382" s="25">
        <f>IFERROR(TAB_OFICINAS[[#This Row],[Valor Unit]]*TAB_OFICINAS[[#This Row],[Qtd pçs Enviadas]]," ")</f>
        <v>0</v>
      </c>
      <c r="W1382" s="26"/>
      <c r="Y1382" s="27"/>
      <c r="Z13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3" spans="6:26" hidden="1">
      <c r="F1383" s="28" t="str">
        <f>IFERROR(VLOOKUP(TAB_OFICINAS[[#This Row],[Cliente]],LISTA_DE_CLIENTES[[Código]:[Nome Fantasia]],2,FALSE),"")</f>
        <v/>
      </c>
      <c r="G1383" s="2" t="str">
        <f>IFERROR(VLOOKUP(TAB_OFICINAS[[#This Row],[Cliente]],LISTA_DE_CLIENTES[[Código]:[Nome Fantasia]],3,FALSE),"")</f>
        <v/>
      </c>
      <c r="H1383" s="123"/>
      <c r="J1383" s="91"/>
      <c r="K1383" s="88"/>
      <c r="O1383" s="23">
        <f>TAB_OFICINAS[[#This Row],[Data Retorno Produção]]-TAB_OFICINAS[[#This Row],[Data Prometida  Entrega]]</f>
        <v>0</v>
      </c>
      <c r="P1383" s="98" t="str">
        <f>IF(TAB_OFICINAS[[#This Row],[Dias Para Entrega]]&lt;=0,"Em dia","Dia de Atrasado")</f>
        <v>Em dia</v>
      </c>
      <c r="Q1383" s="24">
        <f>IFERROR(TAB_OFICINAS[[#This Row],[Qtd pçs Enviadas]]-TAB_OFICINAS[[#This Row],[Qtd pçs Retornadas ]],"N/D ")</f>
        <v>0</v>
      </c>
      <c r="R1383" s="24"/>
      <c r="U1383" s="11"/>
      <c r="V1383" s="25">
        <f>IFERROR(TAB_OFICINAS[[#This Row],[Valor Unit]]*TAB_OFICINAS[[#This Row],[Qtd pçs Enviadas]]," ")</f>
        <v>0</v>
      </c>
      <c r="W1383" s="26"/>
      <c r="Y1383" s="27"/>
      <c r="Z13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4" spans="6:26" hidden="1">
      <c r="F1384" s="28" t="str">
        <f>IFERROR(VLOOKUP(TAB_OFICINAS[[#This Row],[Cliente]],LISTA_DE_CLIENTES[[Código]:[Nome Fantasia]],2,FALSE),"")</f>
        <v/>
      </c>
      <c r="G1384" s="2" t="str">
        <f>IFERROR(VLOOKUP(TAB_OFICINAS[[#This Row],[Cliente]],LISTA_DE_CLIENTES[[Código]:[Nome Fantasia]],3,FALSE),"")</f>
        <v/>
      </c>
      <c r="H1384" s="123"/>
      <c r="J1384" s="91"/>
      <c r="K1384" s="88"/>
      <c r="O1384" s="23">
        <f>TAB_OFICINAS[[#This Row],[Data Retorno Produção]]-TAB_OFICINAS[[#This Row],[Data Prometida  Entrega]]</f>
        <v>0</v>
      </c>
      <c r="P1384" s="98" t="str">
        <f>IF(TAB_OFICINAS[[#This Row],[Dias Para Entrega]]&lt;=0,"Em dia","Dia de Atrasado")</f>
        <v>Em dia</v>
      </c>
      <c r="Q1384" s="24">
        <f>IFERROR(TAB_OFICINAS[[#This Row],[Qtd pçs Enviadas]]-TAB_OFICINAS[[#This Row],[Qtd pçs Retornadas ]],"N/D ")</f>
        <v>0</v>
      </c>
      <c r="R1384" s="24"/>
      <c r="U1384" s="11"/>
      <c r="V1384" s="25">
        <f>IFERROR(TAB_OFICINAS[[#This Row],[Valor Unit]]*TAB_OFICINAS[[#This Row],[Qtd pçs Enviadas]]," ")</f>
        <v>0</v>
      </c>
      <c r="W1384" s="26"/>
      <c r="Y1384" s="27"/>
      <c r="Z13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5" spans="6:26" hidden="1">
      <c r="F1385" s="28" t="str">
        <f>IFERROR(VLOOKUP(TAB_OFICINAS[[#This Row],[Cliente]],LISTA_DE_CLIENTES[[Código]:[Nome Fantasia]],2,FALSE),"")</f>
        <v/>
      </c>
      <c r="G1385" s="2" t="str">
        <f>IFERROR(VLOOKUP(TAB_OFICINAS[[#This Row],[Cliente]],LISTA_DE_CLIENTES[[Código]:[Nome Fantasia]],3,FALSE),"")</f>
        <v/>
      </c>
      <c r="H1385" s="123"/>
      <c r="J1385" s="91"/>
      <c r="K1385" s="88"/>
      <c r="O1385" s="23">
        <f>TAB_OFICINAS[[#This Row],[Data Retorno Produção]]-TAB_OFICINAS[[#This Row],[Data Prometida  Entrega]]</f>
        <v>0</v>
      </c>
      <c r="P1385" s="98" t="str">
        <f>IF(TAB_OFICINAS[[#This Row],[Dias Para Entrega]]&lt;=0,"Em dia","Dia de Atrasado")</f>
        <v>Em dia</v>
      </c>
      <c r="Q1385" s="24">
        <f>IFERROR(TAB_OFICINAS[[#This Row],[Qtd pçs Enviadas]]-TAB_OFICINAS[[#This Row],[Qtd pçs Retornadas ]],"N/D ")</f>
        <v>0</v>
      </c>
      <c r="R1385" s="24"/>
      <c r="U1385" s="11"/>
      <c r="V1385" s="25">
        <f>IFERROR(TAB_OFICINAS[[#This Row],[Valor Unit]]*TAB_OFICINAS[[#This Row],[Qtd pçs Enviadas]]," ")</f>
        <v>0</v>
      </c>
      <c r="W1385" s="26"/>
      <c r="Y1385" s="27"/>
      <c r="Z13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6" spans="6:26" hidden="1">
      <c r="F1386" s="28" t="str">
        <f>IFERROR(VLOOKUP(TAB_OFICINAS[[#This Row],[Cliente]],LISTA_DE_CLIENTES[[Código]:[Nome Fantasia]],2,FALSE),"")</f>
        <v/>
      </c>
      <c r="G1386" s="2" t="str">
        <f>IFERROR(VLOOKUP(TAB_OFICINAS[[#This Row],[Cliente]],LISTA_DE_CLIENTES[[Código]:[Nome Fantasia]],3,FALSE),"")</f>
        <v/>
      </c>
      <c r="H1386" s="123"/>
      <c r="J1386" s="91"/>
      <c r="K1386" s="88"/>
      <c r="O1386" s="23">
        <f>TAB_OFICINAS[[#This Row],[Data Retorno Produção]]-TAB_OFICINAS[[#This Row],[Data Prometida  Entrega]]</f>
        <v>0</v>
      </c>
      <c r="P1386" s="98" t="str">
        <f>IF(TAB_OFICINAS[[#This Row],[Dias Para Entrega]]&lt;=0,"Em dia","Dia de Atrasado")</f>
        <v>Em dia</v>
      </c>
      <c r="Q1386" s="24">
        <f>IFERROR(TAB_OFICINAS[[#This Row],[Qtd pçs Enviadas]]-TAB_OFICINAS[[#This Row],[Qtd pçs Retornadas ]],"N/D ")</f>
        <v>0</v>
      </c>
      <c r="R1386" s="24"/>
      <c r="U1386" s="11"/>
      <c r="V1386" s="25">
        <f>IFERROR(TAB_OFICINAS[[#This Row],[Valor Unit]]*TAB_OFICINAS[[#This Row],[Qtd pçs Enviadas]]," ")</f>
        <v>0</v>
      </c>
      <c r="W1386" s="26"/>
      <c r="Y1386" s="27"/>
      <c r="Z13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7" spans="6:26" hidden="1">
      <c r="F1387" s="28" t="str">
        <f>IFERROR(VLOOKUP(TAB_OFICINAS[[#This Row],[Cliente]],LISTA_DE_CLIENTES[[Código]:[Nome Fantasia]],2,FALSE),"")</f>
        <v/>
      </c>
      <c r="G1387" s="2" t="str">
        <f>IFERROR(VLOOKUP(TAB_OFICINAS[[#This Row],[Cliente]],LISTA_DE_CLIENTES[[Código]:[Nome Fantasia]],3,FALSE),"")</f>
        <v/>
      </c>
      <c r="H1387" s="123"/>
      <c r="J1387" s="91"/>
      <c r="K1387" s="88"/>
      <c r="O1387" s="23">
        <f>TAB_OFICINAS[[#This Row],[Data Retorno Produção]]-TAB_OFICINAS[[#This Row],[Data Prometida  Entrega]]</f>
        <v>0</v>
      </c>
      <c r="P1387" s="98" t="str">
        <f>IF(TAB_OFICINAS[[#This Row],[Dias Para Entrega]]&lt;=0,"Em dia","Dia de Atrasado")</f>
        <v>Em dia</v>
      </c>
      <c r="Q1387" s="24">
        <f>IFERROR(TAB_OFICINAS[[#This Row],[Qtd pçs Enviadas]]-TAB_OFICINAS[[#This Row],[Qtd pçs Retornadas ]],"N/D ")</f>
        <v>0</v>
      </c>
      <c r="R1387" s="24"/>
      <c r="U1387" s="11"/>
      <c r="V1387" s="25">
        <f>IFERROR(TAB_OFICINAS[[#This Row],[Valor Unit]]*TAB_OFICINAS[[#This Row],[Qtd pçs Enviadas]]," ")</f>
        <v>0</v>
      </c>
      <c r="W1387" s="26"/>
      <c r="Y1387" s="27"/>
      <c r="Z13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8" spans="6:26" hidden="1">
      <c r="F1388" s="28" t="str">
        <f>IFERROR(VLOOKUP(TAB_OFICINAS[[#This Row],[Cliente]],LISTA_DE_CLIENTES[[Código]:[Nome Fantasia]],2,FALSE),"")</f>
        <v/>
      </c>
      <c r="G1388" s="2" t="str">
        <f>IFERROR(VLOOKUP(TAB_OFICINAS[[#This Row],[Cliente]],LISTA_DE_CLIENTES[[Código]:[Nome Fantasia]],3,FALSE),"")</f>
        <v/>
      </c>
      <c r="H1388" s="123"/>
      <c r="J1388" s="91"/>
      <c r="K1388" s="88"/>
      <c r="O1388" s="23">
        <f>TAB_OFICINAS[[#This Row],[Data Retorno Produção]]-TAB_OFICINAS[[#This Row],[Data Prometida  Entrega]]</f>
        <v>0</v>
      </c>
      <c r="P1388" s="98" t="str">
        <f>IF(TAB_OFICINAS[[#This Row],[Dias Para Entrega]]&lt;=0,"Em dia","Dia de Atrasado")</f>
        <v>Em dia</v>
      </c>
      <c r="Q1388" s="24">
        <f>IFERROR(TAB_OFICINAS[[#This Row],[Qtd pçs Enviadas]]-TAB_OFICINAS[[#This Row],[Qtd pçs Retornadas ]],"N/D ")</f>
        <v>0</v>
      </c>
      <c r="R1388" s="24"/>
      <c r="U1388" s="11"/>
      <c r="V1388" s="25">
        <f>IFERROR(TAB_OFICINAS[[#This Row],[Valor Unit]]*TAB_OFICINAS[[#This Row],[Qtd pçs Enviadas]]," ")</f>
        <v>0</v>
      </c>
      <c r="W1388" s="26"/>
      <c r="Y1388" s="27"/>
      <c r="Z13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89" spans="6:26" hidden="1">
      <c r="F1389" s="28" t="str">
        <f>IFERROR(VLOOKUP(TAB_OFICINAS[[#This Row],[Cliente]],LISTA_DE_CLIENTES[[Código]:[Nome Fantasia]],2,FALSE),"")</f>
        <v/>
      </c>
      <c r="G1389" s="2" t="str">
        <f>IFERROR(VLOOKUP(TAB_OFICINAS[[#This Row],[Cliente]],LISTA_DE_CLIENTES[[Código]:[Nome Fantasia]],3,FALSE),"")</f>
        <v/>
      </c>
      <c r="H1389" s="123"/>
      <c r="J1389" s="91"/>
      <c r="K1389" s="88"/>
      <c r="O1389" s="23">
        <f>TAB_OFICINAS[[#This Row],[Data Retorno Produção]]-TAB_OFICINAS[[#This Row],[Data Prometida  Entrega]]</f>
        <v>0</v>
      </c>
      <c r="P1389" s="98" t="str">
        <f>IF(TAB_OFICINAS[[#This Row],[Dias Para Entrega]]&lt;=0,"Em dia","Dia de Atrasado")</f>
        <v>Em dia</v>
      </c>
      <c r="Q1389" s="24">
        <f>IFERROR(TAB_OFICINAS[[#This Row],[Qtd pçs Enviadas]]-TAB_OFICINAS[[#This Row],[Qtd pçs Retornadas ]],"N/D ")</f>
        <v>0</v>
      </c>
      <c r="R1389" s="24"/>
      <c r="U1389" s="11"/>
      <c r="V1389" s="25">
        <f>IFERROR(TAB_OFICINAS[[#This Row],[Valor Unit]]*TAB_OFICINAS[[#This Row],[Qtd pçs Enviadas]]," ")</f>
        <v>0</v>
      </c>
      <c r="W1389" s="26"/>
      <c r="Y1389" s="27"/>
      <c r="Z13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0" spans="6:26" hidden="1">
      <c r="F1390" s="28" t="str">
        <f>IFERROR(VLOOKUP(TAB_OFICINAS[[#This Row],[Cliente]],LISTA_DE_CLIENTES[[Código]:[Nome Fantasia]],2,FALSE),"")</f>
        <v/>
      </c>
      <c r="G1390" s="2" t="str">
        <f>IFERROR(VLOOKUP(TAB_OFICINAS[[#This Row],[Cliente]],LISTA_DE_CLIENTES[[Código]:[Nome Fantasia]],3,FALSE),"")</f>
        <v/>
      </c>
      <c r="H1390" s="123"/>
      <c r="J1390" s="91"/>
      <c r="K1390" s="88"/>
      <c r="O1390" s="23">
        <f>TAB_OFICINAS[[#This Row],[Data Retorno Produção]]-TAB_OFICINAS[[#This Row],[Data Prometida  Entrega]]</f>
        <v>0</v>
      </c>
      <c r="P1390" s="98" t="str">
        <f>IF(TAB_OFICINAS[[#This Row],[Dias Para Entrega]]&lt;=0,"Em dia","Dia de Atrasado")</f>
        <v>Em dia</v>
      </c>
      <c r="Q1390" s="24">
        <f>IFERROR(TAB_OFICINAS[[#This Row],[Qtd pçs Enviadas]]-TAB_OFICINAS[[#This Row],[Qtd pçs Retornadas ]],"N/D ")</f>
        <v>0</v>
      </c>
      <c r="R1390" s="24"/>
      <c r="U1390" s="11"/>
      <c r="V1390" s="25">
        <f>IFERROR(TAB_OFICINAS[[#This Row],[Valor Unit]]*TAB_OFICINAS[[#This Row],[Qtd pçs Enviadas]]," ")</f>
        <v>0</v>
      </c>
      <c r="W1390" s="26"/>
      <c r="Y1390" s="27"/>
      <c r="Z139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1" spans="6:26" hidden="1">
      <c r="F1391" s="28" t="str">
        <f>IFERROR(VLOOKUP(TAB_OFICINAS[[#This Row],[Cliente]],LISTA_DE_CLIENTES[[Código]:[Nome Fantasia]],2,FALSE),"")</f>
        <v/>
      </c>
      <c r="G1391" s="2" t="str">
        <f>IFERROR(VLOOKUP(TAB_OFICINAS[[#This Row],[Cliente]],LISTA_DE_CLIENTES[[Código]:[Nome Fantasia]],3,FALSE),"")</f>
        <v/>
      </c>
      <c r="H1391" s="123"/>
      <c r="J1391" s="91"/>
      <c r="K1391" s="88"/>
      <c r="O1391" s="23">
        <f>TAB_OFICINAS[[#This Row],[Data Retorno Produção]]-TAB_OFICINAS[[#This Row],[Data Prometida  Entrega]]</f>
        <v>0</v>
      </c>
      <c r="P1391" s="98" t="str">
        <f>IF(TAB_OFICINAS[[#This Row],[Dias Para Entrega]]&lt;=0,"Em dia","Dia de Atrasado")</f>
        <v>Em dia</v>
      </c>
      <c r="Q1391" s="24">
        <f>IFERROR(TAB_OFICINAS[[#This Row],[Qtd pçs Enviadas]]-TAB_OFICINAS[[#This Row],[Qtd pçs Retornadas ]],"N/D ")</f>
        <v>0</v>
      </c>
      <c r="R1391" s="24"/>
      <c r="U1391" s="11"/>
      <c r="V1391" s="25">
        <f>IFERROR(TAB_OFICINAS[[#This Row],[Valor Unit]]*TAB_OFICINAS[[#This Row],[Qtd pçs Enviadas]]," ")</f>
        <v>0</v>
      </c>
      <c r="W1391" s="26"/>
      <c r="Y1391" s="27"/>
      <c r="Z13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2" spans="6:26" hidden="1">
      <c r="F1392" s="28" t="str">
        <f>IFERROR(VLOOKUP(TAB_OFICINAS[[#This Row],[Cliente]],LISTA_DE_CLIENTES[[Código]:[Nome Fantasia]],2,FALSE),"")</f>
        <v/>
      </c>
      <c r="G1392" s="2" t="str">
        <f>IFERROR(VLOOKUP(TAB_OFICINAS[[#This Row],[Cliente]],LISTA_DE_CLIENTES[[Código]:[Nome Fantasia]],3,FALSE),"")</f>
        <v/>
      </c>
      <c r="H1392" s="123"/>
      <c r="J1392" s="91"/>
      <c r="K1392" s="88"/>
      <c r="O1392" s="23">
        <f>TAB_OFICINAS[[#This Row],[Data Retorno Produção]]-TAB_OFICINAS[[#This Row],[Data Prometida  Entrega]]</f>
        <v>0</v>
      </c>
      <c r="P1392" s="98" t="str">
        <f>IF(TAB_OFICINAS[[#This Row],[Dias Para Entrega]]&lt;=0,"Em dia","Dia de Atrasado")</f>
        <v>Em dia</v>
      </c>
      <c r="Q1392" s="24">
        <f>IFERROR(TAB_OFICINAS[[#This Row],[Qtd pçs Enviadas]]-TAB_OFICINAS[[#This Row],[Qtd pçs Retornadas ]],"N/D ")</f>
        <v>0</v>
      </c>
      <c r="R1392" s="24"/>
      <c r="U1392" s="11"/>
      <c r="V1392" s="25">
        <f>IFERROR(TAB_OFICINAS[[#This Row],[Valor Unit]]*TAB_OFICINAS[[#This Row],[Qtd pçs Enviadas]]," ")</f>
        <v>0</v>
      </c>
      <c r="W1392" s="26"/>
      <c r="Y1392" s="27"/>
      <c r="Z13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3" spans="6:26" hidden="1">
      <c r="F1393" s="28" t="str">
        <f>IFERROR(VLOOKUP(TAB_OFICINAS[[#This Row],[Cliente]],LISTA_DE_CLIENTES[[Código]:[Nome Fantasia]],2,FALSE),"")</f>
        <v/>
      </c>
      <c r="G1393" s="2" t="str">
        <f>IFERROR(VLOOKUP(TAB_OFICINAS[[#This Row],[Cliente]],LISTA_DE_CLIENTES[[Código]:[Nome Fantasia]],3,FALSE),"")</f>
        <v/>
      </c>
      <c r="H1393" s="123"/>
      <c r="J1393" s="91"/>
      <c r="K1393" s="88"/>
      <c r="O1393" s="23">
        <f>TAB_OFICINAS[[#This Row],[Data Retorno Produção]]-TAB_OFICINAS[[#This Row],[Data Prometida  Entrega]]</f>
        <v>0</v>
      </c>
      <c r="P1393" s="98" t="str">
        <f>IF(TAB_OFICINAS[[#This Row],[Dias Para Entrega]]&lt;=0,"Em dia","Dia de Atrasado")</f>
        <v>Em dia</v>
      </c>
      <c r="Q1393" s="24">
        <f>IFERROR(TAB_OFICINAS[[#This Row],[Qtd pçs Enviadas]]-TAB_OFICINAS[[#This Row],[Qtd pçs Retornadas ]],"N/D ")</f>
        <v>0</v>
      </c>
      <c r="R1393" s="24"/>
      <c r="U1393" s="11"/>
      <c r="V1393" s="25">
        <f>IFERROR(TAB_OFICINAS[[#This Row],[Valor Unit]]*TAB_OFICINAS[[#This Row],[Qtd pçs Enviadas]]," ")</f>
        <v>0</v>
      </c>
      <c r="W1393" s="26"/>
      <c r="Y1393" s="27"/>
      <c r="Z13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4" spans="6:26" hidden="1">
      <c r="F1394" s="28" t="str">
        <f>IFERROR(VLOOKUP(TAB_OFICINAS[[#This Row],[Cliente]],LISTA_DE_CLIENTES[[Código]:[Nome Fantasia]],2,FALSE),"")</f>
        <v/>
      </c>
      <c r="G1394" s="2" t="str">
        <f>IFERROR(VLOOKUP(TAB_OFICINAS[[#This Row],[Cliente]],LISTA_DE_CLIENTES[[Código]:[Nome Fantasia]],3,FALSE),"")</f>
        <v/>
      </c>
      <c r="H1394" s="123"/>
      <c r="J1394" s="91"/>
      <c r="K1394" s="88"/>
      <c r="O1394" s="23">
        <f>TAB_OFICINAS[[#This Row],[Data Retorno Produção]]-TAB_OFICINAS[[#This Row],[Data Prometida  Entrega]]</f>
        <v>0</v>
      </c>
      <c r="P1394" s="98" t="str">
        <f>IF(TAB_OFICINAS[[#This Row],[Dias Para Entrega]]&lt;=0,"Em dia","Dia de Atrasado")</f>
        <v>Em dia</v>
      </c>
      <c r="Q1394" s="24">
        <f>IFERROR(TAB_OFICINAS[[#This Row],[Qtd pçs Enviadas]]-TAB_OFICINAS[[#This Row],[Qtd pçs Retornadas ]],"N/D ")</f>
        <v>0</v>
      </c>
      <c r="R1394" s="24"/>
      <c r="U1394" s="11"/>
      <c r="V1394" s="25">
        <f>IFERROR(TAB_OFICINAS[[#This Row],[Valor Unit]]*TAB_OFICINAS[[#This Row],[Qtd pçs Enviadas]]," ")</f>
        <v>0</v>
      </c>
      <c r="W1394" s="26"/>
      <c r="Y1394" s="27"/>
      <c r="Z13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5" spans="6:26" hidden="1">
      <c r="F1395" s="28" t="str">
        <f>IFERROR(VLOOKUP(TAB_OFICINAS[[#This Row],[Cliente]],LISTA_DE_CLIENTES[[Código]:[Nome Fantasia]],2,FALSE),"")</f>
        <v/>
      </c>
      <c r="G1395" s="2" t="str">
        <f>IFERROR(VLOOKUP(TAB_OFICINAS[[#This Row],[Cliente]],LISTA_DE_CLIENTES[[Código]:[Nome Fantasia]],3,FALSE),"")</f>
        <v/>
      </c>
      <c r="H1395" s="123"/>
      <c r="J1395" s="91"/>
      <c r="K1395" s="88"/>
      <c r="O1395" s="23">
        <f>TAB_OFICINAS[[#This Row],[Data Retorno Produção]]-TAB_OFICINAS[[#This Row],[Data Prometida  Entrega]]</f>
        <v>0</v>
      </c>
      <c r="P1395" s="98" t="str">
        <f>IF(TAB_OFICINAS[[#This Row],[Dias Para Entrega]]&lt;=0,"Em dia","Dia de Atrasado")</f>
        <v>Em dia</v>
      </c>
      <c r="Q1395" s="24">
        <f>IFERROR(TAB_OFICINAS[[#This Row],[Qtd pçs Enviadas]]-TAB_OFICINAS[[#This Row],[Qtd pçs Retornadas ]],"N/D ")</f>
        <v>0</v>
      </c>
      <c r="R1395" s="24"/>
      <c r="U1395" s="11"/>
      <c r="V1395" s="25">
        <f>IFERROR(TAB_OFICINAS[[#This Row],[Valor Unit]]*TAB_OFICINAS[[#This Row],[Qtd pçs Enviadas]]," ")</f>
        <v>0</v>
      </c>
      <c r="W1395" s="26"/>
      <c r="Y1395" s="27"/>
      <c r="Z139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6" spans="6:26" hidden="1">
      <c r="F1396" s="28" t="str">
        <f>IFERROR(VLOOKUP(TAB_OFICINAS[[#This Row],[Cliente]],LISTA_DE_CLIENTES[[Código]:[Nome Fantasia]],2,FALSE),"")</f>
        <v/>
      </c>
      <c r="G1396" s="2" t="str">
        <f>IFERROR(VLOOKUP(TAB_OFICINAS[[#This Row],[Cliente]],LISTA_DE_CLIENTES[[Código]:[Nome Fantasia]],3,FALSE),"")</f>
        <v/>
      </c>
      <c r="H1396" s="123"/>
      <c r="J1396" s="91"/>
      <c r="K1396" s="88"/>
      <c r="O1396" s="23">
        <f>TAB_OFICINAS[[#This Row],[Data Retorno Produção]]-TAB_OFICINAS[[#This Row],[Data Prometida  Entrega]]</f>
        <v>0</v>
      </c>
      <c r="P1396" s="98" t="str">
        <f>IF(TAB_OFICINAS[[#This Row],[Dias Para Entrega]]&lt;=0,"Em dia","Dia de Atrasado")</f>
        <v>Em dia</v>
      </c>
      <c r="Q1396" s="24">
        <f>IFERROR(TAB_OFICINAS[[#This Row],[Qtd pçs Enviadas]]-TAB_OFICINAS[[#This Row],[Qtd pçs Retornadas ]],"N/D ")</f>
        <v>0</v>
      </c>
      <c r="R1396" s="24"/>
      <c r="U1396" s="11"/>
      <c r="V1396" s="25">
        <f>IFERROR(TAB_OFICINAS[[#This Row],[Valor Unit]]*TAB_OFICINAS[[#This Row],[Qtd pçs Enviadas]]," ")</f>
        <v>0</v>
      </c>
      <c r="W1396" s="26"/>
      <c r="Y1396" s="27"/>
      <c r="Z139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7" spans="6:26" hidden="1">
      <c r="F1397" s="28" t="str">
        <f>IFERROR(VLOOKUP(TAB_OFICINAS[[#This Row],[Cliente]],LISTA_DE_CLIENTES[[Código]:[Nome Fantasia]],2,FALSE),"")</f>
        <v/>
      </c>
      <c r="G1397" s="2" t="str">
        <f>IFERROR(VLOOKUP(TAB_OFICINAS[[#This Row],[Cliente]],LISTA_DE_CLIENTES[[Código]:[Nome Fantasia]],3,FALSE),"")</f>
        <v/>
      </c>
      <c r="H1397" s="123"/>
      <c r="J1397" s="91"/>
      <c r="K1397" s="88"/>
      <c r="O1397" s="23">
        <f>TAB_OFICINAS[[#This Row],[Data Retorno Produção]]-TAB_OFICINAS[[#This Row],[Data Prometida  Entrega]]</f>
        <v>0</v>
      </c>
      <c r="P1397" s="98" t="str">
        <f>IF(TAB_OFICINAS[[#This Row],[Dias Para Entrega]]&lt;=0,"Em dia","Dia de Atrasado")</f>
        <v>Em dia</v>
      </c>
      <c r="Q1397" s="24">
        <f>IFERROR(TAB_OFICINAS[[#This Row],[Qtd pçs Enviadas]]-TAB_OFICINAS[[#This Row],[Qtd pçs Retornadas ]],"N/D ")</f>
        <v>0</v>
      </c>
      <c r="R1397" s="24"/>
      <c r="U1397" s="11"/>
      <c r="V1397" s="25">
        <f>IFERROR(TAB_OFICINAS[[#This Row],[Valor Unit]]*TAB_OFICINAS[[#This Row],[Qtd pçs Enviadas]]," ")</f>
        <v>0</v>
      </c>
      <c r="W1397" s="26"/>
      <c r="Y1397" s="27"/>
      <c r="Z139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8" spans="6:26" hidden="1">
      <c r="F1398" s="28" t="str">
        <f>IFERROR(VLOOKUP(TAB_OFICINAS[[#This Row],[Cliente]],LISTA_DE_CLIENTES[[Código]:[Nome Fantasia]],2,FALSE),"")</f>
        <v/>
      </c>
      <c r="G1398" s="2" t="str">
        <f>IFERROR(VLOOKUP(TAB_OFICINAS[[#This Row],[Cliente]],LISTA_DE_CLIENTES[[Código]:[Nome Fantasia]],3,FALSE),"")</f>
        <v/>
      </c>
      <c r="H1398" s="123"/>
      <c r="J1398" s="91"/>
      <c r="K1398" s="88"/>
      <c r="O1398" s="23">
        <f>TAB_OFICINAS[[#This Row],[Data Retorno Produção]]-TAB_OFICINAS[[#This Row],[Data Prometida  Entrega]]</f>
        <v>0</v>
      </c>
      <c r="P1398" s="98" t="str">
        <f>IF(TAB_OFICINAS[[#This Row],[Dias Para Entrega]]&lt;=0,"Em dia","Dia de Atrasado")</f>
        <v>Em dia</v>
      </c>
      <c r="Q1398" s="24">
        <f>IFERROR(TAB_OFICINAS[[#This Row],[Qtd pçs Enviadas]]-TAB_OFICINAS[[#This Row],[Qtd pçs Retornadas ]],"N/D ")</f>
        <v>0</v>
      </c>
      <c r="R1398" s="24"/>
      <c r="U1398" s="11"/>
      <c r="V1398" s="25">
        <f>IFERROR(TAB_OFICINAS[[#This Row],[Valor Unit]]*TAB_OFICINAS[[#This Row],[Qtd pçs Enviadas]]," ")</f>
        <v>0</v>
      </c>
      <c r="W1398" s="26"/>
      <c r="Y1398" s="27"/>
      <c r="Z139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399" spans="6:26" hidden="1">
      <c r="F1399" s="28" t="str">
        <f>IFERROR(VLOOKUP(TAB_OFICINAS[[#This Row],[Cliente]],LISTA_DE_CLIENTES[[Código]:[Nome Fantasia]],2,FALSE),"")</f>
        <v/>
      </c>
      <c r="G1399" s="2" t="str">
        <f>IFERROR(VLOOKUP(TAB_OFICINAS[[#This Row],[Cliente]],LISTA_DE_CLIENTES[[Código]:[Nome Fantasia]],3,FALSE),"")</f>
        <v/>
      </c>
      <c r="H1399" s="123"/>
      <c r="J1399" s="91"/>
      <c r="K1399" s="88"/>
      <c r="O1399" s="23">
        <f>TAB_OFICINAS[[#This Row],[Data Retorno Produção]]-TAB_OFICINAS[[#This Row],[Data Prometida  Entrega]]</f>
        <v>0</v>
      </c>
      <c r="P1399" s="98" t="str">
        <f>IF(TAB_OFICINAS[[#This Row],[Dias Para Entrega]]&lt;=0,"Em dia","Dia de Atrasado")</f>
        <v>Em dia</v>
      </c>
      <c r="Q1399" s="24">
        <f>IFERROR(TAB_OFICINAS[[#This Row],[Qtd pçs Enviadas]]-TAB_OFICINAS[[#This Row],[Qtd pçs Retornadas ]],"N/D ")</f>
        <v>0</v>
      </c>
      <c r="R1399" s="24"/>
      <c r="U1399" s="11"/>
      <c r="V1399" s="25">
        <f>IFERROR(TAB_OFICINAS[[#This Row],[Valor Unit]]*TAB_OFICINAS[[#This Row],[Qtd pçs Enviadas]]," ")</f>
        <v>0</v>
      </c>
      <c r="W1399" s="26"/>
      <c r="Y1399" s="27"/>
      <c r="Z139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0" spans="6:26" hidden="1">
      <c r="F1400" s="28" t="str">
        <f>IFERROR(VLOOKUP(TAB_OFICINAS[[#This Row],[Cliente]],LISTA_DE_CLIENTES[[Código]:[Nome Fantasia]],2,FALSE),"")</f>
        <v/>
      </c>
      <c r="G1400" s="2" t="str">
        <f>IFERROR(VLOOKUP(TAB_OFICINAS[[#This Row],[Cliente]],LISTA_DE_CLIENTES[[Código]:[Nome Fantasia]],3,FALSE),"")</f>
        <v/>
      </c>
      <c r="H1400" s="123"/>
      <c r="J1400" s="91"/>
      <c r="K1400" s="88"/>
      <c r="O1400" s="23">
        <f>TAB_OFICINAS[[#This Row],[Data Retorno Produção]]-TAB_OFICINAS[[#This Row],[Data Prometida  Entrega]]</f>
        <v>0</v>
      </c>
      <c r="P1400" s="98" t="str">
        <f>IF(TAB_OFICINAS[[#This Row],[Dias Para Entrega]]&lt;=0,"Em dia","Dia de Atrasado")</f>
        <v>Em dia</v>
      </c>
      <c r="Q1400" s="24">
        <f>IFERROR(TAB_OFICINAS[[#This Row],[Qtd pçs Enviadas]]-TAB_OFICINAS[[#This Row],[Qtd pçs Retornadas ]],"N/D ")</f>
        <v>0</v>
      </c>
      <c r="R1400" s="24"/>
      <c r="U1400" s="11"/>
      <c r="V1400" s="25">
        <f>IFERROR(TAB_OFICINAS[[#This Row],[Valor Unit]]*TAB_OFICINAS[[#This Row],[Qtd pçs Enviadas]]," ")</f>
        <v>0</v>
      </c>
      <c r="W1400" s="26"/>
      <c r="Y1400" s="27"/>
      <c r="Z14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1" spans="6:26" hidden="1">
      <c r="F1401" s="28" t="str">
        <f>IFERROR(VLOOKUP(TAB_OFICINAS[[#This Row],[Cliente]],LISTA_DE_CLIENTES[[Código]:[Nome Fantasia]],2,FALSE),"")</f>
        <v/>
      </c>
      <c r="G1401" s="2" t="str">
        <f>IFERROR(VLOOKUP(TAB_OFICINAS[[#This Row],[Cliente]],LISTA_DE_CLIENTES[[Código]:[Nome Fantasia]],3,FALSE),"")</f>
        <v/>
      </c>
      <c r="H1401" s="123"/>
      <c r="J1401" s="91"/>
      <c r="K1401" s="88"/>
      <c r="O1401" s="23">
        <f>TAB_OFICINAS[[#This Row],[Data Retorno Produção]]-TAB_OFICINAS[[#This Row],[Data Prometida  Entrega]]</f>
        <v>0</v>
      </c>
      <c r="P1401" s="98" t="str">
        <f>IF(TAB_OFICINAS[[#This Row],[Dias Para Entrega]]&lt;=0,"Em dia","Dia de Atrasado")</f>
        <v>Em dia</v>
      </c>
      <c r="Q1401" s="24">
        <f>IFERROR(TAB_OFICINAS[[#This Row],[Qtd pçs Enviadas]]-TAB_OFICINAS[[#This Row],[Qtd pçs Retornadas ]],"N/D ")</f>
        <v>0</v>
      </c>
      <c r="R1401" s="24"/>
      <c r="U1401" s="11"/>
      <c r="V1401" s="25">
        <f>IFERROR(TAB_OFICINAS[[#This Row],[Valor Unit]]*TAB_OFICINAS[[#This Row],[Qtd pçs Enviadas]]," ")</f>
        <v>0</v>
      </c>
      <c r="W1401" s="26"/>
      <c r="Y1401" s="27"/>
      <c r="Z14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2" spans="6:26" hidden="1">
      <c r="F1402" s="28" t="str">
        <f>IFERROR(VLOOKUP(TAB_OFICINAS[[#This Row],[Cliente]],LISTA_DE_CLIENTES[[Código]:[Nome Fantasia]],2,FALSE),"")</f>
        <v/>
      </c>
      <c r="G1402" s="2" t="str">
        <f>IFERROR(VLOOKUP(TAB_OFICINAS[[#This Row],[Cliente]],LISTA_DE_CLIENTES[[Código]:[Nome Fantasia]],3,FALSE),"")</f>
        <v/>
      </c>
      <c r="H1402" s="123"/>
      <c r="J1402" s="91"/>
      <c r="K1402" s="88"/>
      <c r="O1402" s="23">
        <f>TAB_OFICINAS[[#This Row],[Data Retorno Produção]]-TAB_OFICINAS[[#This Row],[Data Prometida  Entrega]]</f>
        <v>0</v>
      </c>
      <c r="P1402" s="98" t="str">
        <f>IF(TAB_OFICINAS[[#This Row],[Dias Para Entrega]]&lt;=0,"Em dia","Dia de Atrasado")</f>
        <v>Em dia</v>
      </c>
      <c r="Q1402" s="24">
        <f>IFERROR(TAB_OFICINAS[[#This Row],[Qtd pçs Enviadas]]-TAB_OFICINAS[[#This Row],[Qtd pçs Retornadas ]],"N/D ")</f>
        <v>0</v>
      </c>
      <c r="R1402" s="24"/>
      <c r="U1402" s="11"/>
      <c r="V1402" s="25">
        <f>IFERROR(TAB_OFICINAS[[#This Row],[Valor Unit]]*TAB_OFICINAS[[#This Row],[Qtd pçs Enviadas]]," ")</f>
        <v>0</v>
      </c>
      <c r="W1402" s="26"/>
      <c r="Y1402" s="27"/>
      <c r="Z140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3" spans="6:26" hidden="1">
      <c r="F1403" s="28" t="str">
        <f>IFERROR(VLOOKUP(TAB_OFICINAS[[#This Row],[Cliente]],LISTA_DE_CLIENTES[[Código]:[Nome Fantasia]],2,FALSE),"")</f>
        <v/>
      </c>
      <c r="G1403" s="2" t="str">
        <f>IFERROR(VLOOKUP(TAB_OFICINAS[[#This Row],[Cliente]],LISTA_DE_CLIENTES[[Código]:[Nome Fantasia]],3,FALSE),"")</f>
        <v/>
      </c>
      <c r="H1403" s="123"/>
      <c r="J1403" s="91"/>
      <c r="K1403" s="88"/>
      <c r="O1403" s="23">
        <f>TAB_OFICINAS[[#This Row],[Data Retorno Produção]]-TAB_OFICINAS[[#This Row],[Data Prometida  Entrega]]</f>
        <v>0</v>
      </c>
      <c r="P1403" s="98" t="str">
        <f>IF(TAB_OFICINAS[[#This Row],[Dias Para Entrega]]&lt;=0,"Em dia","Dia de Atrasado")</f>
        <v>Em dia</v>
      </c>
      <c r="Q1403" s="24">
        <f>IFERROR(TAB_OFICINAS[[#This Row],[Qtd pçs Enviadas]]-TAB_OFICINAS[[#This Row],[Qtd pçs Retornadas ]],"N/D ")</f>
        <v>0</v>
      </c>
      <c r="R1403" s="24"/>
      <c r="U1403" s="11"/>
      <c r="V1403" s="25">
        <f>IFERROR(TAB_OFICINAS[[#This Row],[Valor Unit]]*TAB_OFICINAS[[#This Row],[Qtd pçs Enviadas]]," ")</f>
        <v>0</v>
      </c>
      <c r="W1403" s="26"/>
      <c r="Y1403" s="27"/>
      <c r="Z14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4" spans="6:26" hidden="1">
      <c r="F1404" s="28" t="str">
        <f>IFERROR(VLOOKUP(TAB_OFICINAS[[#This Row],[Cliente]],LISTA_DE_CLIENTES[[Código]:[Nome Fantasia]],2,FALSE),"")</f>
        <v/>
      </c>
      <c r="G1404" s="2" t="str">
        <f>IFERROR(VLOOKUP(TAB_OFICINAS[[#This Row],[Cliente]],LISTA_DE_CLIENTES[[Código]:[Nome Fantasia]],3,FALSE),"")</f>
        <v/>
      </c>
      <c r="H1404" s="123"/>
      <c r="J1404" s="91"/>
      <c r="K1404" s="88"/>
      <c r="O1404" s="23">
        <f>TAB_OFICINAS[[#This Row],[Data Retorno Produção]]-TAB_OFICINAS[[#This Row],[Data Prometida  Entrega]]</f>
        <v>0</v>
      </c>
      <c r="P1404" s="98" t="str">
        <f>IF(TAB_OFICINAS[[#This Row],[Dias Para Entrega]]&lt;=0,"Em dia","Dia de Atrasado")</f>
        <v>Em dia</v>
      </c>
      <c r="Q1404" s="24">
        <f>IFERROR(TAB_OFICINAS[[#This Row],[Qtd pçs Enviadas]]-TAB_OFICINAS[[#This Row],[Qtd pçs Retornadas ]],"N/D ")</f>
        <v>0</v>
      </c>
      <c r="R1404" s="24"/>
      <c r="U1404" s="11"/>
      <c r="V1404" s="25">
        <f>IFERROR(TAB_OFICINAS[[#This Row],[Valor Unit]]*TAB_OFICINAS[[#This Row],[Qtd pçs Enviadas]]," ")</f>
        <v>0</v>
      </c>
      <c r="W1404" s="26"/>
      <c r="Y1404" s="27"/>
      <c r="Z140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5" spans="6:26" hidden="1">
      <c r="F1405" s="28" t="str">
        <f>IFERROR(VLOOKUP(TAB_OFICINAS[[#This Row],[Cliente]],LISTA_DE_CLIENTES[[Código]:[Nome Fantasia]],2,FALSE),"")</f>
        <v/>
      </c>
      <c r="G1405" s="2" t="str">
        <f>IFERROR(VLOOKUP(TAB_OFICINAS[[#This Row],[Cliente]],LISTA_DE_CLIENTES[[Código]:[Nome Fantasia]],3,FALSE),"")</f>
        <v/>
      </c>
      <c r="H1405" s="123"/>
      <c r="J1405" s="91"/>
      <c r="K1405" s="88"/>
      <c r="O1405" s="23">
        <f>TAB_OFICINAS[[#This Row],[Data Retorno Produção]]-TAB_OFICINAS[[#This Row],[Data Prometida  Entrega]]</f>
        <v>0</v>
      </c>
      <c r="P1405" s="98" t="str">
        <f>IF(TAB_OFICINAS[[#This Row],[Dias Para Entrega]]&lt;=0,"Em dia","Dia de Atrasado")</f>
        <v>Em dia</v>
      </c>
      <c r="Q1405" s="24">
        <f>IFERROR(TAB_OFICINAS[[#This Row],[Qtd pçs Enviadas]]-TAB_OFICINAS[[#This Row],[Qtd pçs Retornadas ]],"N/D ")</f>
        <v>0</v>
      </c>
      <c r="R1405" s="24"/>
      <c r="U1405" s="11"/>
      <c r="V1405" s="25">
        <f>IFERROR(TAB_OFICINAS[[#This Row],[Valor Unit]]*TAB_OFICINAS[[#This Row],[Qtd pçs Enviadas]]," ")</f>
        <v>0</v>
      </c>
      <c r="W1405" s="26"/>
      <c r="Y1405" s="27"/>
      <c r="Z140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6" spans="6:26" hidden="1">
      <c r="F1406" s="28" t="str">
        <f>IFERROR(VLOOKUP(TAB_OFICINAS[[#This Row],[Cliente]],LISTA_DE_CLIENTES[[Código]:[Nome Fantasia]],2,FALSE),"")</f>
        <v/>
      </c>
      <c r="G1406" s="2" t="str">
        <f>IFERROR(VLOOKUP(TAB_OFICINAS[[#This Row],[Cliente]],LISTA_DE_CLIENTES[[Código]:[Nome Fantasia]],3,FALSE),"")</f>
        <v/>
      </c>
      <c r="H1406" s="123"/>
      <c r="J1406" s="91"/>
      <c r="K1406" s="88"/>
      <c r="O1406" s="23">
        <f>TAB_OFICINAS[[#This Row],[Data Retorno Produção]]-TAB_OFICINAS[[#This Row],[Data Prometida  Entrega]]</f>
        <v>0</v>
      </c>
      <c r="P1406" s="98" t="str">
        <f>IF(TAB_OFICINAS[[#This Row],[Dias Para Entrega]]&lt;=0,"Em dia","Dia de Atrasado")</f>
        <v>Em dia</v>
      </c>
      <c r="Q1406" s="24">
        <f>IFERROR(TAB_OFICINAS[[#This Row],[Qtd pçs Enviadas]]-TAB_OFICINAS[[#This Row],[Qtd pçs Retornadas ]],"N/D ")</f>
        <v>0</v>
      </c>
      <c r="R1406" s="24"/>
      <c r="U1406" s="11"/>
      <c r="V1406" s="25">
        <f>IFERROR(TAB_OFICINAS[[#This Row],[Valor Unit]]*TAB_OFICINAS[[#This Row],[Qtd pçs Enviadas]]," ")</f>
        <v>0</v>
      </c>
      <c r="W1406" s="26"/>
      <c r="Y1406" s="27"/>
      <c r="Z14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7" spans="6:26" hidden="1">
      <c r="F1407" s="28" t="str">
        <f>IFERROR(VLOOKUP(TAB_OFICINAS[[#This Row],[Cliente]],LISTA_DE_CLIENTES[[Código]:[Nome Fantasia]],2,FALSE),"")</f>
        <v/>
      </c>
      <c r="G1407" s="2" t="str">
        <f>IFERROR(VLOOKUP(TAB_OFICINAS[[#This Row],[Cliente]],LISTA_DE_CLIENTES[[Código]:[Nome Fantasia]],3,FALSE),"")</f>
        <v/>
      </c>
      <c r="H1407" s="123"/>
      <c r="J1407" s="91"/>
      <c r="K1407" s="88"/>
      <c r="O1407" s="23">
        <f>TAB_OFICINAS[[#This Row],[Data Retorno Produção]]-TAB_OFICINAS[[#This Row],[Data Prometida  Entrega]]</f>
        <v>0</v>
      </c>
      <c r="P1407" s="98" t="str">
        <f>IF(TAB_OFICINAS[[#This Row],[Dias Para Entrega]]&lt;=0,"Em dia","Dia de Atrasado")</f>
        <v>Em dia</v>
      </c>
      <c r="Q1407" s="24">
        <f>IFERROR(TAB_OFICINAS[[#This Row],[Qtd pçs Enviadas]]-TAB_OFICINAS[[#This Row],[Qtd pçs Retornadas ]],"N/D ")</f>
        <v>0</v>
      </c>
      <c r="R1407" s="24"/>
      <c r="U1407" s="11"/>
      <c r="V1407" s="25">
        <f>IFERROR(TAB_OFICINAS[[#This Row],[Valor Unit]]*TAB_OFICINAS[[#This Row],[Qtd pçs Enviadas]]," ")</f>
        <v>0</v>
      </c>
      <c r="W1407" s="26"/>
      <c r="Y1407" s="27"/>
      <c r="Z14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8" spans="6:26" hidden="1">
      <c r="F1408" s="28" t="str">
        <f>IFERROR(VLOOKUP(TAB_OFICINAS[[#This Row],[Cliente]],LISTA_DE_CLIENTES[[Código]:[Nome Fantasia]],2,FALSE),"")</f>
        <v/>
      </c>
      <c r="G1408" s="2" t="str">
        <f>IFERROR(VLOOKUP(TAB_OFICINAS[[#This Row],[Cliente]],LISTA_DE_CLIENTES[[Código]:[Nome Fantasia]],3,FALSE),"")</f>
        <v/>
      </c>
      <c r="H1408" s="123"/>
      <c r="J1408" s="91"/>
      <c r="K1408" s="88"/>
      <c r="O1408" s="23">
        <f>TAB_OFICINAS[[#This Row],[Data Retorno Produção]]-TAB_OFICINAS[[#This Row],[Data Prometida  Entrega]]</f>
        <v>0</v>
      </c>
      <c r="P1408" s="98" t="str">
        <f>IF(TAB_OFICINAS[[#This Row],[Dias Para Entrega]]&lt;=0,"Em dia","Dia de Atrasado")</f>
        <v>Em dia</v>
      </c>
      <c r="Q1408" s="24">
        <f>IFERROR(TAB_OFICINAS[[#This Row],[Qtd pçs Enviadas]]-TAB_OFICINAS[[#This Row],[Qtd pçs Retornadas ]],"N/D ")</f>
        <v>0</v>
      </c>
      <c r="R1408" s="24"/>
      <c r="U1408" s="11"/>
      <c r="V1408" s="25">
        <f>IFERROR(TAB_OFICINAS[[#This Row],[Valor Unit]]*TAB_OFICINAS[[#This Row],[Qtd pçs Enviadas]]," ")</f>
        <v>0</v>
      </c>
      <c r="W1408" s="26"/>
      <c r="Y1408" s="27"/>
      <c r="Z14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09" spans="6:26" hidden="1">
      <c r="F1409" s="28" t="str">
        <f>IFERROR(VLOOKUP(TAB_OFICINAS[[#This Row],[Cliente]],LISTA_DE_CLIENTES[[Código]:[Nome Fantasia]],2,FALSE),"")</f>
        <v/>
      </c>
      <c r="G1409" s="2" t="str">
        <f>IFERROR(VLOOKUP(TAB_OFICINAS[[#This Row],[Cliente]],LISTA_DE_CLIENTES[[Código]:[Nome Fantasia]],3,FALSE),"")</f>
        <v/>
      </c>
      <c r="H1409" s="123"/>
      <c r="J1409" s="91"/>
      <c r="K1409" s="88"/>
      <c r="O1409" s="23">
        <f>TAB_OFICINAS[[#This Row],[Data Retorno Produção]]-TAB_OFICINAS[[#This Row],[Data Prometida  Entrega]]</f>
        <v>0</v>
      </c>
      <c r="P1409" s="98" t="str">
        <f>IF(TAB_OFICINAS[[#This Row],[Dias Para Entrega]]&lt;=0,"Em dia","Dia de Atrasado")</f>
        <v>Em dia</v>
      </c>
      <c r="Q1409" s="24">
        <f>IFERROR(TAB_OFICINAS[[#This Row],[Qtd pçs Enviadas]]-TAB_OFICINAS[[#This Row],[Qtd pçs Retornadas ]],"N/D ")</f>
        <v>0</v>
      </c>
      <c r="R1409" s="24"/>
      <c r="U1409" s="11"/>
      <c r="V1409" s="25">
        <f>IFERROR(TAB_OFICINAS[[#This Row],[Valor Unit]]*TAB_OFICINAS[[#This Row],[Qtd pçs Enviadas]]," ")</f>
        <v>0</v>
      </c>
      <c r="W1409" s="26"/>
      <c r="Y1409" s="27"/>
      <c r="Z14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0" spans="6:26" hidden="1">
      <c r="F1410" s="28" t="str">
        <f>IFERROR(VLOOKUP(TAB_OFICINAS[[#This Row],[Cliente]],LISTA_DE_CLIENTES[[Código]:[Nome Fantasia]],2,FALSE),"")</f>
        <v/>
      </c>
      <c r="G1410" s="2" t="str">
        <f>IFERROR(VLOOKUP(TAB_OFICINAS[[#This Row],[Cliente]],LISTA_DE_CLIENTES[[Código]:[Nome Fantasia]],3,FALSE),"")</f>
        <v/>
      </c>
      <c r="H1410" s="123"/>
      <c r="J1410" s="91"/>
      <c r="K1410" s="88"/>
      <c r="O1410" s="23">
        <f>TAB_OFICINAS[[#This Row],[Data Retorno Produção]]-TAB_OFICINAS[[#This Row],[Data Prometida  Entrega]]</f>
        <v>0</v>
      </c>
      <c r="P1410" s="98" t="str">
        <f>IF(TAB_OFICINAS[[#This Row],[Dias Para Entrega]]&lt;=0,"Em dia","Dia de Atrasado")</f>
        <v>Em dia</v>
      </c>
      <c r="Q1410" s="24">
        <f>IFERROR(TAB_OFICINAS[[#This Row],[Qtd pçs Enviadas]]-TAB_OFICINAS[[#This Row],[Qtd pçs Retornadas ]],"N/D ")</f>
        <v>0</v>
      </c>
      <c r="R1410" s="24"/>
      <c r="U1410" s="11"/>
      <c r="V1410" s="25">
        <f>IFERROR(TAB_OFICINAS[[#This Row],[Valor Unit]]*TAB_OFICINAS[[#This Row],[Qtd pçs Enviadas]]," ")</f>
        <v>0</v>
      </c>
      <c r="W1410" s="26"/>
      <c r="Y1410" s="27"/>
      <c r="Z14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1" spans="6:26" hidden="1">
      <c r="F1411" s="28" t="str">
        <f>IFERROR(VLOOKUP(TAB_OFICINAS[[#This Row],[Cliente]],LISTA_DE_CLIENTES[[Código]:[Nome Fantasia]],2,FALSE),"")</f>
        <v/>
      </c>
      <c r="G1411" s="2" t="str">
        <f>IFERROR(VLOOKUP(TAB_OFICINAS[[#This Row],[Cliente]],LISTA_DE_CLIENTES[[Código]:[Nome Fantasia]],3,FALSE),"")</f>
        <v/>
      </c>
      <c r="H1411" s="123"/>
      <c r="J1411" s="91"/>
      <c r="K1411" s="88"/>
      <c r="O1411" s="23">
        <f>TAB_OFICINAS[[#This Row],[Data Retorno Produção]]-TAB_OFICINAS[[#This Row],[Data Prometida  Entrega]]</f>
        <v>0</v>
      </c>
      <c r="P1411" s="98" t="str">
        <f>IF(TAB_OFICINAS[[#This Row],[Dias Para Entrega]]&lt;=0,"Em dia","Dia de Atrasado")</f>
        <v>Em dia</v>
      </c>
      <c r="Q1411" s="24">
        <f>IFERROR(TAB_OFICINAS[[#This Row],[Qtd pçs Enviadas]]-TAB_OFICINAS[[#This Row],[Qtd pçs Retornadas ]],"N/D ")</f>
        <v>0</v>
      </c>
      <c r="R1411" s="24"/>
      <c r="U1411" s="11"/>
      <c r="V1411" s="25">
        <f>IFERROR(TAB_OFICINAS[[#This Row],[Valor Unit]]*TAB_OFICINAS[[#This Row],[Qtd pçs Enviadas]]," ")</f>
        <v>0</v>
      </c>
      <c r="W1411" s="26"/>
      <c r="Y1411" s="27"/>
      <c r="Z14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2" spans="6:26" hidden="1">
      <c r="F1412" s="28" t="str">
        <f>IFERROR(VLOOKUP(TAB_OFICINAS[[#This Row],[Cliente]],LISTA_DE_CLIENTES[[Código]:[Nome Fantasia]],2,FALSE),"")</f>
        <v/>
      </c>
      <c r="G1412" s="2" t="str">
        <f>IFERROR(VLOOKUP(TAB_OFICINAS[[#This Row],[Cliente]],LISTA_DE_CLIENTES[[Código]:[Nome Fantasia]],3,FALSE),"")</f>
        <v/>
      </c>
      <c r="H1412" s="123"/>
      <c r="J1412" s="91"/>
      <c r="K1412" s="88"/>
      <c r="O1412" s="23">
        <f>TAB_OFICINAS[[#This Row],[Data Retorno Produção]]-TAB_OFICINAS[[#This Row],[Data Prometida  Entrega]]</f>
        <v>0</v>
      </c>
      <c r="P1412" s="98" t="str">
        <f>IF(TAB_OFICINAS[[#This Row],[Dias Para Entrega]]&lt;=0,"Em dia","Dia de Atrasado")</f>
        <v>Em dia</v>
      </c>
      <c r="Q1412" s="24">
        <f>IFERROR(TAB_OFICINAS[[#This Row],[Qtd pçs Enviadas]]-TAB_OFICINAS[[#This Row],[Qtd pçs Retornadas ]],"N/D ")</f>
        <v>0</v>
      </c>
      <c r="R1412" s="24"/>
      <c r="U1412" s="11"/>
      <c r="V1412" s="25">
        <f>IFERROR(TAB_OFICINAS[[#This Row],[Valor Unit]]*TAB_OFICINAS[[#This Row],[Qtd pçs Enviadas]]," ")</f>
        <v>0</v>
      </c>
      <c r="W1412" s="26"/>
      <c r="Y1412" s="27"/>
      <c r="Z141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3" spans="6:26" hidden="1">
      <c r="F1413" s="28" t="str">
        <f>IFERROR(VLOOKUP(TAB_OFICINAS[[#This Row],[Cliente]],LISTA_DE_CLIENTES[[Código]:[Nome Fantasia]],2,FALSE),"")</f>
        <v/>
      </c>
      <c r="G1413" s="2" t="str">
        <f>IFERROR(VLOOKUP(TAB_OFICINAS[[#This Row],[Cliente]],LISTA_DE_CLIENTES[[Código]:[Nome Fantasia]],3,FALSE),"")</f>
        <v/>
      </c>
      <c r="H1413" s="123"/>
      <c r="J1413" s="91"/>
      <c r="K1413" s="88"/>
      <c r="O1413" s="23">
        <f>TAB_OFICINAS[[#This Row],[Data Retorno Produção]]-TAB_OFICINAS[[#This Row],[Data Prometida  Entrega]]</f>
        <v>0</v>
      </c>
      <c r="P1413" s="98" t="str">
        <f>IF(TAB_OFICINAS[[#This Row],[Dias Para Entrega]]&lt;=0,"Em dia","Dia de Atrasado")</f>
        <v>Em dia</v>
      </c>
      <c r="Q1413" s="24">
        <f>IFERROR(TAB_OFICINAS[[#This Row],[Qtd pçs Enviadas]]-TAB_OFICINAS[[#This Row],[Qtd pçs Retornadas ]],"N/D ")</f>
        <v>0</v>
      </c>
      <c r="R1413" s="24"/>
      <c r="U1413" s="11"/>
      <c r="V1413" s="25">
        <f>IFERROR(TAB_OFICINAS[[#This Row],[Valor Unit]]*TAB_OFICINAS[[#This Row],[Qtd pçs Enviadas]]," ")</f>
        <v>0</v>
      </c>
      <c r="W1413" s="26"/>
      <c r="Y1413" s="27"/>
      <c r="Z14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4" spans="6:26" hidden="1">
      <c r="F1414" s="28" t="str">
        <f>IFERROR(VLOOKUP(TAB_OFICINAS[[#This Row],[Cliente]],LISTA_DE_CLIENTES[[Código]:[Nome Fantasia]],2,FALSE),"")</f>
        <v/>
      </c>
      <c r="G1414" s="2" t="str">
        <f>IFERROR(VLOOKUP(TAB_OFICINAS[[#This Row],[Cliente]],LISTA_DE_CLIENTES[[Código]:[Nome Fantasia]],3,FALSE),"")</f>
        <v/>
      </c>
      <c r="H1414" s="123"/>
      <c r="J1414" s="91"/>
      <c r="K1414" s="88"/>
      <c r="O1414" s="23">
        <f>TAB_OFICINAS[[#This Row],[Data Retorno Produção]]-TAB_OFICINAS[[#This Row],[Data Prometida  Entrega]]</f>
        <v>0</v>
      </c>
      <c r="P1414" s="98" t="str">
        <f>IF(TAB_OFICINAS[[#This Row],[Dias Para Entrega]]&lt;=0,"Em dia","Dia de Atrasado")</f>
        <v>Em dia</v>
      </c>
      <c r="Q1414" s="24">
        <f>IFERROR(TAB_OFICINAS[[#This Row],[Qtd pçs Enviadas]]-TAB_OFICINAS[[#This Row],[Qtd pçs Retornadas ]],"N/D ")</f>
        <v>0</v>
      </c>
      <c r="R1414" s="24"/>
      <c r="U1414" s="11"/>
      <c r="V1414" s="25">
        <f>IFERROR(TAB_OFICINAS[[#This Row],[Valor Unit]]*TAB_OFICINAS[[#This Row],[Qtd pçs Enviadas]]," ")</f>
        <v>0</v>
      </c>
      <c r="W1414" s="26"/>
      <c r="Y1414" s="27"/>
      <c r="Z14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5" spans="6:26" hidden="1">
      <c r="F1415" s="28" t="str">
        <f>IFERROR(VLOOKUP(TAB_OFICINAS[[#This Row],[Cliente]],LISTA_DE_CLIENTES[[Código]:[Nome Fantasia]],2,FALSE),"")</f>
        <v/>
      </c>
      <c r="G1415" s="2" t="str">
        <f>IFERROR(VLOOKUP(TAB_OFICINAS[[#This Row],[Cliente]],LISTA_DE_CLIENTES[[Código]:[Nome Fantasia]],3,FALSE),"")</f>
        <v/>
      </c>
      <c r="H1415" s="123"/>
      <c r="J1415" s="91"/>
      <c r="K1415" s="88"/>
      <c r="O1415" s="23">
        <f>TAB_OFICINAS[[#This Row],[Data Retorno Produção]]-TAB_OFICINAS[[#This Row],[Data Prometida  Entrega]]</f>
        <v>0</v>
      </c>
      <c r="P1415" s="98" t="str">
        <f>IF(TAB_OFICINAS[[#This Row],[Dias Para Entrega]]&lt;=0,"Em dia","Dia de Atrasado")</f>
        <v>Em dia</v>
      </c>
      <c r="Q1415" s="24">
        <f>IFERROR(TAB_OFICINAS[[#This Row],[Qtd pçs Enviadas]]-TAB_OFICINAS[[#This Row],[Qtd pçs Retornadas ]],"N/D ")</f>
        <v>0</v>
      </c>
      <c r="R1415" s="24"/>
      <c r="U1415" s="11"/>
      <c r="V1415" s="25">
        <f>IFERROR(TAB_OFICINAS[[#This Row],[Valor Unit]]*TAB_OFICINAS[[#This Row],[Qtd pçs Enviadas]]," ")</f>
        <v>0</v>
      </c>
      <c r="W1415" s="26"/>
      <c r="Y1415" s="27"/>
      <c r="Z14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6" spans="6:26" hidden="1">
      <c r="F1416" s="28" t="str">
        <f>IFERROR(VLOOKUP(TAB_OFICINAS[[#This Row],[Cliente]],LISTA_DE_CLIENTES[[Código]:[Nome Fantasia]],2,FALSE),"")</f>
        <v/>
      </c>
      <c r="G1416" s="2" t="str">
        <f>IFERROR(VLOOKUP(TAB_OFICINAS[[#This Row],[Cliente]],LISTA_DE_CLIENTES[[Código]:[Nome Fantasia]],3,FALSE),"")</f>
        <v/>
      </c>
      <c r="H1416" s="123"/>
      <c r="J1416" s="91"/>
      <c r="K1416" s="88"/>
      <c r="O1416" s="23">
        <f>TAB_OFICINAS[[#This Row],[Data Retorno Produção]]-TAB_OFICINAS[[#This Row],[Data Prometida  Entrega]]</f>
        <v>0</v>
      </c>
      <c r="P1416" s="98" t="str">
        <f>IF(TAB_OFICINAS[[#This Row],[Dias Para Entrega]]&lt;=0,"Em dia","Dia de Atrasado")</f>
        <v>Em dia</v>
      </c>
      <c r="Q1416" s="24">
        <f>IFERROR(TAB_OFICINAS[[#This Row],[Qtd pçs Enviadas]]-TAB_OFICINAS[[#This Row],[Qtd pçs Retornadas ]],"N/D ")</f>
        <v>0</v>
      </c>
      <c r="R1416" s="24"/>
      <c r="U1416" s="11"/>
      <c r="V1416" s="25">
        <f>IFERROR(TAB_OFICINAS[[#This Row],[Valor Unit]]*TAB_OFICINAS[[#This Row],[Qtd pçs Enviadas]]," ")</f>
        <v>0</v>
      </c>
      <c r="W1416" s="26"/>
      <c r="Y1416" s="27"/>
      <c r="Z14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7" spans="6:26" hidden="1">
      <c r="F1417" s="28" t="str">
        <f>IFERROR(VLOOKUP(TAB_OFICINAS[[#This Row],[Cliente]],LISTA_DE_CLIENTES[[Código]:[Nome Fantasia]],2,FALSE),"")</f>
        <v/>
      </c>
      <c r="G1417" s="2" t="str">
        <f>IFERROR(VLOOKUP(TAB_OFICINAS[[#This Row],[Cliente]],LISTA_DE_CLIENTES[[Código]:[Nome Fantasia]],3,FALSE),"")</f>
        <v/>
      </c>
      <c r="H1417" s="123"/>
      <c r="J1417" s="91"/>
      <c r="K1417" s="88"/>
      <c r="O1417" s="23">
        <f>TAB_OFICINAS[[#This Row],[Data Retorno Produção]]-TAB_OFICINAS[[#This Row],[Data Prometida  Entrega]]</f>
        <v>0</v>
      </c>
      <c r="P1417" s="98" t="str">
        <f>IF(TAB_OFICINAS[[#This Row],[Dias Para Entrega]]&lt;=0,"Em dia","Dia de Atrasado")</f>
        <v>Em dia</v>
      </c>
      <c r="Q1417" s="24">
        <f>IFERROR(TAB_OFICINAS[[#This Row],[Qtd pçs Enviadas]]-TAB_OFICINAS[[#This Row],[Qtd pçs Retornadas ]],"N/D ")</f>
        <v>0</v>
      </c>
      <c r="R1417" s="24"/>
      <c r="U1417" s="11"/>
      <c r="V1417" s="25">
        <f>IFERROR(TAB_OFICINAS[[#This Row],[Valor Unit]]*TAB_OFICINAS[[#This Row],[Qtd pçs Enviadas]]," ")</f>
        <v>0</v>
      </c>
      <c r="W1417" s="26"/>
      <c r="Y1417" s="27"/>
      <c r="Z14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8" spans="6:26" hidden="1">
      <c r="F1418" s="28" t="str">
        <f>IFERROR(VLOOKUP(TAB_OFICINAS[[#This Row],[Cliente]],LISTA_DE_CLIENTES[[Código]:[Nome Fantasia]],2,FALSE),"")</f>
        <v/>
      </c>
      <c r="G1418" s="2" t="str">
        <f>IFERROR(VLOOKUP(TAB_OFICINAS[[#This Row],[Cliente]],LISTA_DE_CLIENTES[[Código]:[Nome Fantasia]],3,FALSE),"")</f>
        <v/>
      </c>
      <c r="H1418" s="123"/>
      <c r="J1418" s="91"/>
      <c r="K1418" s="88"/>
      <c r="O1418" s="23">
        <f>TAB_OFICINAS[[#This Row],[Data Retorno Produção]]-TAB_OFICINAS[[#This Row],[Data Prometida  Entrega]]</f>
        <v>0</v>
      </c>
      <c r="P1418" s="98" t="str">
        <f>IF(TAB_OFICINAS[[#This Row],[Dias Para Entrega]]&lt;=0,"Em dia","Dia de Atrasado")</f>
        <v>Em dia</v>
      </c>
      <c r="Q1418" s="24">
        <f>IFERROR(TAB_OFICINAS[[#This Row],[Qtd pçs Enviadas]]-TAB_OFICINAS[[#This Row],[Qtd pçs Retornadas ]],"N/D ")</f>
        <v>0</v>
      </c>
      <c r="R1418" s="24"/>
      <c r="U1418" s="11"/>
      <c r="V1418" s="25">
        <f>IFERROR(TAB_OFICINAS[[#This Row],[Valor Unit]]*TAB_OFICINAS[[#This Row],[Qtd pçs Enviadas]]," ")</f>
        <v>0</v>
      </c>
      <c r="W1418" s="26"/>
      <c r="Y1418" s="27"/>
      <c r="Z14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19" spans="6:26" hidden="1">
      <c r="F1419" s="28" t="str">
        <f>IFERROR(VLOOKUP(TAB_OFICINAS[[#This Row],[Cliente]],LISTA_DE_CLIENTES[[Código]:[Nome Fantasia]],2,FALSE),"")</f>
        <v/>
      </c>
      <c r="G1419" s="2" t="str">
        <f>IFERROR(VLOOKUP(TAB_OFICINAS[[#This Row],[Cliente]],LISTA_DE_CLIENTES[[Código]:[Nome Fantasia]],3,FALSE),"")</f>
        <v/>
      </c>
      <c r="H1419" s="123"/>
      <c r="J1419" s="91"/>
      <c r="K1419" s="88"/>
      <c r="O1419" s="23">
        <f>TAB_OFICINAS[[#This Row],[Data Retorno Produção]]-TAB_OFICINAS[[#This Row],[Data Prometida  Entrega]]</f>
        <v>0</v>
      </c>
      <c r="P1419" s="98" t="str">
        <f>IF(TAB_OFICINAS[[#This Row],[Dias Para Entrega]]&lt;=0,"Em dia","Dia de Atrasado")</f>
        <v>Em dia</v>
      </c>
      <c r="Q1419" s="24">
        <f>IFERROR(TAB_OFICINAS[[#This Row],[Qtd pçs Enviadas]]-TAB_OFICINAS[[#This Row],[Qtd pçs Retornadas ]],"N/D ")</f>
        <v>0</v>
      </c>
      <c r="R1419" s="24"/>
      <c r="U1419" s="11"/>
      <c r="V1419" s="25">
        <f>IFERROR(TAB_OFICINAS[[#This Row],[Valor Unit]]*TAB_OFICINAS[[#This Row],[Qtd pçs Enviadas]]," ")</f>
        <v>0</v>
      </c>
      <c r="W1419" s="26"/>
      <c r="Y1419" s="27"/>
      <c r="Z14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0" spans="6:26" hidden="1">
      <c r="F1420" s="28" t="str">
        <f>IFERROR(VLOOKUP(TAB_OFICINAS[[#This Row],[Cliente]],LISTA_DE_CLIENTES[[Código]:[Nome Fantasia]],2,FALSE),"")</f>
        <v/>
      </c>
      <c r="G1420" s="2" t="str">
        <f>IFERROR(VLOOKUP(TAB_OFICINAS[[#This Row],[Cliente]],LISTA_DE_CLIENTES[[Código]:[Nome Fantasia]],3,FALSE),"")</f>
        <v/>
      </c>
      <c r="H1420" s="123"/>
      <c r="J1420" s="91"/>
      <c r="K1420" s="88"/>
      <c r="O1420" s="23">
        <f>TAB_OFICINAS[[#This Row],[Data Retorno Produção]]-TAB_OFICINAS[[#This Row],[Data Prometida  Entrega]]</f>
        <v>0</v>
      </c>
      <c r="P1420" s="98" t="str">
        <f>IF(TAB_OFICINAS[[#This Row],[Dias Para Entrega]]&lt;=0,"Em dia","Dia de Atrasado")</f>
        <v>Em dia</v>
      </c>
      <c r="Q1420" s="24">
        <f>IFERROR(TAB_OFICINAS[[#This Row],[Qtd pçs Enviadas]]-TAB_OFICINAS[[#This Row],[Qtd pçs Retornadas ]],"N/D ")</f>
        <v>0</v>
      </c>
      <c r="R1420" s="24"/>
      <c r="U1420" s="11"/>
      <c r="V1420" s="25">
        <f>IFERROR(TAB_OFICINAS[[#This Row],[Valor Unit]]*TAB_OFICINAS[[#This Row],[Qtd pçs Enviadas]]," ")</f>
        <v>0</v>
      </c>
      <c r="W1420" s="26"/>
      <c r="Y1420" s="27"/>
      <c r="Z14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1" spans="6:26" hidden="1">
      <c r="F1421" s="28" t="str">
        <f>IFERROR(VLOOKUP(TAB_OFICINAS[[#This Row],[Cliente]],LISTA_DE_CLIENTES[[Código]:[Nome Fantasia]],2,FALSE),"")</f>
        <v/>
      </c>
      <c r="G1421" s="2" t="str">
        <f>IFERROR(VLOOKUP(TAB_OFICINAS[[#This Row],[Cliente]],LISTA_DE_CLIENTES[[Código]:[Nome Fantasia]],3,FALSE),"")</f>
        <v/>
      </c>
      <c r="H1421" s="123"/>
      <c r="J1421" s="91"/>
      <c r="K1421" s="88"/>
      <c r="O1421" s="23">
        <f>TAB_OFICINAS[[#This Row],[Data Retorno Produção]]-TAB_OFICINAS[[#This Row],[Data Prometida  Entrega]]</f>
        <v>0</v>
      </c>
      <c r="P1421" s="98" t="str">
        <f>IF(TAB_OFICINAS[[#This Row],[Dias Para Entrega]]&lt;=0,"Em dia","Dia de Atrasado")</f>
        <v>Em dia</v>
      </c>
      <c r="Q1421" s="24">
        <f>IFERROR(TAB_OFICINAS[[#This Row],[Qtd pçs Enviadas]]-TAB_OFICINAS[[#This Row],[Qtd pçs Retornadas ]],"N/D ")</f>
        <v>0</v>
      </c>
      <c r="R1421" s="24"/>
      <c r="U1421" s="11"/>
      <c r="V1421" s="25">
        <f>IFERROR(TAB_OFICINAS[[#This Row],[Valor Unit]]*TAB_OFICINAS[[#This Row],[Qtd pçs Enviadas]]," ")</f>
        <v>0</v>
      </c>
      <c r="W1421" s="26"/>
      <c r="Y1421" s="27"/>
      <c r="Z14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2" spans="6:26" hidden="1">
      <c r="F1422" s="28" t="str">
        <f>IFERROR(VLOOKUP(TAB_OFICINAS[[#This Row],[Cliente]],LISTA_DE_CLIENTES[[Código]:[Nome Fantasia]],2,FALSE),"")</f>
        <v/>
      </c>
      <c r="G1422" s="2" t="str">
        <f>IFERROR(VLOOKUP(TAB_OFICINAS[[#This Row],[Cliente]],LISTA_DE_CLIENTES[[Código]:[Nome Fantasia]],3,FALSE),"")</f>
        <v/>
      </c>
      <c r="H1422" s="123"/>
      <c r="J1422" s="91"/>
      <c r="K1422" s="88"/>
      <c r="O1422" s="23">
        <f>TAB_OFICINAS[[#This Row],[Data Retorno Produção]]-TAB_OFICINAS[[#This Row],[Data Prometida  Entrega]]</f>
        <v>0</v>
      </c>
      <c r="P1422" s="98" t="str">
        <f>IF(TAB_OFICINAS[[#This Row],[Dias Para Entrega]]&lt;=0,"Em dia","Dia de Atrasado")</f>
        <v>Em dia</v>
      </c>
      <c r="Q1422" s="24">
        <f>IFERROR(TAB_OFICINAS[[#This Row],[Qtd pçs Enviadas]]-TAB_OFICINAS[[#This Row],[Qtd pçs Retornadas ]],"N/D ")</f>
        <v>0</v>
      </c>
      <c r="R1422" s="24"/>
      <c r="U1422" s="11"/>
      <c r="V1422" s="25">
        <f>IFERROR(TAB_OFICINAS[[#This Row],[Valor Unit]]*TAB_OFICINAS[[#This Row],[Qtd pçs Enviadas]]," ")</f>
        <v>0</v>
      </c>
      <c r="W1422" s="26"/>
      <c r="Y1422" s="27"/>
      <c r="Z14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3" spans="6:26" hidden="1">
      <c r="F1423" s="28" t="str">
        <f>IFERROR(VLOOKUP(TAB_OFICINAS[[#This Row],[Cliente]],LISTA_DE_CLIENTES[[Código]:[Nome Fantasia]],2,FALSE),"")</f>
        <v/>
      </c>
      <c r="G1423" s="2" t="str">
        <f>IFERROR(VLOOKUP(TAB_OFICINAS[[#This Row],[Cliente]],LISTA_DE_CLIENTES[[Código]:[Nome Fantasia]],3,FALSE),"")</f>
        <v/>
      </c>
      <c r="H1423" s="123"/>
      <c r="J1423" s="91"/>
      <c r="K1423" s="88"/>
      <c r="O1423" s="23">
        <f>TAB_OFICINAS[[#This Row],[Data Retorno Produção]]-TAB_OFICINAS[[#This Row],[Data Prometida  Entrega]]</f>
        <v>0</v>
      </c>
      <c r="P1423" s="98" t="str">
        <f>IF(TAB_OFICINAS[[#This Row],[Dias Para Entrega]]&lt;=0,"Em dia","Dia de Atrasado")</f>
        <v>Em dia</v>
      </c>
      <c r="Q1423" s="24">
        <f>IFERROR(TAB_OFICINAS[[#This Row],[Qtd pçs Enviadas]]-TAB_OFICINAS[[#This Row],[Qtd pçs Retornadas ]],"N/D ")</f>
        <v>0</v>
      </c>
      <c r="R1423" s="24"/>
      <c r="U1423" s="11"/>
      <c r="V1423" s="25">
        <f>IFERROR(TAB_OFICINAS[[#This Row],[Valor Unit]]*TAB_OFICINAS[[#This Row],[Qtd pçs Enviadas]]," ")</f>
        <v>0</v>
      </c>
      <c r="W1423" s="26"/>
      <c r="Y1423" s="27"/>
      <c r="Z14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4" spans="6:26" hidden="1">
      <c r="F1424" s="28" t="str">
        <f>IFERROR(VLOOKUP(TAB_OFICINAS[[#This Row],[Cliente]],LISTA_DE_CLIENTES[[Código]:[Nome Fantasia]],2,FALSE),"")</f>
        <v/>
      </c>
      <c r="G1424" s="2" t="str">
        <f>IFERROR(VLOOKUP(TAB_OFICINAS[[#This Row],[Cliente]],LISTA_DE_CLIENTES[[Código]:[Nome Fantasia]],3,FALSE),"")</f>
        <v/>
      </c>
      <c r="H1424" s="123"/>
      <c r="J1424" s="91"/>
      <c r="K1424" s="88"/>
      <c r="O1424" s="23">
        <f>TAB_OFICINAS[[#This Row],[Data Retorno Produção]]-TAB_OFICINAS[[#This Row],[Data Prometida  Entrega]]</f>
        <v>0</v>
      </c>
      <c r="P1424" s="98" t="str">
        <f>IF(TAB_OFICINAS[[#This Row],[Dias Para Entrega]]&lt;=0,"Em dia","Dia de Atrasado")</f>
        <v>Em dia</v>
      </c>
      <c r="Q1424" s="24">
        <f>IFERROR(TAB_OFICINAS[[#This Row],[Qtd pçs Enviadas]]-TAB_OFICINAS[[#This Row],[Qtd pçs Retornadas ]],"N/D ")</f>
        <v>0</v>
      </c>
      <c r="R1424" s="24"/>
      <c r="U1424" s="11"/>
      <c r="V1424" s="25">
        <f>IFERROR(TAB_OFICINAS[[#This Row],[Valor Unit]]*TAB_OFICINAS[[#This Row],[Qtd pçs Enviadas]]," ")</f>
        <v>0</v>
      </c>
      <c r="W1424" s="26"/>
      <c r="Y1424" s="27"/>
      <c r="Z14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5" spans="6:26" hidden="1">
      <c r="F1425" s="28" t="str">
        <f>IFERROR(VLOOKUP(TAB_OFICINAS[[#This Row],[Cliente]],LISTA_DE_CLIENTES[[Código]:[Nome Fantasia]],2,FALSE),"")</f>
        <v/>
      </c>
      <c r="G1425" s="2" t="str">
        <f>IFERROR(VLOOKUP(TAB_OFICINAS[[#This Row],[Cliente]],LISTA_DE_CLIENTES[[Código]:[Nome Fantasia]],3,FALSE),"")</f>
        <v/>
      </c>
      <c r="H1425" s="123"/>
      <c r="J1425" s="91"/>
      <c r="K1425" s="88"/>
      <c r="O1425" s="23">
        <f>TAB_OFICINAS[[#This Row],[Data Retorno Produção]]-TAB_OFICINAS[[#This Row],[Data Prometida  Entrega]]</f>
        <v>0</v>
      </c>
      <c r="P1425" s="98" t="str">
        <f>IF(TAB_OFICINAS[[#This Row],[Dias Para Entrega]]&lt;=0,"Em dia","Dia de Atrasado")</f>
        <v>Em dia</v>
      </c>
      <c r="Q1425" s="24">
        <f>IFERROR(TAB_OFICINAS[[#This Row],[Qtd pçs Enviadas]]-TAB_OFICINAS[[#This Row],[Qtd pçs Retornadas ]],"N/D ")</f>
        <v>0</v>
      </c>
      <c r="R1425" s="24"/>
      <c r="U1425" s="11"/>
      <c r="V1425" s="25">
        <f>IFERROR(TAB_OFICINAS[[#This Row],[Valor Unit]]*TAB_OFICINAS[[#This Row],[Qtd pçs Enviadas]]," ")</f>
        <v>0</v>
      </c>
      <c r="W1425" s="26"/>
      <c r="Y1425" s="27"/>
      <c r="Z14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6" spans="6:26" hidden="1">
      <c r="F1426" s="28" t="str">
        <f>IFERROR(VLOOKUP(TAB_OFICINAS[[#This Row],[Cliente]],LISTA_DE_CLIENTES[[Código]:[Nome Fantasia]],2,FALSE),"")</f>
        <v/>
      </c>
      <c r="G1426" s="2" t="str">
        <f>IFERROR(VLOOKUP(TAB_OFICINAS[[#This Row],[Cliente]],LISTA_DE_CLIENTES[[Código]:[Nome Fantasia]],3,FALSE),"")</f>
        <v/>
      </c>
      <c r="H1426" s="123"/>
      <c r="J1426" s="91"/>
      <c r="K1426" s="88"/>
      <c r="O1426" s="23">
        <f>TAB_OFICINAS[[#This Row],[Data Retorno Produção]]-TAB_OFICINAS[[#This Row],[Data Prometida  Entrega]]</f>
        <v>0</v>
      </c>
      <c r="P1426" s="98" t="str">
        <f>IF(TAB_OFICINAS[[#This Row],[Dias Para Entrega]]&lt;=0,"Em dia","Dia de Atrasado")</f>
        <v>Em dia</v>
      </c>
      <c r="Q1426" s="24">
        <f>IFERROR(TAB_OFICINAS[[#This Row],[Qtd pçs Enviadas]]-TAB_OFICINAS[[#This Row],[Qtd pçs Retornadas ]],"N/D ")</f>
        <v>0</v>
      </c>
      <c r="R1426" s="24"/>
      <c r="U1426" s="11"/>
      <c r="V1426" s="25">
        <f>IFERROR(TAB_OFICINAS[[#This Row],[Valor Unit]]*TAB_OFICINAS[[#This Row],[Qtd pçs Enviadas]]," ")</f>
        <v>0</v>
      </c>
      <c r="W1426" s="26"/>
      <c r="Y1426" s="27"/>
      <c r="Z14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7" spans="6:26" hidden="1">
      <c r="F1427" s="28" t="str">
        <f>IFERROR(VLOOKUP(TAB_OFICINAS[[#This Row],[Cliente]],LISTA_DE_CLIENTES[[Código]:[Nome Fantasia]],2,FALSE),"")</f>
        <v/>
      </c>
      <c r="G1427" s="2" t="str">
        <f>IFERROR(VLOOKUP(TAB_OFICINAS[[#This Row],[Cliente]],LISTA_DE_CLIENTES[[Código]:[Nome Fantasia]],3,FALSE),"")</f>
        <v/>
      </c>
      <c r="H1427" s="123"/>
      <c r="J1427" s="91"/>
      <c r="K1427" s="88"/>
      <c r="O1427" s="23">
        <f>TAB_OFICINAS[[#This Row],[Data Retorno Produção]]-TAB_OFICINAS[[#This Row],[Data Prometida  Entrega]]</f>
        <v>0</v>
      </c>
      <c r="P1427" s="98" t="str">
        <f>IF(TAB_OFICINAS[[#This Row],[Dias Para Entrega]]&lt;=0,"Em dia","Dia de Atrasado")</f>
        <v>Em dia</v>
      </c>
      <c r="Q1427" s="24">
        <f>IFERROR(TAB_OFICINAS[[#This Row],[Qtd pçs Enviadas]]-TAB_OFICINAS[[#This Row],[Qtd pçs Retornadas ]],"N/D ")</f>
        <v>0</v>
      </c>
      <c r="R1427" s="24"/>
      <c r="U1427" s="11"/>
      <c r="V1427" s="25">
        <f>IFERROR(TAB_OFICINAS[[#This Row],[Valor Unit]]*TAB_OFICINAS[[#This Row],[Qtd pçs Enviadas]]," ")</f>
        <v>0</v>
      </c>
      <c r="W1427" s="26"/>
      <c r="Y1427" s="27"/>
      <c r="Z14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8" spans="6:26" hidden="1">
      <c r="F1428" s="28" t="str">
        <f>IFERROR(VLOOKUP(TAB_OFICINAS[[#This Row],[Cliente]],LISTA_DE_CLIENTES[[Código]:[Nome Fantasia]],2,FALSE),"")</f>
        <v/>
      </c>
      <c r="G1428" s="2" t="str">
        <f>IFERROR(VLOOKUP(TAB_OFICINAS[[#This Row],[Cliente]],LISTA_DE_CLIENTES[[Código]:[Nome Fantasia]],3,FALSE),"")</f>
        <v/>
      </c>
      <c r="H1428" s="123"/>
      <c r="J1428" s="91"/>
      <c r="K1428" s="88"/>
      <c r="O1428" s="23">
        <f>TAB_OFICINAS[[#This Row],[Data Retorno Produção]]-TAB_OFICINAS[[#This Row],[Data Prometida  Entrega]]</f>
        <v>0</v>
      </c>
      <c r="P1428" s="98" t="str">
        <f>IF(TAB_OFICINAS[[#This Row],[Dias Para Entrega]]&lt;=0,"Em dia","Dia de Atrasado")</f>
        <v>Em dia</v>
      </c>
      <c r="Q1428" s="24">
        <f>IFERROR(TAB_OFICINAS[[#This Row],[Qtd pçs Enviadas]]-TAB_OFICINAS[[#This Row],[Qtd pçs Retornadas ]],"N/D ")</f>
        <v>0</v>
      </c>
      <c r="R1428" s="24"/>
      <c r="U1428" s="11"/>
      <c r="V1428" s="25">
        <f>IFERROR(TAB_OFICINAS[[#This Row],[Valor Unit]]*TAB_OFICINAS[[#This Row],[Qtd pçs Enviadas]]," ")</f>
        <v>0</v>
      </c>
      <c r="W1428" s="26"/>
      <c r="Y1428" s="27"/>
      <c r="Z14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29" spans="6:26" hidden="1">
      <c r="F1429" s="28" t="str">
        <f>IFERROR(VLOOKUP(TAB_OFICINAS[[#This Row],[Cliente]],LISTA_DE_CLIENTES[[Código]:[Nome Fantasia]],2,FALSE),"")</f>
        <v/>
      </c>
      <c r="G1429" s="2" t="str">
        <f>IFERROR(VLOOKUP(TAB_OFICINAS[[#This Row],[Cliente]],LISTA_DE_CLIENTES[[Código]:[Nome Fantasia]],3,FALSE),"")</f>
        <v/>
      </c>
      <c r="H1429" s="123"/>
      <c r="J1429" s="91"/>
      <c r="K1429" s="88"/>
      <c r="O1429" s="23">
        <f>TAB_OFICINAS[[#This Row],[Data Retorno Produção]]-TAB_OFICINAS[[#This Row],[Data Prometida  Entrega]]</f>
        <v>0</v>
      </c>
      <c r="P1429" s="98" t="str">
        <f>IF(TAB_OFICINAS[[#This Row],[Dias Para Entrega]]&lt;=0,"Em dia","Dia de Atrasado")</f>
        <v>Em dia</v>
      </c>
      <c r="Q1429" s="24">
        <f>IFERROR(TAB_OFICINAS[[#This Row],[Qtd pçs Enviadas]]-TAB_OFICINAS[[#This Row],[Qtd pçs Retornadas ]],"N/D ")</f>
        <v>0</v>
      </c>
      <c r="R1429" s="24"/>
      <c r="U1429" s="11"/>
      <c r="V1429" s="25">
        <f>IFERROR(TAB_OFICINAS[[#This Row],[Valor Unit]]*TAB_OFICINAS[[#This Row],[Qtd pçs Enviadas]]," ")</f>
        <v>0</v>
      </c>
      <c r="W1429" s="26"/>
      <c r="Y1429" s="27"/>
      <c r="Z14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0" spans="6:26" hidden="1">
      <c r="F1430" s="28" t="str">
        <f>IFERROR(VLOOKUP(TAB_OFICINAS[[#This Row],[Cliente]],LISTA_DE_CLIENTES[[Código]:[Nome Fantasia]],2,FALSE),"")</f>
        <v/>
      </c>
      <c r="G1430" s="2" t="str">
        <f>IFERROR(VLOOKUP(TAB_OFICINAS[[#This Row],[Cliente]],LISTA_DE_CLIENTES[[Código]:[Nome Fantasia]],3,FALSE),"")</f>
        <v/>
      </c>
      <c r="H1430" s="123"/>
      <c r="J1430" s="91"/>
      <c r="K1430" s="88"/>
      <c r="O1430" s="23">
        <f>TAB_OFICINAS[[#This Row],[Data Retorno Produção]]-TAB_OFICINAS[[#This Row],[Data Prometida  Entrega]]</f>
        <v>0</v>
      </c>
      <c r="P1430" s="98" t="str">
        <f>IF(TAB_OFICINAS[[#This Row],[Dias Para Entrega]]&lt;=0,"Em dia","Dia de Atrasado")</f>
        <v>Em dia</v>
      </c>
      <c r="Q1430" s="24">
        <f>IFERROR(TAB_OFICINAS[[#This Row],[Qtd pçs Enviadas]]-TAB_OFICINAS[[#This Row],[Qtd pçs Retornadas ]],"N/D ")</f>
        <v>0</v>
      </c>
      <c r="R1430" s="24"/>
      <c r="U1430" s="11"/>
      <c r="V1430" s="25">
        <f>IFERROR(TAB_OFICINAS[[#This Row],[Valor Unit]]*TAB_OFICINAS[[#This Row],[Qtd pçs Enviadas]]," ")</f>
        <v>0</v>
      </c>
      <c r="W1430" s="26"/>
      <c r="Y1430" s="27"/>
      <c r="Z14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1" spans="6:26" hidden="1">
      <c r="F1431" s="28" t="str">
        <f>IFERROR(VLOOKUP(TAB_OFICINAS[[#This Row],[Cliente]],LISTA_DE_CLIENTES[[Código]:[Nome Fantasia]],2,FALSE),"")</f>
        <v/>
      </c>
      <c r="G1431" s="2" t="str">
        <f>IFERROR(VLOOKUP(TAB_OFICINAS[[#This Row],[Cliente]],LISTA_DE_CLIENTES[[Código]:[Nome Fantasia]],3,FALSE),"")</f>
        <v/>
      </c>
      <c r="H1431" s="123"/>
      <c r="J1431" s="91"/>
      <c r="K1431" s="88"/>
      <c r="O1431" s="23">
        <f>TAB_OFICINAS[[#This Row],[Data Retorno Produção]]-TAB_OFICINAS[[#This Row],[Data Prometida  Entrega]]</f>
        <v>0</v>
      </c>
      <c r="P1431" s="98" t="str">
        <f>IF(TAB_OFICINAS[[#This Row],[Dias Para Entrega]]&lt;=0,"Em dia","Dia de Atrasado")</f>
        <v>Em dia</v>
      </c>
      <c r="Q1431" s="24">
        <f>IFERROR(TAB_OFICINAS[[#This Row],[Qtd pçs Enviadas]]-TAB_OFICINAS[[#This Row],[Qtd pçs Retornadas ]],"N/D ")</f>
        <v>0</v>
      </c>
      <c r="R1431" s="24"/>
      <c r="U1431" s="11"/>
      <c r="V1431" s="25">
        <f>IFERROR(TAB_OFICINAS[[#This Row],[Valor Unit]]*TAB_OFICINAS[[#This Row],[Qtd pçs Enviadas]]," ")</f>
        <v>0</v>
      </c>
      <c r="W1431" s="26"/>
      <c r="Y1431" s="27"/>
      <c r="Z14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2" spans="6:26" hidden="1">
      <c r="F1432" s="28" t="str">
        <f>IFERROR(VLOOKUP(TAB_OFICINAS[[#This Row],[Cliente]],LISTA_DE_CLIENTES[[Código]:[Nome Fantasia]],2,FALSE),"")</f>
        <v/>
      </c>
      <c r="G1432" s="2" t="str">
        <f>IFERROR(VLOOKUP(TAB_OFICINAS[[#This Row],[Cliente]],LISTA_DE_CLIENTES[[Código]:[Nome Fantasia]],3,FALSE),"")</f>
        <v/>
      </c>
      <c r="H1432" s="123"/>
      <c r="J1432" s="91"/>
      <c r="K1432" s="88"/>
      <c r="O1432" s="23">
        <f>TAB_OFICINAS[[#This Row],[Data Retorno Produção]]-TAB_OFICINAS[[#This Row],[Data Prometida  Entrega]]</f>
        <v>0</v>
      </c>
      <c r="P1432" s="98" t="str">
        <f>IF(TAB_OFICINAS[[#This Row],[Dias Para Entrega]]&lt;=0,"Em dia","Dia de Atrasado")</f>
        <v>Em dia</v>
      </c>
      <c r="Q1432" s="24">
        <f>IFERROR(TAB_OFICINAS[[#This Row],[Qtd pçs Enviadas]]-TAB_OFICINAS[[#This Row],[Qtd pçs Retornadas ]],"N/D ")</f>
        <v>0</v>
      </c>
      <c r="R1432" s="24"/>
      <c r="U1432" s="11"/>
      <c r="V1432" s="25">
        <f>IFERROR(TAB_OFICINAS[[#This Row],[Valor Unit]]*TAB_OFICINAS[[#This Row],[Qtd pçs Enviadas]]," ")</f>
        <v>0</v>
      </c>
      <c r="W1432" s="26"/>
      <c r="Y1432" s="27"/>
      <c r="Z14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3" spans="6:26" hidden="1">
      <c r="F1433" s="28" t="str">
        <f>IFERROR(VLOOKUP(TAB_OFICINAS[[#This Row],[Cliente]],LISTA_DE_CLIENTES[[Código]:[Nome Fantasia]],2,FALSE),"")</f>
        <v/>
      </c>
      <c r="G1433" s="2" t="str">
        <f>IFERROR(VLOOKUP(TAB_OFICINAS[[#This Row],[Cliente]],LISTA_DE_CLIENTES[[Código]:[Nome Fantasia]],3,FALSE),"")</f>
        <v/>
      </c>
      <c r="H1433" s="123"/>
      <c r="J1433" s="91"/>
      <c r="K1433" s="88"/>
      <c r="O1433" s="23">
        <f>TAB_OFICINAS[[#This Row],[Data Retorno Produção]]-TAB_OFICINAS[[#This Row],[Data Prometida  Entrega]]</f>
        <v>0</v>
      </c>
      <c r="P1433" s="98" t="str">
        <f>IF(TAB_OFICINAS[[#This Row],[Dias Para Entrega]]&lt;=0,"Em dia","Dia de Atrasado")</f>
        <v>Em dia</v>
      </c>
      <c r="Q1433" s="24">
        <f>IFERROR(TAB_OFICINAS[[#This Row],[Qtd pçs Enviadas]]-TAB_OFICINAS[[#This Row],[Qtd pçs Retornadas ]],"N/D ")</f>
        <v>0</v>
      </c>
      <c r="R1433" s="24"/>
      <c r="U1433" s="11"/>
      <c r="V1433" s="25">
        <f>IFERROR(TAB_OFICINAS[[#This Row],[Valor Unit]]*TAB_OFICINAS[[#This Row],[Qtd pçs Enviadas]]," ")</f>
        <v>0</v>
      </c>
      <c r="W1433" s="26"/>
      <c r="Y1433" s="27"/>
      <c r="Z143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4" spans="6:26" hidden="1">
      <c r="F1434" s="28" t="str">
        <f>IFERROR(VLOOKUP(TAB_OFICINAS[[#This Row],[Cliente]],LISTA_DE_CLIENTES[[Código]:[Nome Fantasia]],2,FALSE),"")</f>
        <v/>
      </c>
      <c r="G1434" s="2" t="str">
        <f>IFERROR(VLOOKUP(TAB_OFICINAS[[#This Row],[Cliente]],LISTA_DE_CLIENTES[[Código]:[Nome Fantasia]],3,FALSE),"")</f>
        <v/>
      </c>
      <c r="H1434" s="123"/>
      <c r="J1434" s="91"/>
      <c r="K1434" s="88"/>
      <c r="O1434" s="23">
        <f>TAB_OFICINAS[[#This Row],[Data Retorno Produção]]-TAB_OFICINAS[[#This Row],[Data Prometida  Entrega]]</f>
        <v>0</v>
      </c>
      <c r="P1434" s="98" t="str">
        <f>IF(TAB_OFICINAS[[#This Row],[Dias Para Entrega]]&lt;=0,"Em dia","Dia de Atrasado")</f>
        <v>Em dia</v>
      </c>
      <c r="Q1434" s="24">
        <f>IFERROR(TAB_OFICINAS[[#This Row],[Qtd pçs Enviadas]]-TAB_OFICINAS[[#This Row],[Qtd pçs Retornadas ]],"N/D ")</f>
        <v>0</v>
      </c>
      <c r="R1434" s="24"/>
      <c r="U1434" s="11"/>
      <c r="V1434" s="25">
        <f>IFERROR(TAB_OFICINAS[[#This Row],[Valor Unit]]*TAB_OFICINAS[[#This Row],[Qtd pçs Enviadas]]," ")</f>
        <v>0</v>
      </c>
      <c r="W1434" s="26"/>
      <c r="Y1434" s="27"/>
      <c r="Z143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5" spans="6:26" hidden="1">
      <c r="F1435" s="28" t="str">
        <f>IFERROR(VLOOKUP(TAB_OFICINAS[[#This Row],[Cliente]],LISTA_DE_CLIENTES[[Código]:[Nome Fantasia]],2,FALSE),"")</f>
        <v/>
      </c>
      <c r="G1435" s="2" t="str">
        <f>IFERROR(VLOOKUP(TAB_OFICINAS[[#This Row],[Cliente]],LISTA_DE_CLIENTES[[Código]:[Nome Fantasia]],3,FALSE),"")</f>
        <v/>
      </c>
      <c r="H1435" s="123"/>
      <c r="J1435" s="91"/>
      <c r="K1435" s="88"/>
      <c r="O1435" s="23">
        <f>TAB_OFICINAS[[#This Row],[Data Retorno Produção]]-TAB_OFICINAS[[#This Row],[Data Prometida  Entrega]]</f>
        <v>0</v>
      </c>
      <c r="P1435" s="98" t="str">
        <f>IF(TAB_OFICINAS[[#This Row],[Dias Para Entrega]]&lt;=0,"Em dia","Dia de Atrasado")</f>
        <v>Em dia</v>
      </c>
      <c r="Q1435" s="24">
        <f>IFERROR(TAB_OFICINAS[[#This Row],[Qtd pçs Enviadas]]-TAB_OFICINAS[[#This Row],[Qtd pçs Retornadas ]],"N/D ")</f>
        <v>0</v>
      </c>
      <c r="R1435" s="24"/>
      <c r="U1435" s="11"/>
      <c r="V1435" s="25">
        <f>IFERROR(TAB_OFICINAS[[#This Row],[Valor Unit]]*TAB_OFICINAS[[#This Row],[Qtd pçs Enviadas]]," ")</f>
        <v>0</v>
      </c>
      <c r="W1435" s="26"/>
      <c r="Y1435" s="27"/>
      <c r="Z14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6" spans="6:26" hidden="1">
      <c r="F1436" s="28" t="str">
        <f>IFERROR(VLOOKUP(TAB_OFICINAS[[#This Row],[Cliente]],LISTA_DE_CLIENTES[[Código]:[Nome Fantasia]],2,FALSE),"")</f>
        <v/>
      </c>
      <c r="G1436" s="2" t="str">
        <f>IFERROR(VLOOKUP(TAB_OFICINAS[[#This Row],[Cliente]],LISTA_DE_CLIENTES[[Código]:[Nome Fantasia]],3,FALSE),"")</f>
        <v/>
      </c>
      <c r="H1436" s="123"/>
      <c r="J1436" s="91"/>
      <c r="K1436" s="88"/>
      <c r="O1436" s="23">
        <f>TAB_OFICINAS[[#This Row],[Data Retorno Produção]]-TAB_OFICINAS[[#This Row],[Data Prometida  Entrega]]</f>
        <v>0</v>
      </c>
      <c r="P1436" s="98" t="str">
        <f>IF(TAB_OFICINAS[[#This Row],[Dias Para Entrega]]&lt;=0,"Em dia","Dia de Atrasado")</f>
        <v>Em dia</v>
      </c>
      <c r="Q1436" s="24">
        <f>IFERROR(TAB_OFICINAS[[#This Row],[Qtd pçs Enviadas]]-TAB_OFICINAS[[#This Row],[Qtd pçs Retornadas ]],"N/D ")</f>
        <v>0</v>
      </c>
      <c r="R1436" s="24"/>
      <c r="U1436" s="11"/>
      <c r="V1436" s="25">
        <f>IFERROR(TAB_OFICINAS[[#This Row],[Valor Unit]]*TAB_OFICINAS[[#This Row],[Qtd pçs Enviadas]]," ")</f>
        <v>0</v>
      </c>
      <c r="W1436" s="26"/>
      <c r="Y1436" s="27"/>
      <c r="Z14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7" spans="6:26" hidden="1">
      <c r="F1437" s="28" t="str">
        <f>IFERROR(VLOOKUP(TAB_OFICINAS[[#This Row],[Cliente]],LISTA_DE_CLIENTES[[Código]:[Nome Fantasia]],2,FALSE),"")</f>
        <v/>
      </c>
      <c r="G1437" s="2" t="str">
        <f>IFERROR(VLOOKUP(TAB_OFICINAS[[#This Row],[Cliente]],LISTA_DE_CLIENTES[[Código]:[Nome Fantasia]],3,FALSE),"")</f>
        <v/>
      </c>
      <c r="H1437" s="123"/>
      <c r="J1437" s="91"/>
      <c r="K1437" s="88"/>
      <c r="O1437" s="23">
        <f>TAB_OFICINAS[[#This Row],[Data Retorno Produção]]-TAB_OFICINAS[[#This Row],[Data Prometida  Entrega]]</f>
        <v>0</v>
      </c>
      <c r="P1437" s="98" t="str">
        <f>IF(TAB_OFICINAS[[#This Row],[Dias Para Entrega]]&lt;=0,"Em dia","Dia de Atrasado")</f>
        <v>Em dia</v>
      </c>
      <c r="Q1437" s="24">
        <f>IFERROR(TAB_OFICINAS[[#This Row],[Qtd pçs Enviadas]]-TAB_OFICINAS[[#This Row],[Qtd pçs Retornadas ]],"N/D ")</f>
        <v>0</v>
      </c>
      <c r="R1437" s="24"/>
      <c r="U1437" s="11"/>
      <c r="V1437" s="25">
        <f>IFERROR(TAB_OFICINAS[[#This Row],[Valor Unit]]*TAB_OFICINAS[[#This Row],[Qtd pçs Enviadas]]," ")</f>
        <v>0</v>
      </c>
      <c r="W1437" s="26"/>
      <c r="Y1437" s="27"/>
      <c r="Z14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8" spans="6:26" hidden="1">
      <c r="F1438" s="28" t="str">
        <f>IFERROR(VLOOKUP(TAB_OFICINAS[[#This Row],[Cliente]],LISTA_DE_CLIENTES[[Código]:[Nome Fantasia]],2,FALSE),"")</f>
        <v/>
      </c>
      <c r="G1438" s="2" t="str">
        <f>IFERROR(VLOOKUP(TAB_OFICINAS[[#This Row],[Cliente]],LISTA_DE_CLIENTES[[Código]:[Nome Fantasia]],3,FALSE),"")</f>
        <v/>
      </c>
      <c r="H1438" s="123"/>
      <c r="J1438" s="91"/>
      <c r="K1438" s="88"/>
      <c r="O1438" s="23">
        <f>TAB_OFICINAS[[#This Row],[Data Retorno Produção]]-TAB_OFICINAS[[#This Row],[Data Prometida  Entrega]]</f>
        <v>0</v>
      </c>
      <c r="P1438" s="98" t="str">
        <f>IF(TAB_OFICINAS[[#This Row],[Dias Para Entrega]]&lt;=0,"Em dia","Dia de Atrasado")</f>
        <v>Em dia</v>
      </c>
      <c r="Q1438" s="24">
        <f>IFERROR(TAB_OFICINAS[[#This Row],[Qtd pçs Enviadas]]-TAB_OFICINAS[[#This Row],[Qtd pçs Retornadas ]],"N/D ")</f>
        <v>0</v>
      </c>
      <c r="R1438" s="24"/>
      <c r="U1438" s="11"/>
      <c r="V1438" s="25">
        <f>IFERROR(TAB_OFICINAS[[#This Row],[Valor Unit]]*TAB_OFICINAS[[#This Row],[Qtd pçs Enviadas]]," ")</f>
        <v>0</v>
      </c>
      <c r="W1438" s="26"/>
      <c r="Y1438" s="27"/>
      <c r="Z143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39" spans="6:26" hidden="1">
      <c r="F1439" s="28" t="str">
        <f>IFERROR(VLOOKUP(TAB_OFICINAS[[#This Row],[Cliente]],LISTA_DE_CLIENTES[[Código]:[Nome Fantasia]],2,FALSE),"")</f>
        <v/>
      </c>
      <c r="G1439" s="2" t="str">
        <f>IFERROR(VLOOKUP(TAB_OFICINAS[[#This Row],[Cliente]],LISTA_DE_CLIENTES[[Código]:[Nome Fantasia]],3,FALSE),"")</f>
        <v/>
      </c>
      <c r="H1439" s="123"/>
      <c r="J1439" s="91"/>
      <c r="K1439" s="88"/>
      <c r="O1439" s="23">
        <f>TAB_OFICINAS[[#This Row],[Data Retorno Produção]]-TAB_OFICINAS[[#This Row],[Data Prometida  Entrega]]</f>
        <v>0</v>
      </c>
      <c r="P1439" s="98" t="str">
        <f>IF(TAB_OFICINAS[[#This Row],[Dias Para Entrega]]&lt;=0,"Em dia","Dia de Atrasado")</f>
        <v>Em dia</v>
      </c>
      <c r="Q1439" s="24">
        <f>IFERROR(TAB_OFICINAS[[#This Row],[Qtd pçs Enviadas]]-TAB_OFICINAS[[#This Row],[Qtd pçs Retornadas ]],"N/D ")</f>
        <v>0</v>
      </c>
      <c r="R1439" s="24"/>
      <c r="U1439" s="11"/>
      <c r="V1439" s="25">
        <f>IFERROR(TAB_OFICINAS[[#This Row],[Valor Unit]]*TAB_OFICINAS[[#This Row],[Qtd pçs Enviadas]]," ")</f>
        <v>0</v>
      </c>
      <c r="W1439" s="26"/>
      <c r="Y1439" s="27"/>
      <c r="Z143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0" spans="6:26" hidden="1">
      <c r="F1440" s="28" t="str">
        <f>IFERROR(VLOOKUP(TAB_OFICINAS[[#This Row],[Cliente]],LISTA_DE_CLIENTES[[Código]:[Nome Fantasia]],2,FALSE),"")</f>
        <v/>
      </c>
      <c r="G1440" s="2" t="str">
        <f>IFERROR(VLOOKUP(TAB_OFICINAS[[#This Row],[Cliente]],LISTA_DE_CLIENTES[[Código]:[Nome Fantasia]],3,FALSE),"")</f>
        <v/>
      </c>
      <c r="H1440" s="123"/>
      <c r="J1440" s="91"/>
      <c r="K1440" s="88"/>
      <c r="O1440" s="23">
        <f>TAB_OFICINAS[[#This Row],[Data Retorno Produção]]-TAB_OFICINAS[[#This Row],[Data Prometida  Entrega]]</f>
        <v>0</v>
      </c>
      <c r="P1440" s="98" t="str">
        <f>IF(TAB_OFICINAS[[#This Row],[Dias Para Entrega]]&lt;=0,"Em dia","Dia de Atrasado")</f>
        <v>Em dia</v>
      </c>
      <c r="Q1440" s="24">
        <f>IFERROR(TAB_OFICINAS[[#This Row],[Qtd pçs Enviadas]]-TAB_OFICINAS[[#This Row],[Qtd pçs Retornadas ]],"N/D ")</f>
        <v>0</v>
      </c>
      <c r="R1440" s="24"/>
      <c r="U1440" s="11"/>
      <c r="V1440" s="25">
        <f>IFERROR(TAB_OFICINAS[[#This Row],[Valor Unit]]*TAB_OFICINAS[[#This Row],[Qtd pçs Enviadas]]," ")</f>
        <v>0</v>
      </c>
      <c r="W1440" s="26"/>
      <c r="Y1440" s="27"/>
      <c r="Z14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1" spans="6:26" hidden="1">
      <c r="F1441" s="28" t="str">
        <f>IFERROR(VLOOKUP(TAB_OFICINAS[[#This Row],[Cliente]],LISTA_DE_CLIENTES[[Código]:[Nome Fantasia]],2,FALSE),"")</f>
        <v/>
      </c>
      <c r="G1441" s="2" t="str">
        <f>IFERROR(VLOOKUP(TAB_OFICINAS[[#This Row],[Cliente]],LISTA_DE_CLIENTES[[Código]:[Nome Fantasia]],3,FALSE),"")</f>
        <v/>
      </c>
      <c r="H1441" s="123"/>
      <c r="J1441" s="91"/>
      <c r="K1441" s="88"/>
      <c r="O1441" s="23">
        <f>TAB_OFICINAS[[#This Row],[Data Retorno Produção]]-TAB_OFICINAS[[#This Row],[Data Prometida  Entrega]]</f>
        <v>0</v>
      </c>
      <c r="P1441" s="98" t="str">
        <f>IF(TAB_OFICINAS[[#This Row],[Dias Para Entrega]]&lt;=0,"Em dia","Dia de Atrasado")</f>
        <v>Em dia</v>
      </c>
      <c r="Q1441" s="24">
        <f>IFERROR(TAB_OFICINAS[[#This Row],[Qtd pçs Enviadas]]-TAB_OFICINAS[[#This Row],[Qtd pçs Retornadas ]],"N/D ")</f>
        <v>0</v>
      </c>
      <c r="R1441" s="24"/>
      <c r="U1441" s="11"/>
      <c r="V1441" s="25">
        <f>IFERROR(TAB_OFICINAS[[#This Row],[Valor Unit]]*TAB_OFICINAS[[#This Row],[Qtd pçs Enviadas]]," ")</f>
        <v>0</v>
      </c>
      <c r="W1441" s="26"/>
      <c r="Y1441" s="27"/>
      <c r="Z14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2" spans="6:26" hidden="1">
      <c r="F1442" s="28" t="str">
        <f>IFERROR(VLOOKUP(TAB_OFICINAS[[#This Row],[Cliente]],LISTA_DE_CLIENTES[[Código]:[Nome Fantasia]],2,FALSE),"")</f>
        <v/>
      </c>
      <c r="G1442" s="2" t="str">
        <f>IFERROR(VLOOKUP(TAB_OFICINAS[[#This Row],[Cliente]],LISTA_DE_CLIENTES[[Código]:[Nome Fantasia]],3,FALSE),"")</f>
        <v/>
      </c>
      <c r="H1442" s="123"/>
      <c r="J1442" s="91"/>
      <c r="K1442" s="88"/>
      <c r="O1442" s="23">
        <f>TAB_OFICINAS[[#This Row],[Data Retorno Produção]]-TAB_OFICINAS[[#This Row],[Data Prometida  Entrega]]</f>
        <v>0</v>
      </c>
      <c r="P1442" s="98" t="str">
        <f>IF(TAB_OFICINAS[[#This Row],[Dias Para Entrega]]&lt;=0,"Em dia","Dia de Atrasado")</f>
        <v>Em dia</v>
      </c>
      <c r="Q1442" s="24">
        <f>IFERROR(TAB_OFICINAS[[#This Row],[Qtd pçs Enviadas]]-TAB_OFICINAS[[#This Row],[Qtd pçs Retornadas ]],"N/D ")</f>
        <v>0</v>
      </c>
      <c r="R1442" s="24"/>
      <c r="U1442" s="11"/>
      <c r="V1442" s="25">
        <f>IFERROR(TAB_OFICINAS[[#This Row],[Valor Unit]]*TAB_OFICINAS[[#This Row],[Qtd pçs Enviadas]]," ")</f>
        <v>0</v>
      </c>
      <c r="W1442" s="26"/>
      <c r="Y1442" s="27"/>
      <c r="Z14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3" spans="6:26" hidden="1">
      <c r="F1443" s="28" t="str">
        <f>IFERROR(VLOOKUP(TAB_OFICINAS[[#This Row],[Cliente]],LISTA_DE_CLIENTES[[Código]:[Nome Fantasia]],2,FALSE),"")</f>
        <v/>
      </c>
      <c r="G1443" s="2" t="str">
        <f>IFERROR(VLOOKUP(TAB_OFICINAS[[#This Row],[Cliente]],LISTA_DE_CLIENTES[[Código]:[Nome Fantasia]],3,FALSE),"")</f>
        <v/>
      </c>
      <c r="H1443" s="123"/>
      <c r="J1443" s="91"/>
      <c r="K1443" s="88"/>
      <c r="O1443" s="23">
        <f>TAB_OFICINAS[[#This Row],[Data Retorno Produção]]-TAB_OFICINAS[[#This Row],[Data Prometida  Entrega]]</f>
        <v>0</v>
      </c>
      <c r="P1443" s="98" t="str">
        <f>IF(TAB_OFICINAS[[#This Row],[Dias Para Entrega]]&lt;=0,"Em dia","Dia de Atrasado")</f>
        <v>Em dia</v>
      </c>
      <c r="Q1443" s="24">
        <f>IFERROR(TAB_OFICINAS[[#This Row],[Qtd pçs Enviadas]]-TAB_OFICINAS[[#This Row],[Qtd pçs Retornadas ]],"N/D ")</f>
        <v>0</v>
      </c>
      <c r="R1443" s="24"/>
      <c r="U1443" s="11"/>
      <c r="V1443" s="25">
        <f>IFERROR(TAB_OFICINAS[[#This Row],[Valor Unit]]*TAB_OFICINAS[[#This Row],[Qtd pçs Enviadas]]," ")</f>
        <v>0</v>
      </c>
      <c r="W1443" s="26"/>
      <c r="Y1443" s="27"/>
      <c r="Z14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4" spans="6:26" hidden="1">
      <c r="F1444" s="28" t="str">
        <f>IFERROR(VLOOKUP(TAB_OFICINAS[[#This Row],[Cliente]],LISTA_DE_CLIENTES[[Código]:[Nome Fantasia]],2,FALSE),"")</f>
        <v/>
      </c>
      <c r="G1444" s="2" t="str">
        <f>IFERROR(VLOOKUP(TAB_OFICINAS[[#This Row],[Cliente]],LISTA_DE_CLIENTES[[Código]:[Nome Fantasia]],3,FALSE),"")</f>
        <v/>
      </c>
      <c r="H1444" s="123"/>
      <c r="J1444" s="91"/>
      <c r="K1444" s="88"/>
      <c r="O1444" s="23">
        <f>TAB_OFICINAS[[#This Row],[Data Retorno Produção]]-TAB_OFICINAS[[#This Row],[Data Prometida  Entrega]]</f>
        <v>0</v>
      </c>
      <c r="P1444" s="98" t="str">
        <f>IF(TAB_OFICINAS[[#This Row],[Dias Para Entrega]]&lt;=0,"Em dia","Dia de Atrasado")</f>
        <v>Em dia</v>
      </c>
      <c r="Q1444" s="24">
        <f>IFERROR(TAB_OFICINAS[[#This Row],[Qtd pçs Enviadas]]-TAB_OFICINAS[[#This Row],[Qtd pçs Retornadas ]],"N/D ")</f>
        <v>0</v>
      </c>
      <c r="R1444" s="24"/>
      <c r="U1444" s="11"/>
      <c r="V1444" s="25">
        <f>IFERROR(TAB_OFICINAS[[#This Row],[Valor Unit]]*TAB_OFICINAS[[#This Row],[Qtd pçs Enviadas]]," ")</f>
        <v>0</v>
      </c>
      <c r="W1444" s="26"/>
      <c r="Y1444" s="27"/>
      <c r="Z14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5" spans="6:26" hidden="1">
      <c r="F1445" s="28" t="str">
        <f>IFERROR(VLOOKUP(TAB_OFICINAS[[#This Row],[Cliente]],LISTA_DE_CLIENTES[[Código]:[Nome Fantasia]],2,FALSE),"")</f>
        <v/>
      </c>
      <c r="G1445" s="2" t="str">
        <f>IFERROR(VLOOKUP(TAB_OFICINAS[[#This Row],[Cliente]],LISTA_DE_CLIENTES[[Código]:[Nome Fantasia]],3,FALSE),"")</f>
        <v/>
      </c>
      <c r="H1445" s="123"/>
      <c r="J1445" s="91"/>
      <c r="K1445" s="88"/>
      <c r="O1445" s="23">
        <f>TAB_OFICINAS[[#This Row],[Data Retorno Produção]]-TAB_OFICINAS[[#This Row],[Data Prometida  Entrega]]</f>
        <v>0</v>
      </c>
      <c r="P1445" s="98" t="str">
        <f>IF(TAB_OFICINAS[[#This Row],[Dias Para Entrega]]&lt;=0,"Em dia","Dia de Atrasado")</f>
        <v>Em dia</v>
      </c>
      <c r="Q1445" s="24">
        <f>IFERROR(TAB_OFICINAS[[#This Row],[Qtd pçs Enviadas]]-TAB_OFICINAS[[#This Row],[Qtd pçs Retornadas ]],"N/D ")</f>
        <v>0</v>
      </c>
      <c r="R1445" s="24"/>
      <c r="U1445" s="11"/>
      <c r="V1445" s="25">
        <f>IFERROR(TAB_OFICINAS[[#This Row],[Valor Unit]]*TAB_OFICINAS[[#This Row],[Qtd pçs Enviadas]]," ")</f>
        <v>0</v>
      </c>
      <c r="W1445" s="26"/>
      <c r="Y1445" s="27"/>
      <c r="Z14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6" spans="6:26" hidden="1">
      <c r="F1446" s="28" t="str">
        <f>IFERROR(VLOOKUP(TAB_OFICINAS[[#This Row],[Cliente]],LISTA_DE_CLIENTES[[Código]:[Nome Fantasia]],2,FALSE),"")</f>
        <v/>
      </c>
      <c r="G1446" s="2" t="str">
        <f>IFERROR(VLOOKUP(TAB_OFICINAS[[#This Row],[Cliente]],LISTA_DE_CLIENTES[[Código]:[Nome Fantasia]],3,FALSE),"")</f>
        <v/>
      </c>
      <c r="H1446" s="123"/>
      <c r="J1446" s="91"/>
      <c r="K1446" s="88"/>
      <c r="O1446" s="23">
        <f>TAB_OFICINAS[[#This Row],[Data Retorno Produção]]-TAB_OFICINAS[[#This Row],[Data Prometida  Entrega]]</f>
        <v>0</v>
      </c>
      <c r="P1446" s="98" t="str">
        <f>IF(TAB_OFICINAS[[#This Row],[Dias Para Entrega]]&lt;=0,"Em dia","Dia de Atrasado")</f>
        <v>Em dia</v>
      </c>
      <c r="Q1446" s="24">
        <f>IFERROR(TAB_OFICINAS[[#This Row],[Qtd pçs Enviadas]]-TAB_OFICINAS[[#This Row],[Qtd pçs Retornadas ]],"N/D ")</f>
        <v>0</v>
      </c>
      <c r="R1446" s="24"/>
      <c r="U1446" s="11"/>
      <c r="V1446" s="25">
        <f>IFERROR(TAB_OFICINAS[[#This Row],[Valor Unit]]*TAB_OFICINAS[[#This Row],[Qtd pçs Enviadas]]," ")</f>
        <v>0</v>
      </c>
      <c r="W1446" s="26"/>
      <c r="Y1446" s="27"/>
      <c r="Z14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7" spans="6:26" hidden="1">
      <c r="F1447" s="28" t="str">
        <f>IFERROR(VLOOKUP(TAB_OFICINAS[[#This Row],[Cliente]],LISTA_DE_CLIENTES[[Código]:[Nome Fantasia]],2,FALSE),"")</f>
        <v/>
      </c>
      <c r="G1447" s="2" t="str">
        <f>IFERROR(VLOOKUP(TAB_OFICINAS[[#This Row],[Cliente]],LISTA_DE_CLIENTES[[Código]:[Nome Fantasia]],3,FALSE),"")</f>
        <v/>
      </c>
      <c r="H1447" s="123"/>
      <c r="J1447" s="91"/>
      <c r="K1447" s="88"/>
      <c r="O1447" s="23">
        <f>TAB_OFICINAS[[#This Row],[Data Retorno Produção]]-TAB_OFICINAS[[#This Row],[Data Prometida  Entrega]]</f>
        <v>0</v>
      </c>
      <c r="P1447" s="98" t="str">
        <f>IF(TAB_OFICINAS[[#This Row],[Dias Para Entrega]]&lt;=0,"Em dia","Dia de Atrasado")</f>
        <v>Em dia</v>
      </c>
      <c r="Q1447" s="24">
        <f>IFERROR(TAB_OFICINAS[[#This Row],[Qtd pçs Enviadas]]-TAB_OFICINAS[[#This Row],[Qtd pçs Retornadas ]],"N/D ")</f>
        <v>0</v>
      </c>
      <c r="R1447" s="24"/>
      <c r="U1447" s="11"/>
      <c r="V1447" s="25">
        <f>IFERROR(TAB_OFICINAS[[#This Row],[Valor Unit]]*TAB_OFICINAS[[#This Row],[Qtd pçs Enviadas]]," ")</f>
        <v>0</v>
      </c>
      <c r="W1447" s="26"/>
      <c r="Y1447" s="27"/>
      <c r="Z14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8" spans="6:26" hidden="1">
      <c r="F1448" s="28" t="str">
        <f>IFERROR(VLOOKUP(TAB_OFICINAS[[#This Row],[Cliente]],LISTA_DE_CLIENTES[[Código]:[Nome Fantasia]],2,FALSE),"")</f>
        <v/>
      </c>
      <c r="G1448" s="2" t="str">
        <f>IFERROR(VLOOKUP(TAB_OFICINAS[[#This Row],[Cliente]],LISTA_DE_CLIENTES[[Código]:[Nome Fantasia]],3,FALSE),"")</f>
        <v/>
      </c>
      <c r="H1448" s="123"/>
      <c r="J1448" s="91"/>
      <c r="K1448" s="88"/>
      <c r="O1448" s="23">
        <f>TAB_OFICINAS[[#This Row],[Data Retorno Produção]]-TAB_OFICINAS[[#This Row],[Data Prometida  Entrega]]</f>
        <v>0</v>
      </c>
      <c r="P1448" s="98" t="str">
        <f>IF(TAB_OFICINAS[[#This Row],[Dias Para Entrega]]&lt;=0,"Em dia","Dia de Atrasado")</f>
        <v>Em dia</v>
      </c>
      <c r="Q1448" s="24">
        <f>IFERROR(TAB_OFICINAS[[#This Row],[Qtd pçs Enviadas]]-TAB_OFICINAS[[#This Row],[Qtd pçs Retornadas ]],"N/D ")</f>
        <v>0</v>
      </c>
      <c r="R1448" s="24"/>
      <c r="U1448" s="11"/>
      <c r="V1448" s="25">
        <f>IFERROR(TAB_OFICINAS[[#This Row],[Valor Unit]]*TAB_OFICINAS[[#This Row],[Qtd pçs Enviadas]]," ")</f>
        <v>0</v>
      </c>
      <c r="W1448" s="26"/>
      <c r="Y1448" s="27"/>
      <c r="Z14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49" spans="6:26" hidden="1">
      <c r="F1449" s="28" t="str">
        <f>IFERROR(VLOOKUP(TAB_OFICINAS[[#This Row],[Cliente]],LISTA_DE_CLIENTES[[Código]:[Nome Fantasia]],2,FALSE),"")</f>
        <v/>
      </c>
      <c r="G1449" s="2" t="str">
        <f>IFERROR(VLOOKUP(TAB_OFICINAS[[#This Row],[Cliente]],LISTA_DE_CLIENTES[[Código]:[Nome Fantasia]],3,FALSE),"")</f>
        <v/>
      </c>
      <c r="H1449" s="123"/>
      <c r="J1449" s="91"/>
      <c r="K1449" s="88"/>
      <c r="O1449" s="23">
        <f>TAB_OFICINAS[[#This Row],[Data Retorno Produção]]-TAB_OFICINAS[[#This Row],[Data Prometida  Entrega]]</f>
        <v>0</v>
      </c>
      <c r="P1449" s="98" t="str">
        <f>IF(TAB_OFICINAS[[#This Row],[Dias Para Entrega]]&lt;=0,"Em dia","Dia de Atrasado")</f>
        <v>Em dia</v>
      </c>
      <c r="Q1449" s="24">
        <f>IFERROR(TAB_OFICINAS[[#This Row],[Qtd pçs Enviadas]]-TAB_OFICINAS[[#This Row],[Qtd pçs Retornadas ]],"N/D ")</f>
        <v>0</v>
      </c>
      <c r="R1449" s="24"/>
      <c r="U1449" s="11"/>
      <c r="V1449" s="25">
        <f>IFERROR(TAB_OFICINAS[[#This Row],[Valor Unit]]*TAB_OFICINAS[[#This Row],[Qtd pçs Enviadas]]," ")</f>
        <v>0</v>
      </c>
      <c r="W1449" s="26"/>
      <c r="Y1449" s="27"/>
      <c r="Z14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0" spans="6:26" hidden="1">
      <c r="F1450" s="28" t="str">
        <f>IFERROR(VLOOKUP(TAB_OFICINAS[[#This Row],[Cliente]],LISTA_DE_CLIENTES[[Código]:[Nome Fantasia]],2,FALSE),"")</f>
        <v/>
      </c>
      <c r="G1450" s="2" t="str">
        <f>IFERROR(VLOOKUP(TAB_OFICINAS[[#This Row],[Cliente]],LISTA_DE_CLIENTES[[Código]:[Nome Fantasia]],3,FALSE),"")</f>
        <v/>
      </c>
      <c r="H1450" s="123"/>
      <c r="J1450" s="91"/>
      <c r="K1450" s="88"/>
      <c r="O1450" s="23">
        <f>TAB_OFICINAS[[#This Row],[Data Retorno Produção]]-TAB_OFICINAS[[#This Row],[Data Prometida  Entrega]]</f>
        <v>0</v>
      </c>
      <c r="P1450" s="98" t="str">
        <f>IF(TAB_OFICINAS[[#This Row],[Dias Para Entrega]]&lt;=0,"Em dia","Dia de Atrasado")</f>
        <v>Em dia</v>
      </c>
      <c r="Q1450" s="24">
        <f>IFERROR(TAB_OFICINAS[[#This Row],[Qtd pçs Enviadas]]-TAB_OFICINAS[[#This Row],[Qtd pçs Retornadas ]],"N/D ")</f>
        <v>0</v>
      </c>
      <c r="R1450" s="24"/>
      <c r="U1450" s="11"/>
      <c r="V1450" s="25">
        <f>IFERROR(TAB_OFICINAS[[#This Row],[Valor Unit]]*TAB_OFICINAS[[#This Row],[Qtd pçs Enviadas]]," ")</f>
        <v>0</v>
      </c>
      <c r="W1450" s="26"/>
      <c r="Y1450" s="27"/>
      <c r="Z14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1" spans="6:26" hidden="1">
      <c r="F1451" s="28" t="str">
        <f>IFERROR(VLOOKUP(TAB_OFICINAS[[#This Row],[Cliente]],LISTA_DE_CLIENTES[[Código]:[Nome Fantasia]],2,FALSE),"")</f>
        <v/>
      </c>
      <c r="G1451" s="2" t="str">
        <f>IFERROR(VLOOKUP(TAB_OFICINAS[[#This Row],[Cliente]],LISTA_DE_CLIENTES[[Código]:[Nome Fantasia]],3,FALSE),"")</f>
        <v/>
      </c>
      <c r="H1451" s="123"/>
      <c r="J1451" s="91"/>
      <c r="K1451" s="88"/>
      <c r="O1451" s="23">
        <f>TAB_OFICINAS[[#This Row],[Data Retorno Produção]]-TAB_OFICINAS[[#This Row],[Data Prometida  Entrega]]</f>
        <v>0</v>
      </c>
      <c r="P1451" s="98" t="str">
        <f>IF(TAB_OFICINAS[[#This Row],[Dias Para Entrega]]&lt;=0,"Em dia","Dia de Atrasado")</f>
        <v>Em dia</v>
      </c>
      <c r="Q1451" s="24">
        <f>IFERROR(TAB_OFICINAS[[#This Row],[Qtd pçs Enviadas]]-TAB_OFICINAS[[#This Row],[Qtd pçs Retornadas ]],"N/D ")</f>
        <v>0</v>
      </c>
      <c r="R1451" s="24"/>
      <c r="U1451" s="11"/>
      <c r="V1451" s="25">
        <f>IFERROR(TAB_OFICINAS[[#This Row],[Valor Unit]]*TAB_OFICINAS[[#This Row],[Qtd pçs Enviadas]]," ")</f>
        <v>0</v>
      </c>
      <c r="W1451" s="26"/>
      <c r="Y1451" s="27"/>
      <c r="Z14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2" spans="6:26" hidden="1">
      <c r="F1452" s="28" t="str">
        <f>IFERROR(VLOOKUP(TAB_OFICINAS[[#This Row],[Cliente]],LISTA_DE_CLIENTES[[Código]:[Nome Fantasia]],2,FALSE),"")</f>
        <v/>
      </c>
      <c r="G1452" s="2" t="str">
        <f>IFERROR(VLOOKUP(TAB_OFICINAS[[#This Row],[Cliente]],LISTA_DE_CLIENTES[[Código]:[Nome Fantasia]],3,FALSE),"")</f>
        <v/>
      </c>
      <c r="H1452" s="123"/>
      <c r="J1452" s="91"/>
      <c r="K1452" s="88"/>
      <c r="O1452" s="23">
        <f>TAB_OFICINAS[[#This Row],[Data Retorno Produção]]-TAB_OFICINAS[[#This Row],[Data Prometida  Entrega]]</f>
        <v>0</v>
      </c>
      <c r="P1452" s="98" t="str">
        <f>IF(TAB_OFICINAS[[#This Row],[Dias Para Entrega]]&lt;=0,"Em dia","Dia de Atrasado")</f>
        <v>Em dia</v>
      </c>
      <c r="Q1452" s="24">
        <f>IFERROR(TAB_OFICINAS[[#This Row],[Qtd pçs Enviadas]]-TAB_OFICINAS[[#This Row],[Qtd pçs Retornadas ]],"N/D ")</f>
        <v>0</v>
      </c>
      <c r="R1452" s="24"/>
      <c r="U1452" s="11"/>
      <c r="V1452" s="25">
        <f>IFERROR(TAB_OFICINAS[[#This Row],[Valor Unit]]*TAB_OFICINAS[[#This Row],[Qtd pçs Enviadas]]," ")</f>
        <v>0</v>
      </c>
      <c r="W1452" s="26"/>
      <c r="Y1452" s="27"/>
      <c r="Z14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3" spans="6:26" hidden="1">
      <c r="F1453" s="28" t="str">
        <f>IFERROR(VLOOKUP(TAB_OFICINAS[[#This Row],[Cliente]],LISTA_DE_CLIENTES[[Código]:[Nome Fantasia]],2,FALSE),"")</f>
        <v/>
      </c>
      <c r="G1453" s="2" t="str">
        <f>IFERROR(VLOOKUP(TAB_OFICINAS[[#This Row],[Cliente]],LISTA_DE_CLIENTES[[Código]:[Nome Fantasia]],3,FALSE),"")</f>
        <v/>
      </c>
      <c r="H1453" s="123"/>
      <c r="J1453" s="91"/>
      <c r="K1453" s="88"/>
      <c r="O1453" s="23">
        <f>TAB_OFICINAS[[#This Row],[Data Retorno Produção]]-TAB_OFICINAS[[#This Row],[Data Prometida  Entrega]]</f>
        <v>0</v>
      </c>
      <c r="P1453" s="98" t="str">
        <f>IF(TAB_OFICINAS[[#This Row],[Dias Para Entrega]]&lt;=0,"Em dia","Dia de Atrasado")</f>
        <v>Em dia</v>
      </c>
      <c r="Q1453" s="24">
        <f>IFERROR(TAB_OFICINAS[[#This Row],[Qtd pçs Enviadas]]-TAB_OFICINAS[[#This Row],[Qtd pçs Retornadas ]],"N/D ")</f>
        <v>0</v>
      </c>
      <c r="R1453" s="24"/>
      <c r="U1453" s="11"/>
      <c r="V1453" s="25">
        <f>IFERROR(TAB_OFICINAS[[#This Row],[Valor Unit]]*TAB_OFICINAS[[#This Row],[Qtd pçs Enviadas]]," ")</f>
        <v>0</v>
      </c>
      <c r="W1453" s="26"/>
      <c r="Y1453" s="27"/>
      <c r="Z14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4" spans="6:26" hidden="1">
      <c r="F1454" s="28" t="str">
        <f>IFERROR(VLOOKUP(TAB_OFICINAS[[#This Row],[Cliente]],LISTA_DE_CLIENTES[[Código]:[Nome Fantasia]],2,FALSE),"")</f>
        <v/>
      </c>
      <c r="G1454" s="2" t="str">
        <f>IFERROR(VLOOKUP(TAB_OFICINAS[[#This Row],[Cliente]],LISTA_DE_CLIENTES[[Código]:[Nome Fantasia]],3,FALSE),"")</f>
        <v/>
      </c>
      <c r="H1454" s="123"/>
      <c r="J1454" s="91"/>
      <c r="K1454" s="88"/>
      <c r="O1454" s="23">
        <f>TAB_OFICINAS[[#This Row],[Data Retorno Produção]]-TAB_OFICINAS[[#This Row],[Data Prometida  Entrega]]</f>
        <v>0</v>
      </c>
      <c r="P1454" s="98" t="str">
        <f>IF(TAB_OFICINAS[[#This Row],[Dias Para Entrega]]&lt;=0,"Em dia","Dia de Atrasado")</f>
        <v>Em dia</v>
      </c>
      <c r="Q1454" s="24">
        <f>IFERROR(TAB_OFICINAS[[#This Row],[Qtd pçs Enviadas]]-TAB_OFICINAS[[#This Row],[Qtd pçs Retornadas ]],"N/D ")</f>
        <v>0</v>
      </c>
      <c r="R1454" s="24"/>
      <c r="U1454" s="11"/>
      <c r="V1454" s="25">
        <f>IFERROR(TAB_OFICINAS[[#This Row],[Valor Unit]]*TAB_OFICINAS[[#This Row],[Qtd pçs Enviadas]]," ")</f>
        <v>0</v>
      </c>
      <c r="W1454" s="26"/>
      <c r="Y1454" s="27"/>
      <c r="Z14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5" spans="6:26" hidden="1">
      <c r="F1455" s="28" t="str">
        <f>IFERROR(VLOOKUP(TAB_OFICINAS[[#This Row],[Cliente]],LISTA_DE_CLIENTES[[Código]:[Nome Fantasia]],2,FALSE),"")</f>
        <v/>
      </c>
      <c r="G1455" s="2" t="str">
        <f>IFERROR(VLOOKUP(TAB_OFICINAS[[#This Row],[Cliente]],LISTA_DE_CLIENTES[[Código]:[Nome Fantasia]],3,FALSE),"")</f>
        <v/>
      </c>
      <c r="H1455" s="123"/>
      <c r="J1455" s="91"/>
      <c r="K1455" s="88"/>
      <c r="O1455" s="23">
        <f>TAB_OFICINAS[[#This Row],[Data Retorno Produção]]-TAB_OFICINAS[[#This Row],[Data Prometida  Entrega]]</f>
        <v>0</v>
      </c>
      <c r="P1455" s="98" t="str">
        <f>IF(TAB_OFICINAS[[#This Row],[Dias Para Entrega]]&lt;=0,"Em dia","Dia de Atrasado")</f>
        <v>Em dia</v>
      </c>
      <c r="Q1455" s="24">
        <f>IFERROR(TAB_OFICINAS[[#This Row],[Qtd pçs Enviadas]]-TAB_OFICINAS[[#This Row],[Qtd pçs Retornadas ]],"N/D ")</f>
        <v>0</v>
      </c>
      <c r="R1455" s="24"/>
      <c r="U1455" s="11"/>
      <c r="V1455" s="25">
        <f>IFERROR(TAB_OFICINAS[[#This Row],[Valor Unit]]*TAB_OFICINAS[[#This Row],[Qtd pçs Enviadas]]," ")</f>
        <v>0</v>
      </c>
      <c r="W1455" s="26"/>
      <c r="Y1455" s="27"/>
      <c r="Z14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6" spans="6:26" hidden="1">
      <c r="F1456" s="28" t="str">
        <f>IFERROR(VLOOKUP(TAB_OFICINAS[[#This Row],[Cliente]],LISTA_DE_CLIENTES[[Código]:[Nome Fantasia]],2,FALSE),"")</f>
        <v/>
      </c>
      <c r="G1456" s="2" t="str">
        <f>IFERROR(VLOOKUP(TAB_OFICINAS[[#This Row],[Cliente]],LISTA_DE_CLIENTES[[Código]:[Nome Fantasia]],3,FALSE),"")</f>
        <v/>
      </c>
      <c r="H1456" s="123"/>
      <c r="J1456" s="91"/>
      <c r="K1456" s="88"/>
      <c r="O1456" s="23">
        <f>TAB_OFICINAS[[#This Row],[Data Retorno Produção]]-TAB_OFICINAS[[#This Row],[Data Prometida  Entrega]]</f>
        <v>0</v>
      </c>
      <c r="P1456" s="98" t="str">
        <f>IF(TAB_OFICINAS[[#This Row],[Dias Para Entrega]]&lt;=0,"Em dia","Dia de Atrasado")</f>
        <v>Em dia</v>
      </c>
      <c r="Q1456" s="24">
        <f>IFERROR(TAB_OFICINAS[[#This Row],[Qtd pçs Enviadas]]-TAB_OFICINAS[[#This Row],[Qtd pçs Retornadas ]],"N/D ")</f>
        <v>0</v>
      </c>
      <c r="R1456" s="24"/>
      <c r="U1456" s="11"/>
      <c r="V1456" s="25">
        <f>IFERROR(TAB_OFICINAS[[#This Row],[Valor Unit]]*TAB_OFICINAS[[#This Row],[Qtd pçs Enviadas]]," ")</f>
        <v>0</v>
      </c>
      <c r="W1456" s="26"/>
      <c r="Y1456" s="27"/>
      <c r="Z14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7" spans="6:26" hidden="1">
      <c r="F1457" s="28" t="str">
        <f>IFERROR(VLOOKUP(TAB_OFICINAS[[#This Row],[Cliente]],LISTA_DE_CLIENTES[[Código]:[Nome Fantasia]],2,FALSE),"")</f>
        <v/>
      </c>
      <c r="G1457" s="2" t="str">
        <f>IFERROR(VLOOKUP(TAB_OFICINAS[[#This Row],[Cliente]],LISTA_DE_CLIENTES[[Código]:[Nome Fantasia]],3,FALSE),"")</f>
        <v/>
      </c>
      <c r="H1457" s="123"/>
      <c r="J1457" s="91"/>
      <c r="K1457" s="88"/>
      <c r="O1457" s="23">
        <f>TAB_OFICINAS[[#This Row],[Data Retorno Produção]]-TAB_OFICINAS[[#This Row],[Data Prometida  Entrega]]</f>
        <v>0</v>
      </c>
      <c r="P1457" s="98" t="str">
        <f>IF(TAB_OFICINAS[[#This Row],[Dias Para Entrega]]&lt;=0,"Em dia","Dia de Atrasado")</f>
        <v>Em dia</v>
      </c>
      <c r="Q1457" s="24">
        <f>IFERROR(TAB_OFICINAS[[#This Row],[Qtd pçs Enviadas]]-TAB_OFICINAS[[#This Row],[Qtd pçs Retornadas ]],"N/D ")</f>
        <v>0</v>
      </c>
      <c r="R1457" s="24"/>
      <c r="U1457" s="11"/>
      <c r="V1457" s="25">
        <f>IFERROR(TAB_OFICINAS[[#This Row],[Valor Unit]]*TAB_OFICINAS[[#This Row],[Qtd pçs Enviadas]]," ")</f>
        <v>0</v>
      </c>
      <c r="W1457" s="26"/>
      <c r="Y1457" s="27"/>
      <c r="Z14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8" spans="6:26" hidden="1">
      <c r="F1458" s="28" t="str">
        <f>IFERROR(VLOOKUP(TAB_OFICINAS[[#This Row],[Cliente]],LISTA_DE_CLIENTES[[Código]:[Nome Fantasia]],2,FALSE),"")</f>
        <v/>
      </c>
      <c r="G1458" s="2" t="str">
        <f>IFERROR(VLOOKUP(TAB_OFICINAS[[#This Row],[Cliente]],LISTA_DE_CLIENTES[[Código]:[Nome Fantasia]],3,FALSE),"")</f>
        <v/>
      </c>
      <c r="H1458" s="123"/>
      <c r="J1458" s="91"/>
      <c r="K1458" s="88"/>
      <c r="O1458" s="23">
        <f>TAB_OFICINAS[[#This Row],[Data Retorno Produção]]-TAB_OFICINAS[[#This Row],[Data Prometida  Entrega]]</f>
        <v>0</v>
      </c>
      <c r="P1458" s="98" t="str">
        <f>IF(TAB_OFICINAS[[#This Row],[Dias Para Entrega]]&lt;=0,"Em dia","Dia de Atrasado")</f>
        <v>Em dia</v>
      </c>
      <c r="Q1458" s="24">
        <f>IFERROR(TAB_OFICINAS[[#This Row],[Qtd pçs Enviadas]]-TAB_OFICINAS[[#This Row],[Qtd pçs Retornadas ]],"N/D ")</f>
        <v>0</v>
      </c>
      <c r="R1458" s="24"/>
      <c r="U1458" s="11"/>
      <c r="V1458" s="25">
        <f>IFERROR(TAB_OFICINAS[[#This Row],[Valor Unit]]*TAB_OFICINAS[[#This Row],[Qtd pçs Enviadas]]," ")</f>
        <v>0</v>
      </c>
      <c r="W1458" s="26"/>
      <c r="Y1458" s="27"/>
      <c r="Z14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59" spans="6:26" hidden="1">
      <c r="F1459" s="28" t="str">
        <f>IFERROR(VLOOKUP(TAB_OFICINAS[[#This Row],[Cliente]],LISTA_DE_CLIENTES[[Código]:[Nome Fantasia]],2,FALSE),"")</f>
        <v/>
      </c>
      <c r="G1459" s="2" t="str">
        <f>IFERROR(VLOOKUP(TAB_OFICINAS[[#This Row],[Cliente]],LISTA_DE_CLIENTES[[Código]:[Nome Fantasia]],3,FALSE),"")</f>
        <v/>
      </c>
      <c r="H1459" s="123"/>
      <c r="J1459" s="91"/>
      <c r="K1459" s="88"/>
      <c r="O1459" s="23">
        <f>TAB_OFICINAS[[#This Row],[Data Retorno Produção]]-TAB_OFICINAS[[#This Row],[Data Prometida  Entrega]]</f>
        <v>0</v>
      </c>
      <c r="P1459" s="98" t="str">
        <f>IF(TAB_OFICINAS[[#This Row],[Dias Para Entrega]]&lt;=0,"Em dia","Dia de Atrasado")</f>
        <v>Em dia</v>
      </c>
      <c r="Q1459" s="24">
        <f>IFERROR(TAB_OFICINAS[[#This Row],[Qtd pçs Enviadas]]-TAB_OFICINAS[[#This Row],[Qtd pçs Retornadas ]],"N/D ")</f>
        <v>0</v>
      </c>
      <c r="R1459" s="24"/>
      <c r="U1459" s="11"/>
      <c r="V1459" s="25">
        <f>IFERROR(TAB_OFICINAS[[#This Row],[Valor Unit]]*TAB_OFICINAS[[#This Row],[Qtd pçs Enviadas]]," ")</f>
        <v>0</v>
      </c>
      <c r="W1459" s="26"/>
      <c r="Y1459" s="27"/>
      <c r="Z14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0" spans="6:26" hidden="1">
      <c r="F1460" s="28" t="str">
        <f>IFERROR(VLOOKUP(TAB_OFICINAS[[#This Row],[Cliente]],LISTA_DE_CLIENTES[[Código]:[Nome Fantasia]],2,FALSE),"")</f>
        <v/>
      </c>
      <c r="G1460" s="2" t="str">
        <f>IFERROR(VLOOKUP(TAB_OFICINAS[[#This Row],[Cliente]],LISTA_DE_CLIENTES[[Código]:[Nome Fantasia]],3,FALSE),"")</f>
        <v/>
      </c>
      <c r="H1460" s="123"/>
      <c r="J1460" s="91"/>
      <c r="K1460" s="88"/>
      <c r="O1460" s="23">
        <f>TAB_OFICINAS[[#This Row],[Data Retorno Produção]]-TAB_OFICINAS[[#This Row],[Data Prometida  Entrega]]</f>
        <v>0</v>
      </c>
      <c r="P1460" s="98" t="str">
        <f>IF(TAB_OFICINAS[[#This Row],[Dias Para Entrega]]&lt;=0,"Em dia","Dia de Atrasado")</f>
        <v>Em dia</v>
      </c>
      <c r="Q1460" s="24">
        <f>IFERROR(TAB_OFICINAS[[#This Row],[Qtd pçs Enviadas]]-TAB_OFICINAS[[#This Row],[Qtd pçs Retornadas ]],"N/D ")</f>
        <v>0</v>
      </c>
      <c r="R1460" s="24"/>
      <c r="U1460" s="11"/>
      <c r="V1460" s="25">
        <f>IFERROR(TAB_OFICINAS[[#This Row],[Valor Unit]]*TAB_OFICINAS[[#This Row],[Qtd pçs Enviadas]]," ")</f>
        <v>0</v>
      </c>
      <c r="W1460" s="26"/>
      <c r="Y1460" s="27"/>
      <c r="Z14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1" spans="6:26" hidden="1">
      <c r="F1461" s="28" t="str">
        <f>IFERROR(VLOOKUP(TAB_OFICINAS[[#This Row],[Cliente]],LISTA_DE_CLIENTES[[Código]:[Nome Fantasia]],2,FALSE),"")</f>
        <v/>
      </c>
      <c r="G1461" s="2" t="str">
        <f>IFERROR(VLOOKUP(TAB_OFICINAS[[#This Row],[Cliente]],LISTA_DE_CLIENTES[[Código]:[Nome Fantasia]],3,FALSE),"")</f>
        <v/>
      </c>
      <c r="H1461" s="123"/>
      <c r="J1461" s="91"/>
      <c r="K1461" s="88"/>
      <c r="O1461" s="23">
        <f>TAB_OFICINAS[[#This Row],[Data Retorno Produção]]-TAB_OFICINAS[[#This Row],[Data Prometida  Entrega]]</f>
        <v>0</v>
      </c>
      <c r="P1461" s="98" t="str">
        <f>IF(TAB_OFICINAS[[#This Row],[Dias Para Entrega]]&lt;=0,"Em dia","Dia de Atrasado")</f>
        <v>Em dia</v>
      </c>
      <c r="Q1461" s="24">
        <f>IFERROR(TAB_OFICINAS[[#This Row],[Qtd pçs Enviadas]]-TAB_OFICINAS[[#This Row],[Qtd pçs Retornadas ]],"N/D ")</f>
        <v>0</v>
      </c>
      <c r="R1461" s="24"/>
      <c r="U1461" s="11"/>
      <c r="V1461" s="25">
        <f>IFERROR(TAB_OFICINAS[[#This Row],[Valor Unit]]*TAB_OFICINAS[[#This Row],[Qtd pçs Enviadas]]," ")</f>
        <v>0</v>
      </c>
      <c r="W1461" s="26"/>
      <c r="Y1461" s="27"/>
      <c r="Z14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2" spans="6:26" hidden="1">
      <c r="F1462" s="28" t="str">
        <f>IFERROR(VLOOKUP(TAB_OFICINAS[[#This Row],[Cliente]],LISTA_DE_CLIENTES[[Código]:[Nome Fantasia]],2,FALSE),"")</f>
        <v/>
      </c>
      <c r="G1462" s="2" t="str">
        <f>IFERROR(VLOOKUP(TAB_OFICINAS[[#This Row],[Cliente]],LISTA_DE_CLIENTES[[Código]:[Nome Fantasia]],3,FALSE),"")</f>
        <v/>
      </c>
      <c r="H1462" s="123"/>
      <c r="J1462" s="91"/>
      <c r="K1462" s="88"/>
      <c r="O1462" s="23">
        <f>TAB_OFICINAS[[#This Row],[Data Retorno Produção]]-TAB_OFICINAS[[#This Row],[Data Prometida  Entrega]]</f>
        <v>0</v>
      </c>
      <c r="P1462" s="98" t="str">
        <f>IF(TAB_OFICINAS[[#This Row],[Dias Para Entrega]]&lt;=0,"Em dia","Dia de Atrasado")</f>
        <v>Em dia</v>
      </c>
      <c r="Q1462" s="24">
        <f>IFERROR(TAB_OFICINAS[[#This Row],[Qtd pçs Enviadas]]-TAB_OFICINAS[[#This Row],[Qtd pçs Retornadas ]],"N/D ")</f>
        <v>0</v>
      </c>
      <c r="R1462" s="24"/>
      <c r="U1462" s="11"/>
      <c r="V1462" s="25">
        <f>IFERROR(TAB_OFICINAS[[#This Row],[Valor Unit]]*TAB_OFICINAS[[#This Row],[Qtd pçs Enviadas]]," ")</f>
        <v>0</v>
      </c>
      <c r="W1462" s="26"/>
      <c r="Y1462" s="27"/>
      <c r="Z14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3" spans="6:26" hidden="1">
      <c r="F1463" s="28" t="str">
        <f>IFERROR(VLOOKUP(TAB_OFICINAS[[#This Row],[Cliente]],LISTA_DE_CLIENTES[[Código]:[Nome Fantasia]],2,FALSE),"")</f>
        <v/>
      </c>
      <c r="G1463" s="2" t="str">
        <f>IFERROR(VLOOKUP(TAB_OFICINAS[[#This Row],[Cliente]],LISTA_DE_CLIENTES[[Código]:[Nome Fantasia]],3,FALSE),"")</f>
        <v/>
      </c>
      <c r="H1463" s="123"/>
      <c r="J1463" s="91"/>
      <c r="K1463" s="88"/>
      <c r="O1463" s="23">
        <f>TAB_OFICINAS[[#This Row],[Data Retorno Produção]]-TAB_OFICINAS[[#This Row],[Data Prometida  Entrega]]</f>
        <v>0</v>
      </c>
      <c r="P1463" s="98" t="str">
        <f>IF(TAB_OFICINAS[[#This Row],[Dias Para Entrega]]&lt;=0,"Em dia","Dia de Atrasado")</f>
        <v>Em dia</v>
      </c>
      <c r="Q1463" s="24">
        <f>IFERROR(TAB_OFICINAS[[#This Row],[Qtd pçs Enviadas]]-TAB_OFICINAS[[#This Row],[Qtd pçs Retornadas ]],"N/D ")</f>
        <v>0</v>
      </c>
      <c r="R1463" s="24"/>
      <c r="U1463" s="11"/>
      <c r="V1463" s="25">
        <f>IFERROR(TAB_OFICINAS[[#This Row],[Valor Unit]]*TAB_OFICINAS[[#This Row],[Qtd pçs Enviadas]]," ")</f>
        <v>0</v>
      </c>
      <c r="W1463" s="26"/>
      <c r="Y1463" s="27"/>
      <c r="Z14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4" spans="6:26" hidden="1">
      <c r="F1464" s="28" t="str">
        <f>IFERROR(VLOOKUP(TAB_OFICINAS[[#This Row],[Cliente]],LISTA_DE_CLIENTES[[Código]:[Nome Fantasia]],2,FALSE),"")</f>
        <v/>
      </c>
      <c r="G1464" s="2" t="str">
        <f>IFERROR(VLOOKUP(TAB_OFICINAS[[#This Row],[Cliente]],LISTA_DE_CLIENTES[[Código]:[Nome Fantasia]],3,FALSE),"")</f>
        <v/>
      </c>
      <c r="H1464" s="123"/>
      <c r="J1464" s="91"/>
      <c r="K1464" s="88"/>
      <c r="O1464" s="23">
        <f>TAB_OFICINAS[[#This Row],[Data Retorno Produção]]-TAB_OFICINAS[[#This Row],[Data Prometida  Entrega]]</f>
        <v>0</v>
      </c>
      <c r="P1464" s="98" t="str">
        <f>IF(TAB_OFICINAS[[#This Row],[Dias Para Entrega]]&lt;=0,"Em dia","Dia de Atrasado")</f>
        <v>Em dia</v>
      </c>
      <c r="Q1464" s="24">
        <f>IFERROR(TAB_OFICINAS[[#This Row],[Qtd pçs Enviadas]]-TAB_OFICINAS[[#This Row],[Qtd pçs Retornadas ]],"N/D ")</f>
        <v>0</v>
      </c>
      <c r="R1464" s="24"/>
      <c r="U1464" s="11"/>
      <c r="V1464" s="25">
        <f>IFERROR(TAB_OFICINAS[[#This Row],[Valor Unit]]*TAB_OFICINAS[[#This Row],[Qtd pçs Enviadas]]," ")</f>
        <v>0</v>
      </c>
      <c r="W1464" s="26"/>
      <c r="Y1464" s="27"/>
      <c r="Z146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5" spans="6:26" hidden="1">
      <c r="F1465" s="28" t="str">
        <f>IFERROR(VLOOKUP(TAB_OFICINAS[[#This Row],[Cliente]],LISTA_DE_CLIENTES[[Código]:[Nome Fantasia]],2,FALSE),"")</f>
        <v/>
      </c>
      <c r="G1465" s="2" t="str">
        <f>IFERROR(VLOOKUP(TAB_OFICINAS[[#This Row],[Cliente]],LISTA_DE_CLIENTES[[Código]:[Nome Fantasia]],3,FALSE),"")</f>
        <v/>
      </c>
      <c r="H1465" s="123"/>
      <c r="J1465" s="91"/>
      <c r="K1465" s="88"/>
      <c r="O1465" s="23">
        <f>TAB_OFICINAS[[#This Row],[Data Retorno Produção]]-TAB_OFICINAS[[#This Row],[Data Prometida  Entrega]]</f>
        <v>0</v>
      </c>
      <c r="P1465" s="98" t="str">
        <f>IF(TAB_OFICINAS[[#This Row],[Dias Para Entrega]]&lt;=0,"Em dia","Dia de Atrasado")</f>
        <v>Em dia</v>
      </c>
      <c r="Q1465" s="24">
        <f>IFERROR(TAB_OFICINAS[[#This Row],[Qtd pçs Enviadas]]-TAB_OFICINAS[[#This Row],[Qtd pçs Retornadas ]],"N/D ")</f>
        <v>0</v>
      </c>
      <c r="R1465" s="24"/>
      <c r="U1465" s="11"/>
      <c r="V1465" s="25">
        <f>IFERROR(TAB_OFICINAS[[#This Row],[Valor Unit]]*TAB_OFICINAS[[#This Row],[Qtd pçs Enviadas]]," ")</f>
        <v>0</v>
      </c>
      <c r="W1465" s="26"/>
      <c r="Y1465" s="27"/>
      <c r="Z14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6" spans="6:26" hidden="1">
      <c r="F1466" s="28" t="str">
        <f>IFERROR(VLOOKUP(TAB_OFICINAS[[#This Row],[Cliente]],LISTA_DE_CLIENTES[[Código]:[Nome Fantasia]],2,FALSE),"")</f>
        <v/>
      </c>
      <c r="G1466" s="2" t="str">
        <f>IFERROR(VLOOKUP(TAB_OFICINAS[[#This Row],[Cliente]],LISTA_DE_CLIENTES[[Código]:[Nome Fantasia]],3,FALSE),"")</f>
        <v/>
      </c>
      <c r="H1466" s="123"/>
      <c r="J1466" s="91"/>
      <c r="K1466" s="88"/>
      <c r="O1466" s="23">
        <f>TAB_OFICINAS[[#This Row],[Data Retorno Produção]]-TAB_OFICINAS[[#This Row],[Data Prometida  Entrega]]</f>
        <v>0</v>
      </c>
      <c r="P1466" s="98" t="str">
        <f>IF(TAB_OFICINAS[[#This Row],[Dias Para Entrega]]&lt;=0,"Em dia","Dia de Atrasado")</f>
        <v>Em dia</v>
      </c>
      <c r="Q1466" s="24">
        <f>IFERROR(TAB_OFICINAS[[#This Row],[Qtd pçs Enviadas]]-TAB_OFICINAS[[#This Row],[Qtd pçs Retornadas ]],"N/D ")</f>
        <v>0</v>
      </c>
      <c r="R1466" s="24"/>
      <c r="U1466" s="11"/>
      <c r="V1466" s="25">
        <f>IFERROR(TAB_OFICINAS[[#This Row],[Valor Unit]]*TAB_OFICINAS[[#This Row],[Qtd pçs Enviadas]]," ")</f>
        <v>0</v>
      </c>
      <c r="W1466" s="26"/>
      <c r="Y1466" s="27"/>
      <c r="Z14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7" spans="6:26" hidden="1">
      <c r="F1467" s="28" t="str">
        <f>IFERROR(VLOOKUP(TAB_OFICINAS[[#This Row],[Cliente]],LISTA_DE_CLIENTES[[Código]:[Nome Fantasia]],2,FALSE),"")</f>
        <v/>
      </c>
      <c r="G1467" s="2" t="str">
        <f>IFERROR(VLOOKUP(TAB_OFICINAS[[#This Row],[Cliente]],LISTA_DE_CLIENTES[[Código]:[Nome Fantasia]],3,FALSE),"")</f>
        <v/>
      </c>
      <c r="H1467" s="123"/>
      <c r="J1467" s="91"/>
      <c r="K1467" s="88"/>
      <c r="O1467" s="23">
        <f>TAB_OFICINAS[[#This Row],[Data Retorno Produção]]-TAB_OFICINAS[[#This Row],[Data Prometida  Entrega]]</f>
        <v>0</v>
      </c>
      <c r="P1467" s="98" t="str">
        <f>IF(TAB_OFICINAS[[#This Row],[Dias Para Entrega]]&lt;=0,"Em dia","Dia de Atrasado")</f>
        <v>Em dia</v>
      </c>
      <c r="Q1467" s="24">
        <f>IFERROR(TAB_OFICINAS[[#This Row],[Qtd pçs Enviadas]]-TAB_OFICINAS[[#This Row],[Qtd pçs Retornadas ]],"N/D ")</f>
        <v>0</v>
      </c>
      <c r="R1467" s="24"/>
      <c r="U1467" s="11"/>
      <c r="V1467" s="25">
        <f>IFERROR(TAB_OFICINAS[[#This Row],[Valor Unit]]*TAB_OFICINAS[[#This Row],[Qtd pçs Enviadas]]," ")</f>
        <v>0</v>
      </c>
      <c r="W1467" s="26"/>
      <c r="Y1467" s="27"/>
      <c r="Z146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8" spans="6:26" hidden="1">
      <c r="F1468" s="28" t="str">
        <f>IFERROR(VLOOKUP(TAB_OFICINAS[[#This Row],[Cliente]],LISTA_DE_CLIENTES[[Código]:[Nome Fantasia]],2,FALSE),"")</f>
        <v/>
      </c>
      <c r="G1468" s="2" t="str">
        <f>IFERROR(VLOOKUP(TAB_OFICINAS[[#This Row],[Cliente]],LISTA_DE_CLIENTES[[Código]:[Nome Fantasia]],3,FALSE),"")</f>
        <v/>
      </c>
      <c r="H1468" s="123"/>
      <c r="J1468" s="91"/>
      <c r="K1468" s="88"/>
      <c r="O1468" s="23">
        <f>TAB_OFICINAS[[#This Row],[Data Retorno Produção]]-TAB_OFICINAS[[#This Row],[Data Prometida  Entrega]]</f>
        <v>0</v>
      </c>
      <c r="P1468" s="98" t="str">
        <f>IF(TAB_OFICINAS[[#This Row],[Dias Para Entrega]]&lt;=0,"Em dia","Dia de Atrasado")</f>
        <v>Em dia</v>
      </c>
      <c r="Q1468" s="24">
        <f>IFERROR(TAB_OFICINAS[[#This Row],[Qtd pçs Enviadas]]-TAB_OFICINAS[[#This Row],[Qtd pçs Retornadas ]],"N/D ")</f>
        <v>0</v>
      </c>
      <c r="R1468" s="24"/>
      <c r="U1468" s="11"/>
      <c r="V1468" s="25">
        <f>IFERROR(TAB_OFICINAS[[#This Row],[Valor Unit]]*TAB_OFICINAS[[#This Row],[Qtd pçs Enviadas]]," ")</f>
        <v>0</v>
      </c>
      <c r="W1468" s="26"/>
      <c r="Y1468" s="27"/>
      <c r="Z146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69" spans="6:26" hidden="1">
      <c r="F1469" s="28" t="str">
        <f>IFERROR(VLOOKUP(TAB_OFICINAS[[#This Row],[Cliente]],LISTA_DE_CLIENTES[[Código]:[Nome Fantasia]],2,FALSE),"")</f>
        <v/>
      </c>
      <c r="G1469" s="2" t="str">
        <f>IFERROR(VLOOKUP(TAB_OFICINAS[[#This Row],[Cliente]],LISTA_DE_CLIENTES[[Código]:[Nome Fantasia]],3,FALSE),"")</f>
        <v/>
      </c>
      <c r="H1469" s="123"/>
      <c r="J1469" s="91"/>
      <c r="K1469" s="88"/>
      <c r="O1469" s="23">
        <f>TAB_OFICINAS[[#This Row],[Data Retorno Produção]]-TAB_OFICINAS[[#This Row],[Data Prometida  Entrega]]</f>
        <v>0</v>
      </c>
      <c r="P1469" s="98" t="str">
        <f>IF(TAB_OFICINAS[[#This Row],[Dias Para Entrega]]&lt;=0,"Em dia","Dia de Atrasado")</f>
        <v>Em dia</v>
      </c>
      <c r="Q1469" s="24">
        <f>IFERROR(TAB_OFICINAS[[#This Row],[Qtd pçs Enviadas]]-TAB_OFICINAS[[#This Row],[Qtd pçs Retornadas ]],"N/D ")</f>
        <v>0</v>
      </c>
      <c r="R1469" s="24"/>
      <c r="U1469" s="11"/>
      <c r="V1469" s="25">
        <f>IFERROR(TAB_OFICINAS[[#This Row],[Valor Unit]]*TAB_OFICINAS[[#This Row],[Qtd pçs Enviadas]]," ")</f>
        <v>0</v>
      </c>
      <c r="W1469" s="26"/>
      <c r="Y1469" s="27"/>
      <c r="Z14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0" spans="6:26" hidden="1">
      <c r="F1470" s="28" t="str">
        <f>IFERROR(VLOOKUP(TAB_OFICINAS[[#This Row],[Cliente]],LISTA_DE_CLIENTES[[Código]:[Nome Fantasia]],2,FALSE),"")</f>
        <v/>
      </c>
      <c r="G1470" s="2" t="str">
        <f>IFERROR(VLOOKUP(TAB_OFICINAS[[#This Row],[Cliente]],LISTA_DE_CLIENTES[[Código]:[Nome Fantasia]],3,FALSE),"")</f>
        <v/>
      </c>
      <c r="H1470" s="123"/>
      <c r="J1470" s="91"/>
      <c r="K1470" s="88"/>
      <c r="O1470" s="23">
        <f>TAB_OFICINAS[[#This Row],[Data Retorno Produção]]-TAB_OFICINAS[[#This Row],[Data Prometida  Entrega]]</f>
        <v>0</v>
      </c>
      <c r="P1470" s="98" t="str">
        <f>IF(TAB_OFICINAS[[#This Row],[Dias Para Entrega]]&lt;=0,"Em dia","Dia de Atrasado")</f>
        <v>Em dia</v>
      </c>
      <c r="Q1470" s="24">
        <f>IFERROR(TAB_OFICINAS[[#This Row],[Qtd pçs Enviadas]]-TAB_OFICINAS[[#This Row],[Qtd pçs Retornadas ]],"N/D ")</f>
        <v>0</v>
      </c>
      <c r="R1470" s="24"/>
      <c r="U1470" s="11"/>
      <c r="V1470" s="25">
        <f>IFERROR(TAB_OFICINAS[[#This Row],[Valor Unit]]*TAB_OFICINAS[[#This Row],[Qtd pçs Enviadas]]," ")</f>
        <v>0</v>
      </c>
      <c r="W1470" s="26"/>
      <c r="Y1470" s="27"/>
      <c r="Z14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1" spans="6:26" hidden="1">
      <c r="F1471" s="28" t="str">
        <f>IFERROR(VLOOKUP(TAB_OFICINAS[[#This Row],[Cliente]],LISTA_DE_CLIENTES[[Código]:[Nome Fantasia]],2,FALSE),"")</f>
        <v/>
      </c>
      <c r="G1471" s="2" t="str">
        <f>IFERROR(VLOOKUP(TAB_OFICINAS[[#This Row],[Cliente]],LISTA_DE_CLIENTES[[Código]:[Nome Fantasia]],3,FALSE),"")</f>
        <v/>
      </c>
      <c r="H1471" s="123"/>
      <c r="J1471" s="91"/>
      <c r="K1471" s="88"/>
      <c r="O1471" s="23">
        <f>TAB_OFICINAS[[#This Row],[Data Retorno Produção]]-TAB_OFICINAS[[#This Row],[Data Prometida  Entrega]]</f>
        <v>0</v>
      </c>
      <c r="P1471" s="98" t="str">
        <f>IF(TAB_OFICINAS[[#This Row],[Dias Para Entrega]]&lt;=0,"Em dia","Dia de Atrasado")</f>
        <v>Em dia</v>
      </c>
      <c r="Q1471" s="24">
        <f>IFERROR(TAB_OFICINAS[[#This Row],[Qtd pçs Enviadas]]-TAB_OFICINAS[[#This Row],[Qtd pçs Retornadas ]],"N/D ")</f>
        <v>0</v>
      </c>
      <c r="R1471" s="24"/>
      <c r="U1471" s="11"/>
      <c r="V1471" s="25">
        <f>IFERROR(TAB_OFICINAS[[#This Row],[Valor Unit]]*TAB_OFICINAS[[#This Row],[Qtd pçs Enviadas]]," ")</f>
        <v>0</v>
      </c>
      <c r="W1471" s="26"/>
      <c r="Y1471" s="27"/>
      <c r="Z14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2" spans="6:26" hidden="1">
      <c r="F1472" s="28" t="str">
        <f>IFERROR(VLOOKUP(TAB_OFICINAS[[#This Row],[Cliente]],LISTA_DE_CLIENTES[[Código]:[Nome Fantasia]],2,FALSE),"")</f>
        <v/>
      </c>
      <c r="G1472" s="2" t="str">
        <f>IFERROR(VLOOKUP(TAB_OFICINAS[[#This Row],[Cliente]],LISTA_DE_CLIENTES[[Código]:[Nome Fantasia]],3,FALSE),"")</f>
        <v/>
      </c>
      <c r="H1472" s="123"/>
      <c r="J1472" s="91"/>
      <c r="K1472" s="88"/>
      <c r="O1472" s="23">
        <f>TAB_OFICINAS[[#This Row],[Data Retorno Produção]]-TAB_OFICINAS[[#This Row],[Data Prometida  Entrega]]</f>
        <v>0</v>
      </c>
      <c r="P1472" s="98" t="str">
        <f>IF(TAB_OFICINAS[[#This Row],[Dias Para Entrega]]&lt;=0,"Em dia","Dia de Atrasado")</f>
        <v>Em dia</v>
      </c>
      <c r="Q1472" s="24">
        <f>IFERROR(TAB_OFICINAS[[#This Row],[Qtd pçs Enviadas]]-TAB_OFICINAS[[#This Row],[Qtd pçs Retornadas ]],"N/D ")</f>
        <v>0</v>
      </c>
      <c r="R1472" s="24"/>
      <c r="U1472" s="11"/>
      <c r="V1472" s="25">
        <f>IFERROR(TAB_OFICINAS[[#This Row],[Valor Unit]]*TAB_OFICINAS[[#This Row],[Qtd pçs Enviadas]]," ")</f>
        <v>0</v>
      </c>
      <c r="W1472" s="26"/>
      <c r="Y1472" s="27"/>
      <c r="Z14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3" spans="6:26" hidden="1">
      <c r="F1473" s="28" t="str">
        <f>IFERROR(VLOOKUP(TAB_OFICINAS[[#This Row],[Cliente]],LISTA_DE_CLIENTES[[Código]:[Nome Fantasia]],2,FALSE),"")</f>
        <v/>
      </c>
      <c r="G1473" s="2" t="str">
        <f>IFERROR(VLOOKUP(TAB_OFICINAS[[#This Row],[Cliente]],LISTA_DE_CLIENTES[[Código]:[Nome Fantasia]],3,FALSE),"")</f>
        <v/>
      </c>
      <c r="H1473" s="123"/>
      <c r="J1473" s="91"/>
      <c r="K1473" s="88"/>
      <c r="O1473" s="23">
        <f>TAB_OFICINAS[[#This Row],[Data Retorno Produção]]-TAB_OFICINAS[[#This Row],[Data Prometida  Entrega]]</f>
        <v>0</v>
      </c>
      <c r="P1473" s="98" t="str">
        <f>IF(TAB_OFICINAS[[#This Row],[Dias Para Entrega]]&lt;=0,"Em dia","Dia de Atrasado")</f>
        <v>Em dia</v>
      </c>
      <c r="Q1473" s="24">
        <f>IFERROR(TAB_OFICINAS[[#This Row],[Qtd pçs Enviadas]]-TAB_OFICINAS[[#This Row],[Qtd pçs Retornadas ]],"N/D ")</f>
        <v>0</v>
      </c>
      <c r="R1473" s="24"/>
      <c r="U1473" s="11"/>
      <c r="V1473" s="25">
        <f>IFERROR(TAB_OFICINAS[[#This Row],[Valor Unit]]*TAB_OFICINAS[[#This Row],[Qtd pçs Enviadas]]," ")</f>
        <v>0</v>
      </c>
      <c r="W1473" s="26"/>
      <c r="Y1473" s="27"/>
      <c r="Z14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4" spans="6:26" hidden="1">
      <c r="F1474" s="28" t="str">
        <f>IFERROR(VLOOKUP(TAB_OFICINAS[[#This Row],[Cliente]],LISTA_DE_CLIENTES[[Código]:[Nome Fantasia]],2,FALSE),"")</f>
        <v/>
      </c>
      <c r="G1474" s="2" t="str">
        <f>IFERROR(VLOOKUP(TAB_OFICINAS[[#This Row],[Cliente]],LISTA_DE_CLIENTES[[Código]:[Nome Fantasia]],3,FALSE),"")</f>
        <v/>
      </c>
      <c r="H1474" s="123"/>
      <c r="J1474" s="91"/>
      <c r="K1474" s="88"/>
      <c r="O1474" s="23">
        <f>TAB_OFICINAS[[#This Row],[Data Retorno Produção]]-TAB_OFICINAS[[#This Row],[Data Prometida  Entrega]]</f>
        <v>0</v>
      </c>
      <c r="P1474" s="98" t="str">
        <f>IF(TAB_OFICINAS[[#This Row],[Dias Para Entrega]]&lt;=0,"Em dia","Dia de Atrasado")</f>
        <v>Em dia</v>
      </c>
      <c r="Q1474" s="24">
        <f>IFERROR(TAB_OFICINAS[[#This Row],[Qtd pçs Enviadas]]-TAB_OFICINAS[[#This Row],[Qtd pçs Retornadas ]],"N/D ")</f>
        <v>0</v>
      </c>
      <c r="R1474" s="24"/>
      <c r="U1474" s="11"/>
      <c r="V1474" s="25">
        <f>IFERROR(TAB_OFICINAS[[#This Row],[Valor Unit]]*TAB_OFICINAS[[#This Row],[Qtd pçs Enviadas]]," ")</f>
        <v>0</v>
      </c>
      <c r="W1474" s="26"/>
      <c r="Y1474" s="27"/>
      <c r="Z14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5" spans="6:26" hidden="1">
      <c r="F1475" s="28" t="str">
        <f>IFERROR(VLOOKUP(TAB_OFICINAS[[#This Row],[Cliente]],LISTA_DE_CLIENTES[[Código]:[Nome Fantasia]],2,FALSE),"")</f>
        <v/>
      </c>
      <c r="G1475" s="2" t="str">
        <f>IFERROR(VLOOKUP(TAB_OFICINAS[[#This Row],[Cliente]],LISTA_DE_CLIENTES[[Código]:[Nome Fantasia]],3,FALSE),"")</f>
        <v/>
      </c>
      <c r="H1475" s="123"/>
      <c r="J1475" s="91"/>
      <c r="K1475" s="88"/>
      <c r="O1475" s="23">
        <f>TAB_OFICINAS[[#This Row],[Data Retorno Produção]]-TAB_OFICINAS[[#This Row],[Data Prometida  Entrega]]</f>
        <v>0</v>
      </c>
      <c r="P1475" s="98" t="str">
        <f>IF(TAB_OFICINAS[[#This Row],[Dias Para Entrega]]&lt;=0,"Em dia","Dia de Atrasado")</f>
        <v>Em dia</v>
      </c>
      <c r="Q1475" s="24">
        <f>IFERROR(TAB_OFICINAS[[#This Row],[Qtd pçs Enviadas]]-TAB_OFICINAS[[#This Row],[Qtd pçs Retornadas ]],"N/D ")</f>
        <v>0</v>
      </c>
      <c r="R1475" s="24"/>
      <c r="U1475" s="11"/>
      <c r="V1475" s="25">
        <f>IFERROR(TAB_OFICINAS[[#This Row],[Valor Unit]]*TAB_OFICINAS[[#This Row],[Qtd pçs Enviadas]]," ")</f>
        <v>0</v>
      </c>
      <c r="W1475" s="26"/>
      <c r="Y1475" s="27"/>
      <c r="Z14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6" spans="6:26" hidden="1">
      <c r="F1476" s="28" t="str">
        <f>IFERROR(VLOOKUP(TAB_OFICINAS[[#This Row],[Cliente]],LISTA_DE_CLIENTES[[Código]:[Nome Fantasia]],2,FALSE),"")</f>
        <v/>
      </c>
      <c r="G1476" s="2" t="str">
        <f>IFERROR(VLOOKUP(TAB_OFICINAS[[#This Row],[Cliente]],LISTA_DE_CLIENTES[[Código]:[Nome Fantasia]],3,FALSE),"")</f>
        <v/>
      </c>
      <c r="H1476" s="123"/>
      <c r="J1476" s="91"/>
      <c r="K1476" s="88"/>
      <c r="O1476" s="23">
        <f>TAB_OFICINAS[[#This Row],[Data Retorno Produção]]-TAB_OFICINAS[[#This Row],[Data Prometida  Entrega]]</f>
        <v>0</v>
      </c>
      <c r="P1476" s="98" t="str">
        <f>IF(TAB_OFICINAS[[#This Row],[Dias Para Entrega]]&lt;=0,"Em dia","Dia de Atrasado")</f>
        <v>Em dia</v>
      </c>
      <c r="Q1476" s="24">
        <f>IFERROR(TAB_OFICINAS[[#This Row],[Qtd pçs Enviadas]]-TAB_OFICINAS[[#This Row],[Qtd pçs Retornadas ]],"N/D ")</f>
        <v>0</v>
      </c>
      <c r="R1476" s="24"/>
      <c r="U1476" s="11"/>
      <c r="V1476" s="25">
        <f>IFERROR(TAB_OFICINAS[[#This Row],[Valor Unit]]*TAB_OFICINAS[[#This Row],[Qtd pçs Enviadas]]," ")</f>
        <v>0</v>
      </c>
      <c r="W1476" s="26"/>
      <c r="Y1476" s="27"/>
      <c r="Z14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7" spans="6:26" hidden="1">
      <c r="F1477" s="28" t="str">
        <f>IFERROR(VLOOKUP(TAB_OFICINAS[[#This Row],[Cliente]],LISTA_DE_CLIENTES[[Código]:[Nome Fantasia]],2,FALSE),"")</f>
        <v/>
      </c>
      <c r="G1477" s="2" t="str">
        <f>IFERROR(VLOOKUP(TAB_OFICINAS[[#This Row],[Cliente]],LISTA_DE_CLIENTES[[Código]:[Nome Fantasia]],3,FALSE),"")</f>
        <v/>
      </c>
      <c r="H1477" s="123"/>
      <c r="J1477" s="91"/>
      <c r="K1477" s="88"/>
      <c r="O1477" s="23">
        <f>TAB_OFICINAS[[#This Row],[Data Retorno Produção]]-TAB_OFICINAS[[#This Row],[Data Prometida  Entrega]]</f>
        <v>0</v>
      </c>
      <c r="P1477" s="98" t="str">
        <f>IF(TAB_OFICINAS[[#This Row],[Dias Para Entrega]]&lt;=0,"Em dia","Dia de Atrasado")</f>
        <v>Em dia</v>
      </c>
      <c r="Q1477" s="24">
        <f>IFERROR(TAB_OFICINAS[[#This Row],[Qtd pçs Enviadas]]-TAB_OFICINAS[[#This Row],[Qtd pçs Retornadas ]],"N/D ")</f>
        <v>0</v>
      </c>
      <c r="R1477" s="24"/>
      <c r="U1477" s="11"/>
      <c r="V1477" s="25">
        <f>IFERROR(TAB_OFICINAS[[#This Row],[Valor Unit]]*TAB_OFICINAS[[#This Row],[Qtd pçs Enviadas]]," ")</f>
        <v>0</v>
      </c>
      <c r="W1477" s="26"/>
      <c r="Y1477" s="27"/>
      <c r="Z14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8" spans="6:26" hidden="1">
      <c r="F1478" s="28" t="str">
        <f>IFERROR(VLOOKUP(TAB_OFICINAS[[#This Row],[Cliente]],LISTA_DE_CLIENTES[[Código]:[Nome Fantasia]],2,FALSE),"")</f>
        <v/>
      </c>
      <c r="G1478" s="2" t="str">
        <f>IFERROR(VLOOKUP(TAB_OFICINAS[[#This Row],[Cliente]],LISTA_DE_CLIENTES[[Código]:[Nome Fantasia]],3,FALSE),"")</f>
        <v/>
      </c>
      <c r="H1478" s="123"/>
      <c r="J1478" s="91"/>
      <c r="K1478" s="88"/>
      <c r="O1478" s="23">
        <f>TAB_OFICINAS[[#This Row],[Data Retorno Produção]]-TAB_OFICINAS[[#This Row],[Data Prometida  Entrega]]</f>
        <v>0</v>
      </c>
      <c r="P1478" s="98" t="str">
        <f>IF(TAB_OFICINAS[[#This Row],[Dias Para Entrega]]&lt;=0,"Em dia","Dia de Atrasado")</f>
        <v>Em dia</v>
      </c>
      <c r="Q1478" s="24">
        <f>IFERROR(TAB_OFICINAS[[#This Row],[Qtd pçs Enviadas]]-TAB_OFICINAS[[#This Row],[Qtd pçs Retornadas ]],"N/D ")</f>
        <v>0</v>
      </c>
      <c r="R1478" s="24"/>
      <c r="U1478" s="11"/>
      <c r="V1478" s="25">
        <f>IFERROR(TAB_OFICINAS[[#This Row],[Valor Unit]]*TAB_OFICINAS[[#This Row],[Qtd pçs Enviadas]]," ")</f>
        <v>0</v>
      </c>
      <c r="W1478" s="26"/>
      <c r="Y1478" s="27"/>
      <c r="Z14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79" spans="6:26" hidden="1">
      <c r="F1479" s="28" t="str">
        <f>IFERROR(VLOOKUP(TAB_OFICINAS[[#This Row],[Cliente]],LISTA_DE_CLIENTES[[Código]:[Nome Fantasia]],2,FALSE),"")</f>
        <v/>
      </c>
      <c r="G1479" s="2" t="str">
        <f>IFERROR(VLOOKUP(TAB_OFICINAS[[#This Row],[Cliente]],LISTA_DE_CLIENTES[[Código]:[Nome Fantasia]],3,FALSE),"")</f>
        <v/>
      </c>
      <c r="H1479" s="123"/>
      <c r="J1479" s="91"/>
      <c r="K1479" s="88"/>
      <c r="O1479" s="23">
        <f>TAB_OFICINAS[[#This Row],[Data Retorno Produção]]-TAB_OFICINAS[[#This Row],[Data Prometida  Entrega]]</f>
        <v>0</v>
      </c>
      <c r="P1479" s="98" t="str">
        <f>IF(TAB_OFICINAS[[#This Row],[Dias Para Entrega]]&lt;=0,"Em dia","Dia de Atrasado")</f>
        <v>Em dia</v>
      </c>
      <c r="Q1479" s="24">
        <f>IFERROR(TAB_OFICINAS[[#This Row],[Qtd pçs Enviadas]]-TAB_OFICINAS[[#This Row],[Qtd pçs Retornadas ]],"N/D ")</f>
        <v>0</v>
      </c>
      <c r="R1479" s="24"/>
      <c r="U1479" s="11"/>
      <c r="V1479" s="25">
        <f>IFERROR(TAB_OFICINAS[[#This Row],[Valor Unit]]*TAB_OFICINAS[[#This Row],[Qtd pçs Enviadas]]," ")</f>
        <v>0</v>
      </c>
      <c r="W1479" s="26"/>
      <c r="Y1479" s="27"/>
      <c r="Z14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0" spans="6:26" hidden="1">
      <c r="F1480" s="28" t="str">
        <f>IFERROR(VLOOKUP(TAB_OFICINAS[[#This Row],[Cliente]],LISTA_DE_CLIENTES[[Código]:[Nome Fantasia]],2,FALSE),"")</f>
        <v/>
      </c>
      <c r="G1480" s="2" t="str">
        <f>IFERROR(VLOOKUP(TAB_OFICINAS[[#This Row],[Cliente]],LISTA_DE_CLIENTES[[Código]:[Nome Fantasia]],3,FALSE),"")</f>
        <v/>
      </c>
      <c r="H1480" s="123"/>
      <c r="J1480" s="91"/>
      <c r="K1480" s="88"/>
      <c r="O1480" s="23">
        <f>TAB_OFICINAS[[#This Row],[Data Retorno Produção]]-TAB_OFICINAS[[#This Row],[Data Prometida  Entrega]]</f>
        <v>0</v>
      </c>
      <c r="P1480" s="98" t="str">
        <f>IF(TAB_OFICINAS[[#This Row],[Dias Para Entrega]]&lt;=0,"Em dia","Dia de Atrasado")</f>
        <v>Em dia</v>
      </c>
      <c r="Q1480" s="24">
        <f>IFERROR(TAB_OFICINAS[[#This Row],[Qtd pçs Enviadas]]-TAB_OFICINAS[[#This Row],[Qtd pçs Retornadas ]],"N/D ")</f>
        <v>0</v>
      </c>
      <c r="R1480" s="24"/>
      <c r="U1480" s="11"/>
      <c r="V1480" s="25">
        <f>IFERROR(TAB_OFICINAS[[#This Row],[Valor Unit]]*TAB_OFICINAS[[#This Row],[Qtd pçs Enviadas]]," ")</f>
        <v>0</v>
      </c>
      <c r="W1480" s="26"/>
      <c r="Y1480" s="27"/>
      <c r="Z14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1" spans="6:26" hidden="1">
      <c r="F1481" s="28" t="str">
        <f>IFERROR(VLOOKUP(TAB_OFICINAS[[#This Row],[Cliente]],LISTA_DE_CLIENTES[[Código]:[Nome Fantasia]],2,FALSE),"")</f>
        <v/>
      </c>
      <c r="G1481" s="2" t="str">
        <f>IFERROR(VLOOKUP(TAB_OFICINAS[[#This Row],[Cliente]],LISTA_DE_CLIENTES[[Código]:[Nome Fantasia]],3,FALSE),"")</f>
        <v/>
      </c>
      <c r="H1481" s="123"/>
      <c r="J1481" s="91"/>
      <c r="K1481" s="88"/>
      <c r="O1481" s="23">
        <f>TAB_OFICINAS[[#This Row],[Data Retorno Produção]]-TAB_OFICINAS[[#This Row],[Data Prometida  Entrega]]</f>
        <v>0</v>
      </c>
      <c r="P1481" s="98" t="str">
        <f>IF(TAB_OFICINAS[[#This Row],[Dias Para Entrega]]&lt;=0,"Em dia","Dia de Atrasado")</f>
        <v>Em dia</v>
      </c>
      <c r="Q1481" s="24">
        <f>IFERROR(TAB_OFICINAS[[#This Row],[Qtd pçs Enviadas]]-TAB_OFICINAS[[#This Row],[Qtd pçs Retornadas ]],"N/D ")</f>
        <v>0</v>
      </c>
      <c r="R1481" s="24"/>
      <c r="U1481" s="11"/>
      <c r="V1481" s="25">
        <f>IFERROR(TAB_OFICINAS[[#This Row],[Valor Unit]]*TAB_OFICINAS[[#This Row],[Qtd pçs Enviadas]]," ")</f>
        <v>0</v>
      </c>
      <c r="W1481" s="26"/>
      <c r="Y1481" s="27"/>
      <c r="Z14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2" spans="6:26" hidden="1">
      <c r="F1482" s="28" t="str">
        <f>IFERROR(VLOOKUP(TAB_OFICINAS[[#This Row],[Cliente]],LISTA_DE_CLIENTES[[Código]:[Nome Fantasia]],2,FALSE),"")</f>
        <v/>
      </c>
      <c r="G1482" s="2" t="str">
        <f>IFERROR(VLOOKUP(TAB_OFICINAS[[#This Row],[Cliente]],LISTA_DE_CLIENTES[[Código]:[Nome Fantasia]],3,FALSE),"")</f>
        <v/>
      </c>
      <c r="H1482" s="123"/>
      <c r="J1482" s="91"/>
      <c r="K1482" s="88"/>
      <c r="O1482" s="23">
        <f>TAB_OFICINAS[[#This Row],[Data Retorno Produção]]-TAB_OFICINAS[[#This Row],[Data Prometida  Entrega]]</f>
        <v>0</v>
      </c>
      <c r="P1482" s="98" t="str">
        <f>IF(TAB_OFICINAS[[#This Row],[Dias Para Entrega]]&lt;=0,"Em dia","Dia de Atrasado")</f>
        <v>Em dia</v>
      </c>
      <c r="Q1482" s="24">
        <f>IFERROR(TAB_OFICINAS[[#This Row],[Qtd pçs Enviadas]]-TAB_OFICINAS[[#This Row],[Qtd pçs Retornadas ]],"N/D ")</f>
        <v>0</v>
      </c>
      <c r="R1482" s="24"/>
      <c r="U1482" s="11"/>
      <c r="V1482" s="25">
        <f>IFERROR(TAB_OFICINAS[[#This Row],[Valor Unit]]*TAB_OFICINAS[[#This Row],[Qtd pçs Enviadas]]," ")</f>
        <v>0</v>
      </c>
      <c r="W1482" s="26"/>
      <c r="Y1482" s="27"/>
      <c r="Z14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3" spans="6:26" hidden="1">
      <c r="F1483" s="28" t="str">
        <f>IFERROR(VLOOKUP(TAB_OFICINAS[[#This Row],[Cliente]],LISTA_DE_CLIENTES[[Código]:[Nome Fantasia]],2,FALSE),"")</f>
        <v/>
      </c>
      <c r="G1483" s="2" t="str">
        <f>IFERROR(VLOOKUP(TAB_OFICINAS[[#This Row],[Cliente]],LISTA_DE_CLIENTES[[Código]:[Nome Fantasia]],3,FALSE),"")</f>
        <v/>
      </c>
      <c r="H1483" s="123"/>
      <c r="J1483" s="91"/>
      <c r="K1483" s="88"/>
      <c r="O1483" s="23">
        <f>TAB_OFICINAS[[#This Row],[Data Retorno Produção]]-TAB_OFICINAS[[#This Row],[Data Prometida  Entrega]]</f>
        <v>0</v>
      </c>
      <c r="P1483" s="98" t="str">
        <f>IF(TAB_OFICINAS[[#This Row],[Dias Para Entrega]]&lt;=0,"Em dia","Dia de Atrasado")</f>
        <v>Em dia</v>
      </c>
      <c r="Q1483" s="24">
        <f>IFERROR(TAB_OFICINAS[[#This Row],[Qtd pçs Enviadas]]-TAB_OFICINAS[[#This Row],[Qtd pçs Retornadas ]],"N/D ")</f>
        <v>0</v>
      </c>
      <c r="R1483" s="24"/>
      <c r="U1483" s="11"/>
      <c r="V1483" s="25">
        <f>IFERROR(TAB_OFICINAS[[#This Row],[Valor Unit]]*TAB_OFICINAS[[#This Row],[Qtd pçs Enviadas]]," ")</f>
        <v>0</v>
      </c>
      <c r="W1483" s="26"/>
      <c r="Y1483" s="27"/>
      <c r="Z14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4" spans="6:26" hidden="1">
      <c r="F1484" s="28" t="str">
        <f>IFERROR(VLOOKUP(TAB_OFICINAS[[#This Row],[Cliente]],LISTA_DE_CLIENTES[[Código]:[Nome Fantasia]],2,FALSE),"")</f>
        <v/>
      </c>
      <c r="G1484" s="2" t="str">
        <f>IFERROR(VLOOKUP(TAB_OFICINAS[[#This Row],[Cliente]],LISTA_DE_CLIENTES[[Código]:[Nome Fantasia]],3,FALSE),"")</f>
        <v/>
      </c>
      <c r="H1484" s="123"/>
      <c r="J1484" s="91"/>
      <c r="K1484" s="88"/>
      <c r="O1484" s="23">
        <f>TAB_OFICINAS[[#This Row],[Data Retorno Produção]]-TAB_OFICINAS[[#This Row],[Data Prometida  Entrega]]</f>
        <v>0</v>
      </c>
      <c r="P1484" s="98" t="str">
        <f>IF(TAB_OFICINAS[[#This Row],[Dias Para Entrega]]&lt;=0,"Em dia","Dia de Atrasado")</f>
        <v>Em dia</v>
      </c>
      <c r="Q1484" s="24">
        <f>IFERROR(TAB_OFICINAS[[#This Row],[Qtd pçs Enviadas]]-TAB_OFICINAS[[#This Row],[Qtd pçs Retornadas ]],"N/D ")</f>
        <v>0</v>
      </c>
      <c r="R1484" s="24"/>
      <c r="U1484" s="11"/>
      <c r="V1484" s="25">
        <f>IFERROR(TAB_OFICINAS[[#This Row],[Valor Unit]]*TAB_OFICINAS[[#This Row],[Qtd pçs Enviadas]]," ")</f>
        <v>0</v>
      </c>
      <c r="W1484" s="26"/>
      <c r="Y1484" s="27"/>
      <c r="Z14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5" spans="6:26" hidden="1">
      <c r="F1485" s="28" t="str">
        <f>IFERROR(VLOOKUP(TAB_OFICINAS[[#This Row],[Cliente]],LISTA_DE_CLIENTES[[Código]:[Nome Fantasia]],2,FALSE),"")</f>
        <v/>
      </c>
      <c r="G1485" s="2" t="str">
        <f>IFERROR(VLOOKUP(TAB_OFICINAS[[#This Row],[Cliente]],LISTA_DE_CLIENTES[[Código]:[Nome Fantasia]],3,FALSE),"")</f>
        <v/>
      </c>
      <c r="H1485" s="123"/>
      <c r="J1485" s="91"/>
      <c r="K1485" s="88"/>
      <c r="O1485" s="23">
        <f>TAB_OFICINAS[[#This Row],[Data Retorno Produção]]-TAB_OFICINAS[[#This Row],[Data Prometida  Entrega]]</f>
        <v>0</v>
      </c>
      <c r="P1485" s="98" t="str">
        <f>IF(TAB_OFICINAS[[#This Row],[Dias Para Entrega]]&lt;=0,"Em dia","Dia de Atrasado")</f>
        <v>Em dia</v>
      </c>
      <c r="Q1485" s="24">
        <f>IFERROR(TAB_OFICINAS[[#This Row],[Qtd pçs Enviadas]]-TAB_OFICINAS[[#This Row],[Qtd pçs Retornadas ]],"N/D ")</f>
        <v>0</v>
      </c>
      <c r="R1485" s="24"/>
      <c r="U1485" s="11"/>
      <c r="V1485" s="25">
        <f>IFERROR(TAB_OFICINAS[[#This Row],[Valor Unit]]*TAB_OFICINAS[[#This Row],[Qtd pçs Enviadas]]," ")</f>
        <v>0</v>
      </c>
      <c r="W1485" s="26"/>
      <c r="Y1485" s="27"/>
      <c r="Z14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6" spans="6:26" hidden="1">
      <c r="F1486" s="28" t="str">
        <f>IFERROR(VLOOKUP(TAB_OFICINAS[[#This Row],[Cliente]],LISTA_DE_CLIENTES[[Código]:[Nome Fantasia]],2,FALSE),"")</f>
        <v/>
      </c>
      <c r="G1486" s="2" t="str">
        <f>IFERROR(VLOOKUP(TAB_OFICINAS[[#This Row],[Cliente]],LISTA_DE_CLIENTES[[Código]:[Nome Fantasia]],3,FALSE),"")</f>
        <v/>
      </c>
      <c r="H1486" s="123"/>
      <c r="J1486" s="91"/>
      <c r="K1486" s="88"/>
      <c r="O1486" s="23">
        <f>TAB_OFICINAS[[#This Row],[Data Retorno Produção]]-TAB_OFICINAS[[#This Row],[Data Prometida  Entrega]]</f>
        <v>0</v>
      </c>
      <c r="P1486" s="98" t="str">
        <f>IF(TAB_OFICINAS[[#This Row],[Dias Para Entrega]]&lt;=0,"Em dia","Dia de Atrasado")</f>
        <v>Em dia</v>
      </c>
      <c r="Q1486" s="24">
        <f>IFERROR(TAB_OFICINAS[[#This Row],[Qtd pçs Enviadas]]-TAB_OFICINAS[[#This Row],[Qtd pçs Retornadas ]],"N/D ")</f>
        <v>0</v>
      </c>
      <c r="R1486" s="24"/>
      <c r="U1486" s="11"/>
      <c r="V1486" s="25">
        <f>IFERROR(TAB_OFICINAS[[#This Row],[Valor Unit]]*TAB_OFICINAS[[#This Row],[Qtd pçs Enviadas]]," ")</f>
        <v>0</v>
      </c>
      <c r="W1486" s="26"/>
      <c r="Y1486" s="27"/>
      <c r="Z14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7" spans="6:26" hidden="1">
      <c r="F1487" s="28" t="str">
        <f>IFERROR(VLOOKUP(TAB_OFICINAS[[#This Row],[Cliente]],LISTA_DE_CLIENTES[[Código]:[Nome Fantasia]],2,FALSE),"")</f>
        <v/>
      </c>
      <c r="G1487" s="2" t="str">
        <f>IFERROR(VLOOKUP(TAB_OFICINAS[[#This Row],[Cliente]],LISTA_DE_CLIENTES[[Código]:[Nome Fantasia]],3,FALSE),"")</f>
        <v/>
      </c>
      <c r="H1487" s="123"/>
      <c r="J1487" s="91"/>
      <c r="K1487" s="88"/>
      <c r="O1487" s="23">
        <f>TAB_OFICINAS[[#This Row],[Data Retorno Produção]]-TAB_OFICINAS[[#This Row],[Data Prometida  Entrega]]</f>
        <v>0</v>
      </c>
      <c r="P1487" s="98" t="str">
        <f>IF(TAB_OFICINAS[[#This Row],[Dias Para Entrega]]&lt;=0,"Em dia","Dia de Atrasado")</f>
        <v>Em dia</v>
      </c>
      <c r="Q1487" s="24">
        <f>IFERROR(TAB_OFICINAS[[#This Row],[Qtd pçs Enviadas]]-TAB_OFICINAS[[#This Row],[Qtd pçs Retornadas ]],"N/D ")</f>
        <v>0</v>
      </c>
      <c r="R1487" s="24"/>
      <c r="U1487" s="11"/>
      <c r="V1487" s="25">
        <f>IFERROR(TAB_OFICINAS[[#This Row],[Valor Unit]]*TAB_OFICINAS[[#This Row],[Qtd pçs Enviadas]]," ")</f>
        <v>0</v>
      </c>
      <c r="W1487" s="26"/>
      <c r="Y1487" s="27"/>
      <c r="Z14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8" spans="6:26" hidden="1">
      <c r="F1488" s="28" t="str">
        <f>IFERROR(VLOOKUP(TAB_OFICINAS[[#This Row],[Cliente]],LISTA_DE_CLIENTES[[Código]:[Nome Fantasia]],2,FALSE),"")</f>
        <v/>
      </c>
      <c r="G1488" s="2" t="str">
        <f>IFERROR(VLOOKUP(TAB_OFICINAS[[#This Row],[Cliente]],LISTA_DE_CLIENTES[[Código]:[Nome Fantasia]],3,FALSE),"")</f>
        <v/>
      </c>
      <c r="H1488" s="123"/>
      <c r="J1488" s="91"/>
      <c r="K1488" s="88"/>
      <c r="O1488" s="23">
        <f>TAB_OFICINAS[[#This Row],[Data Retorno Produção]]-TAB_OFICINAS[[#This Row],[Data Prometida  Entrega]]</f>
        <v>0</v>
      </c>
      <c r="P1488" s="98" t="str">
        <f>IF(TAB_OFICINAS[[#This Row],[Dias Para Entrega]]&lt;=0,"Em dia","Dia de Atrasado")</f>
        <v>Em dia</v>
      </c>
      <c r="Q1488" s="24">
        <f>IFERROR(TAB_OFICINAS[[#This Row],[Qtd pçs Enviadas]]-TAB_OFICINAS[[#This Row],[Qtd pçs Retornadas ]],"N/D ")</f>
        <v>0</v>
      </c>
      <c r="R1488" s="24"/>
      <c r="U1488" s="11"/>
      <c r="V1488" s="25">
        <f>IFERROR(TAB_OFICINAS[[#This Row],[Valor Unit]]*TAB_OFICINAS[[#This Row],[Qtd pçs Enviadas]]," ")</f>
        <v>0</v>
      </c>
      <c r="W1488" s="26"/>
      <c r="Y1488" s="27"/>
      <c r="Z14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89" spans="6:26" hidden="1">
      <c r="F1489" s="28" t="str">
        <f>IFERROR(VLOOKUP(TAB_OFICINAS[[#This Row],[Cliente]],LISTA_DE_CLIENTES[[Código]:[Nome Fantasia]],2,FALSE),"")</f>
        <v/>
      </c>
      <c r="G1489" s="2" t="str">
        <f>IFERROR(VLOOKUP(TAB_OFICINAS[[#This Row],[Cliente]],LISTA_DE_CLIENTES[[Código]:[Nome Fantasia]],3,FALSE),"")</f>
        <v/>
      </c>
      <c r="H1489" s="123"/>
      <c r="J1489" s="91"/>
      <c r="K1489" s="88"/>
      <c r="O1489" s="23">
        <f>TAB_OFICINAS[[#This Row],[Data Retorno Produção]]-TAB_OFICINAS[[#This Row],[Data Prometida  Entrega]]</f>
        <v>0</v>
      </c>
      <c r="P1489" s="98" t="str">
        <f>IF(TAB_OFICINAS[[#This Row],[Dias Para Entrega]]&lt;=0,"Em dia","Dia de Atrasado")</f>
        <v>Em dia</v>
      </c>
      <c r="Q1489" s="24">
        <f>IFERROR(TAB_OFICINAS[[#This Row],[Qtd pçs Enviadas]]-TAB_OFICINAS[[#This Row],[Qtd pçs Retornadas ]],"N/D ")</f>
        <v>0</v>
      </c>
      <c r="R1489" s="24"/>
      <c r="U1489" s="11"/>
      <c r="V1489" s="25">
        <f>IFERROR(TAB_OFICINAS[[#This Row],[Valor Unit]]*TAB_OFICINAS[[#This Row],[Qtd pçs Enviadas]]," ")</f>
        <v>0</v>
      </c>
      <c r="W1489" s="26"/>
      <c r="Y1489" s="27"/>
      <c r="Z14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0" spans="6:26" hidden="1">
      <c r="F1490" s="28" t="str">
        <f>IFERROR(VLOOKUP(TAB_OFICINAS[[#This Row],[Cliente]],LISTA_DE_CLIENTES[[Código]:[Nome Fantasia]],2,FALSE),"")</f>
        <v/>
      </c>
      <c r="G1490" s="2" t="str">
        <f>IFERROR(VLOOKUP(TAB_OFICINAS[[#This Row],[Cliente]],LISTA_DE_CLIENTES[[Código]:[Nome Fantasia]],3,FALSE),"")</f>
        <v/>
      </c>
      <c r="H1490" s="123"/>
      <c r="J1490" s="91"/>
      <c r="K1490" s="88"/>
      <c r="O1490" s="23">
        <f>TAB_OFICINAS[[#This Row],[Data Retorno Produção]]-TAB_OFICINAS[[#This Row],[Data Prometida  Entrega]]</f>
        <v>0</v>
      </c>
      <c r="P1490" s="98" t="str">
        <f>IF(TAB_OFICINAS[[#This Row],[Dias Para Entrega]]&lt;=0,"Em dia","Dia de Atrasado")</f>
        <v>Em dia</v>
      </c>
      <c r="Q1490" s="24">
        <f>IFERROR(TAB_OFICINAS[[#This Row],[Qtd pçs Enviadas]]-TAB_OFICINAS[[#This Row],[Qtd pçs Retornadas ]],"N/D ")</f>
        <v>0</v>
      </c>
      <c r="R1490" s="24"/>
      <c r="U1490" s="11"/>
      <c r="V1490" s="25">
        <f>IFERROR(TAB_OFICINAS[[#This Row],[Valor Unit]]*TAB_OFICINAS[[#This Row],[Qtd pçs Enviadas]]," ")</f>
        <v>0</v>
      </c>
      <c r="W1490" s="26"/>
      <c r="Y1490" s="27"/>
      <c r="Z149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1" spans="6:26" hidden="1">
      <c r="F1491" s="28" t="str">
        <f>IFERROR(VLOOKUP(TAB_OFICINAS[[#This Row],[Cliente]],LISTA_DE_CLIENTES[[Código]:[Nome Fantasia]],2,FALSE),"")</f>
        <v/>
      </c>
      <c r="G1491" s="2" t="str">
        <f>IFERROR(VLOOKUP(TAB_OFICINAS[[#This Row],[Cliente]],LISTA_DE_CLIENTES[[Código]:[Nome Fantasia]],3,FALSE),"")</f>
        <v/>
      </c>
      <c r="H1491" s="123"/>
      <c r="J1491" s="91"/>
      <c r="K1491" s="88"/>
      <c r="O1491" s="23">
        <f>TAB_OFICINAS[[#This Row],[Data Retorno Produção]]-TAB_OFICINAS[[#This Row],[Data Prometida  Entrega]]</f>
        <v>0</v>
      </c>
      <c r="P1491" s="98" t="str">
        <f>IF(TAB_OFICINAS[[#This Row],[Dias Para Entrega]]&lt;=0,"Em dia","Dia de Atrasado")</f>
        <v>Em dia</v>
      </c>
      <c r="Q1491" s="24">
        <f>IFERROR(TAB_OFICINAS[[#This Row],[Qtd pçs Enviadas]]-TAB_OFICINAS[[#This Row],[Qtd pçs Retornadas ]],"N/D ")</f>
        <v>0</v>
      </c>
      <c r="R1491" s="24"/>
      <c r="U1491" s="11"/>
      <c r="V1491" s="25">
        <f>IFERROR(TAB_OFICINAS[[#This Row],[Valor Unit]]*TAB_OFICINAS[[#This Row],[Qtd pçs Enviadas]]," ")</f>
        <v>0</v>
      </c>
      <c r="W1491" s="26"/>
      <c r="Y1491" s="27"/>
      <c r="Z14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2" spans="6:26" hidden="1">
      <c r="F1492" s="28" t="str">
        <f>IFERROR(VLOOKUP(TAB_OFICINAS[[#This Row],[Cliente]],LISTA_DE_CLIENTES[[Código]:[Nome Fantasia]],2,FALSE),"")</f>
        <v/>
      </c>
      <c r="G1492" s="2" t="str">
        <f>IFERROR(VLOOKUP(TAB_OFICINAS[[#This Row],[Cliente]],LISTA_DE_CLIENTES[[Código]:[Nome Fantasia]],3,FALSE),"")</f>
        <v/>
      </c>
      <c r="H1492" s="123"/>
      <c r="J1492" s="91"/>
      <c r="K1492" s="88"/>
      <c r="O1492" s="23">
        <f>TAB_OFICINAS[[#This Row],[Data Retorno Produção]]-TAB_OFICINAS[[#This Row],[Data Prometida  Entrega]]</f>
        <v>0</v>
      </c>
      <c r="P1492" s="98" t="str">
        <f>IF(TAB_OFICINAS[[#This Row],[Dias Para Entrega]]&lt;=0,"Em dia","Dia de Atrasado")</f>
        <v>Em dia</v>
      </c>
      <c r="Q1492" s="24">
        <f>IFERROR(TAB_OFICINAS[[#This Row],[Qtd pçs Enviadas]]-TAB_OFICINAS[[#This Row],[Qtd pçs Retornadas ]],"N/D ")</f>
        <v>0</v>
      </c>
      <c r="R1492" s="24"/>
      <c r="U1492" s="11"/>
      <c r="V1492" s="25">
        <f>IFERROR(TAB_OFICINAS[[#This Row],[Valor Unit]]*TAB_OFICINAS[[#This Row],[Qtd pçs Enviadas]]," ")</f>
        <v>0</v>
      </c>
      <c r="W1492" s="26"/>
      <c r="Y1492" s="27"/>
      <c r="Z14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3" spans="6:26" hidden="1">
      <c r="F1493" s="28" t="str">
        <f>IFERROR(VLOOKUP(TAB_OFICINAS[[#This Row],[Cliente]],LISTA_DE_CLIENTES[[Código]:[Nome Fantasia]],2,FALSE),"")</f>
        <v/>
      </c>
      <c r="G1493" s="2" t="str">
        <f>IFERROR(VLOOKUP(TAB_OFICINAS[[#This Row],[Cliente]],LISTA_DE_CLIENTES[[Código]:[Nome Fantasia]],3,FALSE),"")</f>
        <v/>
      </c>
      <c r="H1493" s="123"/>
      <c r="J1493" s="91"/>
      <c r="K1493" s="88"/>
      <c r="O1493" s="23">
        <f>TAB_OFICINAS[[#This Row],[Data Retorno Produção]]-TAB_OFICINAS[[#This Row],[Data Prometida  Entrega]]</f>
        <v>0</v>
      </c>
      <c r="P1493" s="98" t="str">
        <f>IF(TAB_OFICINAS[[#This Row],[Dias Para Entrega]]&lt;=0,"Em dia","Dia de Atrasado")</f>
        <v>Em dia</v>
      </c>
      <c r="Q1493" s="24">
        <f>IFERROR(TAB_OFICINAS[[#This Row],[Qtd pçs Enviadas]]-TAB_OFICINAS[[#This Row],[Qtd pçs Retornadas ]],"N/D ")</f>
        <v>0</v>
      </c>
      <c r="R1493" s="24"/>
      <c r="U1493" s="11"/>
      <c r="V1493" s="25">
        <f>IFERROR(TAB_OFICINAS[[#This Row],[Valor Unit]]*TAB_OFICINAS[[#This Row],[Qtd pçs Enviadas]]," ")</f>
        <v>0</v>
      </c>
      <c r="W1493" s="26"/>
      <c r="Y1493" s="27"/>
      <c r="Z14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4" spans="6:26" hidden="1">
      <c r="F1494" s="28" t="str">
        <f>IFERROR(VLOOKUP(TAB_OFICINAS[[#This Row],[Cliente]],LISTA_DE_CLIENTES[[Código]:[Nome Fantasia]],2,FALSE),"")</f>
        <v/>
      </c>
      <c r="G1494" s="2" t="str">
        <f>IFERROR(VLOOKUP(TAB_OFICINAS[[#This Row],[Cliente]],LISTA_DE_CLIENTES[[Código]:[Nome Fantasia]],3,FALSE),"")</f>
        <v/>
      </c>
      <c r="H1494" s="123"/>
      <c r="J1494" s="91"/>
      <c r="K1494" s="88"/>
      <c r="O1494" s="23">
        <f>TAB_OFICINAS[[#This Row],[Data Retorno Produção]]-TAB_OFICINAS[[#This Row],[Data Prometida  Entrega]]</f>
        <v>0</v>
      </c>
      <c r="P1494" s="98" t="str">
        <f>IF(TAB_OFICINAS[[#This Row],[Dias Para Entrega]]&lt;=0,"Em dia","Dia de Atrasado")</f>
        <v>Em dia</v>
      </c>
      <c r="Q1494" s="24">
        <f>IFERROR(TAB_OFICINAS[[#This Row],[Qtd pçs Enviadas]]-TAB_OFICINAS[[#This Row],[Qtd pçs Retornadas ]],"N/D ")</f>
        <v>0</v>
      </c>
      <c r="R1494" s="24"/>
      <c r="U1494" s="11"/>
      <c r="V1494" s="25">
        <f>IFERROR(TAB_OFICINAS[[#This Row],[Valor Unit]]*TAB_OFICINAS[[#This Row],[Qtd pçs Enviadas]]," ")</f>
        <v>0</v>
      </c>
      <c r="W1494" s="26"/>
      <c r="Y1494" s="27"/>
      <c r="Z149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5" spans="6:26" hidden="1">
      <c r="F1495" s="28" t="str">
        <f>IFERROR(VLOOKUP(TAB_OFICINAS[[#This Row],[Cliente]],LISTA_DE_CLIENTES[[Código]:[Nome Fantasia]],2,FALSE),"")</f>
        <v/>
      </c>
      <c r="G1495" s="2" t="str">
        <f>IFERROR(VLOOKUP(TAB_OFICINAS[[#This Row],[Cliente]],LISTA_DE_CLIENTES[[Código]:[Nome Fantasia]],3,FALSE),"")</f>
        <v/>
      </c>
      <c r="H1495" s="123"/>
      <c r="J1495" s="91"/>
      <c r="K1495" s="88"/>
      <c r="O1495" s="23">
        <f>TAB_OFICINAS[[#This Row],[Data Retorno Produção]]-TAB_OFICINAS[[#This Row],[Data Prometida  Entrega]]</f>
        <v>0</v>
      </c>
      <c r="P1495" s="98" t="str">
        <f>IF(TAB_OFICINAS[[#This Row],[Dias Para Entrega]]&lt;=0,"Em dia","Dia de Atrasado")</f>
        <v>Em dia</v>
      </c>
      <c r="Q1495" s="24">
        <f>IFERROR(TAB_OFICINAS[[#This Row],[Qtd pçs Enviadas]]-TAB_OFICINAS[[#This Row],[Qtd pçs Retornadas ]],"N/D ")</f>
        <v>0</v>
      </c>
      <c r="R1495" s="24"/>
      <c r="U1495" s="11"/>
      <c r="V1495" s="25">
        <f>IFERROR(TAB_OFICINAS[[#This Row],[Valor Unit]]*TAB_OFICINAS[[#This Row],[Qtd pçs Enviadas]]," ")</f>
        <v>0</v>
      </c>
      <c r="W1495" s="26"/>
      <c r="Y1495" s="27"/>
      <c r="Z149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6" spans="6:26" hidden="1">
      <c r="F1496" s="28" t="str">
        <f>IFERROR(VLOOKUP(TAB_OFICINAS[[#This Row],[Cliente]],LISTA_DE_CLIENTES[[Código]:[Nome Fantasia]],2,FALSE),"")</f>
        <v/>
      </c>
      <c r="G1496" s="2" t="str">
        <f>IFERROR(VLOOKUP(TAB_OFICINAS[[#This Row],[Cliente]],LISTA_DE_CLIENTES[[Código]:[Nome Fantasia]],3,FALSE),"")</f>
        <v/>
      </c>
      <c r="H1496" s="123"/>
      <c r="J1496" s="91"/>
      <c r="K1496" s="88"/>
      <c r="O1496" s="23">
        <f>TAB_OFICINAS[[#This Row],[Data Retorno Produção]]-TAB_OFICINAS[[#This Row],[Data Prometida  Entrega]]</f>
        <v>0</v>
      </c>
      <c r="P1496" s="98" t="str">
        <f>IF(TAB_OFICINAS[[#This Row],[Dias Para Entrega]]&lt;=0,"Em dia","Dia de Atrasado")</f>
        <v>Em dia</v>
      </c>
      <c r="Q1496" s="24">
        <f>IFERROR(TAB_OFICINAS[[#This Row],[Qtd pçs Enviadas]]-TAB_OFICINAS[[#This Row],[Qtd pçs Retornadas ]],"N/D ")</f>
        <v>0</v>
      </c>
      <c r="R1496" s="24"/>
      <c r="U1496" s="11"/>
      <c r="V1496" s="25">
        <f>IFERROR(TAB_OFICINAS[[#This Row],[Valor Unit]]*TAB_OFICINAS[[#This Row],[Qtd pçs Enviadas]]," ")</f>
        <v>0</v>
      </c>
      <c r="W1496" s="26"/>
      <c r="Y1496" s="27"/>
      <c r="Z149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7" spans="6:26" hidden="1">
      <c r="F1497" s="28" t="str">
        <f>IFERROR(VLOOKUP(TAB_OFICINAS[[#This Row],[Cliente]],LISTA_DE_CLIENTES[[Código]:[Nome Fantasia]],2,FALSE),"")</f>
        <v/>
      </c>
      <c r="G1497" s="2" t="str">
        <f>IFERROR(VLOOKUP(TAB_OFICINAS[[#This Row],[Cliente]],LISTA_DE_CLIENTES[[Código]:[Nome Fantasia]],3,FALSE),"")</f>
        <v/>
      </c>
      <c r="H1497" s="123"/>
      <c r="J1497" s="91"/>
      <c r="K1497" s="88"/>
      <c r="O1497" s="23">
        <f>TAB_OFICINAS[[#This Row],[Data Retorno Produção]]-TAB_OFICINAS[[#This Row],[Data Prometida  Entrega]]</f>
        <v>0</v>
      </c>
      <c r="P1497" s="98" t="str">
        <f>IF(TAB_OFICINAS[[#This Row],[Dias Para Entrega]]&lt;=0,"Em dia","Dia de Atrasado")</f>
        <v>Em dia</v>
      </c>
      <c r="Q1497" s="24">
        <f>IFERROR(TAB_OFICINAS[[#This Row],[Qtd pçs Enviadas]]-TAB_OFICINAS[[#This Row],[Qtd pçs Retornadas ]],"N/D ")</f>
        <v>0</v>
      </c>
      <c r="R1497" s="24"/>
      <c r="U1497" s="11"/>
      <c r="V1497" s="25">
        <f>IFERROR(TAB_OFICINAS[[#This Row],[Valor Unit]]*TAB_OFICINAS[[#This Row],[Qtd pçs Enviadas]]," ")</f>
        <v>0</v>
      </c>
      <c r="W1497" s="26"/>
      <c r="Y1497" s="27"/>
      <c r="Z149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8" spans="6:26" hidden="1">
      <c r="F1498" s="28" t="str">
        <f>IFERROR(VLOOKUP(TAB_OFICINAS[[#This Row],[Cliente]],LISTA_DE_CLIENTES[[Código]:[Nome Fantasia]],2,FALSE),"")</f>
        <v/>
      </c>
      <c r="G1498" s="2" t="str">
        <f>IFERROR(VLOOKUP(TAB_OFICINAS[[#This Row],[Cliente]],LISTA_DE_CLIENTES[[Código]:[Nome Fantasia]],3,FALSE),"")</f>
        <v/>
      </c>
      <c r="H1498" s="123"/>
      <c r="J1498" s="91"/>
      <c r="K1498" s="88"/>
      <c r="O1498" s="23">
        <f>TAB_OFICINAS[[#This Row],[Data Retorno Produção]]-TAB_OFICINAS[[#This Row],[Data Prometida  Entrega]]</f>
        <v>0</v>
      </c>
      <c r="P1498" s="98" t="str">
        <f>IF(TAB_OFICINAS[[#This Row],[Dias Para Entrega]]&lt;=0,"Em dia","Dia de Atrasado")</f>
        <v>Em dia</v>
      </c>
      <c r="Q1498" s="24">
        <f>IFERROR(TAB_OFICINAS[[#This Row],[Qtd pçs Enviadas]]-TAB_OFICINAS[[#This Row],[Qtd pçs Retornadas ]],"N/D ")</f>
        <v>0</v>
      </c>
      <c r="R1498" s="24"/>
      <c r="U1498" s="11"/>
      <c r="V1498" s="25">
        <f>IFERROR(TAB_OFICINAS[[#This Row],[Valor Unit]]*TAB_OFICINAS[[#This Row],[Qtd pçs Enviadas]]," ")</f>
        <v>0</v>
      </c>
      <c r="W1498" s="26"/>
      <c r="Y1498" s="27"/>
      <c r="Z149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499" spans="6:26" hidden="1">
      <c r="F1499" s="28" t="str">
        <f>IFERROR(VLOOKUP(TAB_OFICINAS[[#This Row],[Cliente]],LISTA_DE_CLIENTES[[Código]:[Nome Fantasia]],2,FALSE),"")</f>
        <v/>
      </c>
      <c r="G1499" s="2" t="str">
        <f>IFERROR(VLOOKUP(TAB_OFICINAS[[#This Row],[Cliente]],LISTA_DE_CLIENTES[[Código]:[Nome Fantasia]],3,FALSE),"")</f>
        <v/>
      </c>
      <c r="H1499" s="123"/>
      <c r="J1499" s="91"/>
      <c r="K1499" s="88"/>
      <c r="O1499" s="23">
        <f>TAB_OFICINAS[[#This Row],[Data Retorno Produção]]-TAB_OFICINAS[[#This Row],[Data Prometida  Entrega]]</f>
        <v>0</v>
      </c>
      <c r="P1499" s="98" t="str">
        <f>IF(TAB_OFICINAS[[#This Row],[Dias Para Entrega]]&lt;=0,"Em dia","Dia de Atrasado")</f>
        <v>Em dia</v>
      </c>
      <c r="Q1499" s="24">
        <f>IFERROR(TAB_OFICINAS[[#This Row],[Qtd pçs Enviadas]]-TAB_OFICINAS[[#This Row],[Qtd pçs Retornadas ]],"N/D ")</f>
        <v>0</v>
      </c>
      <c r="R1499" s="24"/>
      <c r="U1499" s="11"/>
      <c r="V1499" s="25">
        <f>IFERROR(TAB_OFICINAS[[#This Row],[Valor Unit]]*TAB_OFICINAS[[#This Row],[Qtd pçs Enviadas]]," ")</f>
        <v>0</v>
      </c>
      <c r="W1499" s="26"/>
      <c r="Y1499" s="27"/>
      <c r="Z149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0" spans="6:26" hidden="1">
      <c r="F1500" s="28" t="str">
        <f>IFERROR(VLOOKUP(TAB_OFICINAS[[#This Row],[Cliente]],LISTA_DE_CLIENTES[[Código]:[Nome Fantasia]],2,FALSE),"")</f>
        <v/>
      </c>
      <c r="G1500" s="2" t="str">
        <f>IFERROR(VLOOKUP(TAB_OFICINAS[[#This Row],[Cliente]],LISTA_DE_CLIENTES[[Código]:[Nome Fantasia]],3,FALSE),"")</f>
        <v/>
      </c>
      <c r="H1500" s="123"/>
      <c r="J1500" s="91"/>
      <c r="K1500" s="88"/>
      <c r="O1500" s="23">
        <f>TAB_OFICINAS[[#This Row],[Data Retorno Produção]]-TAB_OFICINAS[[#This Row],[Data Prometida  Entrega]]</f>
        <v>0</v>
      </c>
      <c r="P1500" s="98" t="str">
        <f>IF(TAB_OFICINAS[[#This Row],[Dias Para Entrega]]&lt;=0,"Em dia","Dia de Atrasado")</f>
        <v>Em dia</v>
      </c>
      <c r="Q1500" s="24">
        <f>IFERROR(TAB_OFICINAS[[#This Row],[Qtd pçs Enviadas]]-TAB_OFICINAS[[#This Row],[Qtd pçs Retornadas ]],"N/D ")</f>
        <v>0</v>
      </c>
      <c r="R1500" s="24"/>
      <c r="U1500" s="11"/>
      <c r="V1500" s="25">
        <f>IFERROR(TAB_OFICINAS[[#This Row],[Valor Unit]]*TAB_OFICINAS[[#This Row],[Qtd pçs Enviadas]]," ")</f>
        <v>0</v>
      </c>
      <c r="W1500" s="26"/>
      <c r="Y1500" s="27"/>
      <c r="Z150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1" spans="6:26" hidden="1">
      <c r="F1501" s="28" t="str">
        <f>IFERROR(VLOOKUP(TAB_OFICINAS[[#This Row],[Cliente]],LISTA_DE_CLIENTES[[Código]:[Nome Fantasia]],2,FALSE),"")</f>
        <v/>
      </c>
      <c r="G1501" s="2" t="str">
        <f>IFERROR(VLOOKUP(TAB_OFICINAS[[#This Row],[Cliente]],LISTA_DE_CLIENTES[[Código]:[Nome Fantasia]],3,FALSE),"")</f>
        <v/>
      </c>
      <c r="H1501" s="123"/>
      <c r="J1501" s="91"/>
      <c r="K1501" s="88"/>
      <c r="O1501" s="23">
        <f>TAB_OFICINAS[[#This Row],[Data Retorno Produção]]-TAB_OFICINAS[[#This Row],[Data Prometida  Entrega]]</f>
        <v>0</v>
      </c>
      <c r="P1501" s="98" t="str">
        <f>IF(TAB_OFICINAS[[#This Row],[Dias Para Entrega]]&lt;=0,"Em dia","Dia de Atrasado")</f>
        <v>Em dia</v>
      </c>
      <c r="Q1501" s="24">
        <f>IFERROR(TAB_OFICINAS[[#This Row],[Qtd pçs Enviadas]]-TAB_OFICINAS[[#This Row],[Qtd pçs Retornadas ]],"N/D ")</f>
        <v>0</v>
      </c>
      <c r="R1501" s="24"/>
      <c r="U1501" s="11"/>
      <c r="V1501" s="25">
        <f>IFERROR(TAB_OFICINAS[[#This Row],[Valor Unit]]*TAB_OFICINAS[[#This Row],[Qtd pçs Enviadas]]," ")</f>
        <v>0</v>
      </c>
      <c r="W1501" s="26"/>
      <c r="Y1501" s="27"/>
      <c r="Z150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2" spans="6:26" hidden="1">
      <c r="F1502" s="28" t="str">
        <f>IFERROR(VLOOKUP(TAB_OFICINAS[[#This Row],[Cliente]],LISTA_DE_CLIENTES[[Código]:[Nome Fantasia]],2,FALSE),"")</f>
        <v/>
      </c>
      <c r="G1502" s="2" t="str">
        <f>IFERROR(VLOOKUP(TAB_OFICINAS[[#This Row],[Cliente]],LISTA_DE_CLIENTES[[Código]:[Nome Fantasia]],3,FALSE),"")</f>
        <v/>
      </c>
      <c r="H1502" s="123"/>
      <c r="J1502" s="91"/>
      <c r="K1502" s="88"/>
      <c r="O1502" s="23">
        <f>TAB_OFICINAS[[#This Row],[Data Retorno Produção]]-TAB_OFICINAS[[#This Row],[Data Prometida  Entrega]]</f>
        <v>0</v>
      </c>
      <c r="P1502" s="98" t="str">
        <f>IF(TAB_OFICINAS[[#This Row],[Dias Para Entrega]]&lt;=0,"Em dia","Dia de Atrasado")</f>
        <v>Em dia</v>
      </c>
      <c r="Q1502" s="24">
        <f>IFERROR(TAB_OFICINAS[[#This Row],[Qtd pçs Enviadas]]-TAB_OFICINAS[[#This Row],[Qtd pçs Retornadas ]],"N/D ")</f>
        <v>0</v>
      </c>
      <c r="R1502" s="24"/>
      <c r="U1502" s="11"/>
      <c r="V1502" s="25">
        <f>IFERROR(TAB_OFICINAS[[#This Row],[Valor Unit]]*TAB_OFICINAS[[#This Row],[Qtd pçs Enviadas]]," ")</f>
        <v>0</v>
      </c>
      <c r="W1502" s="26"/>
      <c r="Y1502" s="27"/>
      <c r="Z150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3" spans="6:26" hidden="1">
      <c r="F1503" s="28" t="str">
        <f>IFERROR(VLOOKUP(TAB_OFICINAS[[#This Row],[Cliente]],LISTA_DE_CLIENTES[[Código]:[Nome Fantasia]],2,FALSE),"")</f>
        <v/>
      </c>
      <c r="G1503" s="2" t="str">
        <f>IFERROR(VLOOKUP(TAB_OFICINAS[[#This Row],[Cliente]],LISTA_DE_CLIENTES[[Código]:[Nome Fantasia]],3,FALSE),"")</f>
        <v/>
      </c>
      <c r="H1503" s="123"/>
      <c r="J1503" s="91"/>
      <c r="K1503" s="88"/>
      <c r="O1503" s="23">
        <f>TAB_OFICINAS[[#This Row],[Data Retorno Produção]]-TAB_OFICINAS[[#This Row],[Data Prometida  Entrega]]</f>
        <v>0</v>
      </c>
      <c r="P1503" s="98" t="str">
        <f>IF(TAB_OFICINAS[[#This Row],[Dias Para Entrega]]&lt;=0,"Em dia","Dia de Atrasado")</f>
        <v>Em dia</v>
      </c>
      <c r="Q1503" s="24">
        <f>IFERROR(TAB_OFICINAS[[#This Row],[Qtd pçs Enviadas]]-TAB_OFICINAS[[#This Row],[Qtd pçs Retornadas ]],"N/D ")</f>
        <v>0</v>
      </c>
      <c r="R1503" s="24"/>
      <c r="U1503" s="11"/>
      <c r="V1503" s="25">
        <f>IFERROR(TAB_OFICINAS[[#This Row],[Valor Unit]]*TAB_OFICINAS[[#This Row],[Qtd pçs Enviadas]]," ")</f>
        <v>0</v>
      </c>
      <c r="W1503" s="26"/>
      <c r="Y1503" s="27"/>
      <c r="Z150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4" spans="6:26" hidden="1">
      <c r="F1504" s="28" t="str">
        <f>IFERROR(VLOOKUP(TAB_OFICINAS[[#This Row],[Cliente]],LISTA_DE_CLIENTES[[Código]:[Nome Fantasia]],2,FALSE),"")</f>
        <v/>
      </c>
      <c r="G1504" s="2" t="str">
        <f>IFERROR(VLOOKUP(TAB_OFICINAS[[#This Row],[Cliente]],LISTA_DE_CLIENTES[[Código]:[Nome Fantasia]],3,FALSE),"")</f>
        <v/>
      </c>
      <c r="H1504" s="123"/>
      <c r="J1504" s="91"/>
      <c r="K1504" s="88"/>
      <c r="O1504" s="23">
        <f>TAB_OFICINAS[[#This Row],[Data Retorno Produção]]-TAB_OFICINAS[[#This Row],[Data Prometida  Entrega]]</f>
        <v>0</v>
      </c>
      <c r="P1504" s="98" t="str">
        <f>IF(TAB_OFICINAS[[#This Row],[Dias Para Entrega]]&lt;=0,"Em dia","Dia de Atrasado")</f>
        <v>Em dia</v>
      </c>
      <c r="Q1504" s="24">
        <f>IFERROR(TAB_OFICINAS[[#This Row],[Qtd pçs Enviadas]]-TAB_OFICINAS[[#This Row],[Qtd pçs Retornadas ]],"N/D ")</f>
        <v>0</v>
      </c>
      <c r="R1504" s="24"/>
      <c r="U1504" s="11"/>
      <c r="V1504" s="25">
        <f>IFERROR(TAB_OFICINAS[[#This Row],[Valor Unit]]*TAB_OFICINAS[[#This Row],[Qtd pçs Enviadas]]," ")</f>
        <v>0</v>
      </c>
      <c r="W1504" s="26"/>
      <c r="Y1504" s="27"/>
      <c r="Z150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5" spans="6:26" hidden="1">
      <c r="F1505" s="28" t="str">
        <f>IFERROR(VLOOKUP(TAB_OFICINAS[[#This Row],[Cliente]],LISTA_DE_CLIENTES[[Código]:[Nome Fantasia]],2,FALSE),"")</f>
        <v/>
      </c>
      <c r="G1505" s="2" t="str">
        <f>IFERROR(VLOOKUP(TAB_OFICINAS[[#This Row],[Cliente]],LISTA_DE_CLIENTES[[Código]:[Nome Fantasia]],3,FALSE),"")</f>
        <v/>
      </c>
      <c r="H1505" s="123"/>
      <c r="J1505" s="91"/>
      <c r="K1505" s="88"/>
      <c r="O1505" s="23">
        <f>TAB_OFICINAS[[#This Row],[Data Retorno Produção]]-TAB_OFICINAS[[#This Row],[Data Prometida  Entrega]]</f>
        <v>0</v>
      </c>
      <c r="P1505" s="98" t="str">
        <f>IF(TAB_OFICINAS[[#This Row],[Dias Para Entrega]]&lt;=0,"Em dia","Dia de Atrasado")</f>
        <v>Em dia</v>
      </c>
      <c r="Q1505" s="24">
        <f>IFERROR(TAB_OFICINAS[[#This Row],[Qtd pçs Enviadas]]-TAB_OFICINAS[[#This Row],[Qtd pçs Retornadas ]],"N/D ")</f>
        <v>0</v>
      </c>
      <c r="R1505" s="24"/>
      <c r="U1505" s="11"/>
      <c r="V1505" s="25">
        <f>IFERROR(TAB_OFICINAS[[#This Row],[Valor Unit]]*TAB_OFICINAS[[#This Row],[Qtd pçs Enviadas]]," ")</f>
        <v>0</v>
      </c>
      <c r="W1505" s="26"/>
      <c r="Y1505" s="27"/>
      <c r="Z150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6" spans="6:26" hidden="1">
      <c r="F1506" s="28" t="str">
        <f>IFERROR(VLOOKUP(TAB_OFICINAS[[#This Row],[Cliente]],LISTA_DE_CLIENTES[[Código]:[Nome Fantasia]],2,FALSE),"")</f>
        <v/>
      </c>
      <c r="G1506" s="2" t="str">
        <f>IFERROR(VLOOKUP(TAB_OFICINAS[[#This Row],[Cliente]],LISTA_DE_CLIENTES[[Código]:[Nome Fantasia]],3,FALSE),"")</f>
        <v/>
      </c>
      <c r="H1506" s="123"/>
      <c r="J1506" s="91"/>
      <c r="K1506" s="88"/>
      <c r="O1506" s="23">
        <f>TAB_OFICINAS[[#This Row],[Data Retorno Produção]]-TAB_OFICINAS[[#This Row],[Data Prometida  Entrega]]</f>
        <v>0</v>
      </c>
      <c r="P1506" s="98" t="str">
        <f>IF(TAB_OFICINAS[[#This Row],[Dias Para Entrega]]&lt;=0,"Em dia","Dia de Atrasado")</f>
        <v>Em dia</v>
      </c>
      <c r="Q1506" s="24">
        <f>IFERROR(TAB_OFICINAS[[#This Row],[Qtd pçs Enviadas]]-TAB_OFICINAS[[#This Row],[Qtd pçs Retornadas ]],"N/D ")</f>
        <v>0</v>
      </c>
      <c r="R1506" s="24"/>
      <c r="U1506" s="11"/>
      <c r="V1506" s="25">
        <f>IFERROR(TAB_OFICINAS[[#This Row],[Valor Unit]]*TAB_OFICINAS[[#This Row],[Qtd pçs Enviadas]]," ")</f>
        <v>0</v>
      </c>
      <c r="W1506" s="26"/>
      <c r="Y1506" s="27"/>
      <c r="Z150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7" spans="6:26" hidden="1">
      <c r="F1507" s="28" t="str">
        <f>IFERROR(VLOOKUP(TAB_OFICINAS[[#This Row],[Cliente]],LISTA_DE_CLIENTES[[Código]:[Nome Fantasia]],2,FALSE),"")</f>
        <v/>
      </c>
      <c r="G1507" s="2" t="str">
        <f>IFERROR(VLOOKUP(TAB_OFICINAS[[#This Row],[Cliente]],LISTA_DE_CLIENTES[[Código]:[Nome Fantasia]],3,FALSE),"")</f>
        <v/>
      </c>
      <c r="H1507" s="123"/>
      <c r="J1507" s="91"/>
      <c r="K1507" s="88"/>
      <c r="O1507" s="23">
        <f>TAB_OFICINAS[[#This Row],[Data Retorno Produção]]-TAB_OFICINAS[[#This Row],[Data Prometida  Entrega]]</f>
        <v>0</v>
      </c>
      <c r="P1507" s="98" t="str">
        <f>IF(TAB_OFICINAS[[#This Row],[Dias Para Entrega]]&lt;=0,"Em dia","Dia de Atrasado")</f>
        <v>Em dia</v>
      </c>
      <c r="Q1507" s="24">
        <f>IFERROR(TAB_OFICINAS[[#This Row],[Qtd pçs Enviadas]]-TAB_OFICINAS[[#This Row],[Qtd pçs Retornadas ]],"N/D ")</f>
        <v>0</v>
      </c>
      <c r="R1507" s="24"/>
      <c r="U1507" s="11"/>
      <c r="V1507" s="25">
        <f>IFERROR(TAB_OFICINAS[[#This Row],[Valor Unit]]*TAB_OFICINAS[[#This Row],[Qtd pçs Enviadas]]," ")</f>
        <v>0</v>
      </c>
      <c r="W1507" s="26"/>
      <c r="Y1507" s="27"/>
      <c r="Z150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8" spans="6:26" hidden="1">
      <c r="F1508" s="28" t="str">
        <f>IFERROR(VLOOKUP(TAB_OFICINAS[[#This Row],[Cliente]],LISTA_DE_CLIENTES[[Código]:[Nome Fantasia]],2,FALSE),"")</f>
        <v/>
      </c>
      <c r="G1508" s="2" t="str">
        <f>IFERROR(VLOOKUP(TAB_OFICINAS[[#This Row],[Cliente]],LISTA_DE_CLIENTES[[Código]:[Nome Fantasia]],3,FALSE),"")</f>
        <v/>
      </c>
      <c r="H1508" s="123"/>
      <c r="J1508" s="91"/>
      <c r="K1508" s="88"/>
      <c r="O1508" s="23">
        <f>TAB_OFICINAS[[#This Row],[Data Retorno Produção]]-TAB_OFICINAS[[#This Row],[Data Prometida  Entrega]]</f>
        <v>0</v>
      </c>
      <c r="P1508" s="98" t="str">
        <f>IF(TAB_OFICINAS[[#This Row],[Dias Para Entrega]]&lt;=0,"Em dia","Dia de Atrasado")</f>
        <v>Em dia</v>
      </c>
      <c r="Q1508" s="24">
        <f>IFERROR(TAB_OFICINAS[[#This Row],[Qtd pçs Enviadas]]-TAB_OFICINAS[[#This Row],[Qtd pçs Retornadas ]],"N/D ")</f>
        <v>0</v>
      </c>
      <c r="R1508" s="24"/>
      <c r="U1508" s="11"/>
      <c r="V1508" s="25">
        <f>IFERROR(TAB_OFICINAS[[#This Row],[Valor Unit]]*TAB_OFICINAS[[#This Row],[Qtd pçs Enviadas]]," ")</f>
        <v>0</v>
      </c>
      <c r="W1508" s="26"/>
      <c r="Y1508" s="27"/>
      <c r="Z150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09" spans="6:26" hidden="1">
      <c r="F1509" s="28" t="str">
        <f>IFERROR(VLOOKUP(TAB_OFICINAS[[#This Row],[Cliente]],LISTA_DE_CLIENTES[[Código]:[Nome Fantasia]],2,FALSE),"")</f>
        <v/>
      </c>
      <c r="G1509" s="2" t="str">
        <f>IFERROR(VLOOKUP(TAB_OFICINAS[[#This Row],[Cliente]],LISTA_DE_CLIENTES[[Código]:[Nome Fantasia]],3,FALSE),"")</f>
        <v/>
      </c>
      <c r="H1509" s="123"/>
      <c r="J1509" s="91"/>
      <c r="K1509" s="88"/>
      <c r="O1509" s="23">
        <f>TAB_OFICINAS[[#This Row],[Data Retorno Produção]]-TAB_OFICINAS[[#This Row],[Data Prometida  Entrega]]</f>
        <v>0</v>
      </c>
      <c r="P1509" s="98" t="str">
        <f>IF(TAB_OFICINAS[[#This Row],[Dias Para Entrega]]&lt;=0,"Em dia","Dia de Atrasado")</f>
        <v>Em dia</v>
      </c>
      <c r="Q1509" s="24">
        <f>IFERROR(TAB_OFICINAS[[#This Row],[Qtd pçs Enviadas]]-TAB_OFICINAS[[#This Row],[Qtd pçs Retornadas ]],"N/D ")</f>
        <v>0</v>
      </c>
      <c r="R1509" s="24"/>
      <c r="U1509" s="11"/>
      <c r="V1509" s="25">
        <f>IFERROR(TAB_OFICINAS[[#This Row],[Valor Unit]]*TAB_OFICINAS[[#This Row],[Qtd pçs Enviadas]]," ")</f>
        <v>0</v>
      </c>
      <c r="W1509" s="26"/>
      <c r="Y1509" s="27"/>
      <c r="Z150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0" spans="6:26" hidden="1">
      <c r="F1510" s="28" t="str">
        <f>IFERROR(VLOOKUP(TAB_OFICINAS[[#This Row],[Cliente]],LISTA_DE_CLIENTES[[Código]:[Nome Fantasia]],2,FALSE),"")</f>
        <v/>
      </c>
      <c r="G1510" s="2" t="str">
        <f>IFERROR(VLOOKUP(TAB_OFICINAS[[#This Row],[Cliente]],LISTA_DE_CLIENTES[[Código]:[Nome Fantasia]],3,FALSE),"")</f>
        <v/>
      </c>
      <c r="H1510" s="123"/>
      <c r="J1510" s="91"/>
      <c r="K1510" s="88"/>
      <c r="O1510" s="23">
        <f>TAB_OFICINAS[[#This Row],[Data Retorno Produção]]-TAB_OFICINAS[[#This Row],[Data Prometida  Entrega]]</f>
        <v>0</v>
      </c>
      <c r="P1510" s="98" t="str">
        <f>IF(TAB_OFICINAS[[#This Row],[Dias Para Entrega]]&lt;=0,"Em dia","Dia de Atrasado")</f>
        <v>Em dia</v>
      </c>
      <c r="Q1510" s="24">
        <f>IFERROR(TAB_OFICINAS[[#This Row],[Qtd pçs Enviadas]]-TAB_OFICINAS[[#This Row],[Qtd pçs Retornadas ]],"N/D ")</f>
        <v>0</v>
      </c>
      <c r="R1510" s="24"/>
      <c r="U1510" s="11"/>
      <c r="V1510" s="25">
        <f>IFERROR(TAB_OFICINAS[[#This Row],[Valor Unit]]*TAB_OFICINAS[[#This Row],[Qtd pçs Enviadas]]," ")</f>
        <v>0</v>
      </c>
      <c r="W1510" s="26"/>
      <c r="Y1510" s="27"/>
      <c r="Z151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1" spans="6:26" hidden="1">
      <c r="F1511" s="28" t="str">
        <f>IFERROR(VLOOKUP(TAB_OFICINAS[[#This Row],[Cliente]],LISTA_DE_CLIENTES[[Código]:[Nome Fantasia]],2,FALSE),"")</f>
        <v/>
      </c>
      <c r="G1511" s="2" t="str">
        <f>IFERROR(VLOOKUP(TAB_OFICINAS[[#This Row],[Cliente]],LISTA_DE_CLIENTES[[Código]:[Nome Fantasia]],3,FALSE),"")</f>
        <v/>
      </c>
      <c r="H1511" s="123"/>
      <c r="J1511" s="91"/>
      <c r="K1511" s="88"/>
      <c r="O1511" s="23">
        <f>TAB_OFICINAS[[#This Row],[Data Retorno Produção]]-TAB_OFICINAS[[#This Row],[Data Prometida  Entrega]]</f>
        <v>0</v>
      </c>
      <c r="P1511" s="98" t="str">
        <f>IF(TAB_OFICINAS[[#This Row],[Dias Para Entrega]]&lt;=0,"Em dia","Dia de Atrasado")</f>
        <v>Em dia</v>
      </c>
      <c r="Q1511" s="24">
        <f>IFERROR(TAB_OFICINAS[[#This Row],[Qtd pçs Enviadas]]-TAB_OFICINAS[[#This Row],[Qtd pçs Retornadas ]],"N/D ")</f>
        <v>0</v>
      </c>
      <c r="R1511" s="24"/>
      <c r="U1511" s="11"/>
      <c r="V1511" s="25">
        <f>IFERROR(TAB_OFICINAS[[#This Row],[Valor Unit]]*TAB_OFICINAS[[#This Row],[Qtd pçs Enviadas]]," ")</f>
        <v>0</v>
      </c>
      <c r="W1511" s="26"/>
      <c r="Y1511" s="27"/>
      <c r="Z151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2" spans="6:26" hidden="1">
      <c r="F1512" s="28" t="str">
        <f>IFERROR(VLOOKUP(TAB_OFICINAS[[#This Row],[Cliente]],LISTA_DE_CLIENTES[[Código]:[Nome Fantasia]],2,FALSE),"")</f>
        <v/>
      </c>
      <c r="G1512" s="2" t="str">
        <f>IFERROR(VLOOKUP(TAB_OFICINAS[[#This Row],[Cliente]],LISTA_DE_CLIENTES[[Código]:[Nome Fantasia]],3,FALSE),"")</f>
        <v/>
      </c>
      <c r="H1512" s="123"/>
      <c r="J1512" s="91"/>
      <c r="K1512" s="88"/>
      <c r="O1512" s="23">
        <f>TAB_OFICINAS[[#This Row],[Data Retorno Produção]]-TAB_OFICINAS[[#This Row],[Data Prometida  Entrega]]</f>
        <v>0</v>
      </c>
      <c r="P1512" s="98" t="str">
        <f>IF(TAB_OFICINAS[[#This Row],[Dias Para Entrega]]&lt;=0,"Em dia","Dia de Atrasado")</f>
        <v>Em dia</v>
      </c>
      <c r="Q1512" s="24">
        <f>IFERROR(TAB_OFICINAS[[#This Row],[Qtd pçs Enviadas]]-TAB_OFICINAS[[#This Row],[Qtd pçs Retornadas ]],"N/D ")</f>
        <v>0</v>
      </c>
      <c r="R1512" s="24"/>
      <c r="U1512" s="11"/>
      <c r="V1512" s="25">
        <f>IFERROR(TAB_OFICINAS[[#This Row],[Valor Unit]]*TAB_OFICINAS[[#This Row],[Qtd pçs Enviadas]]," ")</f>
        <v>0</v>
      </c>
      <c r="W1512" s="26"/>
      <c r="Y1512" s="27"/>
      <c r="Z151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3" spans="6:26" hidden="1">
      <c r="F1513" s="28" t="str">
        <f>IFERROR(VLOOKUP(TAB_OFICINAS[[#This Row],[Cliente]],LISTA_DE_CLIENTES[[Código]:[Nome Fantasia]],2,FALSE),"")</f>
        <v/>
      </c>
      <c r="G1513" s="2" t="str">
        <f>IFERROR(VLOOKUP(TAB_OFICINAS[[#This Row],[Cliente]],LISTA_DE_CLIENTES[[Código]:[Nome Fantasia]],3,FALSE),"")</f>
        <v/>
      </c>
      <c r="H1513" s="123"/>
      <c r="J1513" s="91"/>
      <c r="K1513" s="88"/>
      <c r="O1513" s="23">
        <f>TAB_OFICINAS[[#This Row],[Data Retorno Produção]]-TAB_OFICINAS[[#This Row],[Data Prometida  Entrega]]</f>
        <v>0</v>
      </c>
      <c r="P1513" s="98" t="str">
        <f>IF(TAB_OFICINAS[[#This Row],[Dias Para Entrega]]&lt;=0,"Em dia","Dia de Atrasado")</f>
        <v>Em dia</v>
      </c>
      <c r="Q1513" s="24">
        <f>IFERROR(TAB_OFICINAS[[#This Row],[Qtd pçs Enviadas]]-TAB_OFICINAS[[#This Row],[Qtd pçs Retornadas ]],"N/D ")</f>
        <v>0</v>
      </c>
      <c r="R1513" s="24"/>
      <c r="U1513" s="11"/>
      <c r="V1513" s="25">
        <f>IFERROR(TAB_OFICINAS[[#This Row],[Valor Unit]]*TAB_OFICINAS[[#This Row],[Qtd pçs Enviadas]]," ")</f>
        <v>0</v>
      </c>
      <c r="W1513" s="26"/>
      <c r="Y1513" s="27"/>
      <c r="Z151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4" spans="6:26" hidden="1">
      <c r="F1514" s="28" t="str">
        <f>IFERROR(VLOOKUP(TAB_OFICINAS[[#This Row],[Cliente]],LISTA_DE_CLIENTES[[Código]:[Nome Fantasia]],2,FALSE),"")</f>
        <v/>
      </c>
      <c r="G1514" s="2" t="str">
        <f>IFERROR(VLOOKUP(TAB_OFICINAS[[#This Row],[Cliente]],LISTA_DE_CLIENTES[[Código]:[Nome Fantasia]],3,FALSE),"")</f>
        <v/>
      </c>
      <c r="H1514" s="123"/>
      <c r="J1514" s="91"/>
      <c r="K1514" s="88"/>
      <c r="O1514" s="23">
        <f>TAB_OFICINAS[[#This Row],[Data Retorno Produção]]-TAB_OFICINAS[[#This Row],[Data Prometida  Entrega]]</f>
        <v>0</v>
      </c>
      <c r="P1514" s="98" t="str">
        <f>IF(TAB_OFICINAS[[#This Row],[Dias Para Entrega]]&lt;=0,"Em dia","Dia de Atrasado")</f>
        <v>Em dia</v>
      </c>
      <c r="Q1514" s="24">
        <f>IFERROR(TAB_OFICINAS[[#This Row],[Qtd pçs Enviadas]]-TAB_OFICINAS[[#This Row],[Qtd pçs Retornadas ]],"N/D ")</f>
        <v>0</v>
      </c>
      <c r="R1514" s="24"/>
      <c r="U1514" s="11"/>
      <c r="V1514" s="25">
        <f>IFERROR(TAB_OFICINAS[[#This Row],[Valor Unit]]*TAB_OFICINAS[[#This Row],[Qtd pçs Enviadas]]," ")</f>
        <v>0</v>
      </c>
      <c r="W1514" s="26"/>
      <c r="Y1514" s="27"/>
      <c r="Z151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5" spans="6:26" hidden="1">
      <c r="F1515" s="28" t="str">
        <f>IFERROR(VLOOKUP(TAB_OFICINAS[[#This Row],[Cliente]],LISTA_DE_CLIENTES[[Código]:[Nome Fantasia]],2,FALSE),"")</f>
        <v/>
      </c>
      <c r="G1515" s="2" t="str">
        <f>IFERROR(VLOOKUP(TAB_OFICINAS[[#This Row],[Cliente]],LISTA_DE_CLIENTES[[Código]:[Nome Fantasia]],3,FALSE),"")</f>
        <v/>
      </c>
      <c r="H1515" s="123"/>
      <c r="J1515" s="91"/>
      <c r="K1515" s="88"/>
      <c r="O1515" s="23">
        <f>TAB_OFICINAS[[#This Row],[Data Retorno Produção]]-TAB_OFICINAS[[#This Row],[Data Prometida  Entrega]]</f>
        <v>0</v>
      </c>
      <c r="P1515" s="98" t="str">
        <f>IF(TAB_OFICINAS[[#This Row],[Dias Para Entrega]]&lt;=0,"Em dia","Dia de Atrasado")</f>
        <v>Em dia</v>
      </c>
      <c r="Q1515" s="24">
        <f>IFERROR(TAB_OFICINAS[[#This Row],[Qtd pçs Enviadas]]-TAB_OFICINAS[[#This Row],[Qtd pçs Retornadas ]],"N/D ")</f>
        <v>0</v>
      </c>
      <c r="R1515" s="24"/>
      <c r="U1515" s="11"/>
      <c r="V1515" s="25">
        <f>IFERROR(TAB_OFICINAS[[#This Row],[Valor Unit]]*TAB_OFICINAS[[#This Row],[Qtd pçs Enviadas]]," ")</f>
        <v>0</v>
      </c>
      <c r="W1515" s="26"/>
      <c r="Y1515" s="27"/>
      <c r="Z151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6" spans="6:26" hidden="1">
      <c r="F1516" s="28" t="str">
        <f>IFERROR(VLOOKUP(TAB_OFICINAS[[#This Row],[Cliente]],LISTA_DE_CLIENTES[[Código]:[Nome Fantasia]],2,FALSE),"")</f>
        <v/>
      </c>
      <c r="G1516" s="2" t="str">
        <f>IFERROR(VLOOKUP(TAB_OFICINAS[[#This Row],[Cliente]],LISTA_DE_CLIENTES[[Código]:[Nome Fantasia]],3,FALSE),"")</f>
        <v/>
      </c>
      <c r="H1516" s="123"/>
      <c r="J1516" s="91"/>
      <c r="K1516" s="88"/>
      <c r="O1516" s="23">
        <f>TAB_OFICINAS[[#This Row],[Data Retorno Produção]]-TAB_OFICINAS[[#This Row],[Data Prometida  Entrega]]</f>
        <v>0</v>
      </c>
      <c r="P1516" s="98" t="str">
        <f>IF(TAB_OFICINAS[[#This Row],[Dias Para Entrega]]&lt;=0,"Em dia","Dia de Atrasado")</f>
        <v>Em dia</v>
      </c>
      <c r="Q1516" s="24">
        <f>IFERROR(TAB_OFICINAS[[#This Row],[Qtd pçs Enviadas]]-TAB_OFICINAS[[#This Row],[Qtd pçs Retornadas ]],"N/D ")</f>
        <v>0</v>
      </c>
      <c r="R1516" s="24"/>
      <c r="U1516" s="11"/>
      <c r="V1516" s="25">
        <f>IFERROR(TAB_OFICINAS[[#This Row],[Valor Unit]]*TAB_OFICINAS[[#This Row],[Qtd pçs Enviadas]]," ")</f>
        <v>0</v>
      </c>
      <c r="W1516" s="26"/>
      <c r="Y1516" s="27"/>
      <c r="Z151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7" spans="6:26" hidden="1">
      <c r="F1517" s="28" t="str">
        <f>IFERROR(VLOOKUP(TAB_OFICINAS[[#This Row],[Cliente]],LISTA_DE_CLIENTES[[Código]:[Nome Fantasia]],2,FALSE),"")</f>
        <v/>
      </c>
      <c r="G1517" s="2" t="str">
        <f>IFERROR(VLOOKUP(TAB_OFICINAS[[#This Row],[Cliente]],LISTA_DE_CLIENTES[[Código]:[Nome Fantasia]],3,FALSE),"")</f>
        <v/>
      </c>
      <c r="H1517" s="123"/>
      <c r="J1517" s="91"/>
      <c r="K1517" s="88"/>
      <c r="O1517" s="23">
        <f>TAB_OFICINAS[[#This Row],[Data Retorno Produção]]-TAB_OFICINAS[[#This Row],[Data Prometida  Entrega]]</f>
        <v>0</v>
      </c>
      <c r="P1517" s="98" t="str">
        <f>IF(TAB_OFICINAS[[#This Row],[Dias Para Entrega]]&lt;=0,"Em dia","Dia de Atrasado")</f>
        <v>Em dia</v>
      </c>
      <c r="Q1517" s="24">
        <f>IFERROR(TAB_OFICINAS[[#This Row],[Qtd pçs Enviadas]]-TAB_OFICINAS[[#This Row],[Qtd pçs Retornadas ]],"N/D ")</f>
        <v>0</v>
      </c>
      <c r="R1517" s="24"/>
      <c r="U1517" s="11"/>
      <c r="V1517" s="25">
        <f>IFERROR(TAB_OFICINAS[[#This Row],[Valor Unit]]*TAB_OFICINAS[[#This Row],[Qtd pçs Enviadas]]," ")</f>
        <v>0</v>
      </c>
      <c r="W1517" s="26"/>
      <c r="Y1517" s="27"/>
      <c r="Z151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8" spans="6:26" hidden="1">
      <c r="F1518" s="28" t="str">
        <f>IFERROR(VLOOKUP(TAB_OFICINAS[[#This Row],[Cliente]],LISTA_DE_CLIENTES[[Código]:[Nome Fantasia]],2,FALSE),"")</f>
        <v/>
      </c>
      <c r="G1518" s="2" t="str">
        <f>IFERROR(VLOOKUP(TAB_OFICINAS[[#This Row],[Cliente]],LISTA_DE_CLIENTES[[Código]:[Nome Fantasia]],3,FALSE),"")</f>
        <v/>
      </c>
      <c r="H1518" s="123"/>
      <c r="J1518" s="91"/>
      <c r="K1518" s="88"/>
      <c r="O1518" s="23">
        <f>TAB_OFICINAS[[#This Row],[Data Retorno Produção]]-TAB_OFICINAS[[#This Row],[Data Prometida  Entrega]]</f>
        <v>0</v>
      </c>
      <c r="P1518" s="98" t="str">
        <f>IF(TAB_OFICINAS[[#This Row],[Dias Para Entrega]]&lt;=0,"Em dia","Dia de Atrasado")</f>
        <v>Em dia</v>
      </c>
      <c r="Q1518" s="24">
        <f>IFERROR(TAB_OFICINAS[[#This Row],[Qtd pçs Enviadas]]-TAB_OFICINAS[[#This Row],[Qtd pçs Retornadas ]],"N/D ")</f>
        <v>0</v>
      </c>
      <c r="R1518" s="24"/>
      <c r="U1518" s="11"/>
      <c r="V1518" s="25">
        <f>IFERROR(TAB_OFICINAS[[#This Row],[Valor Unit]]*TAB_OFICINAS[[#This Row],[Qtd pçs Enviadas]]," ")</f>
        <v>0</v>
      </c>
      <c r="W1518" s="26"/>
      <c r="Y1518" s="27"/>
      <c r="Z151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19" spans="6:26" hidden="1">
      <c r="F1519" s="28" t="str">
        <f>IFERROR(VLOOKUP(TAB_OFICINAS[[#This Row],[Cliente]],LISTA_DE_CLIENTES[[Código]:[Nome Fantasia]],2,FALSE),"")</f>
        <v/>
      </c>
      <c r="G1519" s="2" t="str">
        <f>IFERROR(VLOOKUP(TAB_OFICINAS[[#This Row],[Cliente]],LISTA_DE_CLIENTES[[Código]:[Nome Fantasia]],3,FALSE),"")</f>
        <v/>
      </c>
      <c r="H1519" s="123"/>
      <c r="J1519" s="91"/>
      <c r="K1519" s="88"/>
      <c r="O1519" s="23">
        <f>TAB_OFICINAS[[#This Row],[Data Retorno Produção]]-TAB_OFICINAS[[#This Row],[Data Prometida  Entrega]]</f>
        <v>0</v>
      </c>
      <c r="P1519" s="98" t="str">
        <f>IF(TAB_OFICINAS[[#This Row],[Dias Para Entrega]]&lt;=0,"Em dia","Dia de Atrasado")</f>
        <v>Em dia</v>
      </c>
      <c r="Q1519" s="24">
        <f>IFERROR(TAB_OFICINAS[[#This Row],[Qtd pçs Enviadas]]-TAB_OFICINAS[[#This Row],[Qtd pçs Retornadas ]],"N/D ")</f>
        <v>0</v>
      </c>
      <c r="R1519" s="24"/>
      <c r="U1519" s="11"/>
      <c r="V1519" s="25">
        <f>IFERROR(TAB_OFICINAS[[#This Row],[Valor Unit]]*TAB_OFICINAS[[#This Row],[Qtd pçs Enviadas]]," ")</f>
        <v>0</v>
      </c>
      <c r="W1519" s="26"/>
      <c r="Y1519" s="27"/>
      <c r="Z151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0" spans="6:26" hidden="1">
      <c r="F1520" s="28" t="str">
        <f>IFERROR(VLOOKUP(TAB_OFICINAS[[#This Row],[Cliente]],LISTA_DE_CLIENTES[[Código]:[Nome Fantasia]],2,FALSE),"")</f>
        <v/>
      </c>
      <c r="G1520" s="2" t="str">
        <f>IFERROR(VLOOKUP(TAB_OFICINAS[[#This Row],[Cliente]],LISTA_DE_CLIENTES[[Código]:[Nome Fantasia]],3,FALSE),"")</f>
        <v/>
      </c>
      <c r="H1520" s="123"/>
      <c r="J1520" s="91"/>
      <c r="K1520" s="88"/>
      <c r="O1520" s="23">
        <f>TAB_OFICINAS[[#This Row],[Data Retorno Produção]]-TAB_OFICINAS[[#This Row],[Data Prometida  Entrega]]</f>
        <v>0</v>
      </c>
      <c r="P1520" s="98" t="str">
        <f>IF(TAB_OFICINAS[[#This Row],[Dias Para Entrega]]&lt;=0,"Em dia","Dia de Atrasado")</f>
        <v>Em dia</v>
      </c>
      <c r="Q1520" s="24">
        <f>IFERROR(TAB_OFICINAS[[#This Row],[Qtd pçs Enviadas]]-TAB_OFICINAS[[#This Row],[Qtd pçs Retornadas ]],"N/D ")</f>
        <v>0</v>
      </c>
      <c r="R1520" s="24"/>
      <c r="U1520" s="11"/>
      <c r="V1520" s="25">
        <f>IFERROR(TAB_OFICINAS[[#This Row],[Valor Unit]]*TAB_OFICINAS[[#This Row],[Qtd pçs Enviadas]]," ")</f>
        <v>0</v>
      </c>
      <c r="W1520" s="26"/>
      <c r="Y1520" s="27"/>
      <c r="Z152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1" spans="6:26" hidden="1">
      <c r="F1521" s="28" t="str">
        <f>IFERROR(VLOOKUP(TAB_OFICINAS[[#This Row],[Cliente]],LISTA_DE_CLIENTES[[Código]:[Nome Fantasia]],2,FALSE),"")</f>
        <v/>
      </c>
      <c r="G1521" s="2" t="str">
        <f>IFERROR(VLOOKUP(TAB_OFICINAS[[#This Row],[Cliente]],LISTA_DE_CLIENTES[[Código]:[Nome Fantasia]],3,FALSE),"")</f>
        <v/>
      </c>
      <c r="H1521" s="123"/>
      <c r="J1521" s="91"/>
      <c r="K1521" s="88"/>
      <c r="O1521" s="23">
        <f>TAB_OFICINAS[[#This Row],[Data Retorno Produção]]-TAB_OFICINAS[[#This Row],[Data Prometida  Entrega]]</f>
        <v>0</v>
      </c>
      <c r="P1521" s="98" t="str">
        <f>IF(TAB_OFICINAS[[#This Row],[Dias Para Entrega]]&lt;=0,"Em dia","Dia de Atrasado")</f>
        <v>Em dia</v>
      </c>
      <c r="Q1521" s="24">
        <f>IFERROR(TAB_OFICINAS[[#This Row],[Qtd pçs Enviadas]]-TAB_OFICINAS[[#This Row],[Qtd pçs Retornadas ]],"N/D ")</f>
        <v>0</v>
      </c>
      <c r="R1521" s="24"/>
      <c r="U1521" s="11"/>
      <c r="V1521" s="25">
        <f>IFERROR(TAB_OFICINAS[[#This Row],[Valor Unit]]*TAB_OFICINAS[[#This Row],[Qtd pçs Enviadas]]," ")</f>
        <v>0</v>
      </c>
      <c r="W1521" s="26"/>
      <c r="Y1521" s="27"/>
      <c r="Z152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2" spans="6:26" hidden="1">
      <c r="F1522" s="28" t="str">
        <f>IFERROR(VLOOKUP(TAB_OFICINAS[[#This Row],[Cliente]],LISTA_DE_CLIENTES[[Código]:[Nome Fantasia]],2,FALSE),"")</f>
        <v/>
      </c>
      <c r="G1522" s="2" t="str">
        <f>IFERROR(VLOOKUP(TAB_OFICINAS[[#This Row],[Cliente]],LISTA_DE_CLIENTES[[Código]:[Nome Fantasia]],3,FALSE),"")</f>
        <v/>
      </c>
      <c r="H1522" s="123"/>
      <c r="J1522" s="91"/>
      <c r="K1522" s="88"/>
      <c r="O1522" s="23">
        <f>TAB_OFICINAS[[#This Row],[Data Retorno Produção]]-TAB_OFICINAS[[#This Row],[Data Prometida  Entrega]]</f>
        <v>0</v>
      </c>
      <c r="P1522" s="98" t="str">
        <f>IF(TAB_OFICINAS[[#This Row],[Dias Para Entrega]]&lt;=0,"Em dia","Dia de Atrasado")</f>
        <v>Em dia</v>
      </c>
      <c r="Q1522" s="24">
        <f>IFERROR(TAB_OFICINAS[[#This Row],[Qtd pçs Enviadas]]-TAB_OFICINAS[[#This Row],[Qtd pçs Retornadas ]],"N/D ")</f>
        <v>0</v>
      </c>
      <c r="R1522" s="24"/>
      <c r="U1522" s="11"/>
      <c r="V1522" s="25">
        <f>IFERROR(TAB_OFICINAS[[#This Row],[Valor Unit]]*TAB_OFICINAS[[#This Row],[Qtd pçs Enviadas]]," ")</f>
        <v>0</v>
      </c>
      <c r="W1522" s="26"/>
      <c r="Y1522" s="27"/>
      <c r="Z152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3" spans="6:26" hidden="1">
      <c r="F1523" s="28" t="str">
        <f>IFERROR(VLOOKUP(TAB_OFICINAS[[#This Row],[Cliente]],LISTA_DE_CLIENTES[[Código]:[Nome Fantasia]],2,FALSE),"")</f>
        <v/>
      </c>
      <c r="G1523" s="2" t="str">
        <f>IFERROR(VLOOKUP(TAB_OFICINAS[[#This Row],[Cliente]],LISTA_DE_CLIENTES[[Código]:[Nome Fantasia]],3,FALSE),"")</f>
        <v/>
      </c>
      <c r="H1523" s="123"/>
      <c r="J1523" s="91"/>
      <c r="K1523" s="88"/>
      <c r="O1523" s="23">
        <f>TAB_OFICINAS[[#This Row],[Data Retorno Produção]]-TAB_OFICINAS[[#This Row],[Data Prometida  Entrega]]</f>
        <v>0</v>
      </c>
      <c r="P1523" s="98" t="str">
        <f>IF(TAB_OFICINAS[[#This Row],[Dias Para Entrega]]&lt;=0,"Em dia","Dia de Atrasado")</f>
        <v>Em dia</v>
      </c>
      <c r="Q1523" s="24">
        <f>IFERROR(TAB_OFICINAS[[#This Row],[Qtd pçs Enviadas]]-TAB_OFICINAS[[#This Row],[Qtd pçs Retornadas ]],"N/D ")</f>
        <v>0</v>
      </c>
      <c r="R1523" s="24"/>
      <c r="U1523" s="11"/>
      <c r="V1523" s="25">
        <f>IFERROR(TAB_OFICINAS[[#This Row],[Valor Unit]]*TAB_OFICINAS[[#This Row],[Qtd pçs Enviadas]]," ")</f>
        <v>0</v>
      </c>
      <c r="W1523" s="26"/>
      <c r="Y1523" s="27"/>
      <c r="Z152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4" spans="6:26" hidden="1">
      <c r="F1524" s="28" t="str">
        <f>IFERROR(VLOOKUP(TAB_OFICINAS[[#This Row],[Cliente]],LISTA_DE_CLIENTES[[Código]:[Nome Fantasia]],2,FALSE),"")</f>
        <v/>
      </c>
      <c r="G1524" s="2" t="str">
        <f>IFERROR(VLOOKUP(TAB_OFICINAS[[#This Row],[Cliente]],LISTA_DE_CLIENTES[[Código]:[Nome Fantasia]],3,FALSE),"")</f>
        <v/>
      </c>
      <c r="H1524" s="123"/>
      <c r="J1524" s="91"/>
      <c r="K1524" s="88"/>
      <c r="O1524" s="23">
        <f>TAB_OFICINAS[[#This Row],[Data Retorno Produção]]-TAB_OFICINAS[[#This Row],[Data Prometida  Entrega]]</f>
        <v>0</v>
      </c>
      <c r="P1524" s="98" t="str">
        <f>IF(TAB_OFICINAS[[#This Row],[Dias Para Entrega]]&lt;=0,"Em dia","Dia de Atrasado")</f>
        <v>Em dia</v>
      </c>
      <c r="Q1524" s="24">
        <f>IFERROR(TAB_OFICINAS[[#This Row],[Qtd pçs Enviadas]]-TAB_OFICINAS[[#This Row],[Qtd pçs Retornadas ]],"N/D ")</f>
        <v>0</v>
      </c>
      <c r="R1524" s="24"/>
      <c r="U1524" s="11"/>
      <c r="V1524" s="25">
        <f>IFERROR(TAB_OFICINAS[[#This Row],[Valor Unit]]*TAB_OFICINAS[[#This Row],[Qtd pçs Enviadas]]," ")</f>
        <v>0</v>
      </c>
      <c r="W1524" s="26"/>
      <c r="Y1524" s="27"/>
      <c r="Z152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5" spans="6:26" hidden="1">
      <c r="F1525" s="28" t="str">
        <f>IFERROR(VLOOKUP(TAB_OFICINAS[[#This Row],[Cliente]],LISTA_DE_CLIENTES[[Código]:[Nome Fantasia]],2,FALSE),"")</f>
        <v/>
      </c>
      <c r="G1525" s="2" t="str">
        <f>IFERROR(VLOOKUP(TAB_OFICINAS[[#This Row],[Cliente]],LISTA_DE_CLIENTES[[Código]:[Nome Fantasia]],3,FALSE),"")</f>
        <v/>
      </c>
      <c r="H1525" s="123"/>
      <c r="J1525" s="91"/>
      <c r="K1525" s="88"/>
      <c r="O1525" s="23">
        <f>TAB_OFICINAS[[#This Row],[Data Retorno Produção]]-TAB_OFICINAS[[#This Row],[Data Prometida  Entrega]]</f>
        <v>0</v>
      </c>
      <c r="P1525" s="98" t="str">
        <f>IF(TAB_OFICINAS[[#This Row],[Dias Para Entrega]]&lt;=0,"Em dia","Dia de Atrasado")</f>
        <v>Em dia</v>
      </c>
      <c r="Q1525" s="24">
        <f>IFERROR(TAB_OFICINAS[[#This Row],[Qtd pçs Enviadas]]-TAB_OFICINAS[[#This Row],[Qtd pçs Retornadas ]],"N/D ")</f>
        <v>0</v>
      </c>
      <c r="R1525" s="24"/>
      <c r="U1525" s="11"/>
      <c r="V1525" s="25">
        <f>IFERROR(TAB_OFICINAS[[#This Row],[Valor Unit]]*TAB_OFICINAS[[#This Row],[Qtd pçs Enviadas]]," ")</f>
        <v>0</v>
      </c>
      <c r="W1525" s="26"/>
      <c r="Y1525" s="27"/>
      <c r="Z152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6" spans="6:26" hidden="1">
      <c r="F1526" s="28" t="str">
        <f>IFERROR(VLOOKUP(TAB_OFICINAS[[#This Row],[Cliente]],LISTA_DE_CLIENTES[[Código]:[Nome Fantasia]],2,FALSE),"")</f>
        <v/>
      </c>
      <c r="G1526" s="2" t="str">
        <f>IFERROR(VLOOKUP(TAB_OFICINAS[[#This Row],[Cliente]],LISTA_DE_CLIENTES[[Código]:[Nome Fantasia]],3,FALSE),"")</f>
        <v/>
      </c>
      <c r="H1526" s="123"/>
      <c r="J1526" s="91"/>
      <c r="K1526" s="88"/>
      <c r="O1526" s="23">
        <f>TAB_OFICINAS[[#This Row],[Data Retorno Produção]]-TAB_OFICINAS[[#This Row],[Data Prometida  Entrega]]</f>
        <v>0</v>
      </c>
      <c r="P1526" s="98" t="str">
        <f>IF(TAB_OFICINAS[[#This Row],[Dias Para Entrega]]&lt;=0,"Em dia","Dia de Atrasado")</f>
        <v>Em dia</v>
      </c>
      <c r="Q1526" s="24">
        <f>IFERROR(TAB_OFICINAS[[#This Row],[Qtd pçs Enviadas]]-TAB_OFICINAS[[#This Row],[Qtd pçs Retornadas ]],"N/D ")</f>
        <v>0</v>
      </c>
      <c r="R1526" s="24"/>
      <c r="U1526" s="11"/>
      <c r="V1526" s="25">
        <f>IFERROR(TAB_OFICINAS[[#This Row],[Valor Unit]]*TAB_OFICINAS[[#This Row],[Qtd pçs Enviadas]]," ")</f>
        <v>0</v>
      </c>
      <c r="W1526" s="26"/>
      <c r="Y1526" s="27"/>
      <c r="Z152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7" spans="6:26" hidden="1">
      <c r="F1527" s="28" t="str">
        <f>IFERROR(VLOOKUP(TAB_OFICINAS[[#This Row],[Cliente]],LISTA_DE_CLIENTES[[Código]:[Nome Fantasia]],2,FALSE),"")</f>
        <v/>
      </c>
      <c r="G1527" s="2" t="str">
        <f>IFERROR(VLOOKUP(TAB_OFICINAS[[#This Row],[Cliente]],LISTA_DE_CLIENTES[[Código]:[Nome Fantasia]],3,FALSE),"")</f>
        <v/>
      </c>
      <c r="H1527" s="123"/>
      <c r="J1527" s="91"/>
      <c r="K1527" s="88"/>
      <c r="O1527" s="23">
        <f>TAB_OFICINAS[[#This Row],[Data Retorno Produção]]-TAB_OFICINAS[[#This Row],[Data Prometida  Entrega]]</f>
        <v>0</v>
      </c>
      <c r="P1527" s="98" t="str">
        <f>IF(TAB_OFICINAS[[#This Row],[Dias Para Entrega]]&lt;=0,"Em dia","Dia de Atrasado")</f>
        <v>Em dia</v>
      </c>
      <c r="Q1527" s="24">
        <f>IFERROR(TAB_OFICINAS[[#This Row],[Qtd pçs Enviadas]]-TAB_OFICINAS[[#This Row],[Qtd pçs Retornadas ]],"N/D ")</f>
        <v>0</v>
      </c>
      <c r="R1527" s="24"/>
      <c r="U1527" s="11"/>
      <c r="V1527" s="25">
        <f>IFERROR(TAB_OFICINAS[[#This Row],[Valor Unit]]*TAB_OFICINAS[[#This Row],[Qtd pçs Enviadas]]," ")</f>
        <v>0</v>
      </c>
      <c r="W1527" s="26"/>
      <c r="Y1527" s="27"/>
      <c r="Z152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8" spans="6:26" hidden="1">
      <c r="F1528" s="28" t="str">
        <f>IFERROR(VLOOKUP(TAB_OFICINAS[[#This Row],[Cliente]],LISTA_DE_CLIENTES[[Código]:[Nome Fantasia]],2,FALSE),"")</f>
        <v/>
      </c>
      <c r="G1528" s="2" t="str">
        <f>IFERROR(VLOOKUP(TAB_OFICINAS[[#This Row],[Cliente]],LISTA_DE_CLIENTES[[Código]:[Nome Fantasia]],3,FALSE),"")</f>
        <v/>
      </c>
      <c r="H1528" s="123"/>
      <c r="J1528" s="91"/>
      <c r="K1528" s="88"/>
      <c r="O1528" s="23">
        <f>TAB_OFICINAS[[#This Row],[Data Retorno Produção]]-TAB_OFICINAS[[#This Row],[Data Prometida  Entrega]]</f>
        <v>0</v>
      </c>
      <c r="P1528" s="98" t="str">
        <f>IF(TAB_OFICINAS[[#This Row],[Dias Para Entrega]]&lt;=0,"Em dia","Dia de Atrasado")</f>
        <v>Em dia</v>
      </c>
      <c r="Q1528" s="24">
        <f>IFERROR(TAB_OFICINAS[[#This Row],[Qtd pçs Enviadas]]-TAB_OFICINAS[[#This Row],[Qtd pçs Retornadas ]],"N/D ")</f>
        <v>0</v>
      </c>
      <c r="R1528" s="24"/>
      <c r="U1528" s="11"/>
      <c r="V1528" s="25">
        <f>IFERROR(TAB_OFICINAS[[#This Row],[Valor Unit]]*TAB_OFICINAS[[#This Row],[Qtd pçs Enviadas]]," ")</f>
        <v>0</v>
      </c>
      <c r="W1528" s="26"/>
      <c r="Y1528" s="27"/>
      <c r="Z152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29" spans="6:26" hidden="1">
      <c r="F1529" s="28" t="str">
        <f>IFERROR(VLOOKUP(TAB_OFICINAS[[#This Row],[Cliente]],LISTA_DE_CLIENTES[[Código]:[Nome Fantasia]],2,FALSE),"")</f>
        <v/>
      </c>
      <c r="G1529" s="2" t="str">
        <f>IFERROR(VLOOKUP(TAB_OFICINAS[[#This Row],[Cliente]],LISTA_DE_CLIENTES[[Código]:[Nome Fantasia]],3,FALSE),"")</f>
        <v/>
      </c>
      <c r="H1529" s="123"/>
      <c r="J1529" s="91"/>
      <c r="K1529" s="88"/>
      <c r="O1529" s="23">
        <f>TAB_OFICINAS[[#This Row],[Data Retorno Produção]]-TAB_OFICINAS[[#This Row],[Data Prometida  Entrega]]</f>
        <v>0</v>
      </c>
      <c r="P1529" s="98" t="str">
        <f>IF(TAB_OFICINAS[[#This Row],[Dias Para Entrega]]&lt;=0,"Em dia","Dia de Atrasado")</f>
        <v>Em dia</v>
      </c>
      <c r="Q1529" s="24">
        <f>IFERROR(TAB_OFICINAS[[#This Row],[Qtd pçs Enviadas]]-TAB_OFICINAS[[#This Row],[Qtd pçs Retornadas ]],"N/D ")</f>
        <v>0</v>
      </c>
      <c r="R1529" s="24"/>
      <c r="U1529" s="11"/>
      <c r="V1529" s="25">
        <f>IFERROR(TAB_OFICINAS[[#This Row],[Valor Unit]]*TAB_OFICINAS[[#This Row],[Qtd pçs Enviadas]]," ")</f>
        <v>0</v>
      </c>
      <c r="W1529" s="26"/>
      <c r="Y1529" s="27"/>
      <c r="Z152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0" spans="6:26" hidden="1">
      <c r="F1530" s="28" t="str">
        <f>IFERROR(VLOOKUP(TAB_OFICINAS[[#This Row],[Cliente]],LISTA_DE_CLIENTES[[Código]:[Nome Fantasia]],2,FALSE),"")</f>
        <v/>
      </c>
      <c r="G1530" s="2" t="str">
        <f>IFERROR(VLOOKUP(TAB_OFICINAS[[#This Row],[Cliente]],LISTA_DE_CLIENTES[[Código]:[Nome Fantasia]],3,FALSE),"")</f>
        <v/>
      </c>
      <c r="H1530" s="123"/>
      <c r="J1530" s="91"/>
      <c r="K1530" s="88"/>
      <c r="O1530" s="23">
        <f>TAB_OFICINAS[[#This Row],[Data Retorno Produção]]-TAB_OFICINAS[[#This Row],[Data Prometida  Entrega]]</f>
        <v>0</v>
      </c>
      <c r="P1530" s="98" t="str">
        <f>IF(TAB_OFICINAS[[#This Row],[Dias Para Entrega]]&lt;=0,"Em dia","Dia de Atrasado")</f>
        <v>Em dia</v>
      </c>
      <c r="Q1530" s="24">
        <f>IFERROR(TAB_OFICINAS[[#This Row],[Qtd pçs Enviadas]]-TAB_OFICINAS[[#This Row],[Qtd pçs Retornadas ]],"N/D ")</f>
        <v>0</v>
      </c>
      <c r="R1530" s="24"/>
      <c r="U1530" s="11"/>
      <c r="V1530" s="25">
        <f>IFERROR(TAB_OFICINAS[[#This Row],[Valor Unit]]*TAB_OFICINAS[[#This Row],[Qtd pçs Enviadas]]," ")</f>
        <v>0</v>
      </c>
      <c r="W1530" s="26"/>
      <c r="Y1530" s="27"/>
      <c r="Z153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1" spans="6:26" hidden="1">
      <c r="F1531" s="28" t="str">
        <f>IFERROR(VLOOKUP(TAB_OFICINAS[[#This Row],[Cliente]],LISTA_DE_CLIENTES[[Código]:[Nome Fantasia]],2,FALSE),"")</f>
        <v/>
      </c>
      <c r="G1531" s="2" t="str">
        <f>IFERROR(VLOOKUP(TAB_OFICINAS[[#This Row],[Cliente]],LISTA_DE_CLIENTES[[Código]:[Nome Fantasia]],3,FALSE),"")</f>
        <v/>
      </c>
      <c r="H1531" s="123"/>
      <c r="J1531" s="91"/>
      <c r="K1531" s="88"/>
      <c r="O1531" s="23">
        <f>TAB_OFICINAS[[#This Row],[Data Retorno Produção]]-TAB_OFICINAS[[#This Row],[Data Prometida  Entrega]]</f>
        <v>0</v>
      </c>
      <c r="P1531" s="98" t="str">
        <f>IF(TAB_OFICINAS[[#This Row],[Dias Para Entrega]]&lt;=0,"Em dia","Dia de Atrasado")</f>
        <v>Em dia</v>
      </c>
      <c r="Q1531" s="24">
        <f>IFERROR(TAB_OFICINAS[[#This Row],[Qtd pçs Enviadas]]-TAB_OFICINAS[[#This Row],[Qtd pçs Retornadas ]],"N/D ")</f>
        <v>0</v>
      </c>
      <c r="R1531" s="24"/>
      <c r="U1531" s="11"/>
      <c r="V1531" s="25">
        <f>IFERROR(TAB_OFICINAS[[#This Row],[Valor Unit]]*TAB_OFICINAS[[#This Row],[Qtd pçs Enviadas]]," ")</f>
        <v>0</v>
      </c>
      <c r="W1531" s="26"/>
      <c r="Y1531" s="27"/>
      <c r="Z153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2" spans="6:26" hidden="1">
      <c r="F1532" s="28" t="str">
        <f>IFERROR(VLOOKUP(TAB_OFICINAS[[#This Row],[Cliente]],LISTA_DE_CLIENTES[[Código]:[Nome Fantasia]],2,FALSE),"")</f>
        <v/>
      </c>
      <c r="G1532" s="2" t="str">
        <f>IFERROR(VLOOKUP(TAB_OFICINAS[[#This Row],[Cliente]],LISTA_DE_CLIENTES[[Código]:[Nome Fantasia]],3,FALSE),"")</f>
        <v/>
      </c>
      <c r="H1532" s="123"/>
      <c r="J1532" s="91"/>
      <c r="K1532" s="88"/>
      <c r="O1532" s="23">
        <f>TAB_OFICINAS[[#This Row],[Data Retorno Produção]]-TAB_OFICINAS[[#This Row],[Data Prometida  Entrega]]</f>
        <v>0</v>
      </c>
      <c r="P1532" s="98" t="str">
        <f>IF(TAB_OFICINAS[[#This Row],[Dias Para Entrega]]&lt;=0,"Em dia","Dia de Atrasado")</f>
        <v>Em dia</v>
      </c>
      <c r="Q1532" s="24">
        <f>IFERROR(TAB_OFICINAS[[#This Row],[Qtd pçs Enviadas]]-TAB_OFICINAS[[#This Row],[Qtd pçs Retornadas ]],"N/D ")</f>
        <v>0</v>
      </c>
      <c r="R1532" s="24"/>
      <c r="U1532" s="11"/>
      <c r="V1532" s="25">
        <f>IFERROR(TAB_OFICINAS[[#This Row],[Valor Unit]]*TAB_OFICINAS[[#This Row],[Qtd pçs Enviadas]]," ")</f>
        <v>0</v>
      </c>
      <c r="W1532" s="26"/>
      <c r="Y1532" s="27"/>
      <c r="Z153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3" spans="6:26" hidden="1">
      <c r="F1533" s="28" t="str">
        <f>IFERROR(VLOOKUP(TAB_OFICINAS[[#This Row],[Cliente]],LISTA_DE_CLIENTES[[Código]:[Nome Fantasia]],2,FALSE),"")</f>
        <v/>
      </c>
      <c r="G1533" s="2" t="str">
        <f>IFERROR(VLOOKUP(TAB_OFICINAS[[#This Row],[Cliente]],LISTA_DE_CLIENTES[[Código]:[Nome Fantasia]],3,FALSE),"")</f>
        <v/>
      </c>
      <c r="H1533" s="123"/>
      <c r="J1533" s="91"/>
      <c r="K1533" s="88"/>
      <c r="O1533" s="23">
        <f>TAB_OFICINAS[[#This Row],[Data Retorno Produção]]-TAB_OFICINAS[[#This Row],[Data Prometida  Entrega]]</f>
        <v>0</v>
      </c>
      <c r="P1533" s="98" t="str">
        <f>IF(TAB_OFICINAS[[#This Row],[Dias Para Entrega]]&lt;=0,"Em dia","Dia de Atrasado")</f>
        <v>Em dia</v>
      </c>
      <c r="Q1533" s="24">
        <f>IFERROR(TAB_OFICINAS[[#This Row],[Qtd pçs Enviadas]]-TAB_OFICINAS[[#This Row],[Qtd pçs Retornadas ]],"N/D ")</f>
        <v>0</v>
      </c>
      <c r="R1533" s="24"/>
      <c r="U1533" s="11"/>
      <c r="V1533" s="25">
        <f>IFERROR(TAB_OFICINAS[[#This Row],[Valor Unit]]*TAB_OFICINAS[[#This Row],[Qtd pçs Enviadas]]," ")</f>
        <v>0</v>
      </c>
      <c r="W1533" s="26"/>
      <c r="Y1533" s="27"/>
      <c r="Z153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4" spans="6:26" hidden="1">
      <c r="F1534" s="28" t="str">
        <f>IFERROR(VLOOKUP(TAB_OFICINAS[[#This Row],[Cliente]],LISTA_DE_CLIENTES[[Código]:[Nome Fantasia]],2,FALSE),"")</f>
        <v/>
      </c>
      <c r="G1534" s="2" t="str">
        <f>IFERROR(VLOOKUP(TAB_OFICINAS[[#This Row],[Cliente]],LISTA_DE_CLIENTES[[Código]:[Nome Fantasia]],3,FALSE),"")</f>
        <v/>
      </c>
      <c r="H1534" s="123"/>
      <c r="J1534" s="91"/>
      <c r="K1534" s="88"/>
      <c r="O1534" s="23">
        <f>TAB_OFICINAS[[#This Row],[Data Retorno Produção]]-TAB_OFICINAS[[#This Row],[Data Prometida  Entrega]]</f>
        <v>0</v>
      </c>
      <c r="P1534" s="98" t="str">
        <f>IF(TAB_OFICINAS[[#This Row],[Dias Para Entrega]]&lt;=0,"Em dia","Dia de Atrasado")</f>
        <v>Em dia</v>
      </c>
      <c r="Q1534" s="24">
        <f>IFERROR(TAB_OFICINAS[[#This Row],[Qtd pçs Enviadas]]-TAB_OFICINAS[[#This Row],[Qtd pçs Retornadas ]],"N/D ")</f>
        <v>0</v>
      </c>
      <c r="R1534" s="24"/>
      <c r="U1534" s="11"/>
      <c r="V1534" s="25">
        <f>IFERROR(TAB_OFICINAS[[#This Row],[Valor Unit]]*TAB_OFICINAS[[#This Row],[Qtd pçs Enviadas]]," ")</f>
        <v>0</v>
      </c>
      <c r="W1534" s="26"/>
      <c r="Y1534" s="27"/>
      <c r="Z153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5" spans="6:26" hidden="1">
      <c r="F1535" s="28" t="str">
        <f>IFERROR(VLOOKUP(TAB_OFICINAS[[#This Row],[Cliente]],LISTA_DE_CLIENTES[[Código]:[Nome Fantasia]],2,FALSE),"")</f>
        <v/>
      </c>
      <c r="G1535" s="2" t="str">
        <f>IFERROR(VLOOKUP(TAB_OFICINAS[[#This Row],[Cliente]],LISTA_DE_CLIENTES[[Código]:[Nome Fantasia]],3,FALSE),"")</f>
        <v/>
      </c>
      <c r="H1535" s="123"/>
      <c r="J1535" s="91"/>
      <c r="K1535" s="88"/>
      <c r="O1535" s="23">
        <f>TAB_OFICINAS[[#This Row],[Data Retorno Produção]]-TAB_OFICINAS[[#This Row],[Data Prometida  Entrega]]</f>
        <v>0</v>
      </c>
      <c r="P1535" s="98" t="str">
        <f>IF(TAB_OFICINAS[[#This Row],[Dias Para Entrega]]&lt;=0,"Em dia","Dia de Atrasado")</f>
        <v>Em dia</v>
      </c>
      <c r="Q1535" s="24">
        <f>IFERROR(TAB_OFICINAS[[#This Row],[Qtd pçs Enviadas]]-TAB_OFICINAS[[#This Row],[Qtd pçs Retornadas ]],"N/D ")</f>
        <v>0</v>
      </c>
      <c r="R1535" s="24"/>
      <c r="U1535" s="11"/>
      <c r="V1535" s="25">
        <f>IFERROR(TAB_OFICINAS[[#This Row],[Valor Unit]]*TAB_OFICINAS[[#This Row],[Qtd pçs Enviadas]]," ")</f>
        <v>0</v>
      </c>
      <c r="W1535" s="26"/>
      <c r="Y1535" s="27"/>
      <c r="Z153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6" spans="6:26" hidden="1">
      <c r="F1536" s="28" t="str">
        <f>IFERROR(VLOOKUP(TAB_OFICINAS[[#This Row],[Cliente]],LISTA_DE_CLIENTES[[Código]:[Nome Fantasia]],2,FALSE),"")</f>
        <v/>
      </c>
      <c r="G1536" s="2" t="str">
        <f>IFERROR(VLOOKUP(TAB_OFICINAS[[#This Row],[Cliente]],LISTA_DE_CLIENTES[[Código]:[Nome Fantasia]],3,FALSE),"")</f>
        <v/>
      </c>
      <c r="H1536" s="123"/>
      <c r="J1536" s="91"/>
      <c r="K1536" s="88"/>
      <c r="O1536" s="23">
        <f>TAB_OFICINAS[[#This Row],[Data Retorno Produção]]-TAB_OFICINAS[[#This Row],[Data Prometida  Entrega]]</f>
        <v>0</v>
      </c>
      <c r="P1536" s="98" t="str">
        <f>IF(TAB_OFICINAS[[#This Row],[Dias Para Entrega]]&lt;=0,"Em dia","Dia de Atrasado")</f>
        <v>Em dia</v>
      </c>
      <c r="Q1536" s="24">
        <f>IFERROR(TAB_OFICINAS[[#This Row],[Qtd pçs Enviadas]]-TAB_OFICINAS[[#This Row],[Qtd pçs Retornadas ]],"N/D ")</f>
        <v>0</v>
      </c>
      <c r="R1536" s="24"/>
      <c r="U1536" s="11"/>
      <c r="V1536" s="25">
        <f>IFERROR(TAB_OFICINAS[[#This Row],[Valor Unit]]*TAB_OFICINAS[[#This Row],[Qtd pçs Enviadas]]," ")</f>
        <v>0</v>
      </c>
      <c r="W1536" s="26"/>
      <c r="Y1536" s="27"/>
      <c r="Z153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7" spans="6:26" hidden="1">
      <c r="F1537" s="28" t="str">
        <f>IFERROR(VLOOKUP(TAB_OFICINAS[[#This Row],[Cliente]],LISTA_DE_CLIENTES[[Código]:[Nome Fantasia]],2,FALSE),"")</f>
        <v/>
      </c>
      <c r="G1537" s="2" t="str">
        <f>IFERROR(VLOOKUP(TAB_OFICINAS[[#This Row],[Cliente]],LISTA_DE_CLIENTES[[Código]:[Nome Fantasia]],3,FALSE),"")</f>
        <v/>
      </c>
      <c r="H1537" s="123"/>
      <c r="J1537" s="91"/>
      <c r="K1537" s="88"/>
      <c r="O1537" s="23">
        <f>TAB_OFICINAS[[#This Row],[Data Retorno Produção]]-TAB_OFICINAS[[#This Row],[Data Prometida  Entrega]]</f>
        <v>0</v>
      </c>
      <c r="P1537" s="98" t="str">
        <f>IF(TAB_OFICINAS[[#This Row],[Dias Para Entrega]]&lt;=0,"Em dia","Dia de Atrasado")</f>
        <v>Em dia</v>
      </c>
      <c r="Q1537" s="24">
        <f>IFERROR(TAB_OFICINAS[[#This Row],[Qtd pçs Enviadas]]-TAB_OFICINAS[[#This Row],[Qtd pçs Retornadas ]],"N/D ")</f>
        <v>0</v>
      </c>
      <c r="R1537" s="24"/>
      <c r="U1537" s="11"/>
      <c r="V1537" s="25">
        <f>IFERROR(TAB_OFICINAS[[#This Row],[Valor Unit]]*TAB_OFICINAS[[#This Row],[Qtd pçs Enviadas]]," ")</f>
        <v>0</v>
      </c>
      <c r="W1537" s="26"/>
      <c r="Y1537" s="27"/>
      <c r="Z153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8" spans="6:26" hidden="1">
      <c r="F1538" s="28" t="str">
        <f>IFERROR(VLOOKUP(TAB_OFICINAS[[#This Row],[Cliente]],LISTA_DE_CLIENTES[[Código]:[Nome Fantasia]],2,FALSE),"")</f>
        <v/>
      </c>
      <c r="G1538" s="2" t="str">
        <f>IFERROR(VLOOKUP(TAB_OFICINAS[[#This Row],[Cliente]],LISTA_DE_CLIENTES[[Código]:[Nome Fantasia]],3,FALSE),"")</f>
        <v/>
      </c>
      <c r="H1538" s="123"/>
      <c r="J1538" s="91"/>
      <c r="K1538" s="88"/>
      <c r="O1538" s="23">
        <f>TAB_OFICINAS[[#This Row],[Data Retorno Produção]]-TAB_OFICINAS[[#This Row],[Data Prometida  Entrega]]</f>
        <v>0</v>
      </c>
      <c r="P1538" s="98" t="str">
        <f>IF(TAB_OFICINAS[[#This Row],[Dias Para Entrega]]&lt;=0,"Em dia","Dia de Atrasado")</f>
        <v>Em dia</v>
      </c>
      <c r="Q1538" s="24">
        <f>IFERROR(TAB_OFICINAS[[#This Row],[Qtd pçs Enviadas]]-TAB_OFICINAS[[#This Row],[Qtd pçs Retornadas ]],"N/D ")</f>
        <v>0</v>
      </c>
      <c r="R1538" s="24"/>
      <c r="U1538" s="11"/>
      <c r="V1538" s="25">
        <f>IFERROR(TAB_OFICINAS[[#This Row],[Valor Unit]]*TAB_OFICINAS[[#This Row],[Qtd pçs Enviadas]]," ")</f>
        <v>0</v>
      </c>
      <c r="W1538" s="26"/>
      <c r="Y1538" s="27"/>
      <c r="Z153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39" spans="6:26" hidden="1">
      <c r="F1539" s="28" t="str">
        <f>IFERROR(VLOOKUP(TAB_OFICINAS[[#This Row],[Cliente]],LISTA_DE_CLIENTES[[Código]:[Nome Fantasia]],2,FALSE),"")</f>
        <v/>
      </c>
      <c r="G1539" s="2" t="str">
        <f>IFERROR(VLOOKUP(TAB_OFICINAS[[#This Row],[Cliente]],LISTA_DE_CLIENTES[[Código]:[Nome Fantasia]],3,FALSE),"")</f>
        <v/>
      </c>
      <c r="H1539" s="123"/>
      <c r="J1539" s="91"/>
      <c r="K1539" s="88"/>
      <c r="O1539" s="23">
        <f>TAB_OFICINAS[[#This Row],[Data Retorno Produção]]-TAB_OFICINAS[[#This Row],[Data Prometida  Entrega]]</f>
        <v>0</v>
      </c>
      <c r="P1539" s="98" t="str">
        <f>IF(TAB_OFICINAS[[#This Row],[Dias Para Entrega]]&lt;=0,"Em dia","Dia de Atrasado")</f>
        <v>Em dia</v>
      </c>
      <c r="Q1539" s="24">
        <f>IFERROR(TAB_OFICINAS[[#This Row],[Qtd pçs Enviadas]]-TAB_OFICINAS[[#This Row],[Qtd pçs Retornadas ]],"N/D ")</f>
        <v>0</v>
      </c>
      <c r="R1539" s="24"/>
      <c r="U1539" s="11"/>
      <c r="V1539" s="25">
        <f>IFERROR(TAB_OFICINAS[[#This Row],[Valor Unit]]*TAB_OFICINAS[[#This Row],[Qtd pçs Enviadas]]," ")</f>
        <v>0</v>
      </c>
      <c r="W1539" s="26"/>
      <c r="Y1539" s="27"/>
      <c r="Z153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0" spans="6:26" hidden="1">
      <c r="F1540" s="28" t="str">
        <f>IFERROR(VLOOKUP(TAB_OFICINAS[[#This Row],[Cliente]],LISTA_DE_CLIENTES[[Código]:[Nome Fantasia]],2,FALSE),"")</f>
        <v/>
      </c>
      <c r="G1540" s="2" t="str">
        <f>IFERROR(VLOOKUP(TAB_OFICINAS[[#This Row],[Cliente]],LISTA_DE_CLIENTES[[Código]:[Nome Fantasia]],3,FALSE),"")</f>
        <v/>
      </c>
      <c r="H1540" s="123"/>
      <c r="J1540" s="91"/>
      <c r="K1540" s="88"/>
      <c r="O1540" s="23">
        <f>TAB_OFICINAS[[#This Row],[Data Retorno Produção]]-TAB_OFICINAS[[#This Row],[Data Prometida  Entrega]]</f>
        <v>0</v>
      </c>
      <c r="P1540" s="98" t="str">
        <f>IF(TAB_OFICINAS[[#This Row],[Dias Para Entrega]]&lt;=0,"Em dia","Dia de Atrasado")</f>
        <v>Em dia</v>
      </c>
      <c r="Q1540" s="24">
        <f>IFERROR(TAB_OFICINAS[[#This Row],[Qtd pçs Enviadas]]-TAB_OFICINAS[[#This Row],[Qtd pçs Retornadas ]],"N/D ")</f>
        <v>0</v>
      </c>
      <c r="R1540" s="24"/>
      <c r="U1540" s="11"/>
      <c r="V1540" s="25">
        <f>IFERROR(TAB_OFICINAS[[#This Row],[Valor Unit]]*TAB_OFICINAS[[#This Row],[Qtd pçs Enviadas]]," ")</f>
        <v>0</v>
      </c>
      <c r="W1540" s="26"/>
      <c r="Y1540" s="27"/>
      <c r="Z154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1" spans="6:26" hidden="1">
      <c r="F1541" s="28" t="str">
        <f>IFERROR(VLOOKUP(TAB_OFICINAS[[#This Row],[Cliente]],LISTA_DE_CLIENTES[[Código]:[Nome Fantasia]],2,FALSE),"")</f>
        <v/>
      </c>
      <c r="G1541" s="2" t="str">
        <f>IFERROR(VLOOKUP(TAB_OFICINAS[[#This Row],[Cliente]],LISTA_DE_CLIENTES[[Código]:[Nome Fantasia]],3,FALSE),"")</f>
        <v/>
      </c>
      <c r="H1541" s="123"/>
      <c r="J1541" s="91"/>
      <c r="K1541" s="88"/>
      <c r="O1541" s="23">
        <f>TAB_OFICINAS[[#This Row],[Data Retorno Produção]]-TAB_OFICINAS[[#This Row],[Data Prometida  Entrega]]</f>
        <v>0</v>
      </c>
      <c r="P1541" s="98" t="str">
        <f>IF(TAB_OFICINAS[[#This Row],[Dias Para Entrega]]&lt;=0,"Em dia","Dia de Atrasado")</f>
        <v>Em dia</v>
      </c>
      <c r="Q1541" s="24">
        <f>IFERROR(TAB_OFICINAS[[#This Row],[Qtd pçs Enviadas]]-TAB_OFICINAS[[#This Row],[Qtd pçs Retornadas ]],"N/D ")</f>
        <v>0</v>
      </c>
      <c r="R1541" s="24"/>
      <c r="U1541" s="11"/>
      <c r="V1541" s="25">
        <f>IFERROR(TAB_OFICINAS[[#This Row],[Valor Unit]]*TAB_OFICINAS[[#This Row],[Qtd pçs Enviadas]]," ")</f>
        <v>0</v>
      </c>
      <c r="W1541" s="26"/>
      <c r="Y1541" s="27"/>
      <c r="Z154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2" spans="6:26" hidden="1">
      <c r="F1542" s="28" t="str">
        <f>IFERROR(VLOOKUP(TAB_OFICINAS[[#This Row],[Cliente]],LISTA_DE_CLIENTES[[Código]:[Nome Fantasia]],2,FALSE),"")</f>
        <v/>
      </c>
      <c r="G1542" s="2" t="str">
        <f>IFERROR(VLOOKUP(TAB_OFICINAS[[#This Row],[Cliente]],LISTA_DE_CLIENTES[[Código]:[Nome Fantasia]],3,FALSE),"")</f>
        <v/>
      </c>
      <c r="H1542" s="123"/>
      <c r="J1542" s="91"/>
      <c r="K1542" s="88"/>
      <c r="O1542" s="23">
        <f>TAB_OFICINAS[[#This Row],[Data Retorno Produção]]-TAB_OFICINAS[[#This Row],[Data Prometida  Entrega]]</f>
        <v>0</v>
      </c>
      <c r="P1542" s="98" t="str">
        <f>IF(TAB_OFICINAS[[#This Row],[Dias Para Entrega]]&lt;=0,"Em dia","Dia de Atrasado")</f>
        <v>Em dia</v>
      </c>
      <c r="Q1542" s="24">
        <f>IFERROR(TAB_OFICINAS[[#This Row],[Qtd pçs Enviadas]]-TAB_OFICINAS[[#This Row],[Qtd pçs Retornadas ]],"N/D ")</f>
        <v>0</v>
      </c>
      <c r="R1542" s="24"/>
      <c r="U1542" s="11"/>
      <c r="V1542" s="25">
        <f>IFERROR(TAB_OFICINAS[[#This Row],[Valor Unit]]*TAB_OFICINAS[[#This Row],[Qtd pçs Enviadas]]," ")</f>
        <v>0</v>
      </c>
      <c r="W1542" s="26"/>
      <c r="Y1542" s="27"/>
      <c r="Z154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3" spans="6:26" hidden="1">
      <c r="F1543" s="28" t="str">
        <f>IFERROR(VLOOKUP(TAB_OFICINAS[[#This Row],[Cliente]],LISTA_DE_CLIENTES[[Código]:[Nome Fantasia]],2,FALSE),"")</f>
        <v/>
      </c>
      <c r="G1543" s="2" t="str">
        <f>IFERROR(VLOOKUP(TAB_OFICINAS[[#This Row],[Cliente]],LISTA_DE_CLIENTES[[Código]:[Nome Fantasia]],3,FALSE),"")</f>
        <v/>
      </c>
      <c r="H1543" s="123"/>
      <c r="J1543" s="91"/>
      <c r="K1543" s="88"/>
      <c r="O1543" s="23">
        <f>TAB_OFICINAS[[#This Row],[Data Retorno Produção]]-TAB_OFICINAS[[#This Row],[Data Prometida  Entrega]]</f>
        <v>0</v>
      </c>
      <c r="P1543" s="98" t="str">
        <f>IF(TAB_OFICINAS[[#This Row],[Dias Para Entrega]]&lt;=0,"Em dia","Dia de Atrasado")</f>
        <v>Em dia</v>
      </c>
      <c r="Q1543" s="24">
        <f>IFERROR(TAB_OFICINAS[[#This Row],[Qtd pçs Enviadas]]-TAB_OFICINAS[[#This Row],[Qtd pçs Retornadas ]],"N/D ")</f>
        <v>0</v>
      </c>
      <c r="R1543" s="24"/>
      <c r="U1543" s="11"/>
      <c r="V1543" s="25">
        <f>IFERROR(TAB_OFICINAS[[#This Row],[Valor Unit]]*TAB_OFICINAS[[#This Row],[Qtd pçs Enviadas]]," ")</f>
        <v>0</v>
      </c>
      <c r="W1543" s="26"/>
      <c r="Y1543" s="27"/>
      <c r="Z154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4" spans="6:26" hidden="1">
      <c r="F1544" s="28" t="str">
        <f>IFERROR(VLOOKUP(TAB_OFICINAS[[#This Row],[Cliente]],LISTA_DE_CLIENTES[[Código]:[Nome Fantasia]],2,FALSE),"")</f>
        <v/>
      </c>
      <c r="G1544" s="2" t="str">
        <f>IFERROR(VLOOKUP(TAB_OFICINAS[[#This Row],[Cliente]],LISTA_DE_CLIENTES[[Código]:[Nome Fantasia]],3,FALSE),"")</f>
        <v/>
      </c>
      <c r="H1544" s="123"/>
      <c r="J1544" s="91"/>
      <c r="K1544" s="88"/>
      <c r="O1544" s="23">
        <f>TAB_OFICINAS[[#This Row],[Data Retorno Produção]]-TAB_OFICINAS[[#This Row],[Data Prometida  Entrega]]</f>
        <v>0</v>
      </c>
      <c r="P1544" s="98" t="str">
        <f>IF(TAB_OFICINAS[[#This Row],[Dias Para Entrega]]&lt;=0,"Em dia","Dia de Atrasado")</f>
        <v>Em dia</v>
      </c>
      <c r="Q1544" s="24">
        <f>IFERROR(TAB_OFICINAS[[#This Row],[Qtd pçs Enviadas]]-TAB_OFICINAS[[#This Row],[Qtd pçs Retornadas ]],"N/D ")</f>
        <v>0</v>
      </c>
      <c r="R1544" s="24"/>
      <c r="U1544" s="11"/>
      <c r="V1544" s="25">
        <f>IFERROR(TAB_OFICINAS[[#This Row],[Valor Unit]]*TAB_OFICINAS[[#This Row],[Qtd pçs Enviadas]]," ")</f>
        <v>0</v>
      </c>
      <c r="W1544" s="26"/>
      <c r="Y1544" s="27"/>
      <c r="Z154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5" spans="6:26" hidden="1">
      <c r="F1545" s="28" t="str">
        <f>IFERROR(VLOOKUP(TAB_OFICINAS[[#This Row],[Cliente]],LISTA_DE_CLIENTES[[Código]:[Nome Fantasia]],2,FALSE),"")</f>
        <v/>
      </c>
      <c r="G1545" s="2" t="str">
        <f>IFERROR(VLOOKUP(TAB_OFICINAS[[#This Row],[Cliente]],LISTA_DE_CLIENTES[[Código]:[Nome Fantasia]],3,FALSE),"")</f>
        <v/>
      </c>
      <c r="H1545" s="123"/>
      <c r="J1545" s="91"/>
      <c r="K1545" s="88"/>
      <c r="O1545" s="23">
        <f>TAB_OFICINAS[[#This Row],[Data Retorno Produção]]-TAB_OFICINAS[[#This Row],[Data Prometida  Entrega]]</f>
        <v>0</v>
      </c>
      <c r="P1545" s="98" t="str">
        <f>IF(TAB_OFICINAS[[#This Row],[Dias Para Entrega]]&lt;=0,"Em dia","Dia de Atrasado")</f>
        <v>Em dia</v>
      </c>
      <c r="Q1545" s="24">
        <f>IFERROR(TAB_OFICINAS[[#This Row],[Qtd pçs Enviadas]]-TAB_OFICINAS[[#This Row],[Qtd pçs Retornadas ]],"N/D ")</f>
        <v>0</v>
      </c>
      <c r="R1545" s="24"/>
      <c r="U1545" s="11"/>
      <c r="V1545" s="25">
        <f>IFERROR(TAB_OFICINAS[[#This Row],[Valor Unit]]*TAB_OFICINAS[[#This Row],[Qtd pçs Enviadas]]," ")</f>
        <v>0</v>
      </c>
      <c r="W1545" s="26"/>
      <c r="Y1545" s="27"/>
      <c r="Z154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6" spans="6:26" hidden="1">
      <c r="F1546" s="28" t="str">
        <f>IFERROR(VLOOKUP(TAB_OFICINAS[[#This Row],[Cliente]],LISTA_DE_CLIENTES[[Código]:[Nome Fantasia]],2,FALSE),"")</f>
        <v/>
      </c>
      <c r="G1546" s="2" t="str">
        <f>IFERROR(VLOOKUP(TAB_OFICINAS[[#This Row],[Cliente]],LISTA_DE_CLIENTES[[Código]:[Nome Fantasia]],3,FALSE),"")</f>
        <v/>
      </c>
      <c r="H1546" s="123"/>
      <c r="J1546" s="91"/>
      <c r="K1546" s="88"/>
      <c r="O1546" s="23">
        <f>TAB_OFICINAS[[#This Row],[Data Retorno Produção]]-TAB_OFICINAS[[#This Row],[Data Prometida  Entrega]]</f>
        <v>0</v>
      </c>
      <c r="P1546" s="98" t="str">
        <f>IF(TAB_OFICINAS[[#This Row],[Dias Para Entrega]]&lt;=0,"Em dia","Dia de Atrasado")</f>
        <v>Em dia</v>
      </c>
      <c r="Q1546" s="24">
        <f>IFERROR(TAB_OFICINAS[[#This Row],[Qtd pçs Enviadas]]-TAB_OFICINAS[[#This Row],[Qtd pçs Retornadas ]],"N/D ")</f>
        <v>0</v>
      </c>
      <c r="R1546" s="24"/>
      <c r="U1546" s="11"/>
      <c r="V1546" s="25">
        <f>IFERROR(TAB_OFICINAS[[#This Row],[Valor Unit]]*TAB_OFICINAS[[#This Row],[Qtd pçs Enviadas]]," ")</f>
        <v>0</v>
      </c>
      <c r="W1546" s="26"/>
      <c r="Y1546" s="27"/>
      <c r="Z154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7" spans="6:26" hidden="1">
      <c r="F1547" s="28" t="str">
        <f>IFERROR(VLOOKUP(TAB_OFICINAS[[#This Row],[Cliente]],LISTA_DE_CLIENTES[[Código]:[Nome Fantasia]],2,FALSE),"")</f>
        <v/>
      </c>
      <c r="G1547" s="2" t="str">
        <f>IFERROR(VLOOKUP(TAB_OFICINAS[[#This Row],[Cliente]],LISTA_DE_CLIENTES[[Código]:[Nome Fantasia]],3,FALSE),"")</f>
        <v/>
      </c>
      <c r="H1547" s="123"/>
      <c r="J1547" s="91"/>
      <c r="K1547" s="88"/>
      <c r="O1547" s="23">
        <f>TAB_OFICINAS[[#This Row],[Data Retorno Produção]]-TAB_OFICINAS[[#This Row],[Data Prometida  Entrega]]</f>
        <v>0</v>
      </c>
      <c r="P1547" s="98" t="str">
        <f>IF(TAB_OFICINAS[[#This Row],[Dias Para Entrega]]&lt;=0,"Em dia","Dia de Atrasado")</f>
        <v>Em dia</v>
      </c>
      <c r="Q1547" s="24">
        <f>IFERROR(TAB_OFICINAS[[#This Row],[Qtd pçs Enviadas]]-TAB_OFICINAS[[#This Row],[Qtd pçs Retornadas ]],"N/D ")</f>
        <v>0</v>
      </c>
      <c r="R1547" s="24"/>
      <c r="U1547" s="11"/>
      <c r="V1547" s="25">
        <f>IFERROR(TAB_OFICINAS[[#This Row],[Valor Unit]]*TAB_OFICINAS[[#This Row],[Qtd pçs Enviadas]]," ")</f>
        <v>0</v>
      </c>
      <c r="W1547" s="26"/>
      <c r="Y1547" s="27"/>
      <c r="Z154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8" spans="6:26" hidden="1">
      <c r="F1548" s="28" t="str">
        <f>IFERROR(VLOOKUP(TAB_OFICINAS[[#This Row],[Cliente]],LISTA_DE_CLIENTES[[Código]:[Nome Fantasia]],2,FALSE),"")</f>
        <v/>
      </c>
      <c r="G1548" s="2" t="str">
        <f>IFERROR(VLOOKUP(TAB_OFICINAS[[#This Row],[Cliente]],LISTA_DE_CLIENTES[[Código]:[Nome Fantasia]],3,FALSE),"")</f>
        <v/>
      </c>
      <c r="H1548" s="123"/>
      <c r="J1548" s="91"/>
      <c r="K1548" s="88"/>
      <c r="O1548" s="23">
        <f>TAB_OFICINAS[[#This Row],[Data Retorno Produção]]-TAB_OFICINAS[[#This Row],[Data Prometida  Entrega]]</f>
        <v>0</v>
      </c>
      <c r="P1548" s="98" t="str">
        <f>IF(TAB_OFICINAS[[#This Row],[Dias Para Entrega]]&lt;=0,"Em dia","Dia de Atrasado")</f>
        <v>Em dia</v>
      </c>
      <c r="Q1548" s="24">
        <f>IFERROR(TAB_OFICINAS[[#This Row],[Qtd pçs Enviadas]]-TAB_OFICINAS[[#This Row],[Qtd pçs Retornadas ]],"N/D ")</f>
        <v>0</v>
      </c>
      <c r="R1548" s="24"/>
      <c r="U1548" s="11"/>
      <c r="V1548" s="25">
        <f>IFERROR(TAB_OFICINAS[[#This Row],[Valor Unit]]*TAB_OFICINAS[[#This Row],[Qtd pçs Enviadas]]," ")</f>
        <v>0</v>
      </c>
      <c r="W1548" s="26"/>
      <c r="Y1548" s="27"/>
      <c r="Z154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49" spans="6:26" hidden="1">
      <c r="F1549" s="28" t="str">
        <f>IFERROR(VLOOKUP(TAB_OFICINAS[[#This Row],[Cliente]],LISTA_DE_CLIENTES[[Código]:[Nome Fantasia]],2,FALSE),"")</f>
        <v/>
      </c>
      <c r="G1549" s="2" t="str">
        <f>IFERROR(VLOOKUP(TAB_OFICINAS[[#This Row],[Cliente]],LISTA_DE_CLIENTES[[Código]:[Nome Fantasia]],3,FALSE),"")</f>
        <v/>
      </c>
      <c r="H1549" s="123"/>
      <c r="J1549" s="91"/>
      <c r="K1549" s="88"/>
      <c r="O1549" s="23">
        <f>TAB_OFICINAS[[#This Row],[Data Retorno Produção]]-TAB_OFICINAS[[#This Row],[Data Prometida  Entrega]]</f>
        <v>0</v>
      </c>
      <c r="P1549" s="98" t="str">
        <f>IF(TAB_OFICINAS[[#This Row],[Dias Para Entrega]]&lt;=0,"Em dia","Dia de Atrasado")</f>
        <v>Em dia</v>
      </c>
      <c r="Q1549" s="24">
        <f>IFERROR(TAB_OFICINAS[[#This Row],[Qtd pçs Enviadas]]-TAB_OFICINAS[[#This Row],[Qtd pçs Retornadas ]],"N/D ")</f>
        <v>0</v>
      </c>
      <c r="R1549" s="24"/>
      <c r="U1549" s="11"/>
      <c r="V1549" s="25">
        <f>IFERROR(TAB_OFICINAS[[#This Row],[Valor Unit]]*TAB_OFICINAS[[#This Row],[Qtd pçs Enviadas]]," ")</f>
        <v>0</v>
      </c>
      <c r="W1549" s="26"/>
      <c r="Y1549" s="27"/>
      <c r="Z154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0" spans="6:26" hidden="1">
      <c r="F1550" s="28" t="str">
        <f>IFERROR(VLOOKUP(TAB_OFICINAS[[#This Row],[Cliente]],LISTA_DE_CLIENTES[[Código]:[Nome Fantasia]],2,FALSE),"")</f>
        <v/>
      </c>
      <c r="G1550" s="2" t="str">
        <f>IFERROR(VLOOKUP(TAB_OFICINAS[[#This Row],[Cliente]],LISTA_DE_CLIENTES[[Código]:[Nome Fantasia]],3,FALSE),"")</f>
        <v/>
      </c>
      <c r="H1550" s="123"/>
      <c r="J1550" s="91"/>
      <c r="K1550" s="88"/>
      <c r="O1550" s="23">
        <f>TAB_OFICINAS[[#This Row],[Data Retorno Produção]]-TAB_OFICINAS[[#This Row],[Data Prometida  Entrega]]</f>
        <v>0</v>
      </c>
      <c r="P1550" s="98" t="str">
        <f>IF(TAB_OFICINAS[[#This Row],[Dias Para Entrega]]&lt;=0,"Em dia","Dia de Atrasado")</f>
        <v>Em dia</v>
      </c>
      <c r="Q1550" s="24">
        <f>IFERROR(TAB_OFICINAS[[#This Row],[Qtd pçs Enviadas]]-TAB_OFICINAS[[#This Row],[Qtd pçs Retornadas ]],"N/D ")</f>
        <v>0</v>
      </c>
      <c r="R1550" s="24"/>
      <c r="U1550" s="11"/>
      <c r="V1550" s="25">
        <f>IFERROR(TAB_OFICINAS[[#This Row],[Valor Unit]]*TAB_OFICINAS[[#This Row],[Qtd pçs Enviadas]]," ")</f>
        <v>0</v>
      </c>
      <c r="W1550" s="26"/>
      <c r="Y1550" s="27"/>
      <c r="Z155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1" spans="6:26" hidden="1">
      <c r="F1551" s="28" t="str">
        <f>IFERROR(VLOOKUP(TAB_OFICINAS[[#This Row],[Cliente]],LISTA_DE_CLIENTES[[Código]:[Nome Fantasia]],2,FALSE),"")</f>
        <v/>
      </c>
      <c r="G1551" s="2" t="str">
        <f>IFERROR(VLOOKUP(TAB_OFICINAS[[#This Row],[Cliente]],LISTA_DE_CLIENTES[[Código]:[Nome Fantasia]],3,FALSE),"")</f>
        <v/>
      </c>
      <c r="H1551" s="123"/>
      <c r="J1551" s="91"/>
      <c r="K1551" s="88"/>
      <c r="O1551" s="23">
        <f>TAB_OFICINAS[[#This Row],[Data Retorno Produção]]-TAB_OFICINAS[[#This Row],[Data Prometida  Entrega]]</f>
        <v>0</v>
      </c>
      <c r="P1551" s="98" t="str">
        <f>IF(TAB_OFICINAS[[#This Row],[Dias Para Entrega]]&lt;=0,"Em dia","Dia de Atrasado")</f>
        <v>Em dia</v>
      </c>
      <c r="Q1551" s="24">
        <f>IFERROR(TAB_OFICINAS[[#This Row],[Qtd pçs Enviadas]]-TAB_OFICINAS[[#This Row],[Qtd pçs Retornadas ]],"N/D ")</f>
        <v>0</v>
      </c>
      <c r="R1551" s="24"/>
      <c r="U1551" s="11"/>
      <c r="V1551" s="25">
        <f>IFERROR(TAB_OFICINAS[[#This Row],[Valor Unit]]*TAB_OFICINAS[[#This Row],[Qtd pçs Enviadas]]," ")</f>
        <v>0</v>
      </c>
      <c r="W1551" s="26"/>
      <c r="Y1551" s="27"/>
      <c r="Z155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2" spans="6:26" hidden="1">
      <c r="F1552" s="28" t="str">
        <f>IFERROR(VLOOKUP(TAB_OFICINAS[[#This Row],[Cliente]],LISTA_DE_CLIENTES[[Código]:[Nome Fantasia]],2,FALSE),"")</f>
        <v/>
      </c>
      <c r="G1552" s="2" t="str">
        <f>IFERROR(VLOOKUP(TAB_OFICINAS[[#This Row],[Cliente]],LISTA_DE_CLIENTES[[Código]:[Nome Fantasia]],3,FALSE),"")</f>
        <v/>
      </c>
      <c r="H1552" s="123"/>
      <c r="J1552" s="91"/>
      <c r="K1552" s="88"/>
      <c r="O1552" s="23">
        <f>TAB_OFICINAS[[#This Row],[Data Retorno Produção]]-TAB_OFICINAS[[#This Row],[Data Prometida  Entrega]]</f>
        <v>0</v>
      </c>
      <c r="P1552" s="98" t="str">
        <f>IF(TAB_OFICINAS[[#This Row],[Dias Para Entrega]]&lt;=0,"Em dia","Dia de Atrasado")</f>
        <v>Em dia</v>
      </c>
      <c r="Q1552" s="24">
        <f>IFERROR(TAB_OFICINAS[[#This Row],[Qtd pçs Enviadas]]-TAB_OFICINAS[[#This Row],[Qtd pçs Retornadas ]],"N/D ")</f>
        <v>0</v>
      </c>
      <c r="R1552" s="24"/>
      <c r="U1552" s="11"/>
      <c r="V1552" s="25">
        <f>IFERROR(TAB_OFICINAS[[#This Row],[Valor Unit]]*TAB_OFICINAS[[#This Row],[Qtd pçs Enviadas]]," ")</f>
        <v>0</v>
      </c>
      <c r="W1552" s="26"/>
      <c r="Y1552" s="27"/>
      <c r="Z155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3" spans="6:26" hidden="1">
      <c r="F1553" s="28" t="str">
        <f>IFERROR(VLOOKUP(TAB_OFICINAS[[#This Row],[Cliente]],LISTA_DE_CLIENTES[[Código]:[Nome Fantasia]],2,FALSE),"")</f>
        <v/>
      </c>
      <c r="G1553" s="2" t="str">
        <f>IFERROR(VLOOKUP(TAB_OFICINAS[[#This Row],[Cliente]],LISTA_DE_CLIENTES[[Código]:[Nome Fantasia]],3,FALSE),"")</f>
        <v/>
      </c>
      <c r="H1553" s="123"/>
      <c r="J1553" s="91"/>
      <c r="K1553" s="88"/>
      <c r="O1553" s="23">
        <f>TAB_OFICINAS[[#This Row],[Data Retorno Produção]]-TAB_OFICINAS[[#This Row],[Data Prometida  Entrega]]</f>
        <v>0</v>
      </c>
      <c r="P1553" s="98" t="str">
        <f>IF(TAB_OFICINAS[[#This Row],[Dias Para Entrega]]&lt;=0,"Em dia","Dia de Atrasado")</f>
        <v>Em dia</v>
      </c>
      <c r="Q1553" s="24">
        <f>IFERROR(TAB_OFICINAS[[#This Row],[Qtd pçs Enviadas]]-TAB_OFICINAS[[#This Row],[Qtd pçs Retornadas ]],"N/D ")</f>
        <v>0</v>
      </c>
      <c r="R1553" s="24"/>
      <c r="U1553" s="11"/>
      <c r="V1553" s="25">
        <f>IFERROR(TAB_OFICINAS[[#This Row],[Valor Unit]]*TAB_OFICINAS[[#This Row],[Qtd pçs Enviadas]]," ")</f>
        <v>0</v>
      </c>
      <c r="W1553" s="26"/>
      <c r="Y1553" s="27"/>
      <c r="Z155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4" spans="6:26" hidden="1">
      <c r="F1554" s="28" t="str">
        <f>IFERROR(VLOOKUP(TAB_OFICINAS[[#This Row],[Cliente]],LISTA_DE_CLIENTES[[Código]:[Nome Fantasia]],2,FALSE),"")</f>
        <v/>
      </c>
      <c r="G1554" s="2" t="str">
        <f>IFERROR(VLOOKUP(TAB_OFICINAS[[#This Row],[Cliente]],LISTA_DE_CLIENTES[[Código]:[Nome Fantasia]],3,FALSE),"")</f>
        <v/>
      </c>
      <c r="H1554" s="123"/>
      <c r="J1554" s="91"/>
      <c r="K1554" s="88"/>
      <c r="O1554" s="23">
        <f>TAB_OFICINAS[[#This Row],[Data Retorno Produção]]-TAB_OFICINAS[[#This Row],[Data Prometida  Entrega]]</f>
        <v>0</v>
      </c>
      <c r="P1554" s="98" t="str">
        <f>IF(TAB_OFICINAS[[#This Row],[Dias Para Entrega]]&lt;=0,"Em dia","Dia de Atrasado")</f>
        <v>Em dia</v>
      </c>
      <c r="Q1554" s="24">
        <f>IFERROR(TAB_OFICINAS[[#This Row],[Qtd pçs Enviadas]]-TAB_OFICINAS[[#This Row],[Qtd pçs Retornadas ]],"N/D ")</f>
        <v>0</v>
      </c>
      <c r="R1554" s="24"/>
      <c r="U1554" s="11"/>
      <c r="V1554" s="25">
        <f>IFERROR(TAB_OFICINAS[[#This Row],[Valor Unit]]*TAB_OFICINAS[[#This Row],[Qtd pçs Enviadas]]," ")</f>
        <v>0</v>
      </c>
      <c r="W1554" s="26"/>
      <c r="Y1554" s="27"/>
      <c r="Z155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5" spans="6:26" hidden="1">
      <c r="F1555" s="28" t="str">
        <f>IFERROR(VLOOKUP(TAB_OFICINAS[[#This Row],[Cliente]],LISTA_DE_CLIENTES[[Código]:[Nome Fantasia]],2,FALSE),"")</f>
        <v/>
      </c>
      <c r="G1555" s="2" t="str">
        <f>IFERROR(VLOOKUP(TAB_OFICINAS[[#This Row],[Cliente]],LISTA_DE_CLIENTES[[Código]:[Nome Fantasia]],3,FALSE),"")</f>
        <v/>
      </c>
      <c r="H1555" s="123"/>
      <c r="J1555" s="91"/>
      <c r="K1555" s="88"/>
      <c r="O1555" s="23">
        <f>TAB_OFICINAS[[#This Row],[Data Retorno Produção]]-TAB_OFICINAS[[#This Row],[Data Prometida  Entrega]]</f>
        <v>0</v>
      </c>
      <c r="P1555" s="98" t="str">
        <f>IF(TAB_OFICINAS[[#This Row],[Dias Para Entrega]]&lt;=0,"Em dia","Dia de Atrasado")</f>
        <v>Em dia</v>
      </c>
      <c r="Q1555" s="24">
        <f>IFERROR(TAB_OFICINAS[[#This Row],[Qtd pçs Enviadas]]-TAB_OFICINAS[[#This Row],[Qtd pçs Retornadas ]],"N/D ")</f>
        <v>0</v>
      </c>
      <c r="R1555" s="24"/>
      <c r="U1555" s="11"/>
      <c r="V1555" s="25">
        <f>IFERROR(TAB_OFICINAS[[#This Row],[Valor Unit]]*TAB_OFICINAS[[#This Row],[Qtd pçs Enviadas]]," ")</f>
        <v>0</v>
      </c>
      <c r="W1555" s="26"/>
      <c r="Y1555" s="27"/>
      <c r="Z155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6" spans="6:26" hidden="1">
      <c r="F1556" s="28" t="str">
        <f>IFERROR(VLOOKUP(TAB_OFICINAS[[#This Row],[Cliente]],LISTA_DE_CLIENTES[[Código]:[Nome Fantasia]],2,FALSE),"")</f>
        <v/>
      </c>
      <c r="G1556" s="2" t="str">
        <f>IFERROR(VLOOKUP(TAB_OFICINAS[[#This Row],[Cliente]],LISTA_DE_CLIENTES[[Código]:[Nome Fantasia]],3,FALSE),"")</f>
        <v/>
      </c>
      <c r="H1556" s="123"/>
      <c r="J1556" s="91"/>
      <c r="K1556" s="88"/>
      <c r="O1556" s="23">
        <f>TAB_OFICINAS[[#This Row],[Data Retorno Produção]]-TAB_OFICINAS[[#This Row],[Data Prometida  Entrega]]</f>
        <v>0</v>
      </c>
      <c r="P1556" s="98" t="str">
        <f>IF(TAB_OFICINAS[[#This Row],[Dias Para Entrega]]&lt;=0,"Em dia","Dia de Atrasado")</f>
        <v>Em dia</v>
      </c>
      <c r="Q1556" s="24">
        <f>IFERROR(TAB_OFICINAS[[#This Row],[Qtd pçs Enviadas]]-TAB_OFICINAS[[#This Row],[Qtd pçs Retornadas ]],"N/D ")</f>
        <v>0</v>
      </c>
      <c r="R1556" s="24"/>
      <c r="U1556" s="11"/>
      <c r="V1556" s="25">
        <f>IFERROR(TAB_OFICINAS[[#This Row],[Valor Unit]]*TAB_OFICINAS[[#This Row],[Qtd pçs Enviadas]]," ")</f>
        <v>0</v>
      </c>
      <c r="W1556" s="26"/>
      <c r="Y1556" s="27"/>
      <c r="Z155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7" spans="6:26" hidden="1">
      <c r="F1557" s="28" t="str">
        <f>IFERROR(VLOOKUP(TAB_OFICINAS[[#This Row],[Cliente]],LISTA_DE_CLIENTES[[Código]:[Nome Fantasia]],2,FALSE),"")</f>
        <v/>
      </c>
      <c r="G1557" s="2" t="str">
        <f>IFERROR(VLOOKUP(TAB_OFICINAS[[#This Row],[Cliente]],LISTA_DE_CLIENTES[[Código]:[Nome Fantasia]],3,FALSE),"")</f>
        <v/>
      </c>
      <c r="H1557" s="123"/>
      <c r="J1557" s="91"/>
      <c r="K1557" s="88"/>
      <c r="O1557" s="23">
        <f>TAB_OFICINAS[[#This Row],[Data Retorno Produção]]-TAB_OFICINAS[[#This Row],[Data Prometida  Entrega]]</f>
        <v>0</v>
      </c>
      <c r="P1557" s="98" t="str">
        <f>IF(TAB_OFICINAS[[#This Row],[Dias Para Entrega]]&lt;=0,"Em dia","Dia de Atrasado")</f>
        <v>Em dia</v>
      </c>
      <c r="Q1557" s="24">
        <f>IFERROR(TAB_OFICINAS[[#This Row],[Qtd pçs Enviadas]]-TAB_OFICINAS[[#This Row],[Qtd pçs Retornadas ]],"N/D ")</f>
        <v>0</v>
      </c>
      <c r="R1557" s="24"/>
      <c r="U1557" s="11"/>
      <c r="V1557" s="25">
        <f>IFERROR(TAB_OFICINAS[[#This Row],[Valor Unit]]*TAB_OFICINAS[[#This Row],[Qtd pçs Enviadas]]," ")</f>
        <v>0</v>
      </c>
      <c r="W1557" s="26"/>
      <c r="Y1557" s="27"/>
      <c r="Z155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8" spans="6:26" hidden="1">
      <c r="F1558" s="28" t="str">
        <f>IFERROR(VLOOKUP(TAB_OFICINAS[[#This Row],[Cliente]],LISTA_DE_CLIENTES[[Código]:[Nome Fantasia]],2,FALSE),"")</f>
        <v/>
      </c>
      <c r="G1558" s="2" t="str">
        <f>IFERROR(VLOOKUP(TAB_OFICINAS[[#This Row],[Cliente]],LISTA_DE_CLIENTES[[Código]:[Nome Fantasia]],3,FALSE),"")</f>
        <v/>
      </c>
      <c r="H1558" s="123"/>
      <c r="J1558" s="91"/>
      <c r="K1558" s="88"/>
      <c r="O1558" s="23">
        <f>TAB_OFICINAS[[#This Row],[Data Retorno Produção]]-TAB_OFICINAS[[#This Row],[Data Prometida  Entrega]]</f>
        <v>0</v>
      </c>
      <c r="P1558" s="98" t="str">
        <f>IF(TAB_OFICINAS[[#This Row],[Dias Para Entrega]]&lt;=0,"Em dia","Dia de Atrasado")</f>
        <v>Em dia</v>
      </c>
      <c r="Q1558" s="24">
        <f>IFERROR(TAB_OFICINAS[[#This Row],[Qtd pçs Enviadas]]-TAB_OFICINAS[[#This Row],[Qtd pçs Retornadas ]],"N/D ")</f>
        <v>0</v>
      </c>
      <c r="R1558" s="24"/>
      <c r="U1558" s="11"/>
      <c r="V1558" s="25">
        <f>IFERROR(TAB_OFICINAS[[#This Row],[Valor Unit]]*TAB_OFICINAS[[#This Row],[Qtd pçs Enviadas]]," ")</f>
        <v>0</v>
      </c>
      <c r="W1558" s="26"/>
      <c r="Y1558" s="27"/>
      <c r="Z155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59" spans="6:26" hidden="1">
      <c r="F1559" s="28" t="str">
        <f>IFERROR(VLOOKUP(TAB_OFICINAS[[#This Row],[Cliente]],LISTA_DE_CLIENTES[[Código]:[Nome Fantasia]],2,FALSE),"")</f>
        <v/>
      </c>
      <c r="G1559" s="2" t="str">
        <f>IFERROR(VLOOKUP(TAB_OFICINAS[[#This Row],[Cliente]],LISTA_DE_CLIENTES[[Código]:[Nome Fantasia]],3,FALSE),"")</f>
        <v/>
      </c>
      <c r="H1559" s="123"/>
      <c r="J1559" s="91"/>
      <c r="K1559" s="88"/>
      <c r="O1559" s="23">
        <f>TAB_OFICINAS[[#This Row],[Data Retorno Produção]]-TAB_OFICINAS[[#This Row],[Data Prometida  Entrega]]</f>
        <v>0</v>
      </c>
      <c r="P1559" s="98" t="str">
        <f>IF(TAB_OFICINAS[[#This Row],[Dias Para Entrega]]&lt;=0,"Em dia","Dia de Atrasado")</f>
        <v>Em dia</v>
      </c>
      <c r="Q1559" s="24">
        <f>IFERROR(TAB_OFICINAS[[#This Row],[Qtd pçs Enviadas]]-TAB_OFICINAS[[#This Row],[Qtd pçs Retornadas ]],"N/D ")</f>
        <v>0</v>
      </c>
      <c r="R1559" s="24"/>
      <c r="U1559" s="11"/>
      <c r="V1559" s="25">
        <f>IFERROR(TAB_OFICINAS[[#This Row],[Valor Unit]]*TAB_OFICINAS[[#This Row],[Qtd pçs Enviadas]]," ")</f>
        <v>0</v>
      </c>
      <c r="W1559" s="26"/>
      <c r="Y1559" s="27"/>
      <c r="Z155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0" spans="6:26" hidden="1">
      <c r="F1560" s="28" t="str">
        <f>IFERROR(VLOOKUP(TAB_OFICINAS[[#This Row],[Cliente]],LISTA_DE_CLIENTES[[Código]:[Nome Fantasia]],2,FALSE),"")</f>
        <v/>
      </c>
      <c r="G1560" s="2" t="str">
        <f>IFERROR(VLOOKUP(TAB_OFICINAS[[#This Row],[Cliente]],LISTA_DE_CLIENTES[[Código]:[Nome Fantasia]],3,FALSE),"")</f>
        <v/>
      </c>
      <c r="H1560" s="123"/>
      <c r="J1560" s="91"/>
      <c r="K1560" s="88"/>
      <c r="O1560" s="23">
        <f>TAB_OFICINAS[[#This Row],[Data Retorno Produção]]-TAB_OFICINAS[[#This Row],[Data Prometida  Entrega]]</f>
        <v>0</v>
      </c>
      <c r="P1560" s="98" t="str">
        <f>IF(TAB_OFICINAS[[#This Row],[Dias Para Entrega]]&lt;=0,"Em dia","Dia de Atrasado")</f>
        <v>Em dia</v>
      </c>
      <c r="Q1560" s="24">
        <f>IFERROR(TAB_OFICINAS[[#This Row],[Qtd pçs Enviadas]]-TAB_OFICINAS[[#This Row],[Qtd pçs Retornadas ]],"N/D ")</f>
        <v>0</v>
      </c>
      <c r="R1560" s="24"/>
      <c r="U1560" s="11"/>
      <c r="V1560" s="25">
        <f>IFERROR(TAB_OFICINAS[[#This Row],[Valor Unit]]*TAB_OFICINAS[[#This Row],[Qtd pçs Enviadas]]," ")</f>
        <v>0</v>
      </c>
      <c r="W1560" s="26"/>
      <c r="Y1560" s="27"/>
      <c r="Z156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1" spans="6:26" hidden="1">
      <c r="F1561" s="28" t="str">
        <f>IFERROR(VLOOKUP(TAB_OFICINAS[[#This Row],[Cliente]],LISTA_DE_CLIENTES[[Código]:[Nome Fantasia]],2,FALSE),"")</f>
        <v/>
      </c>
      <c r="G1561" s="2" t="str">
        <f>IFERROR(VLOOKUP(TAB_OFICINAS[[#This Row],[Cliente]],LISTA_DE_CLIENTES[[Código]:[Nome Fantasia]],3,FALSE),"")</f>
        <v/>
      </c>
      <c r="H1561" s="123"/>
      <c r="J1561" s="91"/>
      <c r="K1561" s="88"/>
      <c r="O1561" s="23">
        <f>TAB_OFICINAS[[#This Row],[Data Retorno Produção]]-TAB_OFICINAS[[#This Row],[Data Prometida  Entrega]]</f>
        <v>0</v>
      </c>
      <c r="P1561" s="98" t="str">
        <f>IF(TAB_OFICINAS[[#This Row],[Dias Para Entrega]]&lt;=0,"Em dia","Dia de Atrasado")</f>
        <v>Em dia</v>
      </c>
      <c r="Q1561" s="24">
        <f>IFERROR(TAB_OFICINAS[[#This Row],[Qtd pçs Enviadas]]-TAB_OFICINAS[[#This Row],[Qtd pçs Retornadas ]],"N/D ")</f>
        <v>0</v>
      </c>
      <c r="R1561" s="24"/>
      <c r="U1561" s="11"/>
      <c r="V1561" s="25">
        <f>IFERROR(TAB_OFICINAS[[#This Row],[Valor Unit]]*TAB_OFICINAS[[#This Row],[Qtd pçs Enviadas]]," ")</f>
        <v>0</v>
      </c>
      <c r="W1561" s="26"/>
      <c r="Y1561" s="27"/>
      <c r="Z156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2" spans="6:26" hidden="1">
      <c r="F1562" s="28" t="str">
        <f>IFERROR(VLOOKUP(TAB_OFICINAS[[#This Row],[Cliente]],LISTA_DE_CLIENTES[[Código]:[Nome Fantasia]],2,FALSE),"")</f>
        <v/>
      </c>
      <c r="G1562" s="2" t="str">
        <f>IFERROR(VLOOKUP(TAB_OFICINAS[[#This Row],[Cliente]],LISTA_DE_CLIENTES[[Código]:[Nome Fantasia]],3,FALSE),"")</f>
        <v/>
      </c>
      <c r="H1562" s="123"/>
      <c r="J1562" s="91"/>
      <c r="K1562" s="88"/>
      <c r="O1562" s="23">
        <f>TAB_OFICINAS[[#This Row],[Data Retorno Produção]]-TAB_OFICINAS[[#This Row],[Data Prometida  Entrega]]</f>
        <v>0</v>
      </c>
      <c r="P1562" s="98" t="str">
        <f>IF(TAB_OFICINAS[[#This Row],[Dias Para Entrega]]&lt;=0,"Em dia","Dia de Atrasado")</f>
        <v>Em dia</v>
      </c>
      <c r="Q1562" s="24">
        <f>IFERROR(TAB_OFICINAS[[#This Row],[Qtd pçs Enviadas]]-TAB_OFICINAS[[#This Row],[Qtd pçs Retornadas ]],"N/D ")</f>
        <v>0</v>
      </c>
      <c r="R1562" s="24"/>
      <c r="U1562" s="11"/>
      <c r="V1562" s="25">
        <f>IFERROR(TAB_OFICINAS[[#This Row],[Valor Unit]]*TAB_OFICINAS[[#This Row],[Qtd pçs Enviadas]]," ")</f>
        <v>0</v>
      </c>
      <c r="W1562" s="26"/>
      <c r="Y1562" s="27"/>
      <c r="Z156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3" spans="6:26" hidden="1">
      <c r="F1563" s="28" t="str">
        <f>IFERROR(VLOOKUP(TAB_OFICINAS[[#This Row],[Cliente]],LISTA_DE_CLIENTES[[Código]:[Nome Fantasia]],2,FALSE),"")</f>
        <v/>
      </c>
      <c r="G1563" s="2" t="str">
        <f>IFERROR(VLOOKUP(TAB_OFICINAS[[#This Row],[Cliente]],LISTA_DE_CLIENTES[[Código]:[Nome Fantasia]],3,FALSE),"")</f>
        <v/>
      </c>
      <c r="H1563" s="123"/>
      <c r="J1563" s="91"/>
      <c r="K1563" s="88"/>
      <c r="O1563" s="23">
        <f>TAB_OFICINAS[[#This Row],[Data Retorno Produção]]-TAB_OFICINAS[[#This Row],[Data Prometida  Entrega]]</f>
        <v>0</v>
      </c>
      <c r="P1563" s="98" t="str">
        <f>IF(TAB_OFICINAS[[#This Row],[Dias Para Entrega]]&lt;=0,"Em dia","Dia de Atrasado")</f>
        <v>Em dia</v>
      </c>
      <c r="Q1563" s="24">
        <f>IFERROR(TAB_OFICINAS[[#This Row],[Qtd pçs Enviadas]]-TAB_OFICINAS[[#This Row],[Qtd pçs Retornadas ]],"N/D ")</f>
        <v>0</v>
      </c>
      <c r="R1563" s="24"/>
      <c r="U1563" s="11"/>
      <c r="V1563" s="25">
        <f>IFERROR(TAB_OFICINAS[[#This Row],[Valor Unit]]*TAB_OFICINAS[[#This Row],[Qtd pçs Enviadas]]," ")</f>
        <v>0</v>
      </c>
      <c r="W1563" s="26"/>
      <c r="Y1563" s="27"/>
      <c r="Z156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4" spans="6:26" hidden="1">
      <c r="F1564" s="28" t="str">
        <f>IFERROR(VLOOKUP(TAB_OFICINAS[[#This Row],[Cliente]],LISTA_DE_CLIENTES[[Código]:[Nome Fantasia]],2,FALSE),"")</f>
        <v/>
      </c>
      <c r="G1564" s="2" t="str">
        <f>IFERROR(VLOOKUP(TAB_OFICINAS[[#This Row],[Cliente]],LISTA_DE_CLIENTES[[Código]:[Nome Fantasia]],3,FALSE),"")</f>
        <v/>
      </c>
      <c r="H1564" s="123"/>
      <c r="J1564" s="91"/>
      <c r="K1564" s="88"/>
      <c r="O1564" s="23">
        <f>TAB_OFICINAS[[#This Row],[Data Retorno Produção]]-TAB_OFICINAS[[#This Row],[Data Prometida  Entrega]]</f>
        <v>0</v>
      </c>
      <c r="P1564" s="98" t="str">
        <f>IF(TAB_OFICINAS[[#This Row],[Dias Para Entrega]]&lt;=0,"Em dia","Dia de Atrasado")</f>
        <v>Em dia</v>
      </c>
      <c r="Q1564" s="24">
        <f>IFERROR(TAB_OFICINAS[[#This Row],[Qtd pçs Enviadas]]-TAB_OFICINAS[[#This Row],[Qtd pçs Retornadas ]],"N/D ")</f>
        <v>0</v>
      </c>
      <c r="R1564" s="24"/>
      <c r="U1564" s="11"/>
      <c r="V1564" s="25">
        <f>IFERROR(TAB_OFICINAS[[#This Row],[Valor Unit]]*TAB_OFICINAS[[#This Row],[Qtd pçs Enviadas]]," ")</f>
        <v>0</v>
      </c>
      <c r="W1564" s="26"/>
      <c r="Y1564" s="27"/>
      <c r="Z156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5" spans="6:26" hidden="1">
      <c r="F1565" s="28" t="str">
        <f>IFERROR(VLOOKUP(TAB_OFICINAS[[#This Row],[Cliente]],LISTA_DE_CLIENTES[[Código]:[Nome Fantasia]],2,FALSE),"")</f>
        <v/>
      </c>
      <c r="G1565" s="2" t="str">
        <f>IFERROR(VLOOKUP(TAB_OFICINAS[[#This Row],[Cliente]],LISTA_DE_CLIENTES[[Código]:[Nome Fantasia]],3,FALSE),"")</f>
        <v/>
      </c>
      <c r="H1565" s="123"/>
      <c r="J1565" s="91"/>
      <c r="K1565" s="88"/>
      <c r="O1565" s="23">
        <f>TAB_OFICINAS[[#This Row],[Data Retorno Produção]]-TAB_OFICINAS[[#This Row],[Data Prometida  Entrega]]</f>
        <v>0</v>
      </c>
      <c r="P1565" s="98" t="str">
        <f>IF(TAB_OFICINAS[[#This Row],[Dias Para Entrega]]&lt;=0,"Em dia","Dia de Atrasado")</f>
        <v>Em dia</v>
      </c>
      <c r="Q1565" s="24">
        <f>IFERROR(TAB_OFICINAS[[#This Row],[Qtd pçs Enviadas]]-TAB_OFICINAS[[#This Row],[Qtd pçs Retornadas ]],"N/D ")</f>
        <v>0</v>
      </c>
      <c r="R1565" s="24"/>
      <c r="U1565" s="11"/>
      <c r="V1565" s="25">
        <f>IFERROR(TAB_OFICINAS[[#This Row],[Valor Unit]]*TAB_OFICINAS[[#This Row],[Qtd pçs Enviadas]]," ")</f>
        <v>0</v>
      </c>
      <c r="W1565" s="26"/>
      <c r="Y1565" s="27"/>
      <c r="Z156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6" spans="6:26" hidden="1">
      <c r="F1566" s="28" t="str">
        <f>IFERROR(VLOOKUP(TAB_OFICINAS[[#This Row],[Cliente]],LISTA_DE_CLIENTES[[Código]:[Nome Fantasia]],2,FALSE),"")</f>
        <v/>
      </c>
      <c r="G1566" s="2" t="str">
        <f>IFERROR(VLOOKUP(TAB_OFICINAS[[#This Row],[Cliente]],LISTA_DE_CLIENTES[[Código]:[Nome Fantasia]],3,FALSE),"")</f>
        <v/>
      </c>
      <c r="H1566" s="123"/>
      <c r="J1566" s="91"/>
      <c r="K1566" s="88"/>
      <c r="O1566" s="23">
        <f>TAB_OFICINAS[[#This Row],[Data Retorno Produção]]-TAB_OFICINAS[[#This Row],[Data Prometida  Entrega]]</f>
        <v>0</v>
      </c>
      <c r="P1566" s="98" t="str">
        <f>IF(TAB_OFICINAS[[#This Row],[Dias Para Entrega]]&lt;=0,"Em dia","Dia de Atrasado")</f>
        <v>Em dia</v>
      </c>
      <c r="Q1566" s="24">
        <f>IFERROR(TAB_OFICINAS[[#This Row],[Qtd pçs Enviadas]]-TAB_OFICINAS[[#This Row],[Qtd pçs Retornadas ]],"N/D ")</f>
        <v>0</v>
      </c>
      <c r="R1566" s="24"/>
      <c r="U1566" s="11"/>
      <c r="V1566" s="25">
        <f>IFERROR(TAB_OFICINAS[[#This Row],[Valor Unit]]*TAB_OFICINAS[[#This Row],[Qtd pçs Enviadas]]," ")</f>
        <v>0</v>
      </c>
      <c r="W1566" s="26"/>
      <c r="Y1566" s="27"/>
      <c r="Z156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7" spans="6:26" hidden="1">
      <c r="F1567" s="28" t="str">
        <f>IFERROR(VLOOKUP(TAB_OFICINAS[[#This Row],[Cliente]],LISTA_DE_CLIENTES[[Código]:[Nome Fantasia]],2,FALSE),"")</f>
        <v/>
      </c>
      <c r="G1567" s="2" t="str">
        <f>IFERROR(VLOOKUP(TAB_OFICINAS[[#This Row],[Cliente]],LISTA_DE_CLIENTES[[Código]:[Nome Fantasia]],3,FALSE),"")</f>
        <v/>
      </c>
      <c r="H1567" s="123"/>
      <c r="J1567" s="91"/>
      <c r="K1567" s="88"/>
      <c r="O1567" s="23">
        <f>TAB_OFICINAS[[#This Row],[Data Retorno Produção]]-TAB_OFICINAS[[#This Row],[Data Prometida  Entrega]]</f>
        <v>0</v>
      </c>
      <c r="P1567" s="98" t="str">
        <f>IF(TAB_OFICINAS[[#This Row],[Dias Para Entrega]]&lt;=0,"Em dia","Dia de Atrasado")</f>
        <v>Em dia</v>
      </c>
      <c r="Q1567" s="24">
        <f>IFERROR(TAB_OFICINAS[[#This Row],[Qtd pçs Enviadas]]-TAB_OFICINAS[[#This Row],[Qtd pçs Retornadas ]],"N/D ")</f>
        <v>0</v>
      </c>
      <c r="R1567" s="24"/>
      <c r="U1567" s="11"/>
      <c r="V1567" s="25">
        <f>IFERROR(TAB_OFICINAS[[#This Row],[Valor Unit]]*TAB_OFICINAS[[#This Row],[Qtd pçs Enviadas]]," ")</f>
        <v>0</v>
      </c>
      <c r="W1567" s="26"/>
      <c r="Y1567" s="27"/>
      <c r="Z156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8" spans="6:26" hidden="1">
      <c r="F1568" s="28" t="str">
        <f>IFERROR(VLOOKUP(TAB_OFICINAS[[#This Row],[Cliente]],LISTA_DE_CLIENTES[[Código]:[Nome Fantasia]],2,FALSE),"")</f>
        <v/>
      </c>
      <c r="G1568" s="2" t="str">
        <f>IFERROR(VLOOKUP(TAB_OFICINAS[[#This Row],[Cliente]],LISTA_DE_CLIENTES[[Código]:[Nome Fantasia]],3,FALSE),"")</f>
        <v/>
      </c>
      <c r="H1568" s="123"/>
      <c r="J1568" s="91"/>
      <c r="K1568" s="88"/>
      <c r="O1568" s="23">
        <f>TAB_OFICINAS[[#This Row],[Data Retorno Produção]]-TAB_OFICINAS[[#This Row],[Data Prometida  Entrega]]</f>
        <v>0</v>
      </c>
      <c r="P1568" s="98" t="str">
        <f>IF(TAB_OFICINAS[[#This Row],[Dias Para Entrega]]&lt;=0,"Em dia","Dia de Atrasado")</f>
        <v>Em dia</v>
      </c>
      <c r="Q1568" s="24">
        <f>IFERROR(TAB_OFICINAS[[#This Row],[Qtd pçs Enviadas]]-TAB_OFICINAS[[#This Row],[Qtd pçs Retornadas ]],"N/D ")</f>
        <v>0</v>
      </c>
      <c r="R1568" s="24"/>
      <c r="U1568" s="11"/>
      <c r="V1568" s="25">
        <f>IFERROR(TAB_OFICINAS[[#This Row],[Valor Unit]]*TAB_OFICINAS[[#This Row],[Qtd pçs Enviadas]]," ")</f>
        <v>0</v>
      </c>
      <c r="W1568" s="26"/>
      <c r="Y1568" s="27"/>
      <c r="Z156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69" spans="6:26" hidden="1">
      <c r="F1569" s="28" t="str">
        <f>IFERROR(VLOOKUP(TAB_OFICINAS[[#This Row],[Cliente]],LISTA_DE_CLIENTES[[Código]:[Nome Fantasia]],2,FALSE),"")</f>
        <v/>
      </c>
      <c r="G1569" s="2" t="str">
        <f>IFERROR(VLOOKUP(TAB_OFICINAS[[#This Row],[Cliente]],LISTA_DE_CLIENTES[[Código]:[Nome Fantasia]],3,FALSE),"")</f>
        <v/>
      </c>
      <c r="H1569" s="123"/>
      <c r="J1569" s="91"/>
      <c r="K1569" s="88"/>
      <c r="O1569" s="23">
        <f>TAB_OFICINAS[[#This Row],[Data Retorno Produção]]-TAB_OFICINAS[[#This Row],[Data Prometida  Entrega]]</f>
        <v>0</v>
      </c>
      <c r="P1569" s="98" t="str">
        <f>IF(TAB_OFICINAS[[#This Row],[Dias Para Entrega]]&lt;=0,"Em dia","Dia de Atrasado")</f>
        <v>Em dia</v>
      </c>
      <c r="Q1569" s="24">
        <f>IFERROR(TAB_OFICINAS[[#This Row],[Qtd pçs Enviadas]]-TAB_OFICINAS[[#This Row],[Qtd pçs Retornadas ]],"N/D ")</f>
        <v>0</v>
      </c>
      <c r="R1569" s="24"/>
      <c r="U1569" s="11"/>
      <c r="V1569" s="25">
        <f>IFERROR(TAB_OFICINAS[[#This Row],[Valor Unit]]*TAB_OFICINAS[[#This Row],[Qtd pçs Enviadas]]," ")</f>
        <v>0</v>
      </c>
      <c r="W1569" s="26"/>
      <c r="Y1569" s="27"/>
      <c r="Z156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0" spans="6:26" hidden="1">
      <c r="F1570" s="28" t="str">
        <f>IFERROR(VLOOKUP(TAB_OFICINAS[[#This Row],[Cliente]],LISTA_DE_CLIENTES[[Código]:[Nome Fantasia]],2,FALSE),"")</f>
        <v/>
      </c>
      <c r="G1570" s="2" t="str">
        <f>IFERROR(VLOOKUP(TAB_OFICINAS[[#This Row],[Cliente]],LISTA_DE_CLIENTES[[Código]:[Nome Fantasia]],3,FALSE),"")</f>
        <v/>
      </c>
      <c r="H1570" s="123"/>
      <c r="J1570" s="91"/>
      <c r="K1570" s="88"/>
      <c r="O1570" s="23">
        <f>TAB_OFICINAS[[#This Row],[Data Retorno Produção]]-TAB_OFICINAS[[#This Row],[Data Prometida  Entrega]]</f>
        <v>0</v>
      </c>
      <c r="P1570" s="98" t="str">
        <f>IF(TAB_OFICINAS[[#This Row],[Dias Para Entrega]]&lt;=0,"Em dia","Dia de Atrasado")</f>
        <v>Em dia</v>
      </c>
      <c r="Q1570" s="24">
        <f>IFERROR(TAB_OFICINAS[[#This Row],[Qtd pçs Enviadas]]-TAB_OFICINAS[[#This Row],[Qtd pçs Retornadas ]],"N/D ")</f>
        <v>0</v>
      </c>
      <c r="R1570" s="24"/>
      <c r="U1570" s="11"/>
      <c r="V1570" s="25">
        <f>IFERROR(TAB_OFICINAS[[#This Row],[Valor Unit]]*TAB_OFICINAS[[#This Row],[Qtd pçs Enviadas]]," ")</f>
        <v>0</v>
      </c>
      <c r="W1570" s="26"/>
      <c r="Y1570" s="27"/>
      <c r="Z157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1" spans="6:26" hidden="1">
      <c r="F1571" s="28" t="str">
        <f>IFERROR(VLOOKUP(TAB_OFICINAS[[#This Row],[Cliente]],LISTA_DE_CLIENTES[[Código]:[Nome Fantasia]],2,FALSE),"")</f>
        <v/>
      </c>
      <c r="G1571" s="2" t="str">
        <f>IFERROR(VLOOKUP(TAB_OFICINAS[[#This Row],[Cliente]],LISTA_DE_CLIENTES[[Código]:[Nome Fantasia]],3,FALSE),"")</f>
        <v/>
      </c>
      <c r="H1571" s="123"/>
      <c r="J1571" s="91"/>
      <c r="K1571" s="88"/>
      <c r="O1571" s="23">
        <f>TAB_OFICINAS[[#This Row],[Data Retorno Produção]]-TAB_OFICINAS[[#This Row],[Data Prometida  Entrega]]</f>
        <v>0</v>
      </c>
      <c r="P1571" s="98" t="str">
        <f>IF(TAB_OFICINAS[[#This Row],[Dias Para Entrega]]&lt;=0,"Em dia","Dia de Atrasado")</f>
        <v>Em dia</v>
      </c>
      <c r="Q1571" s="24">
        <f>IFERROR(TAB_OFICINAS[[#This Row],[Qtd pçs Enviadas]]-TAB_OFICINAS[[#This Row],[Qtd pçs Retornadas ]],"N/D ")</f>
        <v>0</v>
      </c>
      <c r="R1571" s="24"/>
      <c r="U1571" s="11"/>
      <c r="V1571" s="25">
        <f>IFERROR(TAB_OFICINAS[[#This Row],[Valor Unit]]*TAB_OFICINAS[[#This Row],[Qtd pçs Enviadas]]," ")</f>
        <v>0</v>
      </c>
      <c r="W1571" s="26"/>
      <c r="Y1571" s="27"/>
      <c r="Z157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2" spans="6:26" hidden="1">
      <c r="F1572" s="28" t="str">
        <f>IFERROR(VLOOKUP(TAB_OFICINAS[[#This Row],[Cliente]],LISTA_DE_CLIENTES[[Código]:[Nome Fantasia]],2,FALSE),"")</f>
        <v/>
      </c>
      <c r="G1572" s="2" t="str">
        <f>IFERROR(VLOOKUP(TAB_OFICINAS[[#This Row],[Cliente]],LISTA_DE_CLIENTES[[Código]:[Nome Fantasia]],3,FALSE),"")</f>
        <v/>
      </c>
      <c r="H1572" s="123"/>
      <c r="J1572" s="91"/>
      <c r="K1572" s="88"/>
      <c r="O1572" s="23">
        <f>TAB_OFICINAS[[#This Row],[Data Retorno Produção]]-TAB_OFICINAS[[#This Row],[Data Prometida  Entrega]]</f>
        <v>0</v>
      </c>
      <c r="P1572" s="98" t="str">
        <f>IF(TAB_OFICINAS[[#This Row],[Dias Para Entrega]]&lt;=0,"Em dia","Dia de Atrasado")</f>
        <v>Em dia</v>
      </c>
      <c r="Q1572" s="24">
        <f>IFERROR(TAB_OFICINAS[[#This Row],[Qtd pçs Enviadas]]-TAB_OFICINAS[[#This Row],[Qtd pçs Retornadas ]],"N/D ")</f>
        <v>0</v>
      </c>
      <c r="R1572" s="24"/>
      <c r="U1572" s="11"/>
      <c r="V1572" s="25">
        <f>IFERROR(TAB_OFICINAS[[#This Row],[Valor Unit]]*TAB_OFICINAS[[#This Row],[Qtd pçs Enviadas]]," ")</f>
        <v>0</v>
      </c>
      <c r="W1572" s="26"/>
      <c r="Y1572" s="27"/>
      <c r="Z157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3" spans="6:26" hidden="1">
      <c r="F1573" s="28" t="str">
        <f>IFERROR(VLOOKUP(TAB_OFICINAS[[#This Row],[Cliente]],LISTA_DE_CLIENTES[[Código]:[Nome Fantasia]],2,FALSE),"")</f>
        <v/>
      </c>
      <c r="G1573" s="2" t="str">
        <f>IFERROR(VLOOKUP(TAB_OFICINAS[[#This Row],[Cliente]],LISTA_DE_CLIENTES[[Código]:[Nome Fantasia]],3,FALSE),"")</f>
        <v/>
      </c>
      <c r="H1573" s="123"/>
      <c r="J1573" s="91"/>
      <c r="K1573" s="88"/>
      <c r="O1573" s="23">
        <f>TAB_OFICINAS[[#This Row],[Data Retorno Produção]]-TAB_OFICINAS[[#This Row],[Data Prometida  Entrega]]</f>
        <v>0</v>
      </c>
      <c r="P1573" s="98" t="str">
        <f>IF(TAB_OFICINAS[[#This Row],[Dias Para Entrega]]&lt;=0,"Em dia","Dia de Atrasado")</f>
        <v>Em dia</v>
      </c>
      <c r="Q1573" s="24">
        <f>IFERROR(TAB_OFICINAS[[#This Row],[Qtd pçs Enviadas]]-TAB_OFICINAS[[#This Row],[Qtd pçs Retornadas ]],"N/D ")</f>
        <v>0</v>
      </c>
      <c r="R1573" s="24"/>
      <c r="U1573" s="11"/>
      <c r="V1573" s="25">
        <f>IFERROR(TAB_OFICINAS[[#This Row],[Valor Unit]]*TAB_OFICINAS[[#This Row],[Qtd pçs Enviadas]]," ")</f>
        <v>0</v>
      </c>
      <c r="W1573" s="26"/>
      <c r="Y1573" s="27"/>
      <c r="Z157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4" spans="6:26" hidden="1">
      <c r="F1574" s="28" t="str">
        <f>IFERROR(VLOOKUP(TAB_OFICINAS[[#This Row],[Cliente]],LISTA_DE_CLIENTES[[Código]:[Nome Fantasia]],2,FALSE),"")</f>
        <v/>
      </c>
      <c r="G1574" s="2" t="str">
        <f>IFERROR(VLOOKUP(TAB_OFICINAS[[#This Row],[Cliente]],LISTA_DE_CLIENTES[[Código]:[Nome Fantasia]],3,FALSE),"")</f>
        <v/>
      </c>
      <c r="H1574" s="123"/>
      <c r="J1574" s="91"/>
      <c r="K1574" s="88"/>
      <c r="O1574" s="23">
        <f>TAB_OFICINAS[[#This Row],[Data Retorno Produção]]-TAB_OFICINAS[[#This Row],[Data Prometida  Entrega]]</f>
        <v>0</v>
      </c>
      <c r="P1574" s="98" t="str">
        <f>IF(TAB_OFICINAS[[#This Row],[Dias Para Entrega]]&lt;=0,"Em dia","Dia de Atrasado")</f>
        <v>Em dia</v>
      </c>
      <c r="Q1574" s="24">
        <f>IFERROR(TAB_OFICINAS[[#This Row],[Qtd pçs Enviadas]]-TAB_OFICINAS[[#This Row],[Qtd pçs Retornadas ]],"N/D ")</f>
        <v>0</v>
      </c>
      <c r="R1574" s="24"/>
      <c r="U1574" s="11"/>
      <c r="V1574" s="25">
        <f>IFERROR(TAB_OFICINAS[[#This Row],[Valor Unit]]*TAB_OFICINAS[[#This Row],[Qtd pçs Enviadas]]," ")</f>
        <v>0</v>
      </c>
      <c r="W1574" s="26"/>
      <c r="Y1574" s="27"/>
      <c r="Z157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5" spans="6:26" hidden="1">
      <c r="H1575" s="123"/>
      <c r="J1575" s="91"/>
      <c r="K1575" s="88"/>
      <c r="O1575" s="23"/>
      <c r="P1575" s="98"/>
      <c r="Q1575" s="24"/>
      <c r="R1575" s="24"/>
      <c r="U1575" s="11"/>
      <c r="V1575" s="25"/>
      <c r="W1575" s="26"/>
      <c r="Y1575" s="27"/>
      <c r="Z157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6" spans="6:26" hidden="1">
      <c r="H1576" s="123"/>
      <c r="J1576" s="91"/>
      <c r="K1576" s="88"/>
      <c r="O1576" s="23"/>
      <c r="P1576" s="98"/>
      <c r="Q1576" s="24"/>
      <c r="R1576" s="24"/>
      <c r="U1576" s="11"/>
      <c r="V1576" s="25"/>
      <c r="W1576" s="26"/>
      <c r="Y1576" s="27"/>
      <c r="Z157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7" spans="6:26" hidden="1">
      <c r="H1577" s="123"/>
      <c r="J1577" s="91"/>
      <c r="K1577" s="88"/>
      <c r="O1577" s="23"/>
      <c r="P1577" s="98"/>
      <c r="Q1577" s="24"/>
      <c r="R1577" s="24"/>
      <c r="U1577" s="11"/>
      <c r="V1577" s="25"/>
      <c r="W1577" s="26"/>
      <c r="Y1577" s="27"/>
      <c r="Z157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8" spans="6:26" hidden="1">
      <c r="H1578" s="123"/>
      <c r="J1578" s="91"/>
      <c r="K1578" s="88"/>
      <c r="O1578" s="23"/>
      <c r="P1578" s="98"/>
      <c r="Q1578" s="24"/>
      <c r="R1578" s="24"/>
      <c r="U1578" s="11"/>
      <c r="V1578" s="25"/>
      <c r="W1578" s="26"/>
      <c r="Y1578" s="27"/>
      <c r="Z157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79" spans="6:26" hidden="1">
      <c r="H1579" s="123"/>
      <c r="J1579" s="91"/>
      <c r="K1579" s="88"/>
      <c r="O1579" s="23"/>
      <c r="P1579" s="98"/>
      <c r="Q1579" s="24"/>
      <c r="R1579" s="24"/>
      <c r="U1579" s="11"/>
      <c r="V1579" s="25"/>
      <c r="W1579" s="26"/>
      <c r="Y1579" s="27"/>
      <c r="Z157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0" spans="6:26" hidden="1">
      <c r="H1580" s="123"/>
      <c r="J1580" s="91"/>
      <c r="K1580" s="88"/>
      <c r="O1580" s="23"/>
      <c r="P1580" s="98"/>
      <c r="Q1580" s="24"/>
      <c r="R1580" s="24"/>
      <c r="U1580" s="11"/>
      <c r="V1580" s="25"/>
      <c r="W1580" s="26"/>
      <c r="Y1580" s="27"/>
      <c r="Z1580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1" spans="6:26" hidden="1">
      <c r="H1581" s="123"/>
      <c r="J1581" s="91"/>
      <c r="K1581" s="88"/>
      <c r="O1581" s="23"/>
      <c r="P1581" s="98"/>
      <c r="Q1581" s="24"/>
      <c r="R1581" s="24"/>
      <c r="U1581" s="11"/>
      <c r="V1581" s="25"/>
      <c r="W1581" s="26"/>
      <c r="Y1581" s="27"/>
      <c r="Z158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2" spans="6:26" hidden="1">
      <c r="H1582" s="123"/>
      <c r="J1582" s="91"/>
      <c r="K1582" s="88"/>
      <c r="O1582" s="23"/>
      <c r="P1582" s="98"/>
      <c r="Q1582" s="24"/>
      <c r="R1582" s="24"/>
      <c r="U1582" s="11"/>
      <c r="V1582" s="25"/>
      <c r="W1582" s="26"/>
      <c r="Y1582" s="27"/>
      <c r="Z158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3" spans="6:26" hidden="1">
      <c r="H1583" s="123"/>
      <c r="J1583" s="91"/>
      <c r="K1583" s="88"/>
      <c r="O1583" s="23"/>
      <c r="P1583" s="98"/>
      <c r="Q1583" s="24"/>
      <c r="R1583" s="24"/>
      <c r="U1583" s="11"/>
      <c r="V1583" s="25"/>
      <c r="W1583" s="26"/>
      <c r="Y1583" s="27"/>
      <c r="Z158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4" spans="6:26" hidden="1">
      <c r="H1584" s="123"/>
      <c r="J1584" s="91"/>
      <c r="K1584" s="88"/>
      <c r="O1584" s="23"/>
      <c r="P1584" s="98"/>
      <c r="Q1584" s="24"/>
      <c r="R1584" s="24"/>
      <c r="U1584" s="11"/>
      <c r="V1584" s="25"/>
      <c r="W1584" s="26"/>
      <c r="Y1584" s="27"/>
      <c r="Z1584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5" spans="5:26" hidden="1">
      <c r="H1585" s="123"/>
      <c r="J1585" s="91"/>
      <c r="K1585" s="88"/>
      <c r="O1585" s="23"/>
      <c r="P1585" s="98"/>
      <c r="Q1585" s="24"/>
      <c r="R1585" s="24"/>
      <c r="U1585" s="11"/>
      <c r="V1585" s="25"/>
      <c r="W1585" s="26"/>
      <c r="Y1585" s="27"/>
      <c r="Z1585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6" spans="5:26" hidden="1">
      <c r="H1586" s="123"/>
      <c r="J1586" s="91"/>
      <c r="K1586" s="88"/>
      <c r="O1586" s="23"/>
      <c r="P1586" s="98"/>
      <c r="Q1586" s="24"/>
      <c r="R1586" s="24"/>
      <c r="U1586" s="11"/>
      <c r="V1586" s="25"/>
      <c r="W1586" s="26"/>
      <c r="Y1586" s="27"/>
      <c r="Z1586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7" spans="5:26" hidden="1">
      <c r="H1587" s="123"/>
      <c r="J1587" s="91"/>
      <c r="K1587" s="88"/>
      <c r="O1587" s="23"/>
      <c r="P1587" s="98"/>
      <c r="Q1587" s="24"/>
      <c r="R1587" s="24"/>
      <c r="U1587" s="11"/>
      <c r="V1587" s="25"/>
      <c r="W1587" s="26"/>
      <c r="Y1587" s="27"/>
      <c r="Z1587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8" spans="5:26" hidden="1">
      <c r="H1588" s="123"/>
      <c r="J1588" s="91"/>
      <c r="K1588" s="88"/>
      <c r="O1588" s="23"/>
      <c r="P1588" s="98"/>
      <c r="Q1588" s="24"/>
      <c r="R1588" s="24"/>
      <c r="U1588" s="11"/>
      <c r="V1588" s="25"/>
      <c r="W1588" s="26"/>
      <c r="Y1588" s="27"/>
      <c r="Z1588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89" spans="5:26" hidden="1">
      <c r="H1589" s="123"/>
      <c r="J1589" s="91"/>
      <c r="K1589" s="88"/>
      <c r="O1589" s="23"/>
      <c r="P1589" s="98"/>
      <c r="Q1589" s="24"/>
      <c r="R1589" s="24"/>
      <c r="U1589" s="11"/>
      <c r="V1589" s="25"/>
      <c r="W1589" s="26"/>
      <c r="Y1589" s="27"/>
      <c r="Z1589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90" spans="5:26" hidden="1">
      <c r="H1590" s="124"/>
      <c r="J1590" s="91"/>
      <c r="K1590" s="88"/>
      <c r="O1590" s="23"/>
      <c r="P1590" s="98"/>
      <c r="Q1590" s="24"/>
      <c r="R1590" s="24"/>
      <c r="U1590" s="11"/>
      <c r="V1590" s="25"/>
      <c r="W1590" s="26"/>
      <c r="Y1590" s="27"/>
      <c r="Z1590" s="90"/>
    </row>
    <row r="1591" spans="5:26" hidden="1">
      <c r="H1591" s="125"/>
      <c r="J1591" s="91"/>
      <c r="K1591" s="88"/>
      <c r="O1591" s="23"/>
      <c r="P1591" s="98"/>
      <c r="Q1591" s="24"/>
      <c r="R1591" s="24"/>
      <c r="U1591" s="11"/>
      <c r="V1591" s="25"/>
      <c r="W1591" s="26"/>
      <c r="Y1591" s="27"/>
      <c r="Z1591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92" spans="5:26" hidden="1">
      <c r="G1592" s="2" t="str">
        <f>IFERROR(VLOOKUP(TAB_OFICINAS[[#This Row],[Cliente]],LISTA_DE_CLIENTES[[Código]:[Nome Fantasia]],3,FALSE),"")</f>
        <v/>
      </c>
      <c r="H1592" s="133"/>
      <c r="J1592" s="91"/>
      <c r="K1592" s="88"/>
      <c r="O1592" s="23">
        <f>TAB_OFICINAS[[#This Row],[Data Retorno Produção]]-TAB_OFICINAS[[#This Row],[Data Prometida  Entrega]]</f>
        <v>0</v>
      </c>
      <c r="P1592" s="98" t="str">
        <f>IF(TAB_OFICINAS[[#This Row],[Dias Para Entrega]]&lt;=0,"Em dia","Dia de Atrasado")</f>
        <v>Em dia</v>
      </c>
      <c r="Q1592" s="24">
        <f>IFERROR(TAB_OFICINAS[[#This Row],[Qtd pçs Enviadas]]-TAB_OFICINAS[[#This Row],[Qtd pçs Retornadas ]],"N/D ")</f>
        <v>0</v>
      </c>
      <c r="R1592" s="24"/>
      <c r="U1592" s="11"/>
      <c r="V1592" s="25">
        <f>IFERROR(TAB_OFICINAS[[#This Row],[Valor Unit]]*TAB_OFICINAS[[#This Row],[Qtd pçs Enviadas]]," ")</f>
        <v>0</v>
      </c>
      <c r="W1592" s="26"/>
      <c r="Y1592" s="27"/>
      <c r="Z1592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93" spans="5:26" hidden="1">
      <c r="F1593" s="28" t="str">
        <f>IFERROR(VLOOKUP(TAB_OFICINAS[[#This Row],[Cliente]],LISTA_DE_CLIENTES[[Código]:[Nome Fantasia]],2,FALSE),"")</f>
        <v/>
      </c>
      <c r="H1593" s="133"/>
      <c r="J1593" s="91"/>
      <c r="K1593" s="88"/>
      <c r="O1593" s="23">
        <f>TAB_OFICINAS[[#This Row],[Data Retorno Produção]]-TAB_OFICINAS[[#This Row],[Data Prometida  Entrega]]</f>
        <v>0</v>
      </c>
      <c r="P1593" s="98"/>
      <c r="Q1593" s="24"/>
      <c r="R1593" s="24"/>
      <c r="U1593" s="11"/>
      <c r="V1593" s="25"/>
      <c r="W1593" s="26"/>
      <c r="Y1593" s="27"/>
      <c r="Z1593" s="90" t="str">
        <f>IF(TAB_OFICINAS[[#This Row],[Qtd pçs Enviadas]]=TAB_OFICINAS[[#This Row],[Qtd pçs Retornadas ]],"Produção Finalizada",TAB_OFICINAS[[#This Row],[Qtd pçs Pendetente ]] &amp; " " &amp; "Pçs Pendente")</f>
        <v>Produção Finalizada</v>
      </c>
    </row>
    <row r="1594" spans="5:26" hidden="1">
      <c r="F1594" s="28" t="str">
        <f>IFERROR(VLOOKUP(TAB_OFICINAS[[#This Row],[Cliente]],LISTA_DE_CLIENTES[[Código]:[Nome Fantasia]],2,FALSE),"")</f>
        <v/>
      </c>
      <c r="G1594" s="2" t="str">
        <f>IFERROR(VLOOKUP(TAB_OFICINAS[[#This Row],[Cliente]],LISTA_DE_CLIENTES[[Código]:[Nome Fantasia]],3,FALSE),"")</f>
        <v/>
      </c>
      <c r="H1594" s="133"/>
      <c r="J1594" s="91"/>
      <c r="K1594" s="88"/>
      <c r="O1594" s="23">
        <f>TAB_OFICINAS[[#This Row],[Data Retorno Produção]]-TAB_OFICINAS[[#This Row],[Data Prometida  Entrega]]</f>
        <v>0</v>
      </c>
      <c r="P1594" s="98"/>
      <c r="Q1594" s="24">
        <v>0</v>
      </c>
      <c r="R1594" s="24"/>
      <c r="U1594" s="11"/>
      <c r="V1594" s="25"/>
      <c r="W1594" s="26"/>
      <c r="Y1594" s="27"/>
      <c r="Z1594" s="90"/>
    </row>
    <row r="1595" spans="5:26">
      <c r="U1595" s="136"/>
    </row>
    <row r="1596" spans="5:26">
      <c r="E1596" s="28"/>
    </row>
    <row r="1597" spans="5:26">
      <c r="Z1597" s="27" t="s">
        <v>21395</v>
      </c>
    </row>
    <row r="1606" spans="2:2">
      <c r="B1606" t="s">
        <v>21395</v>
      </c>
    </row>
    <row r="1042667" spans="5:5">
      <c r="E1042667" s="5">
        <v>77</v>
      </c>
    </row>
    <row r="1042682" spans="1:1">
      <c r="A1042682" t="s">
        <v>6256</v>
      </c>
    </row>
  </sheetData>
  <autoFilter ref="B4:AA14"/>
  <phoneticPr fontId="2" type="noConversion"/>
  <conditionalFormatting sqref="Q21:Q1580 Q1582:Q1591">
    <cfRule type="cellIs" dxfId="28" priority="19" operator="equal">
      <formula>0</formula>
    </cfRule>
  </conditionalFormatting>
  <conditionalFormatting sqref="Q21:R1580 Q1582:R1591">
    <cfRule type="cellIs" dxfId="27" priority="15" operator="greaterThan">
      <formula>0</formula>
    </cfRule>
    <cfRule type="cellIs" dxfId="26" priority="18" operator="lessThan">
      <formula>0</formula>
    </cfRule>
  </conditionalFormatting>
  <dataValidations count="3">
    <dataValidation type="date" allowBlank="1" showInputMessage="1" showErrorMessage="1" sqref="J1:J7 V1:V7 N1:O7 K20 M333:M343 W20:W230 N20:N230 O21:O230 M21:M231 N231:O695 N697:O743 O744 N745:O750 J1363:J1574 N1582:O1048576 V1582:V1048576 J1583:J1592 J1594:J1048576 V756:V1580 N752:O1580">
      <formula1>46023</formula1>
      <formula2>47848</formula2>
    </dataValidation>
    <dataValidation type="date" allowBlank="1" showInputMessage="1" showErrorMessage="1" sqref="K21:K230">
      <formula1>45658</formula1>
      <formula2>47848</formula2>
    </dataValidation>
    <dataValidation type="list" allowBlank="1" showInputMessage="1" showErrorMessage="1" sqref="B5">
      <formula1>$T$21:$T$1594</formula1>
    </dataValidation>
  </dataValidations>
  <hyperlinks>
    <hyperlink ref="Y151" location="Planilha5!A1" display="Planilha5!A1"/>
  </hyperlinks>
  <pageMargins left="0.511811024" right="0.511811024" top="0.78740157499999996" bottom="0.78740157499999996" header="0.31496062000000002" footer="0.31496062000000002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errorTitle="Atenção" error="Nova oficina cadastrada.">
          <x14:formula1>
            <xm:f>Listas!$D$4:$D$26</xm:f>
          </x14:formula1>
          <xm:sqref>C1:C3 C21:C464 C466:C750 F770 C6:C19 C1582:C1048576 C752:C1580</xm:sqref>
        </x14:dataValidation>
        <x14:dataValidation type="list" errorStyle="warning" allowBlank="1" showInputMessage="1" showErrorMessage="1" errorTitle="Atenção" error="Deseja cadastrar essa nova oficina?">
          <x14:formula1>
            <xm:f>Listas!$D$4:$D$26</xm:f>
          </x14:formula1>
          <xm:sqref>C465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E62C0A-1B0F-4D87-AB66-0F46E291C0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Listas</vt:lpstr>
      <vt:lpstr>LISTA_DE_CLIENTES</vt:lpstr>
      <vt:lpstr>Tab_Produtos</vt:lpstr>
      <vt:lpstr>TABELA OFICINAS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Fio aFio</dc:creator>
  <cp:keywords/>
  <dc:description/>
  <cp:lastModifiedBy>FioaFio</cp:lastModifiedBy>
  <cp:revision/>
  <dcterms:created xsi:type="dcterms:W3CDTF">2026-02-08T19:53:02Z</dcterms:created>
  <dcterms:modified xsi:type="dcterms:W3CDTF">2026-10-20T13:10:31Z</dcterms:modified>
  <cp:category/>
  <cp:contentStatus/>
</cp:coreProperties>
</file>